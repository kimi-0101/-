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" sheetId="1" state="visible" r:id="rId3"/>
    <sheet name="사업계획" sheetId="2" state="visible" r:id="rId4"/>
    <sheet name="가정" sheetId="3" state="visible" r:id="rId5"/>
    <sheet name="월별비중" sheetId="4" state="visible" r:id="rId6"/>
    <sheet name="RAW_판매펀칭" sheetId="5" state="visible" r:id="rId7"/>
    <sheet name="RAW_2026" sheetId="6" state="visible" r:id="rId8"/>
    <sheet name="로직설명" sheetId="7" state="visible" r:id="rId9"/>
  </sheets>
  <definedNames>
    <definedName function="false" hidden="false" localSheetId="0" name="_xlnm.Print_Area" vbProcedure="false">요약!$A$1:$N$66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<sst xmlns="http://schemas.openxmlformats.org/spreadsheetml/2006/main" count="16855" uniqueCount="1805">
  <si>
    <r>
      <rPr>
        <b val="true"/>
        <sz val="16"/>
        <rFont val="Cambria"/>
        <family val="0"/>
        <charset val="1"/>
      </rPr>
      <t xml:space="preserve">2027 TNH </t>
    </r>
    <r>
      <rPr>
        <b val="true"/>
        <sz val="16"/>
        <rFont val="WenQuanYi Zen Hei"/>
        <family val="2"/>
      </rPr>
      <t xml:space="preserve">사업계획 — 요약 </t>
    </r>
    <r>
      <rPr>
        <b val="true"/>
        <sz val="16"/>
        <rFont val="Cambria"/>
        <family val="0"/>
        <charset val="1"/>
      </rPr>
      <t xml:space="preserve">(</t>
    </r>
    <r>
      <rPr>
        <b val="true"/>
        <sz val="16"/>
        <rFont val="WenQuanYi Zen Hei"/>
        <family val="2"/>
      </rPr>
      <t xml:space="preserve">입력</t>
    </r>
    <r>
      <rPr>
        <b val="true"/>
        <sz val="16"/>
        <rFont val="Cambria"/>
        <family val="0"/>
        <charset val="1"/>
      </rPr>
      <t xml:space="preserve">·</t>
    </r>
    <r>
      <rPr>
        <b val="true"/>
        <sz val="16"/>
        <rFont val="WenQuanYi Zen Hei"/>
        <family val="2"/>
      </rPr>
      <t xml:space="preserve">결과 한 장</t>
    </r>
    <r>
      <rPr>
        <b val="true"/>
        <sz val="16"/>
        <rFont val="Cambria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</si>
  <si>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노란 칸</t>
    </r>
    <r>
      <rPr>
        <i val="true"/>
        <sz val="9"/>
        <color rgb="FF595959"/>
        <rFont val="Cambria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파란 글씨</t>
    </r>
    <r>
      <rPr>
        <i val="true"/>
        <sz val="9"/>
        <color rgb="FF595959"/>
        <rFont val="Cambria"/>
        <family val="0"/>
        <charset val="1"/>
      </rPr>
      <t xml:space="preserve">) = </t>
    </r>
    <r>
      <rPr>
        <i val="true"/>
        <sz val="9"/>
        <color rgb="FF595959"/>
        <rFont val="WenQuanYi Zen Hei"/>
        <family val="2"/>
      </rPr>
      <t xml:space="preserve">입력값</t>
    </r>
    <r>
      <rPr>
        <i val="true"/>
        <sz val="9"/>
        <color rgb="FF595959"/>
        <rFont val="Cambria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여기서 바꾸면 모든 시트가 자동 재계산됩니다</t>
    </r>
    <r>
      <rPr>
        <i val="true"/>
        <sz val="9"/>
        <color rgb="FF595959"/>
        <rFont val="Cambria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단위</t>
    </r>
    <r>
      <rPr>
        <i val="true"/>
        <sz val="9"/>
        <color rgb="FF595959"/>
        <rFont val="Cambria"/>
        <family val="0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억원</t>
    </r>
    <r>
      <rPr>
        <i val="true"/>
        <sz val="9"/>
        <color rgb="FF595959"/>
        <rFont val="Cambria"/>
        <family val="0"/>
        <charset val="1"/>
      </rPr>
      <t xml:space="preserve">. 2026 </t>
    </r>
    <r>
      <rPr>
        <i val="true"/>
        <sz val="9"/>
        <color rgb="FF595959"/>
        <rFont val="WenQuanYi Zen Hei"/>
        <family val="2"/>
      </rPr>
      <t xml:space="preserve">예상 </t>
    </r>
    <r>
      <rPr>
        <i val="true"/>
        <sz val="9"/>
        <color rgb="FF595959"/>
        <rFont val="Cambria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실적</t>
    </r>
    <r>
      <rPr>
        <i val="true"/>
        <sz val="9"/>
        <color rgb="FF595959"/>
        <rFont val="Cambria"/>
        <family val="0"/>
        <charset val="1"/>
      </rPr>
      <t xml:space="preserve">(RAW_</t>
    </r>
    <r>
      <rPr>
        <i val="true"/>
        <sz val="9"/>
        <color rgb="FF595959"/>
        <rFont val="WenQuanYi Zen Hei"/>
        <family val="2"/>
      </rPr>
      <t xml:space="preserve">판매펀칭 </t>
    </r>
    <r>
      <rPr>
        <i val="true"/>
        <sz val="9"/>
        <color rgb="FF595959"/>
        <rFont val="Cambria"/>
        <family val="0"/>
        <charset val="1"/>
      </rPr>
      <t xml:space="preserve">1/1~</t>
    </r>
    <r>
      <rPr>
        <i val="true"/>
        <sz val="9"/>
        <color rgb="FF595959"/>
        <rFont val="WenQuanYi Zen Hei"/>
        <family val="2"/>
      </rPr>
      <t xml:space="preserve">기준일</t>
    </r>
    <r>
      <rPr>
        <i val="true"/>
        <sz val="9"/>
        <color rgb="FF595959"/>
        <rFont val="Cambria"/>
        <family val="0"/>
        <charset val="1"/>
      </rPr>
      <t xml:space="preserve">) + </t>
    </r>
    <r>
      <rPr>
        <i val="true"/>
        <sz val="9"/>
        <color rgb="FF595959"/>
        <rFont val="WenQuanYi Zen Hei"/>
        <family val="2"/>
      </rPr>
      <t xml:space="preserve">잔여 예측</t>
    </r>
    <r>
      <rPr>
        <i val="true"/>
        <sz val="9"/>
        <color rgb="FF595959"/>
        <rFont val="Cambria"/>
        <family val="0"/>
        <charset val="1"/>
      </rPr>
      <t xml:space="preserve">.</t>
    </r>
  </si>
  <si>
    <r>
      <rPr>
        <b val="true"/>
        <sz val="12"/>
        <rFont val="Cambria"/>
        <family val="0"/>
        <charset val="1"/>
      </rPr>
      <t xml:space="preserve">① 2027 </t>
    </r>
    <r>
      <rPr>
        <b val="true"/>
        <sz val="12"/>
        <rFont val="WenQuanYi Zen Hei"/>
        <family val="2"/>
      </rPr>
      <t xml:space="preserve">계획 — 법인 목표</t>
    </r>
    <r>
      <rPr>
        <b val="true"/>
        <sz val="12"/>
        <rFont val="Cambria"/>
        <family val="0"/>
        <charset val="1"/>
      </rPr>
      <t xml:space="preserve">·</t>
    </r>
    <r>
      <rPr>
        <b val="true"/>
        <sz val="12"/>
        <rFont val="WenQuanYi Zen Hei"/>
        <family val="2"/>
      </rPr>
      <t xml:space="preserve">정판율</t>
    </r>
    <r>
      <rPr>
        <b val="true"/>
        <sz val="12"/>
        <rFont val="Cambria"/>
        <family val="0"/>
        <charset val="1"/>
      </rPr>
      <t xml:space="preserve">·</t>
    </r>
    <r>
      <rPr>
        <b val="true"/>
        <sz val="12"/>
        <rFont val="WenQuanYi Zen Hei"/>
        <family val="2"/>
      </rPr>
      <t xml:space="preserve">할인율 입력 → </t>
    </r>
    <r>
      <rPr>
        <b val="true"/>
        <sz val="12"/>
        <rFont val="Cambria"/>
        <family val="0"/>
        <charset val="1"/>
      </rPr>
      <t xml:space="preserve">TNH </t>
    </r>
    <r>
      <rPr>
        <b val="true"/>
        <sz val="12"/>
        <rFont val="WenQuanYi Zen Hei"/>
        <family val="2"/>
      </rPr>
      <t xml:space="preserve">매출</t>
    </r>
    <r>
      <rPr>
        <b val="true"/>
        <sz val="12"/>
        <rFont val="Cambria"/>
        <family val="0"/>
        <charset val="1"/>
      </rPr>
      <t xml:space="preserve">·</t>
    </r>
    <r>
      <rPr>
        <b val="true"/>
        <sz val="12"/>
        <rFont val="WenQuanYi Zen Hei"/>
        <family val="2"/>
      </rPr>
      <t xml:space="preserve">이익</t>
    </r>
  </si>
  <si>
    <t xml:space="preserve">구분</t>
  </si>
  <si>
    <t xml:space="preserve">법인 매출목표</t>
  </si>
  <si>
    <t xml:space="preserve">정판율</t>
  </si>
  <si>
    <t xml:space="preserve">할인율</t>
  </si>
  <si>
    <t xml:space="preserve">정상제품 매출</t>
  </si>
  <si>
    <t xml:space="preserve">택가 기준 공급액</t>
  </si>
  <si>
    <r>
      <rPr>
        <b val="true"/>
        <sz val="10"/>
        <color rgb="FFFFFFFF"/>
        <rFont val="Cambria"/>
        <family val="0"/>
        <charset val="1"/>
      </rPr>
      <t xml:space="preserve">TNH </t>
    </r>
    <r>
      <rPr>
        <b val="true"/>
        <sz val="10"/>
        <color rgb="FFFFFFFF"/>
        <rFont val="WenQuanYi Zen Hei"/>
        <family val="2"/>
      </rPr>
      <t xml:space="preserve">공급가</t>
    </r>
    <r>
      <rPr>
        <b val="true"/>
        <sz val="10"/>
        <color rgb="FFFFFFFF"/>
        <rFont val="Cambria"/>
        <family val="0"/>
        <charset val="1"/>
      </rPr>
      <t xml:space="preserve">÷</t>
    </r>
    <r>
      <rPr>
        <b val="true"/>
        <sz val="10"/>
        <color rgb="FFFFFFFF"/>
        <rFont val="WenQuanYi Zen Hei"/>
        <family val="2"/>
      </rPr>
      <t xml:space="preserve">택가</t>
    </r>
  </si>
  <si>
    <r>
      <rPr>
        <b val="true"/>
        <sz val="10"/>
        <color rgb="FFFFFFFF"/>
        <rFont val="Cambria"/>
        <family val="0"/>
        <charset val="1"/>
      </rPr>
      <t xml:space="preserve">2027 TNH </t>
    </r>
    <r>
      <rPr>
        <b val="true"/>
        <sz val="10"/>
        <color rgb="FFFFFFFF"/>
        <rFont val="WenQuanYi Zen Hei"/>
        <family val="2"/>
      </rPr>
      <t xml:space="preserve">매출</t>
    </r>
  </si>
  <si>
    <r>
      <rPr>
        <b val="true"/>
        <sz val="10"/>
        <color rgb="FFFFFFFF"/>
        <rFont val="Cambria"/>
        <family val="0"/>
        <charset val="1"/>
      </rPr>
      <t xml:space="preserve">2027 TNH </t>
    </r>
    <r>
      <rPr>
        <b val="true"/>
        <sz val="10"/>
        <color rgb="FFFFFFFF"/>
        <rFont val="WenQuanYi Zen Hei"/>
        <family val="2"/>
      </rPr>
      <t xml:space="preserve">원가</t>
    </r>
  </si>
  <si>
    <r>
      <rPr>
        <b val="true"/>
        <sz val="10"/>
        <color rgb="FFFFFFFF"/>
        <rFont val="Cambria"/>
        <family val="0"/>
        <charset val="1"/>
      </rPr>
      <t xml:space="preserve">2027 TNH </t>
    </r>
    <r>
      <rPr>
        <b val="true"/>
        <sz val="10"/>
        <color rgb="FFFFFFFF"/>
        <rFont val="WenQuanYi Zen Hei"/>
        <family val="2"/>
      </rPr>
      <t xml:space="preserve">이익</t>
    </r>
  </si>
  <si>
    <t xml:space="preserve">이익률</t>
  </si>
  <si>
    <t xml:space="preserve">홍콩</t>
  </si>
  <si>
    <t xml:space="preserve">중국</t>
  </si>
  <si>
    <t xml:space="preserve">대만</t>
  </si>
  <si>
    <t xml:space="preserve">법인 소계</t>
  </si>
  <si>
    <r>
      <rPr>
        <b val="true"/>
        <sz val="10"/>
        <rFont val="WenQuanYi Zen Hei"/>
        <family val="2"/>
      </rPr>
      <t xml:space="preserve">홀세일 </t>
    </r>
    <r>
      <rPr>
        <b val="true"/>
        <sz val="10"/>
        <rFont val="Cambria"/>
        <family val="0"/>
        <charset val="1"/>
      </rPr>
      <t xml:space="preserve">(TNH </t>
    </r>
    <r>
      <rPr>
        <b val="true"/>
        <sz val="10"/>
        <rFont val="WenQuanYi Zen Hei"/>
        <family val="2"/>
      </rPr>
      <t xml:space="preserve">매출 입력</t>
    </r>
    <r>
      <rPr>
        <b val="true"/>
        <sz val="10"/>
        <rFont val="Cambria"/>
        <family val="0"/>
        <charset val="1"/>
      </rPr>
      <t xml:space="preserve">)</t>
    </r>
  </si>
  <si>
    <t xml:space="preserve">-</t>
  </si>
  <si>
    <r>
      <rPr>
        <b val="true"/>
        <sz val="10"/>
        <rFont val="Cambria"/>
        <family val="0"/>
        <charset val="1"/>
      </rPr>
      <t xml:space="preserve">TNH </t>
    </r>
    <r>
      <rPr>
        <b val="true"/>
        <sz val="10"/>
        <rFont val="WenQuanYi Zen Hei"/>
        <family val="2"/>
      </rPr>
      <t xml:space="preserve">합계</t>
    </r>
  </si>
  <si>
    <r>
      <rPr>
        <b val="true"/>
        <sz val="12"/>
        <rFont val="WenQuanYi Zen Hei"/>
        <family val="2"/>
      </rPr>
      <t xml:space="preserve">② 공통 가정 </t>
    </r>
    <r>
      <rPr>
        <b val="true"/>
        <sz val="12"/>
        <rFont val="Cambria"/>
        <family val="0"/>
        <charset val="1"/>
      </rPr>
      <t xml:space="preserve">(</t>
    </r>
    <r>
      <rPr>
        <b val="true"/>
        <sz val="12"/>
        <rFont val="WenQuanYi Zen Hei"/>
        <family val="2"/>
      </rPr>
      <t xml:space="preserve">입력</t>
    </r>
    <r>
      <rPr>
        <b val="true"/>
        <sz val="12"/>
        <rFont val="Cambria"/>
        <family val="0"/>
        <charset val="1"/>
      </rPr>
      <t xml:space="preserve">)</t>
    </r>
  </si>
  <si>
    <t xml:space="preserve">공통 가정</t>
  </si>
  <si>
    <t xml:space="preserve">이월제품 비중</t>
  </si>
  <si>
    <r>
      <rPr>
        <b val="true"/>
        <sz val="10"/>
        <color rgb="FFFFFFFF"/>
        <rFont val="WenQuanYi Zen Hei"/>
        <family val="2"/>
      </rPr>
      <t xml:space="preserve">정상제품 비중 </t>
    </r>
    <r>
      <rPr>
        <b val="true"/>
        <sz val="10"/>
        <color rgb="FFFFFFFF"/>
        <rFont val="Cambria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자동</t>
    </r>
    <r>
      <rPr>
        <b val="true"/>
        <sz val="10"/>
        <color rgb="FFFFFFFF"/>
        <rFont val="Cambria"/>
        <family val="0"/>
        <charset val="1"/>
      </rPr>
      <t xml:space="preserve">=1−</t>
    </r>
    <r>
      <rPr>
        <b val="true"/>
        <sz val="10"/>
        <color rgb="FFFFFFFF"/>
        <rFont val="WenQuanYi Zen Hei"/>
        <family val="2"/>
      </rPr>
      <t xml:space="preserve">이월</t>
    </r>
    <r>
      <rPr>
        <b val="true"/>
        <sz val="10"/>
        <color rgb="FFFFFFFF"/>
        <rFont val="Cambria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</si>
  <si>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공급율 </t>
    </r>
    <r>
      <rPr>
        <b val="true"/>
        <sz val="10"/>
        <color rgb="FFFFFFFF"/>
        <rFont val="Cambria"/>
        <family val="0"/>
        <charset val="1"/>
      </rPr>
      <t xml:space="preserve">(HK·TW·</t>
    </r>
    <r>
      <rPr>
        <b val="true"/>
        <sz val="10"/>
        <color rgb="FFFFFFFF"/>
        <rFont val="WenQuanYi Zen Hei"/>
        <family val="2"/>
      </rPr>
      <t xml:space="preserve">홀세일</t>
    </r>
    <r>
      <rPr>
        <b val="true"/>
        <sz val="10"/>
        <color rgb="FFFFFFFF"/>
        <rFont val="Cambria"/>
        <family val="0"/>
        <charset val="1"/>
      </rPr>
      <t xml:space="preserve">)</t>
    </r>
  </si>
  <si>
    <t xml:space="preserve">택가 배수</t>
  </si>
  <si>
    <t xml:space="preserve">중국 공급 마진</t>
  </si>
  <si>
    <r>
      <rPr>
        <b val="true"/>
        <sz val="10"/>
        <color rgb="FFFFFFFF"/>
        <rFont val="WenQuanYi Zen Hei"/>
        <family val="2"/>
      </rPr>
      <t xml:space="preserve">환율 </t>
    </r>
    <r>
      <rPr>
        <b val="true"/>
        <sz val="10"/>
        <color rgb="FFFFFFFF"/>
        <rFont val="Cambria"/>
        <family val="0"/>
        <charset val="1"/>
      </rPr>
      <t xml:space="preserve">(KRW/USD)</t>
    </r>
  </si>
  <si>
    <t xml:space="preserve">실적 기준일</t>
  </si>
  <si>
    <r>
      <rPr>
        <b val="true"/>
        <sz val="10"/>
        <color rgb="FFFFFFFF"/>
        <rFont val="WenQuanYi Zen Hei"/>
        <family val="2"/>
      </rPr>
      <t xml:space="preserve">예측 방식 </t>
    </r>
    <r>
      <rPr>
        <b val="true"/>
        <sz val="10"/>
        <color rgb="FFFFFFFF"/>
        <rFont val="Cambria"/>
        <family val="0"/>
        <charset val="1"/>
      </rPr>
      <t xml:space="preserve">(1=</t>
    </r>
    <r>
      <rPr>
        <b val="true"/>
        <sz val="10"/>
        <color rgb="FFFFFFFF"/>
        <rFont val="WenQuanYi Zen Hei"/>
        <family val="2"/>
      </rPr>
      <t xml:space="preserve">실적 진도율</t>
    </r>
    <r>
      <rPr>
        <b val="true"/>
        <sz val="10"/>
        <color rgb="FFFFFFFF"/>
        <rFont val="Cambria"/>
        <family val="0"/>
        <charset val="1"/>
      </rPr>
      <t xml:space="preserve">, 2=ERP </t>
    </r>
    <r>
      <rPr>
        <b val="true"/>
        <sz val="10"/>
        <color rgb="FFFFFFFF"/>
        <rFont val="WenQuanYi Zen Hei"/>
        <family val="2"/>
      </rPr>
      <t xml:space="preserve">수주</t>
    </r>
    <r>
      <rPr>
        <b val="true"/>
        <sz val="10"/>
        <color rgb="FFFFFFFF"/>
        <rFont val="Cambria"/>
        <family val="0"/>
        <charset val="1"/>
      </rPr>
      <t xml:space="preserve">)</t>
    </r>
  </si>
  <si>
    <t xml:space="preserve">환산배수 경고 허용폭</t>
  </si>
  <si>
    <t xml:space="preserve">입력값</t>
  </si>
  <si>
    <r>
      <rPr>
        <b val="true"/>
        <sz val="12"/>
        <rFont val="Cambria"/>
        <family val="0"/>
        <charset val="1"/>
      </rPr>
      <t xml:space="preserve">③ 2026 </t>
    </r>
    <r>
      <rPr>
        <b val="true"/>
        <sz val="12"/>
        <rFont val="WenQuanYi Zen Hei"/>
        <family val="2"/>
      </rPr>
      <t xml:space="preserve">예상</t>
    </r>
    <r>
      <rPr>
        <b val="true"/>
        <sz val="12"/>
        <rFont val="Cambria"/>
        <family val="0"/>
        <charset val="1"/>
      </rPr>
      <t xml:space="preserve">(</t>
    </r>
    <r>
      <rPr>
        <b val="true"/>
        <sz val="12"/>
        <rFont val="WenQuanYi Zen Hei"/>
        <family val="2"/>
      </rPr>
      <t xml:space="preserve">실적 </t>
    </r>
    <r>
      <rPr>
        <b val="true"/>
        <sz val="12"/>
        <rFont val="Cambria"/>
        <family val="0"/>
        <charset val="1"/>
      </rPr>
      <t xml:space="preserve">+ </t>
    </r>
    <r>
      <rPr>
        <b val="true"/>
        <sz val="12"/>
        <rFont val="WenQuanYi Zen Hei"/>
        <family val="2"/>
      </rPr>
      <t xml:space="preserve">예측</t>
    </r>
    <r>
      <rPr>
        <b val="true"/>
        <sz val="12"/>
        <rFont val="Cambria"/>
        <family val="0"/>
        <charset val="1"/>
      </rPr>
      <t xml:space="preserve">) vs 2027 </t>
    </r>
    <r>
      <rPr>
        <b val="true"/>
        <sz val="12"/>
        <rFont val="WenQuanYi Zen Hei"/>
        <family val="2"/>
      </rPr>
      <t xml:space="preserve">계획</t>
    </r>
  </si>
  <si>
    <t xml:space="preserve">잔여 예측</t>
  </si>
  <si>
    <r>
      <rPr>
        <b val="true"/>
        <sz val="10"/>
        <color rgb="FFFFFFFF"/>
        <rFont val="Cambria"/>
        <family val="0"/>
        <charset val="1"/>
      </rPr>
      <t xml:space="preserve">2026 </t>
    </r>
    <r>
      <rPr>
        <b val="true"/>
        <sz val="10"/>
        <color rgb="FFFFFFFF"/>
        <rFont val="WenQuanYi Zen Hei"/>
        <family val="2"/>
      </rPr>
      <t xml:space="preserve">예상</t>
    </r>
  </si>
  <si>
    <t xml:space="preserve">진도율</t>
  </si>
  <si>
    <r>
      <rPr>
        <b val="true"/>
        <sz val="10"/>
        <color rgb="FFFFFFFF"/>
        <rFont val="Cambria"/>
        <family val="0"/>
        <charset val="1"/>
      </rPr>
      <t xml:space="preserve">2027 </t>
    </r>
    <r>
      <rPr>
        <b val="true"/>
        <sz val="10"/>
        <color rgb="FFFFFFFF"/>
        <rFont val="WenQuanYi Zen Hei"/>
        <family val="2"/>
      </rPr>
      <t xml:space="preserve">계획</t>
    </r>
  </si>
  <si>
    <t xml:space="preserve">증감</t>
  </si>
  <si>
    <t xml:space="preserve">증감률</t>
  </si>
  <si>
    <r>
      <rPr>
        <b val="true"/>
        <sz val="10"/>
        <color rgb="FFFFFFFF"/>
        <rFont val="Cambria"/>
        <family val="0"/>
        <charset val="1"/>
      </rPr>
      <t xml:space="preserve">2026 </t>
    </r>
    <r>
      <rPr>
        <b val="true"/>
        <sz val="10"/>
        <color rgb="FFFFFFFF"/>
        <rFont val="WenQuanYi Zen Hei"/>
        <family val="2"/>
      </rPr>
      <t xml:space="preserve">이익</t>
    </r>
  </si>
  <si>
    <r>
      <rPr>
        <b val="true"/>
        <sz val="10"/>
        <color rgb="FFFFFFFF"/>
        <rFont val="Cambria"/>
        <family val="0"/>
        <charset val="1"/>
      </rPr>
      <t xml:space="preserve">2027 </t>
    </r>
    <r>
      <rPr>
        <b val="true"/>
        <sz val="10"/>
        <color rgb="FFFFFFFF"/>
        <rFont val="WenQuanYi Zen Hei"/>
        <family val="2"/>
      </rPr>
      <t xml:space="preserve">이익</t>
    </r>
  </si>
  <si>
    <r>
      <rPr>
        <b val="true"/>
        <sz val="10"/>
        <color rgb="FFFFFFFF"/>
        <rFont val="Cambria"/>
        <family val="0"/>
        <charset val="1"/>
      </rPr>
      <t xml:space="preserve">2026 </t>
    </r>
    <r>
      <rPr>
        <b val="true"/>
        <sz val="10"/>
        <color rgb="FFFFFFFF"/>
        <rFont val="WenQuanYi Zen Hei"/>
        <family val="2"/>
      </rPr>
      <t xml:space="preserve">이익률</t>
    </r>
  </si>
  <si>
    <r>
      <rPr>
        <b val="true"/>
        <sz val="10"/>
        <color rgb="FFFFFFFF"/>
        <rFont val="Cambria"/>
        <family val="0"/>
        <charset val="1"/>
      </rPr>
      <t xml:space="preserve">2027 </t>
    </r>
    <r>
      <rPr>
        <b val="true"/>
        <sz val="10"/>
        <color rgb="FFFFFFFF"/>
        <rFont val="WenQuanYi Zen Hei"/>
        <family val="2"/>
      </rPr>
      <t xml:space="preserve">이익률</t>
    </r>
  </si>
  <si>
    <r>
      <rPr>
        <b val="true"/>
        <sz val="10"/>
        <color rgb="FFFFFFFF"/>
        <rFont val="WenQuanYi Zen Hei"/>
        <family val="2"/>
      </rPr>
      <t xml:space="preserve">이익률 증감</t>
    </r>
    <r>
      <rPr>
        <b val="true"/>
        <sz val="10"/>
        <color rgb="FFFFFFFF"/>
        <rFont val="Cambria"/>
        <family val="0"/>
        <charset val="1"/>
      </rPr>
      <t xml:space="preserve">(%p)</t>
    </r>
  </si>
  <si>
    <t xml:space="preserve">홀세일</t>
  </si>
  <si>
    <r>
      <rPr>
        <b val="true"/>
        <sz val="12"/>
        <rFont val="Cambria"/>
        <family val="0"/>
        <charset val="1"/>
      </rPr>
      <t xml:space="preserve">④ 2027 </t>
    </r>
    <r>
      <rPr>
        <b val="true"/>
        <sz val="12"/>
        <rFont val="WenQuanYi Zen Hei"/>
        <family val="2"/>
      </rPr>
      <t xml:space="preserve">월별 비중 </t>
    </r>
    <r>
      <rPr>
        <b val="true"/>
        <sz val="12"/>
        <rFont val="Cambria"/>
        <family val="0"/>
        <charset val="1"/>
      </rPr>
      <t xml:space="preserve">(</t>
    </r>
    <r>
      <rPr>
        <b val="true"/>
        <sz val="12"/>
        <rFont val="WenQuanYi Zen Hei"/>
        <family val="2"/>
      </rPr>
      <t xml:space="preserve">입력</t>
    </r>
    <r>
      <rPr>
        <b val="true"/>
        <sz val="12"/>
        <rFont val="Cambria"/>
        <family val="0"/>
        <charset val="1"/>
      </rPr>
      <t xml:space="preserve">) — </t>
    </r>
    <r>
      <rPr>
        <b val="true"/>
        <sz val="12"/>
        <rFont val="WenQuanYi Zen Hei"/>
        <family val="2"/>
      </rPr>
      <t xml:space="preserve">각 행 합계 </t>
    </r>
    <r>
      <rPr>
        <b val="true"/>
        <sz val="12"/>
        <rFont val="Cambria"/>
        <family val="0"/>
        <charset val="1"/>
      </rPr>
      <t xml:space="preserve">100%</t>
    </r>
  </si>
  <si>
    <r>
      <rPr>
        <b val="true"/>
        <sz val="10"/>
        <color rgb="FFFFFFFF"/>
        <rFont val="Cambria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</si>
  <si>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Cambria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</si>
  <si>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Cambria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</si>
  <si>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Cambria"/>
        <family val="0"/>
        <charset val="1"/>
      </rPr>
      <t xml:space="preserve">4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</si>
  <si>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Cambria"/>
        <family val="0"/>
        <charset val="1"/>
      </rPr>
      <t xml:space="preserve">5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</si>
  <si>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Cambria"/>
        <family val="0"/>
        <charset val="1"/>
      </rPr>
      <t xml:space="preserve">6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</si>
  <si>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Cambria"/>
        <family val="0"/>
        <charset val="1"/>
      </rPr>
      <t xml:space="preserve">7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</si>
  <si>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Cambria"/>
        <family val="0"/>
        <charset val="1"/>
      </rPr>
      <t xml:space="preserve">8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</si>
  <si>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Cambria"/>
        <family val="0"/>
        <charset val="1"/>
      </rPr>
      <t xml:space="preserve">9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</si>
  <si>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Cambria"/>
        <family val="0"/>
        <charset val="1"/>
      </rPr>
      <t xml:space="preserve">10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</si>
  <si>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Cambria"/>
        <family val="0"/>
        <charset val="1"/>
      </rPr>
      <t xml:space="preserve">11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</si>
  <si>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Cambria"/>
        <family val="0"/>
        <charset val="1"/>
      </rPr>
      <t xml:space="preserve">12</t>
    </r>
    <r>
      <rPr>
        <b val="true"/>
        <sz val="10"/>
        <color rgb="FFFFFFFF"/>
        <rFont val="WenQuanYi Zen Hei"/>
        <family val="2"/>
      </rPr>
      <t xml:space="preserve">월</t>
    </r>
  </si>
  <si>
    <t xml:space="preserve">합계</t>
  </si>
  <si>
    <r>
      <rPr>
        <b val="true"/>
        <sz val="10"/>
        <rFont val="WenQuanYi Zen Hei"/>
        <family val="2"/>
      </rPr>
      <t xml:space="preserve">홀세일 </t>
    </r>
    <r>
      <rPr>
        <b val="true"/>
        <sz val="10"/>
        <rFont val="Cambria"/>
        <family val="0"/>
        <charset val="1"/>
      </rPr>
      <t xml:space="preserve">(3</t>
    </r>
    <r>
      <rPr>
        <b val="true"/>
        <sz val="10"/>
        <rFont val="WenQuanYi Zen Hei"/>
        <family val="2"/>
      </rPr>
      <t xml:space="preserve">법인 합계 비중 적용</t>
    </r>
    <r>
      <rPr>
        <b val="true"/>
        <sz val="10"/>
        <rFont val="Cambria"/>
        <family val="0"/>
        <charset val="1"/>
      </rPr>
      <t xml:space="preserve">)</t>
    </r>
  </si>
  <si>
    <r>
      <rPr>
        <b val="true"/>
        <sz val="12"/>
        <rFont val="WenQuanYi Zen Hei"/>
        <family val="2"/>
      </rPr>
      <t xml:space="preserve">⑤ 월별 </t>
    </r>
    <r>
      <rPr>
        <b val="true"/>
        <sz val="12"/>
        <rFont val="Cambria"/>
        <family val="0"/>
        <charset val="1"/>
      </rPr>
      <t xml:space="preserve">TNH </t>
    </r>
    <r>
      <rPr>
        <b val="true"/>
        <sz val="12"/>
        <rFont val="WenQuanYi Zen Hei"/>
        <family val="2"/>
      </rPr>
      <t xml:space="preserve">매출 — </t>
    </r>
    <r>
      <rPr>
        <b val="true"/>
        <sz val="12"/>
        <rFont val="Cambria"/>
        <family val="0"/>
        <charset val="1"/>
      </rPr>
      <t xml:space="preserve">2026 </t>
    </r>
    <r>
      <rPr>
        <b val="true"/>
        <sz val="12"/>
        <rFont val="WenQuanYi Zen Hei"/>
        <family val="2"/>
      </rPr>
      <t xml:space="preserve">예상 </t>
    </r>
    <r>
      <rPr>
        <b val="true"/>
        <sz val="12"/>
        <rFont val="Cambria"/>
        <family val="0"/>
        <charset val="1"/>
      </rPr>
      <t xml:space="preserve">vs 2027 </t>
    </r>
    <r>
      <rPr>
        <b val="true"/>
        <sz val="12"/>
        <rFont val="WenQuanYi Zen Hei"/>
        <family val="2"/>
      </rPr>
      <t xml:space="preserve">계획</t>
    </r>
  </si>
  <si>
    <r>
      <rPr>
        <b val="true"/>
        <sz val="10"/>
        <rFont val="Cambria"/>
        <family val="0"/>
        <charset val="1"/>
      </rPr>
      <t xml:space="preserve">2026 </t>
    </r>
    <r>
      <rPr>
        <b val="true"/>
        <sz val="10"/>
        <rFont val="WenQuanYi Zen Hei"/>
        <family val="2"/>
      </rPr>
      <t xml:space="preserve">예상</t>
    </r>
  </si>
  <si>
    <r>
      <rPr>
        <b val="true"/>
        <sz val="10"/>
        <rFont val="Cambria"/>
        <family val="0"/>
        <charset val="1"/>
      </rPr>
      <t xml:space="preserve">2027 </t>
    </r>
    <r>
      <rPr>
        <b val="true"/>
        <sz val="10"/>
        <rFont val="WenQuanYi Zen Hei"/>
        <family val="2"/>
      </rPr>
      <t xml:space="preserve">계획</t>
    </r>
  </si>
  <si>
    <t xml:space="preserve">⑥ 자동 점검</t>
  </si>
  <si>
    <t xml:space="preserve">점검 항목</t>
  </si>
  <si>
    <t xml:space="preserve">결과</t>
  </si>
  <si>
    <r>
      <rPr>
        <b val="true"/>
        <sz val="10"/>
        <rFont val="Cambria"/>
        <family val="0"/>
        <charset val="1"/>
      </rPr>
      <t xml:space="preserve">2027 </t>
    </r>
    <r>
      <rPr>
        <b val="true"/>
        <sz val="10"/>
        <rFont val="WenQuanYi Zen Hei"/>
        <family val="2"/>
      </rPr>
      <t xml:space="preserve">월별 비중 합계 </t>
    </r>
    <r>
      <rPr>
        <b val="true"/>
        <sz val="10"/>
        <rFont val="Cambria"/>
        <family val="0"/>
        <charset val="1"/>
      </rPr>
      <t xml:space="preserve">100%</t>
    </r>
  </si>
  <si>
    <r>
      <rPr>
        <b val="true"/>
        <sz val="10"/>
        <rFont val="WenQuanYi Zen Hei"/>
        <family val="2"/>
      </rPr>
      <t xml:space="preserve">월 합계 </t>
    </r>
    <r>
      <rPr>
        <b val="true"/>
        <sz val="10"/>
        <rFont val="Cambria"/>
        <family val="0"/>
        <charset val="1"/>
      </rPr>
      <t xml:space="preserve">= </t>
    </r>
    <r>
      <rPr>
        <b val="true"/>
        <sz val="10"/>
        <rFont val="WenQuanYi Zen Hei"/>
        <family val="2"/>
      </rPr>
      <t xml:space="preserve">연간 값 </t>
    </r>
    <r>
      <rPr>
        <b val="true"/>
        <sz val="10"/>
        <rFont val="Cambria"/>
        <family val="0"/>
        <charset val="1"/>
      </rPr>
      <t xml:space="preserve">(2027)</t>
    </r>
  </si>
  <si>
    <r>
      <rPr>
        <b val="true"/>
        <sz val="10"/>
        <color rgb="FFFFFFFF"/>
        <rFont val="Cambria"/>
        <family val="0"/>
        <charset val="1"/>
      </rPr>
      <t xml:space="preserve">2026 </t>
    </r>
    <r>
      <rPr>
        <b val="true"/>
        <sz val="10"/>
        <color rgb="FFFFFFFF"/>
        <rFont val="WenQuanYi Zen Hei"/>
        <family val="2"/>
      </rPr>
      <t xml:space="preserve">환산배수 점검</t>
    </r>
  </si>
  <si>
    <r>
      <rPr>
        <b val="true"/>
        <sz val="10"/>
        <color rgb="FFFFFFFF"/>
        <rFont val="Cambria"/>
        <family val="0"/>
        <charset val="1"/>
      </rPr>
      <t xml:space="preserve">2026 </t>
    </r>
    <r>
      <rPr>
        <b val="true"/>
        <sz val="10"/>
        <color rgb="FFFFFFFF"/>
        <rFont val="WenQuanYi Zen Hei"/>
        <family val="2"/>
      </rPr>
      <t xml:space="preserve">실적</t>
    </r>
  </si>
  <si>
    <r>
      <rPr>
        <b val="true"/>
        <sz val="10"/>
        <color rgb="FFFFFFFF"/>
        <rFont val="Cambria"/>
        <family val="0"/>
        <charset val="1"/>
      </rPr>
      <t xml:space="preserve">2027 </t>
    </r>
    <r>
      <rPr>
        <b val="true"/>
        <sz val="10"/>
        <color rgb="FFFFFFFF"/>
        <rFont val="WenQuanYi Zen Hei"/>
        <family val="2"/>
      </rPr>
      <t xml:space="preserve">설정</t>
    </r>
  </si>
  <si>
    <t xml:space="preserve">괴리</t>
  </si>
  <si>
    <t xml:space="preserve">판정</t>
  </si>
  <si>
    <r>
      <rPr>
        <i val="true"/>
        <sz val="9"/>
        <color rgb="FF595959"/>
        <rFont val="WenQuanYi Zen Hei"/>
        <family val="2"/>
      </rPr>
      <t xml:space="preserve">※ 환산배수 </t>
    </r>
    <r>
      <rPr>
        <i val="true"/>
        <sz val="9"/>
        <color rgb="FF595959"/>
        <rFont val="Cambria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법인 정상제품 매출 </t>
    </r>
    <r>
      <rPr>
        <i val="true"/>
        <sz val="9"/>
        <color rgb="FF595959"/>
        <rFont val="Cambria"/>
        <family val="0"/>
        <charset val="1"/>
      </rPr>
      <t xml:space="preserve">1</t>
    </r>
    <r>
      <rPr>
        <i val="true"/>
        <sz val="9"/>
        <color rgb="FF595959"/>
        <rFont val="WenQuanYi Zen Hei"/>
        <family val="2"/>
      </rPr>
      <t xml:space="preserve">원당 </t>
    </r>
    <r>
      <rPr>
        <i val="true"/>
        <sz val="9"/>
        <color rgb="FF595959"/>
        <rFont val="Cambria"/>
        <family val="0"/>
        <charset val="1"/>
      </rPr>
      <t xml:space="preserve">TNH</t>
    </r>
    <r>
      <rPr>
        <i val="true"/>
        <sz val="9"/>
        <color rgb="FF595959"/>
        <rFont val="WenQuanYi Zen Hei"/>
        <family val="2"/>
      </rPr>
      <t xml:space="preserve">가 공급한 택가</t>
    </r>
    <r>
      <rPr>
        <i val="true"/>
        <sz val="9"/>
        <color rgb="FF595959"/>
        <rFont val="Cambria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실적 데이터 갱신은 </t>
    </r>
    <r>
      <rPr>
        <i val="true"/>
        <sz val="9"/>
        <color rgb="FF595959"/>
        <rFont val="Cambria"/>
        <family val="0"/>
        <charset val="1"/>
      </rPr>
      <t xml:space="preserve">RAW_</t>
    </r>
    <r>
      <rPr>
        <i val="true"/>
        <sz val="9"/>
        <color rgb="FF595959"/>
        <rFont val="WenQuanYi Zen Hei"/>
        <family val="2"/>
      </rPr>
      <t xml:space="preserve">판매펀칭 시트에 원본 붙여넣기</t>
    </r>
    <r>
      <rPr>
        <i val="true"/>
        <sz val="9"/>
        <color rgb="FF595959"/>
        <rFont val="Cambria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계산 상세는 가정</t>
    </r>
    <r>
      <rPr>
        <i val="true"/>
        <sz val="9"/>
        <color rgb="FF595959"/>
        <rFont val="Cambria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사업계획</t>
    </r>
    <r>
      <rPr>
        <i val="true"/>
        <sz val="9"/>
        <color rgb="FF595959"/>
        <rFont val="Cambria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월별비중 시트</t>
    </r>
    <r>
      <rPr>
        <i val="true"/>
        <sz val="9"/>
        <color rgb="FF595959"/>
        <rFont val="Cambria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수식 전용</t>
    </r>
    <r>
      <rPr>
        <i val="true"/>
        <sz val="9"/>
        <color rgb="FF595959"/>
        <rFont val="Cambria"/>
        <family val="0"/>
        <charset val="1"/>
      </rPr>
      <t xml:space="preserve">).</t>
    </r>
  </si>
  <si>
    <r>
      <rPr>
        <b val="true"/>
        <sz val="14"/>
        <rFont val="Cambria"/>
        <family val="0"/>
        <charset val="1"/>
      </rPr>
      <t xml:space="preserve">2027 TNH(</t>
    </r>
    <r>
      <rPr>
        <b val="true"/>
        <sz val="14"/>
        <rFont val="WenQuanYi Zen Hei"/>
        <family val="2"/>
      </rPr>
      <t xml:space="preserve">수출자</t>
    </r>
    <r>
      <rPr>
        <b val="true"/>
        <sz val="14"/>
        <rFont val="Cambria"/>
        <family val="0"/>
        <charset val="1"/>
      </rPr>
      <t xml:space="preserve">) </t>
    </r>
    <r>
      <rPr>
        <b val="true"/>
        <sz val="14"/>
        <rFont val="WenQuanYi Zen Hei"/>
        <family val="2"/>
      </rPr>
      <t xml:space="preserve">사업계획 — 월별 매출</t>
    </r>
    <r>
      <rPr>
        <b val="true"/>
        <sz val="14"/>
        <rFont val="Cambria"/>
        <family val="0"/>
        <charset val="1"/>
      </rPr>
      <t xml:space="preserve">·</t>
    </r>
    <r>
      <rPr>
        <b val="true"/>
        <sz val="14"/>
        <rFont val="WenQuanYi Zen Hei"/>
        <family val="2"/>
      </rPr>
      <t xml:space="preserve">원가</t>
    </r>
    <r>
      <rPr>
        <b val="true"/>
        <sz val="14"/>
        <rFont val="Cambria"/>
        <family val="0"/>
        <charset val="1"/>
      </rPr>
      <t xml:space="preserve">·</t>
    </r>
    <r>
      <rPr>
        <b val="true"/>
        <sz val="14"/>
        <rFont val="WenQuanYi Zen Hei"/>
        <family val="2"/>
      </rPr>
      <t xml:space="preserve">이익 </t>
    </r>
    <r>
      <rPr>
        <b val="true"/>
        <sz val="14"/>
        <rFont val="Cambria"/>
        <family val="0"/>
        <charset val="1"/>
      </rPr>
      <t xml:space="preserve">(2026 </t>
    </r>
    <r>
      <rPr>
        <b val="true"/>
        <sz val="14"/>
        <rFont val="WenQuanYi Zen Hei"/>
        <family val="2"/>
      </rPr>
      <t xml:space="preserve">예상 대비</t>
    </r>
    <r>
      <rPr>
        <b val="true"/>
        <sz val="14"/>
        <rFont val="Cambria"/>
        <family val="0"/>
        <charset val="1"/>
      </rPr>
      <t xml:space="preserve">)</t>
    </r>
  </si>
  <si>
    <t xml:space="preserve">단위: 억원. 월 배분 = 2026 법인 월 매출 비중. 수식은 가정/월별비중/RAW_2026 시트와 연결. 홀세일은 3법인 합계 비중 적용.</t>
  </si>
  <si>
    <r>
      <rPr>
        <b val="true"/>
        <sz val="12"/>
        <rFont val="Cambria"/>
        <family val="0"/>
        <charset val="1"/>
      </rPr>
      <t xml:space="preserve">■ 2027 </t>
    </r>
    <r>
      <rPr>
        <b val="true"/>
        <sz val="12"/>
        <rFont val="WenQuanYi Zen Hei"/>
        <family val="2"/>
      </rPr>
      <t xml:space="preserve">계획 — 매출</t>
    </r>
  </si>
  <si>
    <r>
      <rPr>
        <b val="true"/>
        <sz val="11"/>
        <color rgb="FFFFFFFF"/>
        <rFont val="Cambria"/>
        <family val="0"/>
        <charset val="1"/>
      </rPr>
      <t xml:space="preserve">1</t>
    </r>
    <r>
      <rPr>
        <b val="true"/>
        <sz val="11"/>
        <color rgb="FFFFFFFF"/>
        <rFont val="WenQuanYi Zen Hei"/>
        <family val="2"/>
      </rPr>
      <t xml:space="preserve">월</t>
    </r>
  </si>
  <si>
    <r>
      <rPr>
        <b val="true"/>
        <sz val="11"/>
        <color rgb="FFFFFFFF"/>
        <rFont val="Cambria"/>
        <family val="0"/>
        <charset val="1"/>
      </rPr>
      <t xml:space="preserve">2</t>
    </r>
    <r>
      <rPr>
        <b val="true"/>
        <sz val="11"/>
        <color rgb="FFFFFFFF"/>
        <rFont val="WenQuanYi Zen Hei"/>
        <family val="2"/>
      </rPr>
      <t xml:space="preserve">월</t>
    </r>
  </si>
  <si>
    <r>
      <rPr>
        <b val="true"/>
        <sz val="11"/>
        <color rgb="FFFFFFFF"/>
        <rFont val="Cambria"/>
        <family val="0"/>
        <charset val="1"/>
      </rPr>
      <t xml:space="preserve">3</t>
    </r>
    <r>
      <rPr>
        <b val="true"/>
        <sz val="11"/>
        <color rgb="FFFFFFFF"/>
        <rFont val="WenQuanYi Zen Hei"/>
        <family val="2"/>
      </rPr>
      <t xml:space="preserve">월</t>
    </r>
  </si>
  <si>
    <r>
      <rPr>
        <b val="true"/>
        <sz val="11"/>
        <color rgb="FFFFFFFF"/>
        <rFont val="Cambria"/>
        <family val="0"/>
        <charset val="1"/>
      </rPr>
      <t xml:space="preserve">4</t>
    </r>
    <r>
      <rPr>
        <b val="true"/>
        <sz val="11"/>
        <color rgb="FFFFFFFF"/>
        <rFont val="WenQuanYi Zen Hei"/>
        <family val="2"/>
      </rPr>
      <t xml:space="preserve">월</t>
    </r>
  </si>
  <si>
    <r>
      <rPr>
        <b val="true"/>
        <sz val="11"/>
        <color rgb="FFFFFFFF"/>
        <rFont val="Cambria"/>
        <family val="0"/>
        <charset val="1"/>
      </rPr>
      <t xml:space="preserve">5</t>
    </r>
    <r>
      <rPr>
        <b val="true"/>
        <sz val="11"/>
        <color rgb="FFFFFFFF"/>
        <rFont val="WenQuanYi Zen Hei"/>
        <family val="2"/>
      </rPr>
      <t xml:space="preserve">월</t>
    </r>
  </si>
  <si>
    <r>
      <rPr>
        <b val="true"/>
        <sz val="11"/>
        <color rgb="FFFFFFFF"/>
        <rFont val="Cambria"/>
        <family val="0"/>
        <charset val="1"/>
      </rPr>
      <t xml:space="preserve">6</t>
    </r>
    <r>
      <rPr>
        <b val="true"/>
        <sz val="11"/>
        <color rgb="FFFFFFFF"/>
        <rFont val="WenQuanYi Zen Hei"/>
        <family val="2"/>
      </rPr>
      <t xml:space="preserve">월</t>
    </r>
  </si>
  <si>
    <r>
      <rPr>
        <b val="true"/>
        <sz val="11"/>
        <color rgb="FFFFFFFF"/>
        <rFont val="Cambria"/>
        <family val="0"/>
        <charset val="1"/>
      </rPr>
      <t xml:space="preserve">7</t>
    </r>
    <r>
      <rPr>
        <b val="true"/>
        <sz val="11"/>
        <color rgb="FFFFFFFF"/>
        <rFont val="WenQuanYi Zen Hei"/>
        <family val="2"/>
      </rPr>
      <t xml:space="preserve">월</t>
    </r>
  </si>
  <si>
    <r>
      <rPr>
        <b val="true"/>
        <sz val="11"/>
        <color rgb="FFFFFFFF"/>
        <rFont val="Cambria"/>
        <family val="0"/>
        <charset val="1"/>
      </rPr>
      <t xml:space="preserve">8</t>
    </r>
    <r>
      <rPr>
        <b val="true"/>
        <sz val="11"/>
        <color rgb="FFFFFFFF"/>
        <rFont val="WenQuanYi Zen Hei"/>
        <family val="2"/>
      </rPr>
      <t xml:space="preserve">월</t>
    </r>
  </si>
  <si>
    <r>
      <rPr>
        <b val="true"/>
        <sz val="11"/>
        <color rgb="FFFFFFFF"/>
        <rFont val="Cambria"/>
        <family val="0"/>
        <charset val="1"/>
      </rPr>
      <t xml:space="preserve">9</t>
    </r>
    <r>
      <rPr>
        <b val="true"/>
        <sz val="11"/>
        <color rgb="FFFFFFFF"/>
        <rFont val="WenQuanYi Zen Hei"/>
        <family val="2"/>
      </rPr>
      <t xml:space="preserve">월</t>
    </r>
  </si>
  <si>
    <r>
      <rPr>
        <b val="true"/>
        <sz val="11"/>
        <color rgb="FFFFFFFF"/>
        <rFont val="Cambria"/>
        <family val="0"/>
        <charset val="1"/>
      </rPr>
      <t xml:space="preserve">10</t>
    </r>
    <r>
      <rPr>
        <b val="true"/>
        <sz val="11"/>
        <color rgb="FFFFFFFF"/>
        <rFont val="WenQuanYi Zen Hei"/>
        <family val="2"/>
      </rPr>
      <t xml:space="preserve">월</t>
    </r>
  </si>
  <si>
    <r>
      <rPr>
        <b val="true"/>
        <sz val="11"/>
        <color rgb="FFFFFFFF"/>
        <rFont val="Cambria"/>
        <family val="0"/>
        <charset val="1"/>
      </rPr>
      <t xml:space="preserve">11</t>
    </r>
    <r>
      <rPr>
        <b val="true"/>
        <sz val="11"/>
        <color rgb="FFFFFFFF"/>
        <rFont val="WenQuanYi Zen Hei"/>
        <family val="2"/>
      </rPr>
      <t xml:space="preserve">월</t>
    </r>
  </si>
  <si>
    <r>
      <rPr>
        <b val="true"/>
        <sz val="11"/>
        <color rgb="FFFFFFFF"/>
        <rFont val="Cambria"/>
        <family val="0"/>
        <charset val="1"/>
      </rPr>
      <t xml:space="preserve">12</t>
    </r>
    <r>
      <rPr>
        <b val="true"/>
        <sz val="11"/>
        <color rgb="FFFFFFFF"/>
        <rFont val="WenQuanYi Zen Hei"/>
        <family val="2"/>
      </rPr>
      <t xml:space="preserve">월</t>
    </r>
  </si>
  <si>
    <r>
      <rPr>
        <b val="true"/>
        <sz val="11"/>
        <rFont val="Cambria"/>
        <family val="0"/>
        <charset val="1"/>
      </rPr>
      <t xml:space="preserve">TNH </t>
    </r>
    <r>
      <rPr>
        <b val="true"/>
        <sz val="11"/>
        <rFont val="WenQuanYi Zen Hei"/>
        <family val="2"/>
      </rPr>
      <t xml:space="preserve">합계</t>
    </r>
  </si>
  <si>
    <r>
      <rPr>
        <b val="true"/>
        <sz val="12"/>
        <rFont val="Cambria"/>
        <family val="0"/>
        <charset val="1"/>
      </rPr>
      <t xml:space="preserve">■ 2026 </t>
    </r>
    <r>
      <rPr>
        <b val="true"/>
        <sz val="12"/>
        <rFont val="WenQuanYi Zen Hei"/>
        <family val="2"/>
      </rPr>
      <t xml:space="preserve">예상 — 매출</t>
    </r>
  </si>
  <si>
    <t xml:space="preserve">■ 증감 (2027 − 2026) — 매출</t>
  </si>
  <si>
    <t xml:space="preserve">■ 증감률 — 매출</t>
  </si>
  <si>
    <r>
      <rPr>
        <b val="true"/>
        <sz val="12"/>
        <rFont val="Cambria"/>
        <family val="0"/>
        <charset val="1"/>
      </rPr>
      <t xml:space="preserve">■ 2027 </t>
    </r>
    <r>
      <rPr>
        <b val="true"/>
        <sz val="12"/>
        <rFont val="WenQuanYi Zen Hei"/>
        <family val="2"/>
      </rPr>
      <t xml:space="preserve">계획 — 원가</t>
    </r>
  </si>
  <si>
    <r>
      <rPr>
        <b val="true"/>
        <sz val="12"/>
        <rFont val="Cambria"/>
        <family val="0"/>
        <charset val="1"/>
      </rPr>
      <t xml:space="preserve">■ 2026 </t>
    </r>
    <r>
      <rPr>
        <b val="true"/>
        <sz val="12"/>
        <rFont val="WenQuanYi Zen Hei"/>
        <family val="2"/>
      </rPr>
      <t xml:space="preserve">예상 — 원가</t>
    </r>
  </si>
  <si>
    <t xml:space="preserve">■ 증감 (2027 − 2026) — 원가</t>
  </si>
  <si>
    <t xml:space="preserve">■ 증감률 — 원가</t>
  </si>
  <si>
    <r>
      <rPr>
        <b val="true"/>
        <sz val="12"/>
        <rFont val="Cambria"/>
        <family val="0"/>
        <charset val="1"/>
      </rPr>
      <t xml:space="preserve">■ 2027 </t>
    </r>
    <r>
      <rPr>
        <b val="true"/>
        <sz val="12"/>
        <rFont val="WenQuanYi Zen Hei"/>
        <family val="2"/>
      </rPr>
      <t xml:space="preserve">계획 — 이익</t>
    </r>
  </si>
  <si>
    <r>
      <rPr>
        <b val="true"/>
        <sz val="12"/>
        <rFont val="Cambria"/>
        <family val="0"/>
        <charset val="1"/>
      </rPr>
      <t xml:space="preserve">■ 2026 </t>
    </r>
    <r>
      <rPr>
        <b val="true"/>
        <sz val="12"/>
        <rFont val="WenQuanYi Zen Hei"/>
        <family val="2"/>
      </rPr>
      <t xml:space="preserve">예상 — 이익</t>
    </r>
  </si>
  <si>
    <t xml:space="preserve">■ 증감 (2027 − 2026) — 이익</t>
  </si>
  <si>
    <t xml:space="preserve">■ 증감률 — 이익</t>
  </si>
  <si>
    <r>
      <rPr>
        <b val="true"/>
        <sz val="12"/>
        <rFont val="Cambria"/>
        <family val="0"/>
        <charset val="1"/>
      </rPr>
      <t xml:space="preserve">■ 2027 </t>
    </r>
    <r>
      <rPr>
        <b val="true"/>
        <sz val="12"/>
        <rFont val="WenQuanYi Zen Hei"/>
        <family val="2"/>
      </rPr>
      <t xml:space="preserve">계획 — 이익률 </t>
    </r>
    <r>
      <rPr>
        <b val="true"/>
        <sz val="12"/>
        <rFont val="Cambria"/>
        <family val="0"/>
        <charset val="1"/>
      </rPr>
      <t xml:space="preserve">(</t>
    </r>
    <r>
      <rPr>
        <b val="true"/>
        <sz val="12"/>
        <rFont val="WenQuanYi Zen Hei"/>
        <family val="2"/>
      </rPr>
      <t xml:space="preserve">이익 </t>
    </r>
    <r>
      <rPr>
        <b val="true"/>
        <sz val="12"/>
        <rFont val="Cambria"/>
        <family val="0"/>
        <charset val="1"/>
      </rPr>
      <t xml:space="preserve">÷ </t>
    </r>
    <r>
      <rPr>
        <b val="true"/>
        <sz val="12"/>
        <rFont val="WenQuanYi Zen Hei"/>
        <family val="2"/>
      </rPr>
      <t xml:space="preserve">매출</t>
    </r>
    <r>
      <rPr>
        <b val="true"/>
        <sz val="12"/>
        <rFont val="Cambria"/>
        <family val="0"/>
        <charset val="1"/>
      </rPr>
      <t xml:space="preserve">)</t>
    </r>
  </si>
  <si>
    <r>
      <rPr>
        <b val="true"/>
        <sz val="12"/>
        <rFont val="Cambria"/>
        <family val="0"/>
        <charset val="1"/>
      </rPr>
      <t xml:space="preserve">■ 2026 </t>
    </r>
    <r>
      <rPr>
        <b val="true"/>
        <sz val="12"/>
        <rFont val="WenQuanYi Zen Hei"/>
        <family val="2"/>
      </rPr>
      <t xml:space="preserve">예상 — 이익률</t>
    </r>
  </si>
  <si>
    <t xml:space="preserve">■ 이익률 증감 (%p)</t>
  </si>
  <si>
    <r>
      <rPr>
        <b val="true"/>
        <sz val="14"/>
        <rFont val="Cambria"/>
        <family val="0"/>
        <charset val="1"/>
      </rPr>
      <t xml:space="preserve">2027 TNH </t>
    </r>
    <r>
      <rPr>
        <b val="true"/>
        <sz val="14"/>
        <rFont val="WenQuanYi Zen Hei"/>
        <family val="2"/>
      </rPr>
      <t xml:space="preserve">사업계획 — 가정</t>
    </r>
    <r>
      <rPr>
        <b val="true"/>
        <sz val="14"/>
        <rFont val="Cambria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입력</t>
    </r>
    <r>
      <rPr>
        <b val="true"/>
        <sz val="14"/>
        <rFont val="Cambria"/>
        <family val="0"/>
        <charset val="1"/>
      </rPr>
      <t xml:space="preserve">) </t>
    </r>
    <r>
      <rPr>
        <b val="true"/>
        <sz val="14"/>
        <rFont val="WenQuanYi Zen Hei"/>
        <family val="2"/>
      </rPr>
      <t xml:space="preserve">시트</t>
    </r>
  </si>
  <si>
    <t xml:space="preserve">계산용 시트입니다. 모든 입력은 [요약] 시트의 노란 칸에서 합니다 (이 시트의 초록 글씨 칸 = 요약 연동, 직접 수정 금지). 단위: 억원(별도 표기 제외)</t>
  </si>
  <si>
    <t xml:space="preserve">환율 (KRW/USD)</t>
  </si>
  <si>
    <t xml:space="preserve">공급율 — 홍콩·대만·홀세일 (택가 대비)</t>
  </si>
  <si>
    <t xml:space="preserve">택가 배수 (택가 ÷ 한국원가)</t>
  </si>
  <si>
    <t xml:space="preserve">중국 공급가 마진 (한국원가 + %)</t>
  </si>
  <si>
    <t xml:space="preserve">법인 매출 중 이월제품 비중</t>
  </si>
  <si>
    <t xml:space="preserve">법인 매출 중 정상제품 비중 (= TNH가 수출 공급해야 하는 제품)</t>
  </si>
  <si>
    <r>
      <rPr>
        <b val="true"/>
        <sz val="11"/>
        <rFont val="Cambria"/>
        <family val="0"/>
        <charset val="1"/>
      </rPr>
      <t xml:space="preserve">① 2027 </t>
    </r>
    <r>
      <rPr>
        <b val="true"/>
        <sz val="11"/>
        <rFont val="WenQuanYi Zen Hei"/>
        <family val="2"/>
      </rPr>
      <t xml:space="preserve">계획</t>
    </r>
  </si>
  <si>
    <r>
      <rPr>
        <b val="true"/>
        <sz val="11"/>
        <color rgb="FFFFFFFF"/>
        <rFont val="Cambria"/>
        <family val="0"/>
        <charset val="1"/>
      </rPr>
      <t xml:space="preserve">2027 </t>
    </r>
    <r>
      <rPr>
        <b val="true"/>
        <sz val="11"/>
        <color rgb="FFFFFFFF"/>
        <rFont val="WenQuanYi Zen Hei"/>
        <family val="2"/>
      </rPr>
      <t xml:space="preserve">법인 매출목표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억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</si>
  <si>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정상제품 매출(억)
= 목표×정상비중</t>
  </si>
  <si>
    <t xml:space="preserve">정판율
(공급 물량 중 판매 비율)</t>
  </si>
  <si>
    <t xml:space="preserve">평균 할인율</t>
  </si>
  <si>
    <t xml:space="preserve">택가 기준 공급액(억)
= 정상매출÷(1−할인)÷정판율</t>
  </si>
  <si>
    <r>
      <rPr>
        <b val="true"/>
        <sz val="11"/>
        <color rgb="FFFFFFFF"/>
        <rFont val="Cambria"/>
        <family val="0"/>
        <charset val="1"/>
      </rPr>
      <t xml:space="preserve">TNH </t>
    </r>
    <r>
      <rPr>
        <b val="true"/>
        <sz val="11"/>
        <color rgb="FFFFFFFF"/>
        <rFont val="WenQuanYi Zen Hei"/>
        <family val="2"/>
      </rPr>
      <t xml:space="preserve">공급가 </t>
    </r>
    <r>
      <rPr>
        <b val="true"/>
        <sz val="11"/>
        <color rgb="FFFFFFFF"/>
        <rFont val="Cambria"/>
        <family val="0"/>
        <charset val="1"/>
      </rPr>
      <t xml:space="preserve">÷ </t>
    </r>
    <r>
      <rPr>
        <b val="true"/>
        <sz val="11"/>
        <color rgb="FFFFFFFF"/>
        <rFont val="WenQuanYi Zen Hei"/>
        <family val="2"/>
      </rPr>
      <t xml:space="preserve">택가</t>
    </r>
  </si>
  <si>
    <r>
      <rPr>
        <b val="true"/>
        <sz val="11"/>
        <color rgb="FFFFFFFF"/>
        <rFont val="Cambria"/>
        <family val="0"/>
        <charset val="1"/>
      </rPr>
      <t xml:space="preserve">2027 TNH </t>
    </r>
    <r>
      <rPr>
        <b val="true"/>
        <sz val="11"/>
        <color rgb="FFFFFFFF"/>
        <rFont val="WenQuanYi Zen Hei"/>
        <family val="2"/>
      </rPr>
      <t xml:space="preserve">매출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억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</si>
  <si>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b val="true"/>
        <sz val="11"/>
        <color rgb="FFFFFFFF"/>
        <rFont val="Cambria"/>
        <family val="0"/>
        <charset val="1"/>
      </rPr>
      <t xml:space="preserve">2027 TNH </t>
    </r>
    <r>
      <rPr>
        <b val="true"/>
        <sz val="11"/>
        <color rgb="FFFFFFFF"/>
        <rFont val="WenQuanYi Zen Hei"/>
        <family val="2"/>
      </rPr>
      <t xml:space="preserve">원가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억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</si>
  <si>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b val="true"/>
        <sz val="11"/>
        <color rgb="FFFFFFFF"/>
        <rFont val="Cambria"/>
        <family val="0"/>
        <charset val="1"/>
      </rPr>
      <t xml:space="preserve">2027 TNH </t>
    </r>
    <r>
      <rPr>
        <b val="true"/>
        <sz val="11"/>
        <color rgb="FFFFFFFF"/>
        <rFont val="WenQuanYi Zen Hei"/>
        <family val="2"/>
      </rPr>
      <t xml:space="preserve">이익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억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</si>
  <si>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홀세일 (TNH 매출 기준 입력)</t>
  </si>
  <si>
    <r>
      <rPr>
        <b val="true"/>
        <sz val="11"/>
        <rFont val="Cambria"/>
        <family val="0"/>
        <charset val="1"/>
      </rPr>
      <t xml:space="preserve">② 2026 </t>
    </r>
    <r>
      <rPr>
        <b val="true"/>
        <sz val="11"/>
        <rFont val="WenQuanYi Zen Hei"/>
        <family val="2"/>
      </rPr>
      <t xml:space="preserve">예상 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방식 </t>
    </r>
    <r>
      <rPr>
        <b val="true"/>
        <sz val="11"/>
        <rFont val="Cambria"/>
        <family val="0"/>
        <charset val="1"/>
      </rPr>
      <t xml:space="preserve">1: </t>
    </r>
    <r>
      <rPr>
        <b val="true"/>
        <sz val="11"/>
        <rFont val="WenQuanYi Zen Hei"/>
        <family val="2"/>
      </rPr>
      <t xml:space="preserve">실적 </t>
    </r>
    <r>
      <rPr>
        <b val="true"/>
        <sz val="11"/>
        <rFont val="Cambria"/>
        <family val="0"/>
        <charset val="1"/>
      </rPr>
      <t xml:space="preserve">1/1~</t>
    </r>
    <r>
      <rPr>
        <b val="true"/>
        <sz val="11"/>
        <rFont val="WenQuanYi Zen Hei"/>
        <family val="2"/>
      </rPr>
      <t xml:space="preserve">기준일 </t>
    </r>
    <r>
      <rPr>
        <b val="true"/>
        <sz val="11"/>
        <rFont val="Cambria"/>
        <family val="0"/>
        <charset val="1"/>
      </rPr>
      <t xml:space="preserve">+ </t>
    </r>
    <r>
      <rPr>
        <b val="true"/>
        <sz val="11"/>
        <rFont val="WenQuanYi Zen Hei"/>
        <family val="2"/>
      </rPr>
      <t xml:space="preserve">잔여 예측 </t>
    </r>
    <r>
      <rPr>
        <b val="true"/>
        <sz val="11"/>
        <rFont val="Cambria"/>
        <family val="0"/>
        <charset val="1"/>
      </rPr>
      <t xml:space="preserve">[</t>
    </r>
    <r>
      <rPr>
        <b val="true"/>
        <sz val="11"/>
        <rFont val="WenQuanYi Zen Hei"/>
        <family val="2"/>
      </rPr>
      <t xml:space="preserve">기본</t>
    </r>
    <r>
      <rPr>
        <b val="true"/>
        <sz val="11"/>
        <rFont val="Cambria"/>
        <family val="0"/>
        <charset val="1"/>
      </rPr>
      <t xml:space="preserve">] / </t>
    </r>
    <r>
      <rPr>
        <b val="true"/>
        <sz val="11"/>
        <rFont val="WenQuanYi Zen Hei"/>
        <family val="2"/>
      </rPr>
      <t xml:space="preserve">방식 </t>
    </r>
    <r>
      <rPr>
        <b val="true"/>
        <sz val="11"/>
        <rFont val="Cambria"/>
        <family val="0"/>
        <charset val="1"/>
      </rPr>
      <t xml:space="preserve">2: ERP </t>
    </r>
    <r>
      <rPr>
        <b val="true"/>
        <sz val="11"/>
        <rFont val="WenQuanYi Zen Hei"/>
        <family val="2"/>
      </rPr>
      <t xml:space="preserve">수주 전량</t>
    </r>
    <r>
      <rPr>
        <b val="true"/>
        <sz val="11"/>
        <rFont val="Cambria"/>
        <family val="0"/>
        <charset val="1"/>
      </rPr>
      <t xml:space="preserve">) + 2027 </t>
    </r>
    <r>
      <rPr>
        <b val="true"/>
        <sz val="11"/>
        <rFont val="WenQuanYi Zen Hei"/>
        <family val="2"/>
      </rPr>
      <t xml:space="preserve">환산배수 비교</t>
    </r>
  </si>
  <si>
    <t xml:space="preserve">택가금액(억)</t>
  </si>
  <si>
    <t xml:space="preserve">원가(억)</t>
  </si>
  <si>
    <r>
      <rPr>
        <b val="true"/>
        <sz val="11"/>
        <color rgb="FFFFFFFF"/>
        <rFont val="Cambria"/>
        <family val="0"/>
        <charset val="1"/>
      </rPr>
      <t xml:space="preserve">TNH </t>
    </r>
    <r>
      <rPr>
        <b val="true"/>
        <sz val="11"/>
        <color rgb="FFFFFFFF"/>
        <rFont val="WenQuanYi Zen Hei"/>
        <family val="2"/>
      </rPr>
      <t xml:space="preserve">매출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억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</si>
  <si>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b val="true"/>
        <sz val="11"/>
        <color rgb="FFFFFFFF"/>
        <rFont val="Cambria"/>
        <family val="0"/>
        <charset val="1"/>
      </rPr>
      <t xml:space="preserve">TNH </t>
    </r>
    <r>
      <rPr>
        <b val="true"/>
        <sz val="11"/>
        <color rgb="FFFFFFFF"/>
        <rFont val="WenQuanYi Zen Hei"/>
        <family val="2"/>
      </rPr>
      <t xml:space="preserve">이익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억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</si>
  <si>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b val="true"/>
        <sz val="11"/>
        <color rgb="FFFFFFFF"/>
        <rFont val="Cambria"/>
        <family val="0"/>
        <charset val="1"/>
      </rPr>
      <t xml:space="preserve">2026 </t>
    </r>
    <r>
      <rPr>
        <b val="true"/>
        <sz val="11"/>
        <color rgb="FFFFFFFF"/>
        <rFont val="WenQuanYi Zen Hei"/>
        <family val="2"/>
      </rPr>
      <t xml:space="preserve">법인 예상매출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억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</si>
  <si>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정상제품분(억)</t>
  </si>
  <si>
    <r>
      <rPr>
        <b val="true"/>
        <sz val="11"/>
        <color rgb="FFFFFFFF"/>
        <rFont val="Cambria"/>
        <family val="0"/>
        <charset val="1"/>
      </rPr>
      <t xml:space="preserve">2026 </t>
    </r>
    <r>
      <rPr>
        <b val="true"/>
        <sz val="11"/>
        <color rgb="FFFFFFFF"/>
        <rFont val="WenQuanYi Zen Hei"/>
        <family val="2"/>
      </rPr>
      <t xml:space="preserve">환산배수
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택가공급</t>
    </r>
    <r>
      <rPr>
        <b val="true"/>
        <sz val="11"/>
        <color rgb="FFFFFFFF"/>
        <rFont val="Cambria"/>
        <family val="0"/>
        <charset val="1"/>
      </rPr>
      <t xml:space="preserve">÷</t>
    </r>
    <r>
      <rPr>
        <b val="true"/>
        <sz val="11"/>
        <color rgb="FFFFFFFF"/>
        <rFont val="WenQuanYi Zen Hei"/>
        <family val="2"/>
      </rPr>
      <t xml:space="preserve">정상매출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</si>
  <si>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b val="true"/>
        <sz val="11"/>
        <color rgb="FFFFFFFF"/>
        <rFont val="Cambria"/>
        <family val="0"/>
        <charset val="1"/>
      </rPr>
      <t xml:space="preserve">2027 </t>
    </r>
    <r>
      <rPr>
        <b val="true"/>
        <sz val="11"/>
        <color rgb="FFFFFFFF"/>
        <rFont val="WenQuanYi Zen Hei"/>
        <family val="2"/>
      </rPr>
      <t xml:space="preserve">설정 환산배수</t>
    </r>
  </si>
  <si>
    <t xml:space="preserve">※ 환산배수 = 법인 정상제품 매출 1원을 만들기 위해 TNH가 공급한 택가 금액. 2026은 실제 수주 기준, 2027은 위 정판율·할인율로 역산한 값입니다. 두 값이 크게 다르면 정판율·할인율 입력을 조정하세요.</t>
  </si>
  <si>
    <t xml:space="preserve">요약 시트 경고 기준 — 2026 환산배수 대비 2027 설정 환산배수 괴리 허용폭</t>
  </si>
  <si>
    <r>
      <rPr>
        <b val="true"/>
        <sz val="11"/>
        <rFont val="Cambria"/>
        <family val="0"/>
        <charset val="1"/>
      </rPr>
      <t xml:space="preserve">③ 2026 </t>
    </r>
    <r>
      <rPr>
        <b val="true"/>
        <sz val="11"/>
        <rFont val="WenQuanYi Zen Hei"/>
        <family val="2"/>
      </rPr>
      <t xml:space="preserve">예상 산출 — 실적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판매펀칭 </t>
    </r>
    <r>
      <rPr>
        <b val="true"/>
        <sz val="11"/>
        <rFont val="Cambria"/>
        <family val="0"/>
        <charset val="1"/>
      </rPr>
      <t xml:space="preserve">1/1~</t>
    </r>
    <r>
      <rPr>
        <b val="true"/>
        <sz val="11"/>
        <rFont val="WenQuanYi Zen Hei"/>
        <family val="2"/>
      </rPr>
      <t xml:space="preserve">기준일</t>
    </r>
    <r>
      <rPr>
        <b val="true"/>
        <sz val="11"/>
        <rFont val="Cambria"/>
        <family val="0"/>
        <charset val="1"/>
      </rPr>
      <t xml:space="preserve">) + </t>
    </r>
    <r>
      <rPr>
        <b val="true"/>
        <sz val="11"/>
        <rFont val="WenQuanYi Zen Hei"/>
        <family val="2"/>
      </rPr>
      <t xml:space="preserve">잔여기간 예측</t>
    </r>
  </si>
  <si>
    <r>
      <rPr>
        <sz val="11"/>
        <rFont val="Cambria"/>
        <family val="0"/>
        <charset val="1"/>
      </rPr>
      <t xml:space="preserve">2026 </t>
    </r>
    <r>
      <rPr>
        <sz val="11"/>
        <rFont val="WenQuanYi Zen Hei"/>
        <family val="2"/>
      </rPr>
      <t xml:space="preserve">예측 방식 </t>
    </r>
    <r>
      <rPr>
        <sz val="11"/>
        <rFont val="Cambria"/>
        <family val="0"/>
        <charset val="1"/>
      </rPr>
      <t xml:space="preserve">(1 = </t>
    </r>
    <r>
      <rPr>
        <sz val="11"/>
        <rFont val="WenQuanYi Zen Hei"/>
        <family val="2"/>
      </rPr>
      <t xml:space="preserve">실적 진도율 환산</t>
    </r>
    <r>
      <rPr>
        <sz val="11"/>
        <rFont val="Cambria"/>
        <family val="0"/>
        <charset val="1"/>
      </rPr>
      <t xml:space="preserve">, 2 = ERP </t>
    </r>
    <r>
      <rPr>
        <sz val="11"/>
        <rFont val="WenQuanYi Zen Hei"/>
        <family val="2"/>
      </rPr>
      <t xml:space="preserve">수주 전량</t>
    </r>
    <r>
      <rPr>
        <sz val="11"/>
        <rFont val="Cambria"/>
        <family val="0"/>
        <charset val="1"/>
      </rPr>
      <t xml:space="preserve">)</t>
    </r>
  </si>
  <si>
    <t xml:space="preserve">※ 방식 1: 연간 예상 = 실적 ÷ 진도율. 진도율 = 2026 법인 월 매출 비중(월별비중 ③)을 기준일까지 누계한 값. 잔여 예측 = 연간 예상 − 실적. 원가 = 택가 × ERP 원가율.</t>
  </si>
  <si>
    <t xml:space="preserve">실적 택가(억)
(보정 반영)</t>
  </si>
  <si>
    <t xml:space="preserve">실적 TNH 매출(억)</t>
  </si>
  <si>
    <t xml:space="preserve">진도율
(매출 비중 누계)</t>
  </si>
  <si>
    <t xml:space="preserve">연간 예상 택가(억)</t>
  </si>
  <si>
    <t xml:space="preserve">연간 예상 TNH 매출(억)</t>
  </si>
  <si>
    <t xml:space="preserve">잔여기간 예측 매출(억)</t>
  </si>
  <si>
    <t xml:space="preserve">원가율
(원가÷택가, ERP)</t>
  </si>
  <si>
    <r>
      <rPr>
        <b val="true"/>
        <sz val="11"/>
        <color rgb="FFFFFFFF"/>
        <rFont val="Cambria"/>
        <family val="0"/>
        <charset val="1"/>
      </rPr>
      <t xml:space="preserve">ERP </t>
    </r>
    <r>
      <rPr>
        <b val="true"/>
        <sz val="11"/>
        <color rgb="FFFFFFFF"/>
        <rFont val="WenQuanYi Zen Hei"/>
        <family val="2"/>
      </rPr>
      <t xml:space="preserve">수주 기준 매출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억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</si>
  <si>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예상 vs ERP</t>
  </si>
  <si>
    <t xml:space="preserve">※ 월별 실적은 판매펀칭이 기간 합계라 연간 배분은 기존대로 2026 월별 비중을 사용합니다. 월별 판매펀칭을 받으면 월 실적으로 교체 가능합니다.</t>
  </si>
  <si>
    <t xml:space="preserve">④ 참고: ERP 수주 전량 집계 (기존 방식, RAW_2026) — 예측 방식 2 선택 시 ②에 사용</t>
  </si>
  <si>
    <t xml:space="preserve">월별 비중 (2026 법인 월 매출 기준 → 2026 월 배분 / ④ 2027 입력 비중 → 2027 월 배분)</t>
  </si>
  <si>
    <t xml:space="preserve">단위: 억원. 출처: monthly_sales.json (2025 실적, 2026 1~9월 실적). 2026 10~12월은 "2025 같은 달 × (2026 1~9월 ÷ 2025 1~9월)"로 추정(수식).</t>
  </si>
  <si>
    <r>
      <rPr>
        <b val="true"/>
        <sz val="11"/>
        <rFont val="Cambria"/>
        <family val="0"/>
        <charset val="1"/>
      </rPr>
      <t xml:space="preserve">① 2025 </t>
    </r>
    <r>
      <rPr>
        <b val="true"/>
        <sz val="11"/>
        <rFont val="WenQuanYi Zen Hei"/>
        <family val="2"/>
      </rPr>
      <t xml:space="preserve">실적 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억원</t>
    </r>
    <r>
      <rPr>
        <b val="true"/>
        <sz val="11"/>
        <rFont val="Cambria"/>
        <family val="0"/>
        <charset val="1"/>
      </rPr>
      <t xml:space="preserve">)</t>
    </r>
  </si>
  <si>
    <r>
      <rPr>
        <b val="true"/>
        <sz val="11"/>
        <rFont val="Cambria"/>
        <family val="0"/>
        <charset val="1"/>
      </rPr>
      <t xml:space="preserve">3</t>
    </r>
    <r>
      <rPr>
        <b val="true"/>
        <sz val="11"/>
        <rFont val="WenQuanYi Zen Hei"/>
        <family val="2"/>
      </rPr>
      <t xml:space="preserve">법인 합계</t>
    </r>
  </si>
  <si>
    <r>
      <rPr>
        <b val="true"/>
        <sz val="11"/>
        <rFont val="Cambria"/>
        <family val="0"/>
        <charset val="1"/>
      </rPr>
      <t xml:space="preserve">② 2026 </t>
    </r>
    <r>
      <rPr>
        <b val="true"/>
        <sz val="11"/>
        <rFont val="WenQuanYi Zen Hei"/>
        <family val="2"/>
      </rPr>
      <t xml:space="preserve">실적 </t>
    </r>
    <r>
      <rPr>
        <b val="true"/>
        <sz val="11"/>
        <rFont val="Cambria"/>
        <family val="0"/>
        <charset val="1"/>
      </rPr>
      <t xml:space="preserve">+ </t>
    </r>
    <r>
      <rPr>
        <b val="true"/>
        <sz val="11"/>
        <rFont val="WenQuanYi Zen Hei"/>
        <family val="2"/>
      </rPr>
      <t xml:space="preserve">추정 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억원</t>
    </r>
    <r>
      <rPr>
        <b val="true"/>
        <sz val="11"/>
        <rFont val="Cambria"/>
        <family val="0"/>
        <charset val="1"/>
      </rPr>
      <t xml:space="preserve">) — </t>
    </r>
    <r>
      <rPr>
        <b val="true"/>
        <sz val="11"/>
        <rFont val="WenQuanYi Zen Hei"/>
        <family val="2"/>
      </rPr>
      <t xml:space="preserve">파란색 </t>
    </r>
    <r>
      <rPr>
        <b val="true"/>
        <sz val="11"/>
        <rFont val="Cambria"/>
        <family val="0"/>
        <charset val="1"/>
      </rPr>
      <t xml:space="preserve">= </t>
    </r>
    <r>
      <rPr>
        <b val="true"/>
        <sz val="11"/>
        <rFont val="WenQuanYi Zen Hei"/>
        <family val="2"/>
      </rPr>
      <t xml:space="preserve">입력</t>
    </r>
    <r>
      <rPr>
        <b val="true"/>
        <sz val="11"/>
        <rFont val="Cambria"/>
        <family val="0"/>
        <charset val="1"/>
      </rPr>
      <t xml:space="preserve">(1~9</t>
    </r>
    <r>
      <rPr>
        <b val="true"/>
        <sz val="11"/>
        <rFont val="WenQuanYi Zen Hei"/>
        <family val="2"/>
      </rPr>
      <t xml:space="preserve">월 실적</t>
    </r>
    <r>
      <rPr>
        <b val="true"/>
        <sz val="11"/>
        <rFont val="Cambria"/>
        <family val="0"/>
        <charset val="1"/>
      </rPr>
      <t xml:space="preserve">), </t>
    </r>
    <r>
      <rPr>
        <b val="true"/>
        <sz val="11"/>
        <rFont val="WenQuanYi Zen Hei"/>
        <family val="2"/>
      </rPr>
      <t xml:space="preserve">검정 </t>
    </r>
    <r>
      <rPr>
        <b val="true"/>
        <sz val="11"/>
        <rFont val="Cambria"/>
        <family val="0"/>
        <charset val="1"/>
      </rPr>
      <t xml:space="preserve">= </t>
    </r>
    <r>
      <rPr>
        <b val="true"/>
        <sz val="11"/>
        <rFont val="WenQuanYi Zen Hei"/>
        <family val="2"/>
      </rPr>
      <t xml:space="preserve">수식</t>
    </r>
  </si>
  <si>
    <r>
      <rPr>
        <b val="true"/>
        <sz val="11"/>
        <rFont val="Cambria"/>
        <family val="0"/>
        <charset val="1"/>
      </rPr>
      <t xml:space="preserve">③ 2026 </t>
    </r>
    <r>
      <rPr>
        <b val="true"/>
        <sz val="11"/>
        <rFont val="WenQuanYi Zen Hei"/>
        <family val="2"/>
      </rPr>
      <t xml:space="preserve">월별 비중</t>
    </r>
  </si>
  <si>
    <r>
      <rPr>
        <b val="true"/>
        <sz val="11"/>
        <rFont val="Cambria"/>
        <family val="0"/>
        <charset val="1"/>
      </rPr>
      <t xml:space="preserve">3</t>
    </r>
    <r>
      <rPr>
        <b val="true"/>
        <sz val="11"/>
        <rFont val="WenQuanYi Zen Hei"/>
        <family val="2"/>
      </rPr>
      <t xml:space="preserve">법인 합계 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홀세일 적용</t>
    </r>
    <r>
      <rPr>
        <b val="true"/>
        <sz val="11"/>
        <rFont val="Cambria"/>
        <family val="0"/>
        <charset val="1"/>
      </rPr>
      <t xml:space="preserve">)</t>
    </r>
  </si>
  <si>
    <r>
      <rPr>
        <b val="true"/>
        <sz val="11"/>
        <rFont val="Cambria"/>
        <family val="0"/>
        <charset val="1"/>
      </rPr>
      <t xml:space="preserve">④ 2027 </t>
    </r>
    <r>
      <rPr>
        <b val="true"/>
        <sz val="11"/>
        <rFont val="WenQuanYi Zen Hei"/>
        <family val="2"/>
      </rPr>
      <t xml:space="preserve">월별 비중 — </t>
    </r>
    <r>
      <rPr>
        <b val="true"/>
        <sz val="11"/>
        <rFont val="Cambria"/>
        <family val="0"/>
        <charset val="1"/>
      </rPr>
      <t xml:space="preserve">[</t>
    </r>
    <r>
      <rPr>
        <b val="true"/>
        <sz val="11"/>
        <rFont val="WenQuanYi Zen Hei"/>
        <family val="2"/>
      </rPr>
      <t xml:space="preserve">요약</t>
    </r>
    <r>
      <rPr>
        <b val="true"/>
        <sz val="11"/>
        <rFont val="Cambria"/>
        <family val="0"/>
        <charset val="1"/>
      </rPr>
      <t xml:space="preserve">] </t>
    </r>
    <r>
      <rPr>
        <b val="true"/>
        <sz val="11"/>
        <rFont val="WenQuanYi Zen Hei"/>
        <family val="2"/>
      </rPr>
      <t xml:space="preserve">시트 ④에서 입력한 값이 연동됩니다 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초록 글씨</t>
    </r>
    <r>
      <rPr>
        <b val="true"/>
        <sz val="11"/>
        <rFont val="Cambria"/>
        <family val="0"/>
        <charset val="1"/>
      </rPr>
      <t xml:space="preserve">). </t>
    </r>
    <r>
      <rPr>
        <b val="true"/>
        <sz val="11"/>
        <rFont val="WenQuanYi Zen Hei"/>
        <family val="2"/>
      </rPr>
      <t xml:space="preserve">합계 </t>
    </r>
    <r>
      <rPr>
        <b val="true"/>
        <sz val="11"/>
        <rFont val="Cambria"/>
        <family val="0"/>
        <charset val="1"/>
      </rPr>
      <t xml:space="preserve">100% </t>
    </r>
    <r>
      <rPr>
        <b val="true"/>
        <sz val="11"/>
        <rFont val="WenQuanYi Zen Hei"/>
        <family val="2"/>
      </rPr>
      <t xml:space="preserve">유지</t>
    </r>
  </si>
  <si>
    <t xml:space="preserve">홀세일 (3법인 합계 비중 적용)</t>
  </si>
  <si>
    <t xml:space="preserve">※ 초기값 = 2026 월별 비중(③)을 0.1% 단위로 반올림한 값. 합계가 100%가 아니면 빨간색으로 표시되고 요약·사업계획 상단에 경고가 뜹니다.</t>
  </si>
  <si>
    <r>
      <rPr>
        <b val="true"/>
        <sz val="11"/>
        <rFont val="Cambria"/>
        <family val="0"/>
        <charset val="1"/>
      </rPr>
      <t xml:space="preserve">⑤ 2026 </t>
    </r>
    <r>
      <rPr>
        <b val="true"/>
        <sz val="11"/>
        <rFont val="WenQuanYi Zen Hei"/>
        <family val="2"/>
      </rPr>
      <t xml:space="preserve">실적 반영 경과율 — 가정</t>
    </r>
    <r>
      <rPr>
        <b val="true"/>
        <sz val="11"/>
        <rFont val="Cambria"/>
        <family val="0"/>
        <charset val="1"/>
      </rPr>
      <t xml:space="preserve">!B34 </t>
    </r>
    <r>
      <rPr>
        <b val="true"/>
        <sz val="11"/>
        <rFont val="WenQuanYi Zen Hei"/>
        <family val="2"/>
      </rPr>
      <t xml:space="preserve">실적 기준일까지 각 월이 경과한 비율 </t>
    </r>
    <r>
      <rPr>
        <b val="true"/>
        <sz val="11"/>
        <rFont val="Cambria"/>
        <family val="0"/>
        <charset val="1"/>
      </rPr>
      <t xml:space="preserve">(1 = </t>
    </r>
    <r>
      <rPr>
        <b val="true"/>
        <sz val="11"/>
        <rFont val="WenQuanYi Zen Hei"/>
        <family val="2"/>
      </rPr>
      <t xml:space="preserve">해당 월 전체 경과</t>
    </r>
    <r>
      <rPr>
        <b val="true"/>
        <sz val="11"/>
        <rFont val="Cambria"/>
        <family val="0"/>
        <charset val="1"/>
      </rPr>
      <t xml:space="preserve">)</t>
    </r>
  </si>
  <si>
    <t xml:space="preserve">경과율</t>
  </si>
  <si>
    <t xml:space="preserve">매장코드</t>
  </si>
  <si>
    <t xml:space="preserve">매장명</t>
  </si>
  <si>
    <t xml:space="preserve">브랜드</t>
  </si>
  <si>
    <t xml:space="preserve">년도</t>
  </si>
  <si>
    <t xml:space="preserve">시즌</t>
  </si>
  <si>
    <t xml:space="preserve">품목</t>
  </si>
  <si>
    <t xml:space="preserve">라인</t>
  </si>
  <si>
    <t xml:space="preserve">스타일</t>
  </si>
  <si>
    <t xml:space="preserve">스타일명</t>
  </si>
  <si>
    <t xml:space="preserve">수량</t>
  </si>
  <si>
    <r>
      <rPr>
        <b val="true"/>
        <sz val="11"/>
        <color rgb="FFFFFFFF"/>
        <rFont val="Cambria"/>
        <family val="0"/>
        <charset val="1"/>
      </rPr>
      <t xml:space="preserve">TAG</t>
    </r>
    <r>
      <rPr>
        <b val="true"/>
        <sz val="11"/>
        <color rgb="FFFFFFFF"/>
        <rFont val="WenQuanYi Zen Hei"/>
        <family val="2"/>
      </rPr>
      <t xml:space="preserve">금액</t>
    </r>
    <r>
      <rPr>
        <b val="true"/>
        <sz val="11"/>
        <color rgb="FFFFFFFF"/>
        <rFont val="Cambria"/>
        <family val="0"/>
        <charset val="1"/>
      </rPr>
      <t xml:space="preserve">(KRW)</t>
    </r>
  </si>
  <si>
    <t xml:space="preserve">판매금액(KRW)</t>
  </si>
  <si>
    <r>
      <rPr>
        <b val="true"/>
        <sz val="11"/>
        <color rgb="FFFFFFFF"/>
        <rFont val="Cambria"/>
        <family val="0"/>
        <charset val="1"/>
      </rPr>
      <t xml:space="preserve">TAG(</t>
    </r>
    <r>
      <rPr>
        <b val="true"/>
        <sz val="11"/>
        <color rgb="FFFFFFFF"/>
        <rFont val="WenQuanYi Zen Hei"/>
        <family val="2"/>
      </rPr>
      <t xml:space="preserve">보정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</si>
  <si>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보정내역</t>
  </si>
  <si>
    <t xml:space="preserve">판매펀칭 리스트(1/1~기준일, 본사판매 = TNH → 법인/홀세일 공급). 소계행은 구분 열에서 "제외" 처리되므로 원본을 그대로 붙여넣어도 됩니다.</t>
  </si>
  <si>
    <t xml:space="preserve">W9002</t>
  </si>
  <si>
    <r>
      <rPr>
        <sz val="11"/>
        <color rgb="FF0000FF"/>
        <rFont val="Cambria"/>
        <family val="0"/>
        <charset val="1"/>
      </rPr>
      <t xml:space="preserve">W</t>
    </r>
    <r>
      <rPr>
        <sz val="11"/>
        <color rgb="FF0000FF"/>
        <rFont val="WenQuanYi Zen Hei"/>
        <family val="2"/>
      </rPr>
      <t xml:space="preserve">대만</t>
    </r>
  </si>
  <si>
    <t xml:space="preserve">내셔널지오그래픽</t>
  </si>
  <si>
    <t xml:space="preserve">봄</t>
  </si>
  <si>
    <t xml:space="preserve">의류</t>
  </si>
  <si>
    <t xml:space="preserve">Urban</t>
  </si>
  <si>
    <t xml:space="preserve">N251UJP260</t>
  </si>
  <si>
    <t xml:space="preserve">아틀라스 윈드스토퍼 BY GORE-TEX LABS 2L 블록 자켓</t>
  </si>
  <si>
    <t xml:space="preserve">택가 오류행(택가≤0 또는 판매금액&gt;택가)은 TAG(보정) = 판매금액÷공급율(가정!B4)로 보정하고 O열에 표시합니다.</t>
  </si>
  <si>
    <t xml:space="preserve">온라인</t>
  </si>
  <si>
    <t xml:space="preserve">N251UJP860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</si>
  <si>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 </t>
    </r>
    <r>
      <rPr>
        <sz val="11"/>
        <color rgb="FF0000FF"/>
        <rFont val="WenQuanYi Zen Hei"/>
        <family val="2"/>
      </rPr>
      <t xml:space="preserve">아틀라스 윈드스토퍼 </t>
    </r>
    <r>
      <rPr>
        <sz val="11"/>
        <color rgb="FF0000FF"/>
        <rFont val="Cambria"/>
        <family val="0"/>
        <charset val="1"/>
      </rPr>
      <t xml:space="preserve">BY GORE-TEX LABS 2L </t>
    </r>
    <r>
      <rPr>
        <sz val="11"/>
        <color rgb="FF0000FF"/>
        <rFont val="WenQuanYi Zen Hei"/>
        <family val="2"/>
      </rPr>
      <t xml:space="preserve">블록 자켓</t>
    </r>
  </si>
  <si>
    <t xml:space="preserve">용품</t>
  </si>
  <si>
    <t xml:space="preserve">Original</t>
  </si>
  <si>
    <t xml:space="preserve">N261ABG010</t>
  </si>
  <si>
    <t xml:space="preserve">파치백팩</t>
  </si>
  <si>
    <t xml:space="preserve">N261ABG020</t>
  </si>
  <si>
    <t xml:space="preserve">파치+백팩</t>
  </si>
  <si>
    <t xml:space="preserve">N261ABG030</t>
  </si>
  <si>
    <t xml:space="preserve">라코백팩</t>
  </si>
  <si>
    <t xml:space="preserve">N261ABG040</t>
  </si>
  <si>
    <t xml:space="preserve">버디백팩</t>
  </si>
  <si>
    <t xml:space="preserve">N261ABG050</t>
  </si>
  <si>
    <t xml:space="preserve">타이니백팩</t>
  </si>
  <si>
    <t xml:space="preserve">N261ABG060</t>
  </si>
  <si>
    <t xml:space="preserve">마일드백팩</t>
  </si>
  <si>
    <t xml:space="preserve">N261ABG070</t>
  </si>
  <si>
    <t xml:space="preserve">유니티백팩</t>
  </si>
  <si>
    <t xml:space="preserve">N261ABG080</t>
  </si>
  <si>
    <t xml:space="preserve">지오백팩</t>
  </si>
  <si>
    <t xml:space="preserve">N261ABG090</t>
  </si>
  <si>
    <t xml:space="preserve">브레이브백팩</t>
  </si>
  <si>
    <t xml:space="preserve">N261ABG100</t>
  </si>
  <si>
    <t xml:space="preserve">퓨전백팩</t>
  </si>
  <si>
    <t xml:space="preserve">N261ABG520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</si>
  <si>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파치</t>
    </r>
    <r>
      <rPr>
        <sz val="11"/>
        <color rgb="FF0000FF"/>
        <rFont val="Cambria"/>
        <family val="0"/>
        <charset val="1"/>
      </rPr>
      <t xml:space="preserve">+</t>
    </r>
    <r>
      <rPr>
        <sz val="11"/>
        <color rgb="FF0000FF"/>
        <rFont val="WenQuanYi Zen Hei"/>
        <family val="2"/>
      </rPr>
      <t xml:space="preserve">백팩</t>
    </r>
  </si>
  <si>
    <t xml:space="preserve">N261ABG530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</si>
  <si>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라코백팩</t>
    </r>
  </si>
  <si>
    <t xml:space="preserve">N261MPT040</t>
  </si>
  <si>
    <t xml:space="preserve">카고 포켓 베이직핏 조거 팬츠</t>
  </si>
  <si>
    <t xml:space="preserve">N261MJP020</t>
  </si>
  <si>
    <t xml:space="preserve">론트라 후드 탈부착 점퍼</t>
  </si>
  <si>
    <t xml:space="preserve">N261UPT020</t>
  </si>
  <si>
    <t xml:space="preserve">론트라 베이직핏 스트레이트 스웻 팬츠</t>
  </si>
  <si>
    <t xml:space="preserve">N261UJP060</t>
  </si>
  <si>
    <t xml:space="preserve">오르카 타슬란 후드 아웃포켓 점퍼</t>
  </si>
  <si>
    <t xml:space="preserve">N261UJP061</t>
  </si>
  <si>
    <t xml:space="preserve">오르카 스탠드넥 점퍼</t>
  </si>
  <si>
    <t xml:space="preserve">N261UJP062</t>
  </si>
  <si>
    <t xml:space="preserve">오르카 타슬란 후드 아노락 점퍼</t>
  </si>
  <si>
    <t xml:space="preserve">N261UJP901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</si>
  <si>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온전</t>
    </r>
    <r>
      <rPr>
        <sz val="11"/>
        <color rgb="FF0000FF"/>
        <rFont val="Cambria"/>
        <family val="0"/>
        <charset val="1"/>
      </rPr>
      <t xml:space="preserve">) </t>
    </r>
    <r>
      <rPr>
        <sz val="11"/>
        <color rgb="FF0000FF"/>
        <rFont val="WenQuanYi Zen Hei"/>
        <family val="2"/>
      </rPr>
      <t xml:space="preserve">카라넥 셔츠 자켓</t>
    </r>
  </si>
  <si>
    <t xml:space="preserve">N261UHD010</t>
  </si>
  <si>
    <t xml:space="preserve">폴하스 스몰로고 후디</t>
  </si>
  <si>
    <t xml:space="preserve">N261UHD020</t>
  </si>
  <si>
    <t xml:space="preserve">론트라 레터링 그래픽 세미오버핏 후디</t>
  </si>
  <si>
    <t xml:space="preserve">N261UHD901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</si>
  <si>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온전</t>
    </r>
    <r>
      <rPr>
        <sz val="11"/>
        <color rgb="FF0000FF"/>
        <rFont val="Cambria"/>
        <family val="0"/>
        <charset val="1"/>
      </rPr>
      <t xml:space="preserve">) </t>
    </r>
    <r>
      <rPr>
        <sz val="11"/>
        <color rgb="FF0000FF"/>
        <rFont val="WenQuanYi Zen Hei"/>
        <family val="2"/>
      </rPr>
      <t xml:space="preserve">그리핀 세미오버핏 후디</t>
    </r>
  </si>
  <si>
    <t xml:space="preserve">N261USW010</t>
  </si>
  <si>
    <t xml:space="preserve">폴하스 스몰로고 맨투맨</t>
  </si>
  <si>
    <t xml:space="preserve">N261USW020</t>
  </si>
  <si>
    <t xml:space="preserve">론트라 레터링 그래픽 세미오버핏 맨투맨</t>
  </si>
  <si>
    <t xml:space="preserve">N261USW021</t>
  </si>
  <si>
    <t xml:space="preserve">론트라 빅아치로고 그래픽 맨투맨</t>
  </si>
  <si>
    <t xml:space="preserve">N261USW022</t>
  </si>
  <si>
    <t xml:space="preserve">론트라 그래픽 세미오버핏 하프집업 맨투맨</t>
  </si>
  <si>
    <t xml:space="preserve">N261UTS030</t>
  </si>
  <si>
    <t xml:space="preserve">스트라이프 긴팔 티셔츠</t>
  </si>
  <si>
    <t xml:space="preserve">N261UTS050</t>
  </si>
  <si>
    <t xml:space="preserve">네오디 긴팔 티셔츠</t>
  </si>
  <si>
    <t xml:space="preserve">WOMEN</t>
  </si>
  <si>
    <t xml:space="preserve">N261WPT020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</si>
  <si>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론트라 세미루즈핏 스트레이트 팬츠</t>
    </r>
  </si>
  <si>
    <t xml:space="preserve">N261WPT030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</si>
  <si>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타누 베이직핏 스트레이트 팬츠</t>
    </r>
  </si>
  <si>
    <t xml:space="preserve">N261WPT050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</si>
  <si>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그레비 베이직핏 조거 팬츠</t>
    </r>
  </si>
  <si>
    <t xml:space="preserve">N261WPT090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</si>
  <si>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리오 스트레치 베이직핏 테이퍼드 팬츠</t>
    </r>
  </si>
  <si>
    <t xml:space="preserve">N261WSK060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</si>
  <si>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오르카 타슬란 </t>
    </r>
    <r>
      <rPr>
        <sz val="11"/>
        <color rgb="FF0000FF"/>
        <rFont val="Cambria"/>
        <family val="0"/>
        <charset val="1"/>
      </rPr>
      <t xml:space="preserve">A</t>
    </r>
    <r>
      <rPr>
        <sz val="11"/>
        <color rgb="FF0000FF"/>
        <rFont val="WenQuanYi Zen Hei"/>
        <family val="2"/>
      </rPr>
      <t xml:space="preserve">라인 카고 스커트</t>
    </r>
  </si>
  <si>
    <t xml:space="preserve">N261WSK100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</si>
  <si>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코튼 </t>
    </r>
    <r>
      <rPr>
        <sz val="11"/>
        <color rgb="FF0000FF"/>
        <rFont val="Cambria"/>
        <family val="0"/>
        <charset val="1"/>
      </rPr>
      <t xml:space="preserve">A</t>
    </r>
    <r>
      <rPr>
        <sz val="11"/>
        <color rgb="FF0000FF"/>
        <rFont val="WenQuanYi Zen Hei"/>
        <family val="2"/>
      </rPr>
      <t xml:space="preserve">라인 플리츠 스커트</t>
    </r>
  </si>
  <si>
    <t xml:space="preserve">N261WJP020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</si>
  <si>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론트라 카라 봄버 점퍼</t>
    </r>
  </si>
  <si>
    <t xml:space="preserve">N261WJP060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</si>
  <si>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오르카 타슬란 후드 점퍼</t>
    </r>
  </si>
  <si>
    <t xml:space="preserve">N261WFT050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</si>
  <si>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그레비 세미오버핏 후드 풀집업</t>
    </r>
  </si>
  <si>
    <t xml:space="preserve">N261WFT090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</si>
  <si>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리오 스트레치 후드 풀집업</t>
    </r>
  </si>
  <si>
    <t xml:space="preserve">N261WHD020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</si>
  <si>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론트라 하이브리드 후디</t>
    </r>
  </si>
  <si>
    <t xml:space="preserve">N261WSW020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</si>
  <si>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론트라 그래픽 맨투맨</t>
    </r>
  </si>
  <si>
    <t xml:space="preserve">N261WSW050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</si>
  <si>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그레비 맨투맨</t>
    </r>
  </si>
  <si>
    <t xml:space="preserve">N261WSW051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</si>
  <si>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그레비 세미오버핏 변형 맨투맨</t>
    </r>
  </si>
  <si>
    <t xml:space="preserve">N261WTS100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</si>
  <si>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골지 슬림핏 긴팔 티셔츠</t>
    </r>
  </si>
  <si>
    <t xml:space="preserve">여름</t>
  </si>
  <si>
    <t xml:space="preserve">N262MHP490</t>
  </si>
  <si>
    <t xml:space="preserve">시어서커 4.5부 쇼츠</t>
  </si>
  <si>
    <t xml:space="preserve">N262MHP540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</si>
  <si>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유틸리티 </t>
    </r>
    <r>
      <rPr>
        <sz val="11"/>
        <color rgb="FF0000FF"/>
        <rFont val="Cambria"/>
        <family val="0"/>
        <charset val="1"/>
      </rPr>
      <t xml:space="preserve">5</t>
    </r>
    <r>
      <rPr>
        <sz val="11"/>
        <color rgb="FF0000FF"/>
        <rFont val="WenQuanYi Zen Hei"/>
        <family val="2"/>
      </rPr>
      <t xml:space="preserve">부 반바지</t>
    </r>
  </si>
  <si>
    <t xml:space="preserve">N262MHP560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</si>
  <si>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멀티포켓 </t>
    </r>
    <r>
      <rPr>
        <sz val="11"/>
        <color rgb="FF0000FF"/>
        <rFont val="Cambria"/>
        <family val="0"/>
        <charset val="1"/>
      </rPr>
      <t xml:space="preserve">5</t>
    </r>
    <r>
      <rPr>
        <sz val="11"/>
        <color rgb="FF0000FF"/>
        <rFont val="WenQuanYi Zen Hei"/>
        <family val="2"/>
      </rPr>
      <t xml:space="preserve">부 반바지</t>
    </r>
  </si>
  <si>
    <t xml:space="preserve">N262MHP350</t>
  </si>
  <si>
    <t xml:space="preserve">에어플로우 카고 4부 쇼츠</t>
  </si>
  <si>
    <t xml:space="preserve">N262MPL320</t>
  </si>
  <si>
    <t xml:space="preserve">냉감 스트레치 반팔 카라 티셔츠</t>
  </si>
  <si>
    <t xml:space="preserve">N262MPL330</t>
  </si>
  <si>
    <t xml:space="preserve">에어플로우 반팔 카라 티셔츠</t>
  </si>
  <si>
    <t xml:space="preserve">N262MSH330</t>
  </si>
  <si>
    <t xml:space="preserve">에어서커 반팔 셔츠</t>
  </si>
  <si>
    <t xml:space="preserve">N262MTS093</t>
  </si>
  <si>
    <t xml:space="preserve">크로우 소로나 쿨터치 그래픽 세미오버핏 민소매 티셔츠</t>
  </si>
  <si>
    <t xml:space="preserve">N262MTS530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</si>
  <si>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익스플로러 그래픽 세미오버핏 티셔츠</t>
    </r>
  </si>
  <si>
    <t xml:space="preserve">N262MTS540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</si>
  <si>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유틸리티 가슴포켓 세미오버핏 티셔츠</t>
    </r>
  </si>
  <si>
    <t xml:space="preserve">N262MTS550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</si>
  <si>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유틸리티 소매포켓 세미오버핏 티셔츠</t>
    </r>
  </si>
  <si>
    <t xml:space="preserve">N262MTS580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</si>
  <si>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네이쳐 냉감 그래픽 세미오버핏 티셔츠</t>
    </r>
  </si>
  <si>
    <t xml:space="preserve">N262MTS330</t>
  </si>
  <si>
    <t xml:space="preserve">에어플로우 반팔 티셔츠</t>
  </si>
  <si>
    <t xml:space="preserve">N262UHP010</t>
  </si>
  <si>
    <t xml:space="preserve">라이트팩 4.5부 반바지</t>
  </si>
  <si>
    <t xml:space="preserve">N262UHP020</t>
  </si>
  <si>
    <t xml:space="preserve">카고 포켓 5부 쇼츠</t>
  </si>
  <si>
    <t xml:space="preserve">N262UHP140</t>
  </si>
  <si>
    <t xml:space="preserve">프리즈 스트레치 5부 카고 쇼츠</t>
  </si>
  <si>
    <t xml:space="preserve">N262UHP150</t>
  </si>
  <si>
    <t xml:space="preserve">펠리스 냉감 타슬란 5부 쇼츠</t>
  </si>
  <si>
    <t xml:space="preserve">N262UHP190</t>
  </si>
  <si>
    <t xml:space="preserve">프로즌에어 5부 쇼츠</t>
  </si>
  <si>
    <t xml:space="preserve">N262UPB900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</si>
  <si>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온전</t>
    </r>
    <r>
      <rPr>
        <sz val="11"/>
        <color rgb="FF0000FF"/>
        <rFont val="Cambria"/>
        <family val="0"/>
        <charset val="1"/>
      </rPr>
      <t xml:space="preserve">) </t>
    </r>
    <r>
      <rPr>
        <sz val="11"/>
        <color rgb="FF0000FF"/>
        <rFont val="WenQuanYi Zen Hei"/>
        <family val="2"/>
      </rPr>
      <t xml:space="preserve">반팔 </t>
    </r>
    <r>
      <rPr>
        <sz val="11"/>
        <color rgb="FF0000FF"/>
        <rFont val="Cambria"/>
        <family val="0"/>
        <charset val="1"/>
      </rPr>
      <t xml:space="preserve">+ </t>
    </r>
    <r>
      <rPr>
        <sz val="11"/>
        <color rgb="FF0000FF"/>
        <rFont val="WenQuanYi Zen Hei"/>
        <family val="2"/>
      </rPr>
      <t xml:space="preserve">반바지 </t>
    </r>
    <r>
      <rPr>
        <sz val="11"/>
        <color rgb="FF0000FF"/>
        <rFont val="Cambria"/>
        <family val="0"/>
        <charset val="1"/>
      </rPr>
      <t xml:space="preserve">+ </t>
    </r>
    <r>
      <rPr>
        <sz val="11"/>
        <color rgb="FF0000FF"/>
        <rFont val="WenQuanYi Zen Hei"/>
        <family val="2"/>
      </rPr>
      <t xml:space="preserve">미니백 </t>
    </r>
    <r>
      <rPr>
        <sz val="11"/>
        <color rgb="FF0000FF"/>
        <rFont val="Cambria"/>
        <family val="0"/>
        <charset val="1"/>
      </rPr>
      <t xml:space="preserve">3PACK</t>
    </r>
  </si>
  <si>
    <t xml:space="preserve">N262UPT010</t>
  </si>
  <si>
    <t xml:space="preserve">라이트팩 베이직핏 조거 팬츠</t>
  </si>
  <si>
    <t xml:space="preserve">N262UPT140</t>
  </si>
  <si>
    <t xml:space="preserve">아델리 냉감 스트레치 세미루즈핏 조거 카고 팬츠</t>
  </si>
  <si>
    <t xml:space="preserve">N262UPT141</t>
  </si>
  <si>
    <t xml:space="preserve">아델리 냉감 스트레치 원턱 세미루즈핏 테이퍼드 팬츠</t>
  </si>
  <si>
    <t xml:space="preserve">N262UPT191</t>
  </si>
  <si>
    <t xml:space="preserve">프로즌에어 세미루즈핏 스트레이트 팬츠</t>
  </si>
  <si>
    <t xml:space="preserve">N262UPT192</t>
  </si>
  <si>
    <t xml:space="preserve">프로즌에어 7부 팬츠</t>
  </si>
  <si>
    <t xml:space="preserve">N262UJP011</t>
  </si>
  <si>
    <t xml:space="preserve">라이트팩 후드 풀집업 바람막이</t>
  </si>
  <si>
    <t xml:space="preserve">N262UJP020</t>
  </si>
  <si>
    <t xml:space="preserve">라이트팩 스탠드넥 풀집업 바람막이</t>
  </si>
  <si>
    <t xml:space="preserve">N262UFT140</t>
  </si>
  <si>
    <t xml:space="preserve">아델리 냉감 스트레치 세미오버핏 후드 풀집업 점퍼</t>
  </si>
  <si>
    <t xml:space="preserve">N262UFT141</t>
  </si>
  <si>
    <t xml:space="preserve">아델리 냉감 스트레치 세미오버핏 스탠드넥 풀집업 점퍼</t>
  </si>
  <si>
    <t xml:space="preserve">N262UFT142</t>
  </si>
  <si>
    <t xml:space="preserve">프리즈 스트레치 세미오버핏 후드 아노락</t>
  </si>
  <si>
    <t xml:space="preserve">N262UPL142</t>
  </si>
  <si>
    <t xml:space="preserve">프리즈 스트레치 세미오버핏 반팔 카라 티셔츠</t>
  </si>
  <si>
    <t xml:space="preserve">N262UPL240</t>
  </si>
  <si>
    <t xml:space="preserve">크라즈 반팔 카라 티셔츠</t>
  </si>
  <si>
    <t xml:space="preserve">N262USH140</t>
  </si>
  <si>
    <t xml:space="preserve">프리즈 스트레치 세미오버핏 반팔 셔츠</t>
  </si>
  <si>
    <t xml:space="preserve">N262UTS030</t>
  </si>
  <si>
    <t xml:space="preserve">스트라이프 세미오버핏 포켓 반팔 티셔츠</t>
  </si>
  <si>
    <t xml:space="preserve">N262UTS060</t>
  </si>
  <si>
    <t xml:space="preserve">라텔 리젠 동물 실루엣 그래픽 세미오버핏 반팔 티셔츠</t>
  </si>
  <si>
    <t xml:space="preserve">N262UTS061</t>
  </si>
  <si>
    <t xml:space="preserve">라텔 리젠 동물 스몰 그래픽 세미오버핏 반팔티셔츠</t>
  </si>
  <si>
    <t xml:space="preserve">N262UTS062</t>
  </si>
  <si>
    <t xml:space="preserve">라텔 리젠 동물 빅그래픽 세미오버핏 반팔티셔츠</t>
  </si>
  <si>
    <t xml:space="preserve">N262UTS070</t>
  </si>
  <si>
    <t xml:space="preserve">캐스터 COOLMAX ECO 레터링 그래픽 세미오버핏 반팔 티셔츠</t>
  </si>
  <si>
    <t xml:space="preserve">N262UTS071</t>
  </si>
  <si>
    <t xml:space="preserve">캐스터 COOLMAX ECO 빅그래픽 세미오버핏 반팔 티셔츠</t>
  </si>
  <si>
    <t xml:space="preserve">N262UTS072</t>
  </si>
  <si>
    <t xml:space="preserve">캐스터 COOLMAX ECO 그래픽 세미오버핏 반팔 티셔츠</t>
  </si>
  <si>
    <t xml:space="preserve">N262UTS080</t>
  </si>
  <si>
    <t xml:space="preserve">아비스 AEROSILVER 빅그래픽 세미오버핏 반팔 티셔츠</t>
  </si>
  <si>
    <t xml:space="preserve">N262UTS081</t>
  </si>
  <si>
    <t xml:space="preserve">아비스 AEROSILVER 그래픽 세미오버핏 반팔 티셔츠</t>
  </si>
  <si>
    <t xml:space="preserve">N262UTS082</t>
  </si>
  <si>
    <t xml:space="preserve">아비스 AEROSILVER 그래픽 세미오버핏 거셋 디테일 반팔 티셔츠</t>
  </si>
  <si>
    <t xml:space="preserve">N262UTS091</t>
  </si>
  <si>
    <t xml:space="preserve">크로우 소로나 쿨터치 반팔 티셔츠</t>
  </si>
  <si>
    <t xml:space="preserve">N262UTS092</t>
  </si>
  <si>
    <t xml:space="preserve">크로우 소로나 쿨터치 레터링 그래픽 반팔 티셔츠</t>
  </si>
  <si>
    <t xml:space="preserve">N262UTS140</t>
  </si>
  <si>
    <t xml:space="preserve">프리즈 스트레치 세미오버핏 포켓 반팔 티셔츠</t>
  </si>
  <si>
    <t xml:space="preserve">N262UTS141</t>
  </si>
  <si>
    <t xml:space="preserve">프리즈 스트레치 그래픽 세미오버핏 반팔 티셔츠</t>
  </si>
  <si>
    <t xml:space="preserve">N262UTS190</t>
  </si>
  <si>
    <t xml:space="preserve">프로즌에어 세미오버핏 반팔 티셔츠</t>
  </si>
  <si>
    <t xml:space="preserve">N262UTS210</t>
  </si>
  <si>
    <t xml:space="preserve">어반 빅로고 세미오버핏 반팔 티셔츠</t>
  </si>
  <si>
    <t xml:space="preserve">N262UTS230</t>
  </si>
  <si>
    <t xml:space="preserve">토르콰투스 반팔 티셔츠</t>
  </si>
  <si>
    <t xml:space="preserve">N262UTS240</t>
  </si>
  <si>
    <t xml:space="preserve">크라즈 세미오버핏 반팔 티셔츠</t>
  </si>
  <si>
    <t xml:space="preserve">N262UTS250</t>
  </si>
  <si>
    <t xml:space="preserve">크라즈 백그래픽 세미오버핏 반팔 티셔츠</t>
  </si>
  <si>
    <t xml:space="preserve">N262WHP010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</si>
  <si>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라이트팩 </t>
    </r>
    <r>
      <rPr>
        <sz val="11"/>
        <color rgb="FF0000FF"/>
        <rFont val="Cambria"/>
        <family val="0"/>
        <charset val="1"/>
      </rPr>
      <t xml:space="preserve">3.5</t>
    </r>
    <r>
      <rPr>
        <sz val="11"/>
        <color rgb="FF0000FF"/>
        <rFont val="WenQuanYi Zen Hei"/>
        <family val="2"/>
      </rPr>
      <t xml:space="preserve">부 쇼츠</t>
    </r>
  </si>
  <si>
    <t xml:space="preserve">N262WHP100</t>
  </si>
  <si>
    <r>
      <rPr>
        <sz val="11"/>
        <color rgb="FF0000FF"/>
        <rFont val="Cambria"/>
        <family val="0"/>
        <charset val="1"/>
      </rPr>
      <t xml:space="preserve">W' 5</t>
    </r>
    <r>
      <rPr>
        <sz val="11"/>
        <color rgb="FF0000FF"/>
        <rFont val="WenQuanYi Zen Hei"/>
        <family val="2"/>
      </rPr>
      <t xml:space="preserve">부 버뮤다 쇼츠</t>
    </r>
  </si>
  <si>
    <t xml:space="preserve">N262WHP140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</si>
  <si>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프리즈 스트레치 </t>
    </r>
    <r>
      <rPr>
        <sz val="11"/>
        <color rgb="FF0000FF"/>
        <rFont val="Cambria"/>
        <family val="0"/>
        <charset val="1"/>
      </rPr>
      <t xml:space="preserve">4</t>
    </r>
    <r>
      <rPr>
        <sz val="11"/>
        <color rgb="FF0000FF"/>
        <rFont val="WenQuanYi Zen Hei"/>
        <family val="2"/>
      </rPr>
      <t xml:space="preserve">부 쇼츠</t>
    </r>
  </si>
  <si>
    <t xml:space="preserve">N262WHP490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</si>
  <si>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시어서커 </t>
    </r>
    <r>
      <rPr>
        <sz val="11"/>
        <color rgb="FF0000FF"/>
        <rFont val="Cambria"/>
        <family val="0"/>
        <charset val="1"/>
      </rPr>
      <t xml:space="preserve">4</t>
    </r>
    <r>
      <rPr>
        <sz val="11"/>
        <color rgb="FF0000FF"/>
        <rFont val="WenQuanYi Zen Hei"/>
        <family val="2"/>
      </rPr>
      <t xml:space="preserve">부 쇼츠</t>
    </r>
  </si>
  <si>
    <t xml:space="preserve">N262WPT140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</si>
  <si>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아델리 냉감 스트레치 베이직핏 조거 카고 팬츠</t>
    </r>
  </si>
  <si>
    <t xml:space="preserve">N262WPT141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</si>
  <si>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아델리 냉감 스트레치 베이직핏 스트레이트 팬츠</t>
    </r>
  </si>
  <si>
    <t xml:space="preserve">N262WPT142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</si>
  <si>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스트레치 와이드핏 조디악 치마 팬츠</t>
    </r>
  </si>
  <si>
    <t xml:space="preserve">N262WPT191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</si>
  <si>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프로즌에어 세미루즈핏 조거 팬츠</t>
    </r>
  </si>
  <si>
    <t xml:space="preserve">N262WSK140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</si>
  <si>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아델리 냉감 스트레치 </t>
    </r>
    <r>
      <rPr>
        <sz val="11"/>
        <color rgb="FF0000FF"/>
        <rFont val="Cambria"/>
        <family val="0"/>
        <charset val="1"/>
      </rPr>
      <t xml:space="preserve">A</t>
    </r>
    <r>
      <rPr>
        <sz val="11"/>
        <color rgb="FF0000FF"/>
        <rFont val="WenQuanYi Zen Hei"/>
        <family val="2"/>
      </rPr>
      <t xml:space="preserve">라인 스커트</t>
    </r>
  </si>
  <si>
    <t xml:space="preserve">N262WSK190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</si>
  <si>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프로즌에어 </t>
    </r>
    <r>
      <rPr>
        <sz val="11"/>
        <color rgb="FF0000FF"/>
        <rFont val="Cambria"/>
        <family val="0"/>
        <charset val="1"/>
      </rPr>
      <t xml:space="preserve">H</t>
    </r>
    <r>
      <rPr>
        <sz val="11"/>
        <color rgb="FF0000FF"/>
        <rFont val="WenQuanYi Zen Hei"/>
        <family val="2"/>
      </rPr>
      <t xml:space="preserve">라인 포켓 스커트</t>
    </r>
  </si>
  <si>
    <t xml:space="preserve">N262WJP020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</si>
  <si>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라이트팩 후드 경량 점퍼</t>
    </r>
  </si>
  <si>
    <t xml:space="preserve">N262WJP021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</si>
  <si>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라이트팩 가디건 경량 점퍼</t>
    </r>
  </si>
  <si>
    <t xml:space="preserve">N262WFT140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</si>
  <si>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아델리 냉감 스트레치 오버핏 후드 풀집업</t>
    </r>
  </si>
  <si>
    <t xml:space="preserve">N262WFT170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</si>
  <si>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피넷 냉감 세미오버핏 후드 반팔 아노락</t>
    </r>
  </si>
  <si>
    <t xml:space="preserve">N262WOP170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</si>
  <si>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피넷 스트레치 </t>
    </r>
    <r>
      <rPr>
        <sz val="11"/>
        <color rgb="FF0000FF"/>
        <rFont val="Cambria"/>
        <family val="0"/>
        <charset val="1"/>
      </rPr>
      <t xml:space="preserve">A</t>
    </r>
    <r>
      <rPr>
        <sz val="11"/>
        <color rgb="FF0000FF"/>
        <rFont val="WenQuanYi Zen Hei"/>
        <family val="2"/>
      </rPr>
      <t xml:space="preserve">라인 오버롤 원피스</t>
    </r>
  </si>
  <si>
    <t xml:space="preserve">N262WPL240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</si>
  <si>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크라즈 세미오버핏 반팔 카라 티셔츠</t>
    </r>
  </si>
  <si>
    <t xml:space="preserve">N262WSH190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</si>
  <si>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프로즌에어 세미오버핏 반팔 셔츠</t>
    </r>
  </si>
  <si>
    <t xml:space="preserve">N262WTS090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</si>
  <si>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크로우 소로나 쿨터치 그래픽 반팔 티셔츠</t>
    </r>
  </si>
  <si>
    <t xml:space="preserve">N262WTS190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</si>
  <si>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프로즌에어 세미크롭 반팔 티셔츠</t>
    </r>
  </si>
  <si>
    <t xml:space="preserve">신발</t>
  </si>
  <si>
    <t xml:space="preserve">N262WSD020</t>
  </si>
  <si>
    <t xml:space="preserve">로버 젠 MJ</t>
  </si>
  <si>
    <t xml:space="preserve">가을</t>
  </si>
  <si>
    <t xml:space="preserve">N263AAC010</t>
  </si>
  <si>
    <t xml:space="preserve">베이직이어워머</t>
  </si>
  <si>
    <t xml:space="preserve">N263ABG010</t>
  </si>
  <si>
    <t xml:space="preserve">데일리백팩</t>
  </si>
  <si>
    <t xml:space="preserve">N263ACR010</t>
  </si>
  <si>
    <t xml:space="preserve">데일리크로스백</t>
  </si>
  <si>
    <t xml:space="preserve">N263ACR020</t>
  </si>
  <si>
    <t xml:space="preserve">어반스퀘어크로스백</t>
  </si>
  <si>
    <t xml:space="preserve">N263ACR040</t>
  </si>
  <si>
    <r>
      <rPr>
        <sz val="11"/>
        <color rgb="FF0000FF"/>
        <rFont val="Cambria"/>
        <family val="0"/>
        <charset val="1"/>
      </rPr>
      <t xml:space="preserve">NRN</t>
    </r>
    <r>
      <rPr>
        <sz val="11"/>
        <color rgb="FF0000FF"/>
        <rFont val="WenQuanYi Zen Hei"/>
        <family val="2"/>
      </rPr>
      <t xml:space="preserve">엔지니어드크로스백</t>
    </r>
  </si>
  <si>
    <t xml:space="preserve">N263ACR050</t>
  </si>
  <si>
    <r>
      <rPr>
        <sz val="11"/>
        <color rgb="FF0000FF"/>
        <rFont val="Cambria"/>
        <family val="0"/>
        <charset val="1"/>
      </rPr>
      <t xml:space="preserve">NRN</t>
    </r>
    <r>
      <rPr>
        <sz val="11"/>
        <color rgb="FF0000FF"/>
        <rFont val="WenQuanYi Zen Hei"/>
        <family val="2"/>
      </rPr>
      <t xml:space="preserve">엔지니어드미니크로스백</t>
    </r>
  </si>
  <si>
    <t xml:space="preserve">N263ACR080</t>
  </si>
  <si>
    <r>
      <rPr>
        <sz val="11"/>
        <color rgb="FF0000FF"/>
        <rFont val="Cambria"/>
        <family val="0"/>
        <charset val="1"/>
      </rPr>
      <t xml:space="preserve">W</t>
    </r>
    <r>
      <rPr>
        <sz val="11"/>
        <color rgb="FF0000FF"/>
        <rFont val="WenQuanYi Zen Hei"/>
        <family val="2"/>
      </rPr>
      <t xml:space="preserve">플러피크로스백</t>
    </r>
  </si>
  <si>
    <t xml:space="preserve">N263ACR090</t>
  </si>
  <si>
    <r>
      <rPr>
        <sz val="11"/>
        <color rgb="FF0000FF"/>
        <rFont val="Cambria"/>
        <family val="0"/>
        <charset val="1"/>
      </rPr>
      <t xml:space="preserve">W</t>
    </r>
    <r>
      <rPr>
        <sz val="11"/>
        <color rgb="FF0000FF"/>
        <rFont val="WenQuanYi Zen Hei"/>
        <family val="2"/>
      </rPr>
      <t xml:space="preserve">플러피버킷백</t>
    </r>
  </si>
  <si>
    <t xml:space="preserve">N263AGL010</t>
  </si>
  <si>
    <t xml:space="preserve">파워스트레치장갑</t>
  </si>
  <si>
    <t xml:space="preserve">N263AGL030</t>
  </si>
  <si>
    <t xml:space="preserve">폴라텍써멀프로장갑</t>
  </si>
  <si>
    <t xml:space="preserve">N263AGL040</t>
  </si>
  <si>
    <r>
      <rPr>
        <sz val="11"/>
        <color rgb="FF0000FF"/>
        <rFont val="Cambria"/>
        <family val="0"/>
        <charset val="1"/>
      </rPr>
      <t xml:space="preserve">NRN</t>
    </r>
    <r>
      <rPr>
        <sz val="11"/>
        <color rgb="FF0000FF"/>
        <rFont val="WenQuanYi Zen Hei"/>
        <family val="2"/>
      </rPr>
      <t xml:space="preserve">장갑</t>
    </r>
  </si>
  <si>
    <t xml:space="preserve">N263AHA040</t>
  </si>
  <si>
    <t xml:space="preserve">베이직비니</t>
  </si>
  <si>
    <t xml:space="preserve">N263AMS020</t>
  </si>
  <si>
    <r>
      <rPr>
        <sz val="11"/>
        <color rgb="FF0000FF"/>
        <rFont val="Cambria"/>
        <family val="0"/>
        <charset val="1"/>
      </rPr>
      <t xml:space="preserve">W</t>
    </r>
    <r>
      <rPr>
        <sz val="11"/>
        <color rgb="FF0000FF"/>
        <rFont val="WenQuanYi Zen Hei"/>
        <family val="2"/>
      </rPr>
      <t xml:space="preserve">플러피머플러</t>
    </r>
  </si>
  <si>
    <t xml:space="preserve">N263AMS030</t>
  </si>
  <si>
    <r>
      <rPr>
        <sz val="11"/>
        <color rgb="FF0000FF"/>
        <rFont val="Cambria"/>
        <family val="0"/>
        <charset val="1"/>
      </rPr>
      <t xml:space="preserve">W</t>
    </r>
    <r>
      <rPr>
        <sz val="11"/>
        <color rgb="FF0000FF"/>
        <rFont val="WenQuanYi Zen Hei"/>
        <family val="2"/>
      </rPr>
      <t xml:space="preserve">퍼머플러</t>
    </r>
  </si>
  <si>
    <t xml:space="preserve">N263AMS040</t>
  </si>
  <si>
    <r>
      <rPr>
        <sz val="11"/>
        <color rgb="FF0000FF"/>
        <rFont val="Cambria"/>
        <family val="0"/>
        <charset val="1"/>
      </rPr>
      <t xml:space="preserve">W</t>
    </r>
    <r>
      <rPr>
        <sz val="11"/>
        <color rgb="FF0000FF"/>
        <rFont val="WenQuanYi Zen Hei"/>
        <family val="2"/>
      </rPr>
      <t xml:space="preserve">덤블머플러</t>
    </r>
  </si>
  <si>
    <t xml:space="preserve">N263AMS060</t>
  </si>
  <si>
    <t xml:space="preserve">폴라텍써멀프로넥워머</t>
  </si>
  <si>
    <t xml:space="preserve">N263ATO010</t>
  </si>
  <si>
    <t xml:space="preserve">어반리포터백</t>
  </si>
  <si>
    <t xml:space="preserve">N263MPT020</t>
  </si>
  <si>
    <t xml:space="preserve">타누 레귤러핏 스트레이트 팬츠</t>
  </si>
  <si>
    <t xml:space="preserve">N263MPT030</t>
  </si>
  <si>
    <r>
      <rPr>
        <sz val="11"/>
        <color rgb="FF0000FF"/>
        <rFont val="Cambria"/>
        <family val="0"/>
        <charset val="1"/>
      </rPr>
      <t xml:space="preserve">6 </t>
    </r>
    <r>
      <rPr>
        <sz val="11"/>
        <color rgb="FF0000FF"/>
        <rFont val="WenQuanYi Zen Hei"/>
        <family val="2"/>
      </rPr>
      <t xml:space="preserve">포켓 와이드핏 커브드 팬츠</t>
    </r>
  </si>
  <si>
    <t xml:space="preserve">N263MPT050</t>
  </si>
  <si>
    <t xml:space="preserve">크로우 레귤러핏 조거 카고 팬츠</t>
  </si>
  <si>
    <t xml:space="preserve">N263MPT060</t>
  </si>
  <si>
    <t xml:space="preserve">릴렉스핏 조거 카고 팬츠</t>
  </si>
  <si>
    <t xml:space="preserve">N263MPT300</t>
  </si>
  <si>
    <t xml:space="preserve">커뮤트 릴렉스핏 스트레이트 우븐 카고 팬츠</t>
  </si>
  <si>
    <t xml:space="preserve">N263MPD500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</si>
  <si>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윈드스토퍼 </t>
    </r>
    <r>
      <rPr>
        <sz val="11"/>
        <color rgb="FF0000FF"/>
        <rFont val="Cambria"/>
        <family val="0"/>
        <charset val="1"/>
      </rPr>
      <t xml:space="preserve">BY GORE-TEX LABS </t>
    </r>
    <r>
      <rPr>
        <sz val="11"/>
        <color rgb="FF0000FF"/>
        <rFont val="WenQuanYi Zen Hei"/>
        <family val="2"/>
      </rPr>
      <t xml:space="preserve">인피니티 </t>
    </r>
    <r>
      <rPr>
        <sz val="11"/>
        <color rgb="FF0000FF"/>
        <rFont val="Cambria"/>
        <family val="0"/>
        <charset val="1"/>
      </rPr>
      <t xml:space="preserve">2L 3IN1 </t>
    </r>
    <r>
      <rPr>
        <sz val="11"/>
        <color rgb="FF0000FF"/>
        <rFont val="WenQuanYi Zen Hei"/>
        <family val="2"/>
      </rPr>
      <t xml:space="preserve">자켓</t>
    </r>
  </si>
  <si>
    <t xml:space="preserve">N263MSW500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</si>
  <si>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리플렉터 패널드 맨투맨</t>
    </r>
  </si>
  <si>
    <t xml:space="preserve">N263MTS500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</si>
  <si>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델타피크 베이스레이어 긴팔 티셔츠</t>
    </r>
  </si>
  <si>
    <t xml:space="preserve">N263UPT030</t>
  </si>
  <si>
    <t xml:space="preserve">아르켈론 우븐 스트레치 레귤러핏 스트레이트 팬츠</t>
  </si>
  <si>
    <t xml:space="preserve">N263UPT031</t>
  </si>
  <si>
    <t xml:space="preserve">아르켈론 우븐 스트레치 레귤러핏 조거 카고 팬츠</t>
  </si>
  <si>
    <t xml:space="preserve">N263UPT220</t>
  </si>
  <si>
    <t xml:space="preserve">네이쳐 세미 레귤러핏 조거 팬츠</t>
  </si>
  <si>
    <t xml:space="preserve">N263UJP020</t>
  </si>
  <si>
    <t xml:space="preserve">코듀라 유틸리티 포켓 점퍼</t>
  </si>
  <si>
    <t xml:space="preserve">N263UJP210</t>
  </si>
  <si>
    <t xml:space="preserve">아틀라스 소프트쉘 고어 윈드스토퍼 후드 점퍼</t>
  </si>
  <si>
    <t xml:space="preserve">N263UJP220</t>
  </si>
  <si>
    <t xml:space="preserve">네이쳐 다잉 경량 자켓</t>
  </si>
  <si>
    <t xml:space="preserve">N263UJP230</t>
  </si>
  <si>
    <t xml:space="preserve">어반스퀘어 소프트쉘 3L 블루종 점퍼</t>
  </si>
  <si>
    <t xml:space="preserve">N263UFT030</t>
  </si>
  <si>
    <t xml:space="preserve">아르켈론 우븐 스트레치 베이직핏 후드 풀집업</t>
  </si>
  <si>
    <t xml:space="preserve">N263UHD030</t>
  </si>
  <si>
    <t xml:space="preserve">폴하스 베이직핏 스몰로고 후디</t>
  </si>
  <si>
    <t xml:space="preserve">N263USW010</t>
  </si>
  <si>
    <t xml:space="preserve">폴하스 베이직핏 스몰로고 맨투맨</t>
  </si>
  <si>
    <t xml:space="preserve">N263USW080</t>
  </si>
  <si>
    <t xml:space="preserve">동물 그래픽 세미오버핏 맨투맨</t>
  </si>
  <si>
    <t xml:space="preserve">N263UTS010</t>
  </si>
  <si>
    <t xml:space="preserve">팔코 스몰로고 긴팔 티셔츠</t>
  </si>
  <si>
    <t xml:space="preserve">N263UTS020</t>
  </si>
  <si>
    <t xml:space="preserve">그래픽 긴팔 티셔츠</t>
  </si>
  <si>
    <t xml:space="preserve">N263UTS030</t>
  </si>
  <si>
    <t xml:space="preserve">동물 그래픽 반팔 세미오버핏 티셔츠</t>
  </si>
  <si>
    <t xml:space="preserve">N263UTS040</t>
  </si>
  <si>
    <t xml:space="preserve">가먼트다잉 포켓 반팔 티셔츠</t>
  </si>
  <si>
    <t xml:space="preserve">N263UTS050</t>
  </si>
  <si>
    <r>
      <rPr>
        <sz val="11"/>
        <color rgb="FF0000FF"/>
        <rFont val="Cambria"/>
        <family val="0"/>
        <charset val="1"/>
      </rPr>
      <t xml:space="preserve">SEAWOOL WAFFLE </t>
    </r>
    <r>
      <rPr>
        <sz val="11"/>
        <color rgb="FF0000FF"/>
        <rFont val="WenQuanYi Zen Hei"/>
        <family val="2"/>
      </rPr>
      <t xml:space="preserve">소매 레터링 긴팔 티셔츠</t>
    </r>
  </si>
  <si>
    <t xml:space="preserve">N263UTS220</t>
  </si>
  <si>
    <t xml:space="preserve">네이쳐 델타피크 배색형 베이직핏 반팔 티셔츠</t>
  </si>
  <si>
    <t xml:space="preserve">N263UTS230</t>
  </si>
  <si>
    <t xml:space="preserve">네이쳐 델타피크 세미오버핏 긴팔 티셔츠 </t>
  </si>
  <si>
    <t xml:space="preserve">N263UTS240</t>
  </si>
  <si>
    <t xml:space="preserve">어반 폴라스페이스 그래픽 세미오버핏 반팔 티셔츠</t>
  </si>
  <si>
    <t xml:space="preserve">N263UTS901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</si>
  <si>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온전</t>
    </r>
    <r>
      <rPr>
        <sz val="11"/>
        <color rgb="FF0000FF"/>
        <rFont val="Cambria"/>
        <family val="0"/>
        <charset val="1"/>
      </rPr>
      <t xml:space="preserve">) </t>
    </r>
    <r>
      <rPr>
        <sz val="11"/>
        <color rgb="FF0000FF"/>
        <rFont val="WenQuanYi Zen Hei"/>
        <family val="2"/>
      </rPr>
      <t xml:space="preserve">세미오버핏 롱 슬리브 티셔츠</t>
    </r>
  </si>
  <si>
    <t xml:space="preserve">N263WPT011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</si>
  <si>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데님라이크 레귤러핏 조거 팬츠</t>
    </r>
  </si>
  <si>
    <t xml:space="preserve">N263WPT020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</si>
  <si>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코튼터치 카고 레귤러핏 팬츠</t>
    </r>
  </si>
  <si>
    <t xml:space="preserve">N263WPT030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</si>
  <si>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아르켈론 우븐 스트레치 레귤러핏 조거 카고 팬츠</t>
    </r>
  </si>
  <si>
    <t xml:space="preserve">N263WPT040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</si>
  <si>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코튼터치 와이드핏 커브드 팬츠</t>
    </r>
  </si>
  <si>
    <t xml:space="preserve">N263WSK010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</si>
  <si>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분또 플리츠 스커트</t>
    </r>
  </si>
  <si>
    <t xml:space="preserve">N263WJP030</t>
  </si>
  <si>
    <r>
      <rPr>
        <sz val="11"/>
        <color rgb="FF0000FF"/>
        <rFont val="Cambria"/>
        <family val="0"/>
        <charset val="1"/>
      </rPr>
      <t xml:space="preserve">W' 3L </t>
    </r>
    <r>
      <rPr>
        <sz val="11"/>
        <color rgb="FF0000FF"/>
        <rFont val="WenQuanYi Zen Hei"/>
        <family val="2"/>
      </rPr>
      <t xml:space="preserve">후드 자켓</t>
    </r>
  </si>
  <si>
    <t xml:space="preserve">N263WFT010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</si>
  <si>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데님라이크 후드 풀집업</t>
    </r>
  </si>
  <si>
    <t xml:space="preserve">N263WFT030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</si>
  <si>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아르켈론 우븐 스트레치 후드 풀집업</t>
    </r>
  </si>
  <si>
    <t xml:space="preserve">N263WSW010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</si>
  <si>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폴하스 베이직핏 스몰로고 맨투맨</t>
    </r>
  </si>
  <si>
    <t xml:space="preserve">N263WTS050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</si>
  <si>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동물 그래픽 포인트 반팔 티셔츠</t>
    </r>
  </si>
  <si>
    <t xml:space="preserve">겨울</t>
  </si>
  <si>
    <t xml:space="preserve">N264AHA010</t>
  </si>
  <si>
    <t xml:space="preserve">패디드고소모</t>
  </si>
  <si>
    <t xml:space="preserve">N264AHA030</t>
  </si>
  <si>
    <r>
      <rPr>
        <sz val="11"/>
        <color rgb="FF0000FF"/>
        <rFont val="Cambria"/>
        <family val="0"/>
        <charset val="1"/>
      </rPr>
      <t xml:space="preserve">W</t>
    </r>
    <r>
      <rPr>
        <sz val="11"/>
        <color rgb="FF0000FF"/>
        <rFont val="WenQuanYi Zen Hei"/>
        <family val="2"/>
      </rPr>
      <t xml:space="preserve">덤블고소모</t>
    </r>
  </si>
  <si>
    <t xml:space="preserve">N264MPT020</t>
  </si>
  <si>
    <t xml:space="preserve">릴렉스핏 스트레이트 기어 카고 팬츠</t>
  </si>
  <si>
    <t xml:space="preserve">N264MDW240</t>
  </si>
  <si>
    <t xml:space="preserve">소매 하이브리드 구스다운 점퍼</t>
  </si>
  <si>
    <t xml:space="preserve">N264MFJ500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</si>
  <si>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유틸리티 하이브리드 플리스 점퍼</t>
    </r>
  </si>
  <si>
    <t xml:space="preserve">N264MFT310</t>
  </si>
  <si>
    <r>
      <rPr>
        <sz val="11"/>
        <color rgb="FF0000FF"/>
        <rFont val="Cambria"/>
        <family val="0"/>
        <charset val="1"/>
      </rPr>
      <t xml:space="preserve">[OCTA] </t>
    </r>
    <r>
      <rPr>
        <sz val="11"/>
        <color rgb="FF0000FF"/>
        <rFont val="WenQuanYi Zen Hei"/>
        <family val="2"/>
      </rPr>
      <t xml:space="preserve">라이닝 풀집업 자켓</t>
    </r>
  </si>
  <si>
    <t xml:space="preserve">N264MSW500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</si>
  <si>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리플렉터 와플 맨투맨</t>
    </r>
  </si>
  <si>
    <t xml:space="preserve">N264UPT050</t>
  </si>
  <si>
    <t xml:space="preserve">아르켈론 더블웜 기모 우븐 레귤러핏 스트레이트 카고 팬츠</t>
  </si>
  <si>
    <t xml:space="preserve">N264UPT051</t>
  </si>
  <si>
    <t xml:space="preserve">아르켈론 더블웜 기모 우븐 레귤러핏 조거 팬츠</t>
  </si>
  <si>
    <t xml:space="preserve">N264UDV020</t>
  </si>
  <si>
    <t xml:space="preserve">헤론 U넥 경량 구스다운 베스트</t>
  </si>
  <si>
    <t xml:space="preserve">N264UDV120</t>
  </si>
  <si>
    <t xml:space="preserve">후드 덕다운 베스트</t>
  </si>
  <si>
    <t xml:space="preserve">N264UDW010</t>
  </si>
  <si>
    <t xml:space="preserve">라이트팩 후드 경량 덕다운 점퍼</t>
  </si>
  <si>
    <t xml:space="preserve">N264UDW020</t>
  </si>
  <si>
    <t xml:space="preserve">헤론 U넥 경량 구스다운 점퍼</t>
  </si>
  <si>
    <t xml:space="preserve">N264UDW022</t>
  </si>
  <si>
    <t xml:space="preserve">헤론 스탠드넥 경량 구스다운 점퍼</t>
  </si>
  <si>
    <t xml:space="preserve">N264UDW050</t>
  </si>
  <si>
    <t xml:space="preserve">메를린 하이브리드 구스다운 점퍼</t>
  </si>
  <si>
    <t xml:space="preserve">N264UDW121</t>
  </si>
  <si>
    <t xml:space="preserve">레이만 스탠드넥 덕다운 점퍼</t>
  </si>
  <si>
    <t xml:space="preserve">N264UDW150</t>
  </si>
  <si>
    <t xml:space="preserve">퓨어이펙트 후드 덕다운 점퍼</t>
  </si>
  <si>
    <t xml:space="preserve">N264UDW151</t>
  </si>
  <si>
    <t xml:space="preserve">퓨어이펙트 스탠드넥 덕다운 점퍼</t>
  </si>
  <si>
    <t xml:space="preserve">N264UDW160</t>
  </si>
  <si>
    <t xml:space="preserve">카이만 프로 롱기장 구스다운 점퍼</t>
  </si>
  <si>
    <t xml:space="preserve">N264UDW210</t>
  </si>
  <si>
    <r>
      <rPr>
        <sz val="11"/>
        <color rgb="FF0000FF"/>
        <rFont val="Cambria"/>
        <family val="0"/>
        <charset val="1"/>
      </rPr>
      <t xml:space="preserve">[PERTEX] </t>
    </r>
    <r>
      <rPr>
        <sz val="11"/>
        <color rgb="FF0000FF"/>
        <rFont val="WenQuanYi Zen Hei"/>
        <family val="2"/>
      </rPr>
      <t xml:space="preserve">토르니에 경량 블루종 구스다운 점퍼</t>
    </r>
  </si>
  <si>
    <t xml:space="preserve">N264UFJ150</t>
  </si>
  <si>
    <t xml:space="preserve">코스토니 후드 플리스 자켓</t>
  </si>
  <si>
    <t xml:space="preserve">N264UFJ151</t>
  </si>
  <si>
    <t xml:space="preserve">코스토니 스탠드넥 플리스 자켓</t>
  </si>
  <si>
    <t xml:space="preserve">N264UFJ152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</si>
  <si>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쉐르파 포켓 배색 후드 자켓</t>
    </r>
  </si>
  <si>
    <t xml:space="preserve">N264UFV150</t>
  </si>
  <si>
    <t xml:space="preserve">코스토니 스탠드넥 플리스 베스트</t>
  </si>
  <si>
    <t xml:space="preserve">N264UPD210</t>
  </si>
  <si>
    <t xml:space="preserve">경량 솔라볼 스탠드넥 패딩 점퍼</t>
  </si>
  <si>
    <t xml:space="preserve">N264UPD220</t>
  </si>
  <si>
    <t xml:space="preserve">솔라볼 리버시블 후드 롱패딩 점퍼</t>
  </si>
  <si>
    <t xml:space="preserve">N264UFT050</t>
  </si>
  <si>
    <t xml:space="preserve">아르켈론 더블웜 기모 우븐 베이직핏 후드 풀집업</t>
  </si>
  <si>
    <t xml:space="preserve">N264UKT020</t>
  </si>
  <si>
    <t xml:space="preserve">가먼트다잉 라운드 니트</t>
  </si>
  <si>
    <t xml:space="preserve">N264USH070</t>
  </si>
  <si>
    <t xml:space="preserve">코듀로이 셔츠형 자켓</t>
  </si>
  <si>
    <t xml:space="preserve">N264USW020</t>
  </si>
  <si>
    <t xml:space="preserve">폴리카터 베이직핏 기모 맨투맨</t>
  </si>
  <si>
    <t xml:space="preserve">N264USW050</t>
  </si>
  <si>
    <t xml:space="preserve">아르켈론 더블웜 기모 우븐 맨투맨</t>
  </si>
  <si>
    <t xml:space="preserve">N264USW901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</si>
  <si>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온전</t>
    </r>
    <r>
      <rPr>
        <sz val="11"/>
        <color rgb="FF0000FF"/>
        <rFont val="Cambria"/>
        <family val="0"/>
        <charset val="1"/>
      </rPr>
      <t xml:space="preserve">) </t>
    </r>
    <r>
      <rPr>
        <sz val="11"/>
        <color rgb="FF0000FF"/>
        <rFont val="WenQuanYi Zen Hei"/>
        <family val="2"/>
      </rPr>
      <t xml:space="preserve">그래픽 세미오버핏 기모 맨투맨</t>
    </r>
  </si>
  <si>
    <t xml:space="preserve">N264UWT050</t>
  </si>
  <si>
    <t xml:space="preserve">루나 뮬</t>
  </si>
  <si>
    <t xml:space="preserve">N264WPT050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</si>
  <si>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아르켈론 더블웜 기모 우븐 릴렉스핏 스트레이트 팬츠</t>
    </r>
  </si>
  <si>
    <t xml:space="preserve">N264WPT051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</si>
  <si>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아르켈론 더블웜 기모 우븐 릴렉스핏 조거 팬츠</t>
    </r>
  </si>
  <si>
    <t xml:space="preserve">N264WDV020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</si>
  <si>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헤론 </t>
    </r>
    <r>
      <rPr>
        <sz val="11"/>
        <color rgb="FF0000FF"/>
        <rFont val="Cambria"/>
        <family val="0"/>
        <charset val="1"/>
      </rPr>
      <t xml:space="preserve">U</t>
    </r>
    <r>
      <rPr>
        <sz val="11"/>
        <color rgb="FF0000FF"/>
        <rFont val="WenQuanYi Zen Hei"/>
        <family val="2"/>
      </rPr>
      <t xml:space="preserve">넥 경량 구스다운 베스트</t>
    </r>
  </si>
  <si>
    <t xml:space="preserve">N264WDV041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</si>
  <si>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니트라이크 후드 덕다운 베스트</t>
    </r>
  </si>
  <si>
    <t xml:space="preserve">N264WDW010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</si>
  <si>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라이트팩 경량 후드 덕다운 점퍼</t>
    </r>
  </si>
  <si>
    <t xml:space="preserve">N264WDW020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</si>
  <si>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헤론 </t>
    </r>
    <r>
      <rPr>
        <sz val="11"/>
        <color rgb="FF0000FF"/>
        <rFont val="Cambria"/>
        <family val="0"/>
        <charset val="1"/>
      </rPr>
      <t xml:space="preserve">U</t>
    </r>
    <r>
      <rPr>
        <sz val="11"/>
        <color rgb="FF0000FF"/>
        <rFont val="WenQuanYi Zen Hei"/>
        <family val="2"/>
      </rPr>
      <t xml:space="preserve">넥 경량 구스다운 점퍼</t>
    </r>
  </si>
  <si>
    <t xml:space="preserve">N264WDW021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</si>
  <si>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헤론 </t>
    </r>
    <r>
      <rPr>
        <sz val="11"/>
        <color rgb="FF0000FF"/>
        <rFont val="Cambria"/>
        <family val="0"/>
        <charset val="1"/>
      </rPr>
      <t xml:space="preserve">U</t>
    </r>
    <r>
      <rPr>
        <sz val="11"/>
        <color rgb="FF0000FF"/>
        <rFont val="WenQuanYi Zen Hei"/>
        <family val="2"/>
      </rPr>
      <t xml:space="preserve">넥 글로시 구스다운 점퍼</t>
    </r>
  </si>
  <si>
    <t xml:space="preserve">N264WDW121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</si>
  <si>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레이만 스탠드넥 덕다운 점퍼</t>
    </r>
  </si>
  <si>
    <t xml:space="preserve">N264WDW130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</si>
  <si>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레녹 셔링 스탠드넥 덕다운 점퍼</t>
    </r>
  </si>
  <si>
    <t xml:space="preserve">N264WDW140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</si>
  <si>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타루가 블루종 덕다운 점퍼</t>
    </r>
  </si>
  <si>
    <t xml:space="preserve">N264WDW151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</si>
  <si>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퓨어이펙트 스탠드넥 다운 점퍼</t>
    </r>
  </si>
  <si>
    <t xml:space="preserve">N264WDW153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</si>
  <si>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퓨어이펙트 리버시블 후드 덕다운 점퍼</t>
    </r>
  </si>
  <si>
    <t xml:space="preserve">N264WDW160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</si>
  <si>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카이만 프로 롱기장 구스다운 점퍼</t>
    </r>
  </si>
  <si>
    <t xml:space="preserve">N264WDW170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</si>
  <si>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레더라이크 덕다운 점퍼</t>
    </r>
  </si>
  <si>
    <t xml:space="preserve">N264WFJ150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</si>
  <si>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코스토니 후드 플리스 자켓</t>
    </r>
  </si>
  <si>
    <t xml:space="preserve">N264WFJ151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</si>
  <si>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코스토니 플리스 롱기장 자켓</t>
    </r>
  </si>
  <si>
    <t xml:space="preserve">N264WFJ160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</si>
  <si>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디퍼 후드 페이크퍼 자켓</t>
    </r>
  </si>
  <si>
    <t xml:space="preserve">N264WFV150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</si>
  <si>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코스토니 플리스 베스트</t>
    </r>
  </si>
  <si>
    <t xml:space="preserve">N264WFT050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</si>
  <si>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아르켈론 더블웜 기모 우븐 후드 풀집업</t>
    </r>
  </si>
  <si>
    <t xml:space="preserve">N264WKT020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</si>
  <si>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부클 라운드 니트</t>
    </r>
  </si>
  <si>
    <r>
      <rPr>
        <sz val="11"/>
        <color rgb="FF0000FF"/>
        <rFont val="Cambria"/>
        <family val="0"/>
        <charset val="1"/>
      </rPr>
      <t xml:space="preserve">4</t>
    </r>
    <r>
      <rPr>
        <sz val="11"/>
        <color rgb="FF0000FF"/>
        <rFont val="WenQuanYi Zen Hei"/>
        <family val="2"/>
      </rPr>
      <t xml:space="preserve">계절</t>
    </r>
  </si>
  <si>
    <t xml:space="preserve">N265AAC020</t>
  </si>
  <si>
    <t xml:space="preserve">메쉬백팩파우치</t>
  </si>
  <si>
    <t xml:space="preserve">N265AAC080</t>
  </si>
  <si>
    <t xml:space="preserve">원터치벨트</t>
  </si>
  <si>
    <t xml:space="preserve">N265ABG060</t>
  </si>
  <si>
    <r>
      <rPr>
        <sz val="11"/>
        <color rgb="FF0000FF"/>
        <rFont val="Cambria"/>
        <family val="0"/>
        <charset val="1"/>
      </rPr>
      <t xml:space="preserve">W</t>
    </r>
    <r>
      <rPr>
        <sz val="11"/>
        <color rgb="FF0000FF"/>
        <rFont val="WenQuanYi Zen Hei"/>
        <family val="2"/>
      </rPr>
      <t xml:space="preserve">리브백팩</t>
    </r>
  </si>
  <si>
    <t xml:space="preserve">N265ABG030</t>
  </si>
  <si>
    <t xml:space="preserve">어반프라임백팩</t>
  </si>
  <si>
    <t xml:space="preserve">N265ABG070</t>
  </si>
  <si>
    <t xml:space="preserve">울트라백팩20</t>
  </si>
  <si>
    <t xml:space="preserve">N265ACR010</t>
  </si>
  <si>
    <t xml:space="preserve">파치메신저백16"</t>
  </si>
  <si>
    <t xml:space="preserve">N265ACR030</t>
  </si>
  <si>
    <t xml:space="preserve">라코메신저백14"</t>
  </si>
  <si>
    <t xml:space="preserve">N265ACR060</t>
  </si>
  <si>
    <t xml:space="preserve">코어오리지날슬링백</t>
  </si>
  <si>
    <t xml:space="preserve">N265ACR070</t>
  </si>
  <si>
    <t xml:space="preserve">파치슬링백</t>
  </si>
  <si>
    <t xml:space="preserve">N265ACR110</t>
  </si>
  <si>
    <t xml:space="preserve">스트링슬링백</t>
  </si>
  <si>
    <t xml:space="preserve">N265ACR130</t>
  </si>
  <si>
    <t xml:space="preserve">라이트와이드크로스백</t>
  </si>
  <si>
    <t xml:space="preserve">N265ACR150</t>
  </si>
  <si>
    <t xml:space="preserve">아이콘커버백</t>
  </si>
  <si>
    <t xml:space="preserve">N265ACR160</t>
  </si>
  <si>
    <t xml:space="preserve">파치크로스백</t>
  </si>
  <si>
    <t xml:space="preserve">N265ACR210</t>
  </si>
  <si>
    <t xml:space="preserve">버트크로스백</t>
  </si>
  <si>
    <t xml:space="preserve">N265ACR220</t>
  </si>
  <si>
    <r>
      <rPr>
        <sz val="11"/>
        <color rgb="FF0000FF"/>
        <rFont val="Cambria"/>
        <family val="0"/>
        <charset val="1"/>
      </rPr>
      <t xml:space="preserve">W</t>
    </r>
    <r>
      <rPr>
        <sz val="11"/>
        <color rgb="FF0000FF"/>
        <rFont val="WenQuanYi Zen Hei"/>
        <family val="2"/>
      </rPr>
      <t xml:space="preserve">루미버킷백</t>
    </r>
  </si>
  <si>
    <t xml:space="preserve">N265ACR260</t>
  </si>
  <si>
    <r>
      <rPr>
        <sz val="11"/>
        <color rgb="FF0000FF"/>
        <rFont val="Cambria"/>
        <family val="0"/>
        <charset val="1"/>
      </rPr>
      <t xml:space="preserve">W</t>
    </r>
    <r>
      <rPr>
        <sz val="11"/>
        <color rgb="FF0000FF"/>
        <rFont val="WenQuanYi Zen Hei"/>
        <family val="2"/>
      </rPr>
      <t xml:space="preserve">루미호보백</t>
    </r>
  </si>
  <si>
    <t xml:space="preserve">N265ACR090</t>
  </si>
  <si>
    <t xml:space="preserve">빅로고슬링백</t>
  </si>
  <si>
    <t xml:space="preserve">N265ACR230</t>
  </si>
  <si>
    <r>
      <rPr>
        <sz val="11"/>
        <color rgb="FF0000FF"/>
        <rFont val="Cambria"/>
        <family val="0"/>
        <charset val="1"/>
      </rPr>
      <t xml:space="preserve">W</t>
    </r>
    <r>
      <rPr>
        <sz val="11"/>
        <color rgb="FF0000FF"/>
        <rFont val="WenQuanYi Zen Hei"/>
        <family val="2"/>
      </rPr>
      <t xml:space="preserve">어반트래블크로스백</t>
    </r>
  </si>
  <si>
    <t xml:space="preserve">N265ACR660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</si>
  <si>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파치크로스백</t>
    </r>
  </si>
  <si>
    <t xml:space="preserve">N265AHA010</t>
  </si>
  <si>
    <t xml:space="preserve">스몰로고캡</t>
  </si>
  <si>
    <t xml:space="preserve">N265AHA020</t>
  </si>
  <si>
    <t xml:space="preserve">라이트볼캡</t>
  </si>
  <si>
    <t xml:space="preserve">N265AHA030</t>
  </si>
  <si>
    <t xml:space="preserve">어반메탈로고캡</t>
  </si>
  <si>
    <t xml:space="preserve">N265AHA060</t>
  </si>
  <si>
    <t xml:space="preserve">엔지니어드볼캡</t>
  </si>
  <si>
    <t xml:space="preserve">N265AHA070</t>
  </si>
  <si>
    <t xml:space="preserve">어반고어텍스캡</t>
  </si>
  <si>
    <t xml:space="preserve">N265AHA090</t>
  </si>
  <si>
    <t xml:space="preserve">타공스트레치캡</t>
  </si>
  <si>
    <t xml:space="preserve">N265AHA130</t>
  </si>
  <si>
    <t xml:space="preserve">캠프햇</t>
  </si>
  <si>
    <t xml:space="preserve">N265AHI020</t>
  </si>
  <si>
    <t xml:space="preserve">크래스트힙색</t>
  </si>
  <si>
    <t xml:space="preserve">N265ASO010</t>
  </si>
  <si>
    <t xml:space="preserve">번들미들삭스</t>
  </si>
  <si>
    <t xml:space="preserve">N265ASO020</t>
  </si>
  <si>
    <t xml:space="preserve">번들스니커즈삭스</t>
  </si>
  <si>
    <t xml:space="preserve">N265ASO030</t>
  </si>
  <si>
    <t xml:space="preserve">번들앵클삭스</t>
  </si>
  <si>
    <t xml:space="preserve">N265ASO040</t>
  </si>
  <si>
    <t xml:space="preserve">스트라이프미들삭스</t>
  </si>
  <si>
    <t xml:space="preserve">N265ASO050</t>
  </si>
  <si>
    <t xml:space="preserve">스트라이프크루삭스</t>
  </si>
  <si>
    <t xml:space="preserve">N265ATO010</t>
  </si>
  <si>
    <t xml:space="preserve">크래스트헬맷백</t>
  </si>
  <si>
    <t xml:space="preserve">N265ATO020</t>
  </si>
  <si>
    <t xml:space="preserve">크래스트토트백</t>
  </si>
  <si>
    <t xml:space="preserve">기타</t>
  </si>
  <si>
    <t xml:space="preserve">N265APE495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</si>
  <si>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수출단독</t>
    </r>
    <r>
      <rPr>
        <sz val="11"/>
        <color rgb="FF0000FF"/>
        <rFont val="Cambria"/>
        <family val="0"/>
        <charset val="1"/>
      </rPr>
      <t xml:space="preserve">-</t>
    </r>
    <r>
      <rPr>
        <sz val="11"/>
        <color rgb="FF0000FF"/>
        <rFont val="WenQuanYi Zen Hei"/>
        <family val="2"/>
      </rPr>
      <t xml:space="preserve">사</t>
    </r>
    <r>
      <rPr>
        <sz val="11"/>
        <color rgb="FF0000FF"/>
        <rFont val="Cambria"/>
        <family val="0"/>
        <charset val="1"/>
      </rPr>
      <t xml:space="preserve">)NG</t>
    </r>
    <r>
      <rPr>
        <sz val="11"/>
        <color rgb="FF0000FF"/>
        <rFont val="WenQuanYi Zen Hei"/>
        <family val="2"/>
      </rPr>
      <t xml:space="preserve">쇼퍼백</t>
    </r>
  </si>
  <si>
    <t xml:space="preserve">N265MJP250</t>
  </si>
  <si>
    <t xml:space="preserve">아틀라스 GORE-TEX 3L 방수 자켓</t>
  </si>
  <si>
    <t xml:space="preserve">N265UTS010</t>
  </si>
  <si>
    <t xml:space="preserve">네오디 스몰로고 반팔 티셔츠</t>
  </si>
  <si>
    <t xml:space="preserve">N265UTS909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</si>
  <si>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온전</t>
    </r>
    <r>
      <rPr>
        <sz val="11"/>
        <color rgb="FF0000FF"/>
        <rFont val="Cambria"/>
        <family val="0"/>
        <charset val="1"/>
      </rPr>
      <t xml:space="preserve">) </t>
    </r>
    <r>
      <rPr>
        <sz val="11"/>
        <color rgb="FF0000FF"/>
        <rFont val="WenQuanYi Zen Hei"/>
        <family val="2"/>
      </rPr>
      <t xml:space="preserve">수피마 세미오버핏 반팔 티셔츠</t>
    </r>
  </si>
  <si>
    <t xml:space="preserve">N265UJG010</t>
  </si>
  <si>
    <t xml:space="preserve">쉬프트</t>
  </si>
  <si>
    <t xml:space="preserve">N265UUG010</t>
  </si>
  <si>
    <t xml:space="preserve">하이킥</t>
  </si>
  <si>
    <t xml:space="preserve">N265WJP250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</si>
  <si>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아틀라스 </t>
    </r>
    <r>
      <rPr>
        <sz val="11"/>
        <color rgb="FF0000FF"/>
        <rFont val="Cambria"/>
        <family val="0"/>
        <charset val="1"/>
      </rPr>
      <t xml:space="preserve">GORE-TEX 3L </t>
    </r>
    <r>
      <rPr>
        <sz val="11"/>
        <color rgb="FF0000FF"/>
        <rFont val="WenQuanYi Zen Hei"/>
        <family val="2"/>
      </rPr>
      <t xml:space="preserve">방수 자켓</t>
    </r>
  </si>
  <si>
    <t xml:space="preserve">해외전용(NGA&amp;MG)</t>
  </si>
  <si>
    <t xml:space="preserve">O261WTS302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</si>
  <si>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사선 절개 긴팔티셔츠</t>
    </r>
  </si>
  <si>
    <t xml:space="preserve">O262MHP193</t>
  </si>
  <si>
    <t xml:space="preserve">프로즌+ 반바지</t>
  </si>
  <si>
    <t xml:space="preserve">O262UJP011</t>
  </si>
  <si>
    <t xml:space="preserve">스킨 초경량 UV 점퍼</t>
  </si>
  <si>
    <t xml:space="preserve">O262UTS191</t>
  </si>
  <si>
    <t xml:space="preserve">프로즌+ 포켓 포인트티셔츠</t>
  </si>
  <si>
    <t xml:space="preserve">B2B</t>
  </si>
  <si>
    <t xml:space="preserve">O262UTS920</t>
  </si>
  <si>
    <t xml:space="preserve">베이직 반팔 로고 티셔츠</t>
  </si>
  <si>
    <t xml:space="preserve">O262UTS901</t>
  </si>
  <si>
    <t xml:space="preserve">대만 거실 그래픽 티셔크 (세미오버핏) </t>
  </si>
  <si>
    <t xml:space="preserve">O262UTS902</t>
  </si>
  <si>
    <t xml:space="preserve">대만 검정곰 그래픽 티셔츠(세미오버핏) </t>
  </si>
  <si>
    <t xml:space="preserve">O262UTS903</t>
  </si>
  <si>
    <t xml:space="preserve">대만 바다 거북 그래픽 티셔츠(세미오버핏) </t>
  </si>
  <si>
    <t xml:space="preserve">O262UTS904</t>
  </si>
  <si>
    <t xml:space="preserve">대만 퀸즈 헤드 그래픽 티셔츠(세미 오버 핏) </t>
  </si>
  <si>
    <t xml:space="preserve">O262UTS905</t>
  </si>
  <si>
    <t xml:space="preserve">대만 지우펀 그래픽 티셔츠(세미 오버 핏)</t>
  </si>
  <si>
    <t xml:space="preserve">O262UTS906</t>
  </si>
  <si>
    <t xml:space="preserve">대만 조이 그래픽 티셔츠 (세미오버핏)</t>
  </si>
  <si>
    <t xml:space="preserve">O262WPT301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</si>
  <si>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카시아 랩형 스커트 팬츠</t>
    </r>
  </si>
  <si>
    <t xml:space="preserve">O262WSK141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</si>
  <si>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아델리 포켓 포인트 스커트</t>
    </r>
  </si>
  <si>
    <t xml:space="preserve">O262WSK170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</si>
  <si>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아델리 벌룬핏 스커트</t>
    </r>
  </si>
  <si>
    <t xml:space="preserve">O262WSK301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</si>
  <si>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카시아 포켓 스커트</t>
    </r>
  </si>
  <si>
    <t xml:space="preserve">O262WSK330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</si>
  <si>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에어닷 주름스커트</t>
    </r>
  </si>
  <si>
    <t xml:space="preserve">O262WJP301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</si>
  <si>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스킨 라이트팩 초경량 점퍼</t>
    </r>
  </si>
  <si>
    <t xml:space="preserve">O262WFT142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</si>
  <si>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아델리 냉감 스트레치 여성 후드 반집업 </t>
    </r>
  </si>
  <si>
    <t xml:space="preserve">O262WOP302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</si>
  <si>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카시아 오버롤 원피스</t>
    </r>
  </si>
  <si>
    <t xml:space="preserve">O262WTS926</t>
  </si>
  <si>
    <t xml:space="preserve">여성 반팔 로고 티셔츠</t>
  </si>
  <si>
    <t xml:space="preserve">O262WTS303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</si>
  <si>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카시아 우븐 티셔츠</t>
    </r>
  </si>
  <si>
    <t xml:space="preserve">O263MJK301</t>
  </si>
  <si>
    <r>
      <rPr>
        <sz val="11"/>
        <color rgb="FF0000FF"/>
        <rFont val="Cambria"/>
        <family val="0"/>
        <charset val="1"/>
      </rPr>
      <t xml:space="preserve">DEMIZAX 3L </t>
    </r>
    <r>
      <rPr>
        <sz val="11"/>
        <color rgb="FF0000FF"/>
        <rFont val="WenQuanYi Zen Hei"/>
        <family val="2"/>
      </rPr>
      <t xml:space="preserve">퍼펙트 기능성 자켓</t>
    </r>
  </si>
  <si>
    <t xml:space="preserve">O263UHD900</t>
  </si>
  <si>
    <t xml:space="preserve">대만 설산 그래픽 후디</t>
  </si>
  <si>
    <t xml:space="preserve">O263UHD901</t>
  </si>
  <si>
    <t xml:space="preserve">대만 미어캣 자수 후디</t>
  </si>
  <si>
    <t xml:space="preserve">O263USW901</t>
  </si>
  <si>
    <t xml:space="preserve">대만 고슴도치 자수 맨투맨 티셔츠</t>
  </si>
  <si>
    <t xml:space="preserve">O263USW902</t>
  </si>
  <si>
    <t xml:space="preserve">대만 알파카 자수 맨투맨 티셔츠 </t>
  </si>
  <si>
    <t xml:space="preserve">O263UTS900</t>
  </si>
  <si>
    <t xml:space="preserve">대만 기차 그래픽 반팔 티셔츠 </t>
  </si>
  <si>
    <t xml:space="preserve">O263UTS901</t>
  </si>
  <si>
    <t xml:space="preserve">대만 오토바이 그래픽 반팔 티셔츠</t>
  </si>
  <si>
    <t xml:space="preserve">O263UTS902</t>
  </si>
  <si>
    <t xml:space="preserve">대만 레오파트 그래픽 반팔티</t>
  </si>
  <si>
    <t xml:space="preserve">O263UTS903</t>
  </si>
  <si>
    <t xml:space="preserve">대만 레오파드 자수 반팔 티셔츠</t>
  </si>
  <si>
    <t xml:space="preserve">O263UTS904</t>
  </si>
  <si>
    <t xml:space="preserve">대만 다람쥐 그래픽 반팔 티셔츠</t>
  </si>
  <si>
    <t xml:space="preserve">O263UTS905</t>
  </si>
  <si>
    <t xml:space="preserve">대만 사향 고양이 자수 반팔 티셔츠</t>
  </si>
  <si>
    <t xml:space="preserve">O263WSK301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</si>
  <si>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립스탑 스커트</t>
    </r>
  </si>
  <si>
    <t xml:space="preserve">O263WJK301</t>
  </si>
  <si>
    <r>
      <rPr>
        <sz val="11"/>
        <color rgb="FF0000FF"/>
        <rFont val="Cambria"/>
        <family val="0"/>
        <charset val="1"/>
      </rPr>
      <t xml:space="preserve">W' DEMIZAX 3L </t>
    </r>
    <r>
      <rPr>
        <sz val="11"/>
        <color rgb="FF0000FF"/>
        <rFont val="WenQuanYi Zen Hei"/>
        <family val="2"/>
      </rPr>
      <t xml:space="preserve">퍼펙트 기능성 자켓</t>
    </r>
  </si>
  <si>
    <t xml:space="preserve">O263WFT301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</si>
  <si>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아르켈론 집업 자켓</t>
    </r>
  </si>
  <si>
    <t xml:space="preserve">O264MDW301</t>
  </si>
  <si>
    <t xml:space="preserve">윈드브레이커 3IN1 다운 자켓</t>
  </si>
  <si>
    <t xml:space="preserve">O264WDW301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</si>
  <si>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윈드브레이커 </t>
    </r>
    <r>
      <rPr>
        <sz val="11"/>
        <color rgb="FF0000FF"/>
        <rFont val="Cambria"/>
        <family val="0"/>
        <charset val="1"/>
      </rPr>
      <t xml:space="preserve">3IN1 </t>
    </r>
    <r>
      <rPr>
        <sz val="11"/>
        <color rgb="FF0000FF"/>
        <rFont val="WenQuanYi Zen Hei"/>
        <family val="2"/>
      </rPr>
      <t xml:space="preserve">다운 자켓</t>
    </r>
  </si>
  <si>
    <t xml:space="preserve">O264WDW302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</si>
  <si>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퍼 리버서블 덕다운 자켓</t>
    </r>
  </si>
  <si>
    <t xml:space="preserve">O264WDW303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</si>
  <si>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네이쳐 문양 구스 다운 자켓</t>
    </r>
  </si>
  <si>
    <t xml:space="preserve">O264WDW304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</si>
  <si>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솔리드 숏기장 구스 다운 자켓</t>
    </r>
  </si>
  <si>
    <t xml:space="preserve">O264WKT010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</si>
  <si>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스웨터 니트 가디건</t>
    </r>
  </si>
  <si>
    <t xml:space="preserve">O264WOP301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</si>
  <si>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원피스</t>
    </r>
  </si>
  <si>
    <t xml:space="preserve">O265ABG020</t>
  </si>
  <si>
    <t xml:space="preserve">파치백팩_라이트</t>
  </si>
  <si>
    <t xml:space="preserve">O265ABG030</t>
  </si>
  <si>
    <t xml:space="preserve">파치+백팩_라이트</t>
  </si>
  <si>
    <t xml:space="preserve">O265ABG040</t>
  </si>
  <si>
    <t xml:space="preserve">라코백팩_라이트</t>
  </si>
  <si>
    <t xml:space="preserve">O265ABG050</t>
  </si>
  <si>
    <t xml:space="preserve">유니티백팩_라이트</t>
  </si>
  <si>
    <t xml:space="preserve">O265ABG060</t>
  </si>
  <si>
    <t xml:space="preserve">브레이브백팩_라이트</t>
  </si>
  <si>
    <t xml:space="preserve">O265ABG070</t>
  </si>
  <si>
    <t xml:space="preserve">시프트백팩_라이트</t>
  </si>
  <si>
    <t xml:space="preserve"> </t>
  </si>
  <si>
    <t xml:space="preserve">       소  계</t>
  </si>
  <si>
    <t xml:space="preserve">W9007</t>
  </si>
  <si>
    <t xml:space="preserve">홍콩법인</t>
  </si>
  <si>
    <t xml:space="preserve">N235APE498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</si>
  <si>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사</t>
    </r>
    <r>
      <rPr>
        <sz val="11"/>
        <color rgb="FF0000FF"/>
        <rFont val="Cambria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돗자리</t>
    </r>
  </si>
  <si>
    <t xml:space="preserve">캐리어</t>
  </si>
  <si>
    <t xml:space="preserve">N255ASU450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</si>
  <si>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 </t>
    </r>
    <r>
      <rPr>
        <sz val="11"/>
        <color rgb="FF0000FF"/>
        <rFont val="WenQuanYi Zen Hei"/>
        <family val="2"/>
      </rPr>
      <t xml:space="preserve">부다페스트 캐리어 </t>
    </r>
    <r>
      <rPr>
        <sz val="11"/>
        <color rgb="FF0000FF"/>
        <rFont val="Cambria"/>
        <family val="0"/>
        <charset val="1"/>
      </rPr>
      <t xml:space="preserve">24</t>
    </r>
  </si>
  <si>
    <t xml:space="preserve">홈쇼핑</t>
  </si>
  <si>
    <t xml:space="preserve">N255APP510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</si>
  <si>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홈</t>
    </r>
    <r>
      <rPr>
        <sz val="11"/>
        <color rgb="FF0000FF"/>
        <rFont val="Cambria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풀데이 미니캐리어 </t>
    </r>
    <r>
      <rPr>
        <sz val="11"/>
        <color rgb="FF0000FF"/>
        <rFont val="Cambria"/>
        <family val="0"/>
        <charset val="1"/>
      </rPr>
      <t xml:space="preserve">V2</t>
    </r>
  </si>
  <si>
    <t xml:space="preserve">N255USN312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</si>
  <si>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 </t>
    </r>
    <r>
      <rPr>
        <sz val="11"/>
        <color rgb="FF0000FF"/>
        <rFont val="WenQuanYi Zen Hei"/>
        <family val="2"/>
      </rPr>
      <t xml:space="preserve">스텀프 </t>
    </r>
    <r>
      <rPr>
        <sz val="11"/>
        <color rgb="FF0000FF"/>
        <rFont val="Cambria"/>
        <family val="0"/>
        <charset val="1"/>
      </rPr>
      <t xml:space="preserve">V3</t>
    </r>
  </si>
  <si>
    <t xml:space="preserve">N261MPT510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</si>
  <si>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유틸리티 베이직핏 조거 팬츠</t>
    </r>
  </si>
  <si>
    <t xml:space="preserve">N261MPT210</t>
  </si>
  <si>
    <t xml:space="preserve">아르마딜로 스트레치 베이직핏 스트레이트 팬츠</t>
  </si>
  <si>
    <t xml:space="preserve">N261MJP530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</si>
  <si>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유틸리티 필드 자켓</t>
    </r>
  </si>
  <si>
    <t xml:space="preserve">N261MJP210</t>
  </si>
  <si>
    <t xml:space="preserve">어반시티 블루종 점퍼</t>
  </si>
  <si>
    <t xml:space="preserve">N261MJP270</t>
  </si>
  <si>
    <r>
      <rPr>
        <sz val="11"/>
        <color rgb="FF0000FF"/>
        <rFont val="Cambria"/>
        <family val="0"/>
        <charset val="1"/>
      </rPr>
      <t xml:space="preserve">3L </t>
    </r>
    <r>
      <rPr>
        <sz val="11"/>
        <color rgb="FF0000FF"/>
        <rFont val="WenQuanYi Zen Hei"/>
        <family val="2"/>
      </rPr>
      <t xml:space="preserve">방수 후드형 자켓</t>
    </r>
  </si>
  <si>
    <t xml:space="preserve">N261MFT510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</si>
  <si>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유틸리티 세미오버핏 후드 풀집업</t>
    </r>
  </si>
  <si>
    <t xml:space="preserve">N261UPT050</t>
  </si>
  <si>
    <t xml:space="preserve">마게이 베이직핏 조거 카고 팬츠</t>
  </si>
  <si>
    <t xml:space="preserve">N261UPT091</t>
  </si>
  <si>
    <t xml:space="preserve">리오 스트레치 베이직핏 조거 카고 팬츠</t>
  </si>
  <si>
    <t xml:space="preserve">N261UFT050</t>
  </si>
  <si>
    <t xml:space="preserve">마게이 소매 포켓 베이직핏 후드 풀집업</t>
  </si>
  <si>
    <t xml:space="preserve">N261UFT090</t>
  </si>
  <si>
    <t xml:space="preserve">리오 스트레치 세미오버핏 후드 풀집업</t>
  </si>
  <si>
    <t xml:space="preserve">N261UFT220</t>
  </si>
  <si>
    <t xml:space="preserve">어반 스트레치 액티브핏 후드 집업</t>
  </si>
  <si>
    <t xml:space="preserve">N261USW050</t>
  </si>
  <si>
    <t xml:space="preserve">가슴포켓 세미오버핏 하이브리드 맨투맨</t>
  </si>
  <si>
    <t xml:space="preserve">N261USW210</t>
  </si>
  <si>
    <t xml:space="preserve">블루핀 로고 세미오버핏 맨투맨</t>
  </si>
  <si>
    <t xml:space="preserve">N261WJP100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</si>
  <si>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스트레치 중기장 스탠드넥 점퍼</t>
    </r>
  </si>
  <si>
    <t xml:space="preserve">N262MPT030</t>
  </si>
  <si>
    <t xml:space="preserve">크로우 세미루즈핏 스트레이트 카고 팬츠</t>
  </si>
  <si>
    <t xml:space="preserve">N262MPT510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</si>
  <si>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경량 어드벤처 베이직핏 조거 팬츠</t>
    </r>
  </si>
  <si>
    <t xml:space="preserve">N262MPT210</t>
  </si>
  <si>
    <t xml:space="preserve">골든자칼 고신축 베이직핏 스트레이트 팬츠</t>
  </si>
  <si>
    <t xml:space="preserve">N262MPT320</t>
  </si>
  <si>
    <t xml:space="preserve">에어서커 베이직핏 스트레이트 팬츠</t>
  </si>
  <si>
    <t xml:space="preserve">N262MVT540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</si>
  <si>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유틸리티 베스트</t>
    </r>
  </si>
  <si>
    <t xml:space="preserve">N262MVT230</t>
  </si>
  <si>
    <t xml:space="preserve">베이드 경량 베스트</t>
  </si>
  <si>
    <t xml:space="preserve">N262MFT310</t>
  </si>
  <si>
    <t xml:space="preserve">에어서커 스탠드넥 집업 점퍼</t>
  </si>
  <si>
    <t xml:space="preserve">N262MSH560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</si>
  <si>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멀티포켓 세미오버핏 반팔 셔츠</t>
    </r>
  </si>
  <si>
    <t xml:space="preserve">N262MTS570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</si>
  <si>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네이쳐 냉감 로고 세미오버핏 티셔츠</t>
    </r>
  </si>
  <si>
    <t xml:space="preserve">N262MTS270</t>
  </si>
  <si>
    <t xml:space="preserve">와플 세미오버핏 반팔 티셔츠</t>
  </si>
  <si>
    <t xml:space="preserve">N262UHP210</t>
  </si>
  <si>
    <t xml:space="preserve">키프로스 5부 쇼츠</t>
  </si>
  <si>
    <t xml:space="preserve">N262UJP010</t>
  </si>
  <si>
    <t xml:space="preserve">월리스 후드 풀집업 바람막이</t>
  </si>
  <si>
    <t xml:space="preserve">N262UJP230</t>
  </si>
  <si>
    <t xml:space="preserve">베이드 경량 벤틸레이션 후드 점퍼</t>
  </si>
  <si>
    <t xml:space="preserve">N262UTS090</t>
  </si>
  <si>
    <t xml:space="preserve">크로우 트리코트 세미오버핏 반팔 티셔츠</t>
  </si>
  <si>
    <t xml:space="preserve">N262UTS410</t>
  </si>
  <si>
    <t xml:space="preserve">야자수 그래픽 세미오버핏 반팔 티셔츠</t>
  </si>
  <si>
    <t xml:space="preserve">N262USD040</t>
  </si>
  <si>
    <t xml:space="preserve">클리프 26</t>
  </si>
  <si>
    <t xml:space="preserve">N262WHP170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</si>
  <si>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피넷 냉감 스트레치 </t>
    </r>
    <r>
      <rPr>
        <sz val="11"/>
        <color rgb="FF0000FF"/>
        <rFont val="Cambria"/>
        <family val="0"/>
        <charset val="1"/>
      </rPr>
      <t xml:space="preserve">4</t>
    </r>
    <r>
      <rPr>
        <sz val="11"/>
        <color rgb="FF0000FF"/>
        <rFont val="WenQuanYi Zen Hei"/>
        <family val="2"/>
      </rPr>
      <t xml:space="preserve">부 카고 쇼츠</t>
    </r>
  </si>
  <si>
    <t xml:space="preserve">N262WJP170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</si>
  <si>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피넷 냉감 스탠드넥 점퍼</t>
    </r>
  </si>
  <si>
    <t xml:space="preserve">N262WJP350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</si>
  <si>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에어플로우 하이브리드 후드 점퍼</t>
    </r>
  </si>
  <si>
    <t xml:space="preserve">N262WOP140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</si>
  <si>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프리즈 스트레치 </t>
    </r>
    <r>
      <rPr>
        <sz val="11"/>
        <color rgb="FF0000FF"/>
        <rFont val="Cambria"/>
        <family val="0"/>
        <charset val="1"/>
      </rPr>
      <t xml:space="preserve">A</t>
    </r>
    <r>
      <rPr>
        <sz val="11"/>
        <color rgb="FF0000FF"/>
        <rFont val="WenQuanYi Zen Hei"/>
        <family val="2"/>
      </rPr>
      <t xml:space="preserve">라인 카라 반팔 원피스</t>
    </r>
  </si>
  <si>
    <t xml:space="preserve">N262WOP141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</si>
  <si>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프리즈 스트레치 </t>
    </r>
    <r>
      <rPr>
        <sz val="11"/>
        <color rgb="FF0000FF"/>
        <rFont val="Cambria"/>
        <family val="0"/>
        <charset val="1"/>
      </rPr>
      <t xml:space="preserve">H</t>
    </r>
    <r>
      <rPr>
        <sz val="11"/>
        <color rgb="FF0000FF"/>
        <rFont val="WenQuanYi Zen Hei"/>
        <family val="2"/>
      </rPr>
      <t xml:space="preserve">라인 후드 반팔 원피스</t>
    </r>
  </si>
  <si>
    <t xml:space="preserve">N262WTS060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</si>
  <si>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라텔 리젠 오버핏 크롭 반팔 티셔츠</t>
    </r>
  </si>
  <si>
    <t xml:space="preserve">N262WTS070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</si>
  <si>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캐스터 </t>
    </r>
    <r>
      <rPr>
        <sz val="11"/>
        <color rgb="FF0000FF"/>
        <rFont val="Cambria"/>
        <family val="0"/>
        <charset val="1"/>
      </rPr>
      <t xml:space="preserve">COOL MAX ECO </t>
    </r>
    <r>
      <rPr>
        <sz val="11"/>
        <color rgb="FF0000FF"/>
        <rFont val="WenQuanYi Zen Hei"/>
        <family val="2"/>
      </rPr>
      <t xml:space="preserve">지구 그래픽 세미오버핏 반팔 티셔츠</t>
    </r>
  </si>
  <si>
    <t xml:space="preserve">N262WTS071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</si>
  <si>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캐스터 </t>
    </r>
    <r>
      <rPr>
        <sz val="11"/>
        <color rgb="FF0000FF"/>
        <rFont val="Cambria"/>
        <family val="0"/>
        <charset val="1"/>
      </rPr>
      <t xml:space="preserve">COOL MAX ECO </t>
    </r>
    <r>
      <rPr>
        <sz val="11"/>
        <color rgb="FF0000FF"/>
        <rFont val="WenQuanYi Zen Hei"/>
        <family val="2"/>
      </rPr>
      <t xml:space="preserve">로고 세미오버핏 세미크롭 반팔 티셔츠</t>
    </r>
  </si>
  <si>
    <t xml:space="preserve">N262WTS081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</si>
  <si>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아비스 </t>
    </r>
    <r>
      <rPr>
        <sz val="11"/>
        <color rgb="FF0000FF"/>
        <rFont val="Cambria"/>
        <family val="0"/>
        <charset val="1"/>
      </rPr>
      <t xml:space="preserve">AEROSILVER </t>
    </r>
    <r>
      <rPr>
        <sz val="11"/>
        <color rgb="FF0000FF"/>
        <rFont val="WenQuanYi Zen Hei"/>
        <family val="2"/>
      </rPr>
      <t xml:space="preserve">그래픽 반팔 티셔츠</t>
    </r>
  </si>
  <si>
    <t xml:space="preserve">N262WTS082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</si>
  <si>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아비스 </t>
    </r>
    <r>
      <rPr>
        <sz val="11"/>
        <color rgb="FF0000FF"/>
        <rFont val="Cambria"/>
        <family val="0"/>
        <charset val="1"/>
      </rPr>
      <t xml:space="preserve">AEROSILVER </t>
    </r>
    <r>
      <rPr>
        <sz val="11"/>
        <color rgb="FF0000FF"/>
        <rFont val="WenQuanYi Zen Hei"/>
        <family val="2"/>
      </rPr>
      <t xml:space="preserve">그래픽 세미오버핏 세미크롭 반팔 티셔츠</t>
    </r>
  </si>
  <si>
    <t xml:space="preserve">N262WTS091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</si>
  <si>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크로우 소로나 쿨터치 세미오버핏 세미크롭 반팔 티셔츠</t>
    </r>
  </si>
  <si>
    <t xml:space="preserve">N262WTS350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</si>
  <si>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에어플로우 하이브리드 세미크롭 반팔 티셔츠</t>
    </r>
  </si>
  <si>
    <t xml:space="preserve">N262WTS410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</si>
  <si>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그래픽 티셔츠</t>
    </r>
  </si>
  <si>
    <t xml:space="preserve">N263ABG020</t>
  </si>
  <si>
    <r>
      <rPr>
        <sz val="11"/>
        <color rgb="FF0000FF"/>
        <rFont val="Cambria"/>
        <family val="0"/>
        <charset val="1"/>
      </rPr>
      <t xml:space="preserve">NRN</t>
    </r>
    <r>
      <rPr>
        <sz val="11"/>
        <color rgb="FF0000FF"/>
        <rFont val="WenQuanYi Zen Hei"/>
        <family val="2"/>
      </rPr>
      <t xml:space="preserve">엔지니어드백팩</t>
    </r>
  </si>
  <si>
    <t xml:space="preserve">N263ABG040</t>
  </si>
  <si>
    <r>
      <rPr>
        <sz val="11"/>
        <color rgb="FF0000FF"/>
        <rFont val="Cambria"/>
        <family val="0"/>
        <charset val="1"/>
      </rPr>
      <t xml:space="preserve">W</t>
    </r>
    <r>
      <rPr>
        <sz val="11"/>
        <color rgb="FF0000FF"/>
        <rFont val="WenQuanYi Zen Hei"/>
        <family val="2"/>
      </rPr>
      <t xml:space="preserve">플러피미니백팩</t>
    </r>
  </si>
  <si>
    <t xml:space="preserve">N263AHA010</t>
  </si>
  <si>
    <t xml:space="preserve">빈티지볼캡</t>
  </si>
  <si>
    <t xml:space="preserve">N263AHA020</t>
  </si>
  <si>
    <t xml:space="preserve">코튼브러쉬드로고볼캡</t>
  </si>
  <si>
    <t xml:space="preserve">N263AMS010</t>
  </si>
  <si>
    <t xml:space="preserve">패디드머플러</t>
  </si>
  <si>
    <t xml:space="preserve">N263ATO020</t>
  </si>
  <si>
    <r>
      <rPr>
        <sz val="11"/>
        <color rgb="FF0000FF"/>
        <rFont val="Cambria"/>
        <family val="0"/>
        <charset val="1"/>
      </rPr>
      <t xml:space="preserve">W</t>
    </r>
    <r>
      <rPr>
        <sz val="11"/>
        <color rgb="FF0000FF"/>
        <rFont val="WenQuanYi Zen Hei"/>
        <family val="2"/>
      </rPr>
      <t xml:space="preserve">플러피토트백</t>
    </r>
  </si>
  <si>
    <t xml:space="preserve">N263MPT510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</si>
  <si>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슬레이트 세미 레귤러핏 팬츠</t>
    </r>
  </si>
  <si>
    <t xml:space="preserve">N263MJP520</t>
  </si>
  <si>
    <r>
      <rPr>
        <sz val="11"/>
        <color rgb="FF0000FF"/>
        <rFont val="Cambria"/>
        <family val="0"/>
        <charset val="1"/>
      </rPr>
      <t xml:space="preserve">[CORDURA] NRN </t>
    </r>
    <r>
      <rPr>
        <sz val="11"/>
        <color rgb="FF0000FF"/>
        <rFont val="WenQuanYi Zen Hei"/>
        <family val="2"/>
      </rPr>
      <t xml:space="preserve">유틸리티 셔츠 자켓</t>
    </r>
  </si>
  <si>
    <t xml:space="preserve">N263UPT010</t>
  </si>
  <si>
    <t xml:space="preserve">슐리언 레귤러핏 조거 카고 팬츠</t>
  </si>
  <si>
    <t xml:space="preserve">N263UPT080</t>
  </si>
  <si>
    <t xml:space="preserve">레귤러핏 스트레이트 스웻팬츠</t>
  </si>
  <si>
    <t xml:space="preserve">N263UJP010</t>
  </si>
  <si>
    <r>
      <rPr>
        <sz val="11"/>
        <color rgb="FF0000FF"/>
        <rFont val="Cambria"/>
        <family val="0"/>
        <charset val="1"/>
      </rPr>
      <t xml:space="preserve">2L </t>
    </r>
    <r>
      <rPr>
        <sz val="11"/>
        <color rgb="FF0000FF"/>
        <rFont val="WenQuanYi Zen Hei"/>
        <family val="2"/>
      </rPr>
      <t xml:space="preserve">컬러블록 점퍼</t>
    </r>
  </si>
  <si>
    <t xml:space="preserve">N263UJP240</t>
  </si>
  <si>
    <t xml:space="preserve">어반스퀘어 3L 방수 후드 점퍼</t>
  </si>
  <si>
    <t xml:space="preserve">N263UFT010</t>
  </si>
  <si>
    <t xml:space="preserve">슐리언 소매 포켓 베이직핏 후드 풀집업</t>
  </si>
  <si>
    <t xml:space="preserve">N263USW070</t>
  </si>
  <si>
    <t xml:space="preserve">소재변형 세미오버핏 맨투맨</t>
  </si>
  <si>
    <t xml:space="preserve">N263WPT010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</si>
  <si>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레귤러핏 스트레이트 스웻팬츠</t>
    </r>
  </si>
  <si>
    <t xml:space="preserve">N263WPT220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</si>
  <si>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네이쳐 세미레귤러핏 조거 팬츠</t>
    </r>
  </si>
  <si>
    <t xml:space="preserve">N263WJP220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</si>
  <si>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네이쳐 경량 자켓</t>
    </r>
  </si>
  <si>
    <t xml:space="preserve">N263WSW030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</si>
  <si>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그래픽 세미크롭 맨투맨</t>
    </r>
  </si>
  <si>
    <t xml:space="preserve">N263WTS010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</si>
  <si>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와플 이너 티셔츠</t>
    </r>
  </si>
  <si>
    <t xml:space="preserve">N264MPT010</t>
  </si>
  <si>
    <t xml:space="preserve">디블러 레귤러핏 스트레이트 기모 팬츠</t>
  </si>
  <si>
    <t xml:space="preserve">N264MPT040</t>
  </si>
  <si>
    <t xml:space="preserve">기모 레귤러핏 팬츠</t>
  </si>
  <si>
    <t xml:space="preserve">N264MDV210</t>
  </si>
  <si>
    <r>
      <rPr>
        <sz val="11"/>
        <color rgb="FF0000FF"/>
        <rFont val="Cambria"/>
        <family val="0"/>
        <charset val="1"/>
      </rPr>
      <t xml:space="preserve">[PERTEX] </t>
    </r>
    <r>
      <rPr>
        <sz val="11"/>
        <color rgb="FF0000FF"/>
        <rFont val="WenQuanYi Zen Hei"/>
        <family val="2"/>
      </rPr>
      <t xml:space="preserve">토르니에 액티브 구스다운 베스트</t>
    </r>
  </si>
  <si>
    <t xml:space="preserve">N264MDW260</t>
  </si>
  <si>
    <t xml:space="preserve">안타레스 3L 모듈 구스다운 점퍼</t>
  </si>
  <si>
    <t xml:space="preserve">N264MPD510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</si>
  <si>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프리마로프트 슬레이트 패딩 점퍼</t>
    </r>
  </si>
  <si>
    <t xml:space="preserve">N264MHD500</t>
  </si>
  <si>
    <r>
      <rPr>
        <sz val="11"/>
        <color rgb="FF0000FF"/>
        <rFont val="Cambria"/>
        <family val="0"/>
        <charset val="1"/>
      </rPr>
      <t xml:space="preserve">[POLARTEC] NRN </t>
    </r>
    <r>
      <rPr>
        <sz val="11"/>
        <color rgb="FF0000FF"/>
        <rFont val="WenQuanYi Zen Hei"/>
        <family val="2"/>
      </rPr>
      <t xml:space="preserve">슬레이트 플리스 후디</t>
    </r>
  </si>
  <si>
    <t xml:space="preserve">N264UPT060</t>
  </si>
  <si>
    <t xml:space="preserve">시로 플리스 릴렉스핏 카고 조거 팬츠</t>
  </si>
  <si>
    <t xml:space="preserve">N264UDV010</t>
  </si>
  <si>
    <t xml:space="preserve">라이트팩 덕다운 베스트</t>
  </si>
  <si>
    <t xml:space="preserve">N264UDW025</t>
  </si>
  <si>
    <t xml:space="preserve">악틱 경량 리버서블 구스다운 점퍼</t>
  </si>
  <si>
    <t xml:space="preserve">N264UDW030</t>
  </si>
  <si>
    <t xml:space="preserve">메를린 후드 경량 구스다운 점퍼</t>
  </si>
  <si>
    <t xml:space="preserve">N264UDW130</t>
  </si>
  <si>
    <t xml:space="preserve">네츄라 후드 덕다운 점퍼</t>
  </si>
  <si>
    <t xml:space="preserve">N264UDW161</t>
  </si>
  <si>
    <t xml:space="preserve">피그먼트 중기장 덕다운 점퍼</t>
  </si>
  <si>
    <t xml:space="preserve">N264UFJ160</t>
  </si>
  <si>
    <t xml:space="preserve">시로 마이크로 플리스 후드 집업</t>
  </si>
  <si>
    <t xml:space="preserve">N264UPD010</t>
  </si>
  <si>
    <t xml:space="preserve">링크스 리버서블 플리스 라이너 패딩 점퍼</t>
  </si>
  <si>
    <t xml:space="preserve">N264UHD030</t>
  </si>
  <si>
    <t xml:space="preserve">기모 동물그래픽 세미오버핏 후디</t>
  </si>
  <si>
    <t xml:space="preserve">N264USW030</t>
  </si>
  <si>
    <t xml:space="preserve">그래픽 기모 세미오버핏 맨투맨</t>
  </si>
  <si>
    <t xml:space="preserve">N264WPT070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</si>
  <si>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소재변형 레귤러핏 부츠컷 팬츠</t>
    </r>
  </si>
  <si>
    <t xml:space="preserve">N264WPT210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</si>
  <si>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고신축 브러쉬 슬림핏 스트레이트 팬츠</t>
    </r>
  </si>
  <si>
    <t xml:space="preserve">N264WDV010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</si>
  <si>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라이트팩 경량 덕다운 베스트</t>
    </r>
  </si>
  <si>
    <t xml:space="preserve">N264WDV040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</si>
  <si>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크라사 후드 덕다운 베스트</t>
    </r>
  </si>
  <si>
    <t xml:space="preserve">N264WDW100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</si>
  <si>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메를린 후드 중경량 덕다운 점퍼</t>
    </r>
  </si>
  <si>
    <t xml:space="preserve">N264WDW240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</si>
  <si>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소매 하이브리드 구스다운 점퍼</t>
    </r>
  </si>
  <si>
    <t xml:space="preserve">N264WFT070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</si>
  <si>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소재변형 후드 집업</t>
    </r>
  </si>
  <si>
    <t xml:space="preserve">N264WHD010</t>
  </si>
  <si>
    <r>
      <rPr>
        <sz val="11"/>
        <color rgb="FF0000FF"/>
        <rFont val="Cambria"/>
        <family val="0"/>
        <charset val="1"/>
      </rPr>
      <t xml:space="preserve">W' CP </t>
    </r>
    <r>
      <rPr>
        <sz val="11"/>
        <color rgb="FF0000FF"/>
        <rFont val="WenQuanYi Zen Hei"/>
        <family val="2"/>
      </rPr>
      <t xml:space="preserve">기모 베이직핏 후디</t>
    </r>
  </si>
  <si>
    <t xml:space="preserve">N265ABG080</t>
  </si>
  <si>
    <t xml:space="preserve">엑스트라백팩</t>
  </si>
  <si>
    <t xml:space="preserve">N265ABG140</t>
  </si>
  <si>
    <t xml:space="preserve">데일리라이트백팩</t>
  </si>
  <si>
    <t xml:space="preserve">N265ABG160</t>
  </si>
  <si>
    <t xml:space="preserve">트레이서백팩</t>
  </si>
  <si>
    <t xml:space="preserve">N265ACR120</t>
  </si>
  <si>
    <t xml:space="preserve">라이트더블크로스백</t>
  </si>
  <si>
    <t xml:space="preserve">N265ACR180</t>
  </si>
  <si>
    <t xml:space="preserve">울트라미니크로스백</t>
  </si>
  <si>
    <t xml:space="preserve">N265ACR250</t>
  </si>
  <si>
    <r>
      <rPr>
        <sz val="11"/>
        <color rgb="FF0000FF"/>
        <rFont val="Cambria"/>
        <family val="0"/>
        <charset val="1"/>
      </rPr>
      <t xml:space="preserve">W</t>
    </r>
    <r>
      <rPr>
        <sz val="11"/>
        <color rgb="FF0000FF"/>
        <rFont val="WenQuanYi Zen Hei"/>
        <family val="2"/>
      </rPr>
      <t xml:space="preserve">리브크로스백</t>
    </r>
  </si>
  <si>
    <t xml:space="preserve">N265ACR290</t>
  </si>
  <si>
    <t xml:space="preserve">데일리라이트크로스백S</t>
  </si>
  <si>
    <t xml:space="preserve">N265ACR300</t>
  </si>
  <si>
    <t xml:space="preserve">데일리라이트크로스백M</t>
  </si>
  <si>
    <t xml:space="preserve">N265ACR320</t>
  </si>
  <si>
    <t xml:space="preserve">트레이서미니사코슈백</t>
  </si>
  <si>
    <t xml:space="preserve">N265AHA040</t>
  </si>
  <si>
    <t xml:space="preserve">어반고주파로고캡</t>
  </si>
  <si>
    <t xml:space="preserve">N265AHA140</t>
  </si>
  <si>
    <t xml:space="preserve">엔지니어드햇</t>
  </si>
  <si>
    <t xml:space="preserve">N265UJG020</t>
  </si>
  <si>
    <t xml:space="preserve">트레고</t>
  </si>
  <si>
    <t xml:space="preserve">N265UTR010</t>
  </si>
  <si>
    <t xml:space="preserve">로버 젠</t>
  </si>
  <si>
    <t xml:space="preserve">O261UJP062</t>
  </si>
  <si>
    <t xml:space="preserve">O262MSH193</t>
  </si>
  <si>
    <t xml:space="preserve">프로즌+ 셔츠</t>
  </si>
  <si>
    <t xml:space="preserve">O262UFT142</t>
  </si>
  <si>
    <t xml:space="preserve">O262UTS141</t>
  </si>
  <si>
    <t xml:space="preserve">O262UTS912</t>
  </si>
  <si>
    <t xml:space="preserve">홍콩 그래픽 반팔티1 </t>
  </si>
  <si>
    <t xml:space="preserve">O262UTS913</t>
  </si>
  <si>
    <t xml:space="preserve">홍콩 그래픽 반팔티 2</t>
  </si>
  <si>
    <t xml:space="preserve">O262UTS914</t>
  </si>
  <si>
    <t xml:space="preserve">홍콩 그래픽 반팔티 3</t>
  </si>
  <si>
    <t xml:space="preserve">O262UTS915</t>
  </si>
  <si>
    <t xml:space="preserve">홍콩 그래픽 반팔티4</t>
  </si>
  <si>
    <t xml:space="preserve">O262UTS916</t>
  </si>
  <si>
    <t xml:space="preserve">홍콩 그래픽 반팔 티셔츠5</t>
  </si>
  <si>
    <t xml:space="preserve">O262UTS917</t>
  </si>
  <si>
    <t xml:space="preserve">홍콩 그래픽 반팔티6</t>
  </si>
  <si>
    <t xml:space="preserve">O262UTS907</t>
  </si>
  <si>
    <t xml:space="preserve">홍콩 빅토리아 하버 그래픽(베이직핏)</t>
  </si>
  <si>
    <t xml:space="preserve">O262UTS908</t>
  </si>
  <si>
    <t xml:space="preserve">홍콩 파인애플번 그래픽 티셔츠(세미오버핏)</t>
  </si>
  <si>
    <t xml:space="preserve">O262UTS909</t>
  </si>
  <si>
    <t xml:space="preserve">홍콩 샤오마이 그래픽 티셔츠(세미오버핏) </t>
  </si>
  <si>
    <t xml:space="preserve">O262UTS910</t>
  </si>
  <si>
    <t xml:space="preserve">홍콩 밀크티 그래픽 티셔츠(세미오버핏)</t>
  </si>
  <si>
    <t xml:space="preserve">O262UTS911</t>
  </si>
  <si>
    <t xml:space="preserve">홍콩 에그타르트 그래픽(세미오버핏)</t>
  </si>
  <si>
    <t xml:space="preserve">O262UTS926</t>
  </si>
  <si>
    <t xml:space="preserve">홍콩 파인애플번 와펜 티셔츠(세미오버핏)</t>
  </si>
  <si>
    <t xml:space="preserve">O262WJP302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</si>
  <si>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스킨 초경량 </t>
    </r>
    <r>
      <rPr>
        <sz val="11"/>
        <color rgb="FF0000FF"/>
        <rFont val="Cambria"/>
        <family val="0"/>
        <charset val="1"/>
      </rPr>
      <t xml:space="preserve">UV </t>
    </r>
    <r>
      <rPr>
        <sz val="11"/>
        <color rgb="FF0000FF"/>
        <rFont val="WenQuanYi Zen Hei"/>
        <family val="2"/>
      </rPr>
      <t xml:space="preserve">점퍼</t>
    </r>
  </si>
  <si>
    <t xml:space="preserve">O262WVT301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</si>
  <si>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스킨 초경량 </t>
    </r>
    <r>
      <rPr>
        <sz val="11"/>
        <color rgb="FF0000FF"/>
        <rFont val="Cambria"/>
        <family val="0"/>
        <charset val="1"/>
      </rPr>
      <t xml:space="preserve">UV </t>
    </r>
    <r>
      <rPr>
        <sz val="11"/>
        <color rgb="FF0000FF"/>
        <rFont val="WenQuanYi Zen Hei"/>
        <family val="2"/>
      </rPr>
      <t xml:space="preserve">스킨 베스트</t>
    </r>
  </si>
  <si>
    <t xml:space="preserve">O262WOP190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</si>
  <si>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아델리 카라 포인트 원피스</t>
    </r>
  </si>
  <si>
    <t xml:space="preserve">O262WSH193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</si>
  <si>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프로즌</t>
    </r>
    <r>
      <rPr>
        <sz val="11"/>
        <color rgb="FF0000FF"/>
        <rFont val="Cambria"/>
        <family val="0"/>
        <charset val="1"/>
      </rPr>
      <t xml:space="preserve">+ </t>
    </r>
    <r>
      <rPr>
        <sz val="11"/>
        <color rgb="FF0000FF"/>
        <rFont val="WenQuanYi Zen Hei"/>
        <family val="2"/>
      </rPr>
      <t xml:space="preserve">셔츠</t>
    </r>
  </si>
  <si>
    <t xml:space="preserve">O262WTS191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</si>
  <si>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프로즌</t>
    </r>
    <r>
      <rPr>
        <sz val="11"/>
        <color rgb="FF0000FF"/>
        <rFont val="Cambria"/>
        <family val="0"/>
        <charset val="1"/>
      </rPr>
      <t xml:space="preserve">+ </t>
    </r>
    <r>
      <rPr>
        <sz val="11"/>
        <color rgb="FF0000FF"/>
        <rFont val="WenQuanYi Zen Hei"/>
        <family val="2"/>
      </rPr>
      <t xml:space="preserve">티셔츠</t>
    </r>
  </si>
  <si>
    <t xml:space="preserve">O262WTS192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</si>
  <si>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프로즌</t>
    </r>
    <r>
      <rPr>
        <sz val="11"/>
        <color rgb="FF0000FF"/>
        <rFont val="Cambria"/>
        <family val="0"/>
        <charset val="1"/>
      </rPr>
      <t xml:space="preserve">+ </t>
    </r>
    <r>
      <rPr>
        <sz val="11"/>
        <color rgb="FF0000FF"/>
        <rFont val="WenQuanYi Zen Hei"/>
        <family val="2"/>
      </rPr>
      <t xml:space="preserve">하프넥 티셔츠</t>
    </r>
  </si>
  <si>
    <t xml:space="preserve">O263WJK304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</si>
  <si>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오거스틴 중기장 자켓</t>
    </r>
  </si>
  <si>
    <t xml:space="preserve">WW002</t>
  </si>
  <si>
    <t xml:space="preserve">상해법인(덕나이철)</t>
  </si>
  <si>
    <t xml:space="preserve">N255ASU050</t>
  </si>
  <si>
    <t xml:space="preserve">하바나 캐리어 20</t>
  </si>
  <si>
    <t xml:space="preserve">N255ASU930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</si>
  <si>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홈</t>
    </r>
    <r>
      <rPr>
        <sz val="11"/>
        <color rgb="FF0000FF"/>
        <rFont val="Cambria"/>
        <family val="0"/>
        <charset val="1"/>
      </rPr>
      <t xml:space="preserve">) </t>
    </r>
    <r>
      <rPr>
        <sz val="11"/>
        <color rgb="FF0000FF"/>
        <rFont val="WenQuanYi Zen Hei"/>
        <family val="2"/>
      </rPr>
      <t xml:space="preserve">페이지 캐리어 </t>
    </r>
    <r>
      <rPr>
        <sz val="11"/>
        <color rgb="FF0000FF"/>
        <rFont val="Cambria"/>
        <family val="0"/>
        <charset val="1"/>
      </rPr>
      <t xml:space="preserve">SET</t>
    </r>
  </si>
  <si>
    <t xml:space="preserve">N255ASU440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</si>
  <si>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 </t>
    </r>
    <r>
      <rPr>
        <sz val="11"/>
        <color rgb="FF0000FF"/>
        <rFont val="WenQuanYi Zen Hei"/>
        <family val="2"/>
      </rPr>
      <t xml:space="preserve">부다페스트 캐리어 </t>
    </r>
    <r>
      <rPr>
        <sz val="11"/>
        <color rgb="FF0000FF"/>
        <rFont val="Cambria"/>
        <family val="0"/>
        <charset val="1"/>
      </rPr>
      <t xml:space="preserve">20</t>
    </r>
  </si>
  <si>
    <t xml:space="preserve">N255ASU460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</si>
  <si>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 </t>
    </r>
    <r>
      <rPr>
        <sz val="11"/>
        <color rgb="FF0000FF"/>
        <rFont val="WenQuanYi Zen Hei"/>
        <family val="2"/>
      </rPr>
      <t xml:space="preserve">부다페스트 캐리어 </t>
    </r>
    <r>
      <rPr>
        <sz val="11"/>
        <color rgb="FF0000FF"/>
        <rFont val="Cambria"/>
        <family val="0"/>
        <charset val="1"/>
      </rPr>
      <t xml:space="preserve">28</t>
    </r>
  </si>
  <si>
    <t xml:space="preserve">N261MHD500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</si>
  <si>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하이브리드 세미오버핏 후디</t>
    </r>
  </si>
  <si>
    <t xml:space="preserve">N261MSW500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</si>
  <si>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하이브리드 세미오버핏 포켓 맨투맨</t>
    </r>
  </si>
  <si>
    <t xml:space="preserve">N261MSW510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</si>
  <si>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유틸리티 포켓 세미오버핏 맨투맨</t>
    </r>
  </si>
  <si>
    <t xml:space="preserve">N261MTS210</t>
  </si>
  <si>
    <t xml:space="preserve">와플 긴팔 티셔츠</t>
  </si>
  <si>
    <t xml:space="preserve">N262AHA020</t>
  </si>
  <si>
    <r>
      <rPr>
        <sz val="11"/>
        <color rgb="FF0000FF"/>
        <rFont val="Cambria"/>
        <family val="0"/>
        <charset val="1"/>
      </rPr>
      <t xml:space="preserve">W</t>
    </r>
    <r>
      <rPr>
        <sz val="11"/>
        <color rgb="FF0000FF"/>
        <rFont val="WenQuanYi Zen Hei"/>
        <family val="2"/>
      </rPr>
      <t xml:space="preserve">니트햇</t>
    </r>
  </si>
  <si>
    <t xml:space="preserve">N262MHP520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</si>
  <si>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로고 포인트 </t>
    </r>
    <r>
      <rPr>
        <sz val="11"/>
        <color rgb="FF0000FF"/>
        <rFont val="Cambria"/>
        <family val="0"/>
        <charset val="1"/>
      </rPr>
      <t xml:space="preserve">4.5</t>
    </r>
    <r>
      <rPr>
        <sz val="11"/>
        <color rgb="FF0000FF"/>
        <rFont val="WenQuanYi Zen Hei"/>
        <family val="2"/>
      </rPr>
      <t xml:space="preserve">부 반바지</t>
    </r>
  </si>
  <si>
    <t xml:space="preserve">N262MJP510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</si>
  <si>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벤틸레이션 경량 후드 자켓</t>
    </r>
  </si>
  <si>
    <t xml:space="preserve">N262UHP090</t>
  </si>
  <si>
    <t xml:space="preserve">크로우 트리코트 5부 쇼츠</t>
  </si>
  <si>
    <t xml:space="preserve">N262UTS620</t>
  </si>
  <si>
    <r>
      <rPr>
        <sz val="11"/>
        <color rgb="FF0000FF"/>
        <rFont val="Cambria"/>
        <family val="0"/>
        <charset val="1"/>
      </rPr>
      <t xml:space="preserve">ROK </t>
    </r>
    <r>
      <rPr>
        <sz val="11"/>
        <color rgb="FF0000FF"/>
        <rFont val="WenQuanYi Zen Hei"/>
        <family val="2"/>
      </rPr>
      <t xml:space="preserve">나전칠기 그래픽 세미오버핏 반팔 티셔츠</t>
    </r>
  </si>
  <si>
    <t xml:space="preserve">N262USI010</t>
  </si>
  <si>
    <t xml:space="preserve">리오 슬라이드 VC</t>
  </si>
  <si>
    <t xml:space="preserve">N262WSK320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</si>
  <si>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에어서커 </t>
    </r>
    <r>
      <rPr>
        <sz val="11"/>
        <color rgb="FF0000FF"/>
        <rFont val="Cambria"/>
        <family val="0"/>
        <charset val="1"/>
      </rPr>
      <t xml:space="preserve">A</t>
    </r>
    <r>
      <rPr>
        <sz val="11"/>
        <color rgb="FF0000FF"/>
        <rFont val="WenQuanYi Zen Hei"/>
        <family val="2"/>
      </rPr>
      <t xml:space="preserve">라인 스커트</t>
    </r>
  </si>
  <si>
    <t xml:space="preserve">N262WOP320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</si>
  <si>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에어서커 </t>
    </r>
    <r>
      <rPr>
        <sz val="11"/>
        <color rgb="FF0000FF"/>
        <rFont val="Cambria"/>
        <family val="0"/>
        <charset val="1"/>
      </rPr>
      <t xml:space="preserve">H</t>
    </r>
    <r>
      <rPr>
        <sz val="11"/>
        <color rgb="FF0000FF"/>
        <rFont val="WenQuanYi Zen Hei"/>
        <family val="2"/>
      </rPr>
      <t xml:space="preserve">라인 반팔 원피스</t>
    </r>
  </si>
  <si>
    <t xml:space="preserve">N262WSH320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</si>
  <si>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에어서커 반팔 셔츠</t>
    </r>
  </si>
  <si>
    <t xml:space="preserve">N263AGL020</t>
  </si>
  <si>
    <t xml:space="preserve">폴라텍플리스장갑</t>
  </si>
  <si>
    <t xml:space="preserve">N263MPT500</t>
  </si>
  <si>
    <r>
      <rPr>
        <sz val="11"/>
        <color rgb="FF0000FF"/>
        <rFont val="Cambria"/>
        <family val="0"/>
        <charset val="1"/>
      </rPr>
      <t xml:space="preserve">[CORDURA] NRN </t>
    </r>
    <r>
      <rPr>
        <sz val="11"/>
        <color rgb="FF0000FF"/>
        <rFont val="WenQuanYi Zen Hei"/>
        <family val="2"/>
      </rPr>
      <t xml:space="preserve">유틸리티 카고 어드벤처핏 팬츠</t>
    </r>
  </si>
  <si>
    <t xml:space="preserve">N263MJP510</t>
  </si>
  <si>
    <r>
      <rPr>
        <sz val="11"/>
        <color rgb="FF0000FF"/>
        <rFont val="Cambria"/>
        <family val="0"/>
        <charset val="1"/>
      </rPr>
      <t xml:space="preserve">[CORDURA] NRN </t>
    </r>
    <r>
      <rPr>
        <sz val="11"/>
        <color rgb="FF0000FF"/>
        <rFont val="WenQuanYi Zen Hei"/>
        <family val="2"/>
      </rPr>
      <t xml:space="preserve">유틸리티 필드 자켓</t>
    </r>
  </si>
  <si>
    <t xml:space="preserve">N263MPL310</t>
  </si>
  <si>
    <t xml:space="preserve">고신축 베이직핏 긴팔 폴로티셔츠</t>
  </si>
  <si>
    <t xml:space="preserve">N263UPT902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</si>
  <si>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온전</t>
    </r>
    <r>
      <rPr>
        <sz val="11"/>
        <color rgb="FF0000FF"/>
        <rFont val="Cambria"/>
        <family val="0"/>
        <charset val="1"/>
      </rPr>
      <t xml:space="preserve">) </t>
    </r>
    <r>
      <rPr>
        <sz val="11"/>
        <color rgb="FF0000FF"/>
        <rFont val="WenQuanYi Zen Hei"/>
        <family val="2"/>
      </rPr>
      <t xml:space="preserve">벨티드 릴렉스핏 스트레이트 팬츠</t>
    </r>
  </si>
  <si>
    <t xml:space="preserve">N263WTS020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</si>
  <si>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이너 티셔츠</t>
    </r>
  </si>
  <si>
    <t xml:space="preserve">N264MPT520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</si>
  <si>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리플렉터 프리마로프트 패딩 세미 레귤러핏 팬츠</t>
    </r>
  </si>
  <si>
    <t xml:space="preserve">N264MDW500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</si>
  <si>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인피니티 멀티포켓 구스다운 점퍼</t>
    </r>
  </si>
  <si>
    <t xml:space="preserve">N264MDW520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</si>
  <si>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인피니티 </t>
    </r>
    <r>
      <rPr>
        <sz val="11"/>
        <color rgb="FF0000FF"/>
        <rFont val="Cambria"/>
        <family val="0"/>
        <charset val="1"/>
      </rPr>
      <t xml:space="preserve">3IN1 </t>
    </r>
    <r>
      <rPr>
        <sz val="11"/>
        <color rgb="FF0000FF"/>
        <rFont val="WenQuanYi Zen Hei"/>
        <family val="2"/>
      </rPr>
      <t xml:space="preserve">숏기장 구스다운 점퍼</t>
    </r>
  </si>
  <si>
    <t xml:space="preserve">N264MVT350</t>
  </si>
  <si>
    <r>
      <rPr>
        <sz val="11"/>
        <color rgb="FF0000FF"/>
        <rFont val="Cambria"/>
        <family val="0"/>
        <charset val="1"/>
      </rPr>
      <t xml:space="preserve">SEQUENCE </t>
    </r>
    <r>
      <rPr>
        <sz val="11"/>
        <color rgb="FF0000FF"/>
        <rFont val="WenQuanYi Zen Hei"/>
        <family val="2"/>
      </rPr>
      <t xml:space="preserve">액티브 경량 베스트</t>
    </r>
  </si>
  <si>
    <t xml:space="preserve">N264MTS210</t>
  </si>
  <si>
    <t xml:space="preserve">하프넥 브러쉬 긴팔 티셔츠</t>
  </si>
  <si>
    <t xml:space="preserve">N264UDW152</t>
  </si>
  <si>
    <t xml:space="preserve">퓨어이펙트 리버서블 후드 덕다운 점퍼</t>
  </si>
  <si>
    <t xml:space="preserve">N264UDW230</t>
  </si>
  <si>
    <t xml:space="preserve">글래시어 스탠드넥 튜브 구스다운 점퍼</t>
  </si>
  <si>
    <t xml:space="preserve">N264UDW902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</si>
  <si>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온전</t>
    </r>
    <r>
      <rPr>
        <sz val="11"/>
        <color rgb="FF0000FF"/>
        <rFont val="Cambria"/>
        <family val="0"/>
        <charset val="1"/>
      </rPr>
      <t xml:space="preserve">) [PERTEX] </t>
    </r>
    <r>
      <rPr>
        <sz val="11"/>
        <color rgb="FF0000FF"/>
        <rFont val="WenQuanYi Zen Hei"/>
        <family val="2"/>
      </rPr>
      <t xml:space="preserve">배색 후드 경량 덕다운 점퍼</t>
    </r>
  </si>
  <si>
    <t xml:space="preserve">N264USW180</t>
  </si>
  <si>
    <t xml:space="preserve">클라우드 플리스 하프넥 풀오버</t>
  </si>
  <si>
    <t xml:space="preserve">N264UWT010</t>
  </si>
  <si>
    <t xml:space="preserve">플러피 솔라 슬립온</t>
  </si>
  <si>
    <t xml:space="preserve">N264UWT020</t>
  </si>
  <si>
    <t xml:space="preserve">플러피 솔라 부츠</t>
  </si>
  <si>
    <t xml:space="preserve">N264UWT040</t>
  </si>
  <si>
    <t xml:space="preserve">지오로브</t>
  </si>
  <si>
    <t xml:space="preserve">N264WPT240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</si>
  <si>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고신축 브러쉬 세미레귤러핏 부츠컷 팬츠</t>
    </r>
  </si>
  <si>
    <t xml:space="preserve">N264WDW150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</si>
  <si>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레녹 후드 중기장 구스다운 점퍼</t>
    </r>
  </si>
  <si>
    <t xml:space="preserve">N264WDW154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</si>
  <si>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퓨어이펙트 </t>
    </r>
    <r>
      <rPr>
        <sz val="11"/>
        <color rgb="FF0000FF"/>
        <rFont val="Cambria"/>
        <family val="0"/>
        <charset val="1"/>
      </rPr>
      <t xml:space="preserve">UL </t>
    </r>
    <r>
      <rPr>
        <sz val="11"/>
        <color rgb="FF0000FF"/>
        <rFont val="WenQuanYi Zen Hei"/>
        <family val="2"/>
      </rPr>
      <t xml:space="preserve">후드 덕다운 점퍼</t>
    </r>
  </si>
  <si>
    <t xml:space="preserve">N264WFJ155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</si>
  <si>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코스토니 리버시블 자켓</t>
    </r>
  </si>
  <si>
    <t xml:space="preserve">N264WSW160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</si>
  <si>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시로 하프 집업</t>
    </r>
  </si>
  <si>
    <t xml:space="preserve">N265ABG050</t>
  </si>
  <si>
    <r>
      <rPr>
        <sz val="11"/>
        <color rgb="FF0000FF"/>
        <rFont val="Cambria"/>
        <family val="0"/>
        <charset val="1"/>
      </rPr>
      <t xml:space="preserve">W</t>
    </r>
    <r>
      <rPr>
        <sz val="11"/>
        <color rgb="FF0000FF"/>
        <rFont val="WenQuanYi Zen Hei"/>
        <family val="2"/>
      </rPr>
      <t xml:space="preserve">루미미니백팩</t>
    </r>
  </si>
  <si>
    <t xml:space="preserve">N265ABG530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</si>
  <si>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어반프라임백팩</t>
    </r>
  </si>
  <si>
    <t xml:space="preserve">N265ACR020</t>
  </si>
  <si>
    <t xml:space="preserve">데이즈메신저백13"</t>
  </si>
  <si>
    <t xml:space="preserve">N265ACR190</t>
  </si>
  <si>
    <t xml:space="preserve">엑스트라미니크로스백</t>
  </si>
  <si>
    <t xml:space="preserve">N265AHA200</t>
  </si>
  <si>
    <t xml:space="preserve">어반고어텍스햇</t>
  </si>
  <si>
    <t xml:space="preserve">캠핑</t>
  </si>
  <si>
    <t xml:space="preserve">N265ACH020</t>
  </si>
  <si>
    <t xml:space="preserve">디 오리지널 로버 체어</t>
  </si>
  <si>
    <t xml:space="preserve">N265AET020</t>
  </si>
  <si>
    <t xml:space="preserve">네이쳐 핸들 텀블러 1200</t>
  </si>
  <si>
    <t xml:space="preserve">N265AET040</t>
  </si>
  <si>
    <t xml:space="preserve">시그니쳐 머그컵 640</t>
  </si>
  <si>
    <t xml:space="preserve">N265ASU020</t>
  </si>
  <si>
    <t xml:space="preserve">스톤헨지 미니 20</t>
  </si>
  <si>
    <t xml:space="preserve">N265ASU030</t>
  </si>
  <si>
    <t xml:space="preserve">스톤헨지 캐리어 26</t>
  </si>
  <si>
    <t xml:space="preserve">N265ASU210</t>
  </si>
  <si>
    <t xml:space="preserve">타르가 캐리어 24</t>
  </si>
  <si>
    <t xml:space="preserve">O261MPT210</t>
  </si>
  <si>
    <t xml:space="preserve">O261UPT090</t>
  </si>
  <si>
    <t xml:space="preserve">리오 스트레치 베이직핏 스트레이트 팬츠</t>
  </si>
  <si>
    <t xml:space="preserve">O261UJP030</t>
  </si>
  <si>
    <t xml:space="preserve">오거스틴 2L 점퍼</t>
  </si>
  <si>
    <t xml:space="preserve">O261WPT301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</si>
  <si>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부츠컷 팬츠</t>
    </r>
  </si>
  <si>
    <t xml:space="preserve">O262MPT021</t>
  </si>
  <si>
    <t xml:space="preserve">다셀로 베이직핏 스트레이트 팬츠</t>
  </si>
  <si>
    <t xml:space="preserve">O262MPT210</t>
  </si>
  <si>
    <t xml:space="preserve">O262MVT230</t>
  </si>
  <si>
    <t xml:space="preserve">O262MPL330</t>
  </si>
  <si>
    <t xml:space="preserve">에어서커 반팔 카라 티셔츠</t>
  </si>
  <si>
    <t xml:space="preserve">O262MTS301</t>
  </si>
  <si>
    <t xml:space="preserve">반집업스킨 티셔츠
</t>
  </si>
  <si>
    <t xml:space="preserve">O262UHP140</t>
  </si>
  <si>
    <t xml:space="preserve">O262UPT141</t>
  </si>
  <si>
    <t xml:space="preserve">O262UVT140</t>
  </si>
  <si>
    <t xml:space="preserve">스킨 울트라 후드 베스트</t>
  </si>
  <si>
    <t xml:space="preserve">O262UFT140</t>
  </si>
  <si>
    <t xml:space="preserve">O262UTS918</t>
  </si>
  <si>
    <t xml:space="preserve">지구의날 스페셜 세이블 티셔츠 </t>
  </si>
  <si>
    <t xml:space="preserve">O262UTS919</t>
  </si>
  <si>
    <t xml:space="preserve">지구의 날 스페셜 세이블 티셔츠</t>
  </si>
  <si>
    <t xml:space="preserve">O262WFT140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</si>
  <si>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아델리 냉감 스트레치 세미오버핏 후드 풀집업</t>
    </r>
  </si>
  <si>
    <t xml:space="preserve">O262WOP301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</si>
  <si>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카시아 컬러 블록 원피스</t>
    </r>
  </si>
  <si>
    <t xml:space="preserve">O262WPL140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</si>
  <si>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아델리 냉감 스트레치 반팔 카라 티셔츠</t>
    </r>
  </si>
  <si>
    <t xml:space="preserve">O262WPL330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</si>
  <si>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에어닷 카라티셔츠</t>
    </r>
  </si>
  <si>
    <t xml:space="preserve">O262WTS301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</si>
  <si>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반집업 스킨 티셔츠</t>
    </r>
  </si>
  <si>
    <t xml:space="preserve">O262WTS302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</si>
  <si>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스킨 흡한속건 티셔츠</t>
    </r>
  </si>
  <si>
    <t xml:space="preserve">O262WTS330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</si>
  <si>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에어닷 티셔츠</t>
    </r>
  </si>
  <si>
    <t xml:space="preserve">O263MPT301</t>
  </si>
  <si>
    <t xml:space="preserve">아르켈론 베이직핏 팬츠</t>
  </si>
  <si>
    <t xml:space="preserve">O263MPT302</t>
  </si>
  <si>
    <t xml:space="preserve">립스탑매칭 카고 팬츠</t>
  </si>
  <si>
    <t xml:space="preserve">O263MPT303</t>
  </si>
  <si>
    <t xml:space="preserve">코듀라 카고 팬츠</t>
  </si>
  <si>
    <t xml:space="preserve">O263MJK302</t>
  </si>
  <si>
    <t xml:space="preserve">라운드넥 버튼 자켓</t>
  </si>
  <si>
    <t xml:space="preserve">O263MVT301</t>
  </si>
  <si>
    <t xml:space="preserve">아르켈론 베스트</t>
  </si>
  <si>
    <t xml:space="preserve">O263MSH301</t>
  </si>
  <si>
    <t xml:space="preserve">데님 셔츠</t>
  </si>
  <si>
    <t xml:space="preserve">O263MTS303</t>
  </si>
  <si>
    <t xml:space="preserve">퀵드라이 티셔츠</t>
  </si>
  <si>
    <t xml:space="preserve">O263WJK302</t>
  </si>
  <si>
    <r>
      <rPr>
        <sz val="11"/>
        <color rgb="FF0000FF"/>
        <rFont val="Cambria"/>
        <family val="0"/>
        <charset val="1"/>
      </rPr>
      <t xml:space="preserve">W' TORAY </t>
    </r>
    <r>
      <rPr>
        <sz val="11"/>
        <color rgb="FF0000FF"/>
        <rFont val="WenQuanYi Zen Hei"/>
        <family val="2"/>
      </rPr>
      <t xml:space="preserve">방수 자켓</t>
    </r>
  </si>
  <si>
    <t xml:space="preserve">O263WOP301</t>
  </si>
  <si>
    <r>
      <rPr>
        <sz val="11"/>
        <color rgb="FF0000FF"/>
        <rFont val="Cambria"/>
        <family val="0"/>
        <charset val="1"/>
      </rPr>
      <t xml:space="preserve">W’ </t>
    </r>
    <r>
      <rPr>
        <sz val="11"/>
        <color rgb="FF0000FF"/>
        <rFont val="WenQuanYi Zen Hei"/>
        <family val="2"/>
      </rPr>
      <t xml:space="preserve">아르켈론 포켓 원피스</t>
    </r>
  </si>
  <si>
    <t xml:space="preserve">O263WTS301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</si>
  <si>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컴포터블 티셔츠</t>
    </r>
  </si>
  <si>
    <t xml:space="preserve">O264MPT301</t>
  </si>
  <si>
    <t xml:space="preserve">소프트쉘 베이직 팬츠</t>
  </si>
  <si>
    <t xml:space="preserve">O264MPT302</t>
  </si>
  <si>
    <t xml:space="preserve">빅포켓 팬츠</t>
  </si>
  <si>
    <t xml:space="preserve">O264MPT304</t>
  </si>
  <si>
    <t xml:space="preserve">플리스  웜 팬츠</t>
  </si>
  <si>
    <t xml:space="preserve">O264MDW302</t>
  </si>
  <si>
    <t xml:space="preserve">스퀘어 스티치드 경량 다운 자켓</t>
  </si>
  <si>
    <t xml:space="preserve">O264MDW303</t>
  </si>
  <si>
    <t xml:space="preserve">경량 다운 자켓</t>
  </si>
  <si>
    <t xml:space="preserve">O264MJK301</t>
  </si>
  <si>
    <t xml:space="preserve">소프트쉘 플리스 웜 자켓</t>
  </si>
  <si>
    <t xml:space="preserve">O264MPD302</t>
  </si>
  <si>
    <t xml:space="preserve">오블리크 경량 패딩 자켓</t>
  </si>
  <si>
    <t xml:space="preserve">O264MPD303</t>
  </si>
  <si>
    <t xml:space="preserve">퍼텍스 경량 패딩 자켓</t>
  </si>
  <si>
    <t xml:space="preserve">O264MHD301</t>
  </si>
  <si>
    <t xml:space="preserve">프리마로프트 쿼터집업 후디</t>
  </si>
  <si>
    <t xml:space="preserve">O264MSH301</t>
  </si>
  <si>
    <t xml:space="preserve">코듀로이 셔츠</t>
  </si>
  <si>
    <t xml:space="preserve">O264MTS301</t>
  </si>
  <si>
    <t xml:space="preserve">포켓 반넥 쿼터 집 티셔츠</t>
  </si>
  <si>
    <t xml:space="preserve">O264UDW250</t>
  </si>
  <si>
    <r>
      <rPr>
        <sz val="11"/>
        <color rgb="FF0000FF"/>
        <rFont val="Cambria"/>
        <family val="0"/>
        <charset val="1"/>
      </rPr>
      <t xml:space="preserve">[PERTEX] </t>
    </r>
    <r>
      <rPr>
        <sz val="11"/>
        <color rgb="FF0000FF"/>
        <rFont val="WenQuanYi Zen Hei"/>
        <family val="2"/>
      </rPr>
      <t xml:space="preserve">오베론 후드 구스다운 점퍼</t>
    </r>
  </si>
  <si>
    <t xml:space="preserve">O264UDW330</t>
  </si>
  <si>
    <t xml:space="preserve">아틀라스 프로 고어 윈드스토퍼 구스다운 점퍼</t>
  </si>
  <si>
    <t xml:space="preserve">O264UVT301</t>
  </si>
  <si>
    <t xml:space="preserve">플리스 베스트</t>
  </si>
  <si>
    <t xml:space="preserve">O264WPT302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</si>
  <si>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플리스 기모 팬츠</t>
    </r>
  </si>
  <si>
    <t xml:space="preserve">O264WSK301</t>
  </si>
  <si>
    <r>
      <rPr>
        <sz val="11"/>
        <color rgb="FF0000FF"/>
        <rFont val="Cambria"/>
        <family val="0"/>
        <charset val="1"/>
      </rPr>
      <t xml:space="preserve">W'  </t>
    </r>
    <r>
      <rPr>
        <sz val="11"/>
        <color rgb="FF0000FF"/>
        <rFont val="WenQuanYi Zen Hei"/>
        <family val="2"/>
      </rPr>
      <t xml:space="preserve">등고선 퀼팅 스커트</t>
    </r>
  </si>
  <si>
    <t xml:space="preserve">O264WDW140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</si>
  <si>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타루가 블루종 구스다운 점퍼</t>
    </r>
  </si>
  <si>
    <t xml:space="preserve">O264WDW310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</si>
  <si>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아틀라스 고어 윈드스토퍼 중기장 구스다운 점퍼</t>
    </r>
  </si>
  <si>
    <t xml:space="preserve">O264WDW320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</si>
  <si>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아틀라스 고어 윈드스토퍼 롱기장 구스다운 점퍼</t>
    </r>
  </si>
  <si>
    <t xml:space="preserve">O264WJK301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</si>
  <si>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소프트쉘 플리스 웜 자켓</t>
    </r>
  </si>
  <si>
    <t xml:space="preserve">O264WPD303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</si>
  <si>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등고선 퀼팅 여성 자켓</t>
    </r>
  </si>
  <si>
    <t xml:space="preserve">O264WHD301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</si>
  <si>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하이넥 후디</t>
    </r>
  </si>
  <si>
    <t xml:space="preserve">O264WSW301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</si>
  <si>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맨투맨</t>
    </r>
  </si>
  <si>
    <t xml:space="preserve">O264WSW302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</si>
  <si>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플리스 아노락</t>
    </r>
  </si>
  <si>
    <t xml:space="preserve">O265UTS010</t>
  </si>
  <si>
    <t xml:space="preserve">O265WTS010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</si>
  <si>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네오디 스몰로고 반팔 티셔츠</t>
    </r>
  </si>
  <si>
    <t xml:space="preserve">WW003</t>
  </si>
  <si>
    <r>
      <rPr>
        <sz val="11"/>
        <color rgb="FF0000FF"/>
        <rFont val="Cambria"/>
        <family val="0"/>
        <charset val="1"/>
      </rPr>
      <t xml:space="preserve">W</t>
    </r>
    <r>
      <rPr>
        <sz val="11"/>
        <color rgb="FF0000FF"/>
        <rFont val="WenQuanYi Zen Hei"/>
        <family val="2"/>
      </rPr>
      <t xml:space="preserve">태국</t>
    </r>
  </si>
  <si>
    <t xml:space="preserve">N242ACR010</t>
  </si>
  <si>
    <t xml:space="preserve">비치크로스백</t>
  </si>
  <si>
    <t xml:space="preserve">N242AHA030</t>
  </si>
  <si>
    <t xml:space="preserve">메쉬서핑캡</t>
  </si>
  <si>
    <t xml:space="preserve">N251ABG550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</si>
  <si>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로디백팩</t>
    </r>
  </si>
  <si>
    <t xml:space="preserve">N252MVT100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</si>
  <si>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하이브리드 후드 베스트</t>
    </r>
  </si>
  <si>
    <t xml:space="preserve">N252UJP220</t>
  </si>
  <si>
    <t xml:space="preserve">유로파 경량 3L 후드 점퍼</t>
  </si>
  <si>
    <t xml:space="preserve">N252USH490</t>
  </si>
  <si>
    <t xml:space="preserve">크링클 세미오버핏 반팔 셔츠</t>
  </si>
  <si>
    <t xml:space="preserve">N252UTS080</t>
  </si>
  <si>
    <t xml:space="preserve">리젠아스킨 트래블1 그래픽 세미오버핏 반팔 티셔츠</t>
  </si>
  <si>
    <t xml:space="preserve">N252UTS091</t>
  </si>
  <si>
    <t xml:space="preserve">크로우 소로나 쿨 바르셀로나 세미오버핏 반팔 티셔츠</t>
  </si>
  <si>
    <t xml:space="preserve">N261MPT520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</si>
  <si>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유틸리티 필드 어드벤처 베이직핏 팬츠</t>
    </r>
  </si>
  <si>
    <t xml:space="preserve">N261MJP500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</si>
  <si>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윈드스토퍼 </t>
    </r>
    <r>
      <rPr>
        <sz val="11"/>
        <color rgb="FF0000FF"/>
        <rFont val="Cambria"/>
        <family val="0"/>
        <charset val="1"/>
      </rPr>
      <t xml:space="preserve">BY GORE-TEX LABS </t>
    </r>
    <r>
      <rPr>
        <sz val="11"/>
        <color rgb="FF0000FF"/>
        <rFont val="WenQuanYi Zen Hei"/>
        <family val="2"/>
      </rPr>
      <t xml:space="preserve">아라미드 유틸리티 </t>
    </r>
    <r>
      <rPr>
        <sz val="11"/>
        <color rgb="FF0000FF"/>
        <rFont val="Cambria"/>
        <family val="0"/>
        <charset val="1"/>
      </rPr>
      <t xml:space="preserve">2L </t>
    </r>
    <r>
      <rPr>
        <sz val="11"/>
        <color rgb="FF0000FF"/>
        <rFont val="WenQuanYi Zen Hei"/>
        <family val="2"/>
      </rPr>
      <t xml:space="preserve">자켓</t>
    </r>
  </si>
  <si>
    <t xml:space="preserve">N261MJP520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</si>
  <si>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유틸리티 점퍼</t>
    </r>
  </si>
  <si>
    <t xml:space="preserve">N261UJP030</t>
  </si>
  <si>
    <t xml:space="preserve">N262UTS906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</si>
  <si>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온전</t>
    </r>
    <r>
      <rPr>
        <sz val="11"/>
        <color rgb="FF0000FF"/>
        <rFont val="Cambria"/>
        <family val="0"/>
        <charset val="1"/>
      </rPr>
      <t xml:space="preserve">) </t>
    </r>
    <r>
      <rPr>
        <sz val="11"/>
        <color rgb="FF0000FF"/>
        <rFont val="WenQuanYi Zen Hei"/>
        <family val="2"/>
      </rPr>
      <t xml:space="preserve">윈도우 그래픽 세미오버핏 반팔 티셔츠</t>
    </r>
  </si>
  <si>
    <t xml:space="preserve">N262UTS908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</si>
  <si>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온전</t>
    </r>
    <r>
      <rPr>
        <sz val="11"/>
        <color rgb="FF0000FF"/>
        <rFont val="Cambria"/>
        <family val="0"/>
        <charset val="1"/>
      </rPr>
      <t xml:space="preserve">) </t>
    </r>
    <r>
      <rPr>
        <sz val="11"/>
        <color rgb="FF0000FF"/>
        <rFont val="WenQuanYi Zen Hei"/>
        <family val="2"/>
      </rPr>
      <t xml:space="preserve">바캉스 그래픽 세미오버핏 반팔 티셔츠</t>
    </r>
  </si>
  <si>
    <t xml:space="preserve">WW005</t>
  </si>
  <si>
    <r>
      <rPr>
        <sz val="11"/>
        <color rgb="FF0000FF"/>
        <rFont val="Cambria"/>
        <family val="0"/>
        <charset val="1"/>
      </rPr>
      <t xml:space="preserve">W</t>
    </r>
    <r>
      <rPr>
        <sz val="11"/>
        <color rgb="FF0000FF"/>
        <rFont val="WenQuanYi Zen Hei"/>
        <family val="2"/>
      </rPr>
      <t xml:space="preserve">말레이시아</t>
    </r>
  </si>
  <si>
    <t xml:space="preserve">N225UTS020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</si>
  <si>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비</t>
    </r>
    <r>
      <rPr>
        <sz val="11"/>
        <color rgb="FF0000FF"/>
        <rFont val="Cambria"/>
        <family val="0"/>
        <charset val="1"/>
      </rPr>
      <t xml:space="preserve">)UNI </t>
    </r>
    <r>
      <rPr>
        <sz val="11"/>
        <color rgb="FF0000FF"/>
        <rFont val="WenQuanYi Zen Hei"/>
        <family val="2"/>
      </rPr>
      <t xml:space="preserve">네오디 빅로고 </t>
    </r>
    <r>
      <rPr>
        <sz val="11"/>
        <color rgb="FF0000FF"/>
        <rFont val="Cambria"/>
        <family val="0"/>
        <charset val="1"/>
      </rPr>
      <t xml:space="preserve">H/TEE</t>
    </r>
  </si>
  <si>
    <t xml:space="preserve">N261UTS210</t>
  </si>
  <si>
    <t xml:space="preserve">카프 기능성 긴팔 티셔츠</t>
  </si>
  <si>
    <t xml:space="preserve">N261UTS250</t>
  </si>
  <si>
    <t xml:space="preserve">베이스레이어 긴팔 티셔츠</t>
  </si>
  <si>
    <t xml:space="preserve">N261WTS250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</si>
  <si>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슬림핏 긴팔 티셔츠</t>
    </r>
  </si>
  <si>
    <t xml:space="preserve">N262AHA010</t>
  </si>
  <si>
    <t xml:space="preserve">스몰로고선바이저</t>
  </si>
  <si>
    <t xml:space="preserve">N262MBS410</t>
  </si>
  <si>
    <r>
      <rPr>
        <sz val="11"/>
        <color rgb="FF0000FF"/>
        <rFont val="Cambria"/>
        <family val="0"/>
        <charset val="1"/>
      </rPr>
      <t xml:space="preserve">4</t>
    </r>
    <r>
      <rPr>
        <sz val="11"/>
        <color rgb="FF0000FF"/>
        <rFont val="WenQuanYi Zen Hei"/>
        <family val="2"/>
      </rPr>
      <t xml:space="preserve">부 보드숏</t>
    </r>
  </si>
  <si>
    <t xml:space="preserve">N262MRG410</t>
  </si>
  <si>
    <t xml:space="preserve">베이직 집업 래쉬가드</t>
  </si>
  <si>
    <t xml:space="preserve">N262MSH490</t>
  </si>
  <si>
    <t xml:space="preserve">시어서커 세미오버핏 패턴 셔츠</t>
  </si>
  <si>
    <t xml:space="preserve">N262UHP622</t>
  </si>
  <si>
    <r>
      <rPr>
        <sz val="11"/>
        <color rgb="FF0000FF"/>
        <rFont val="Cambria"/>
        <family val="0"/>
        <charset val="1"/>
      </rPr>
      <t xml:space="preserve">[</t>
    </r>
    <r>
      <rPr>
        <sz val="11"/>
        <color rgb="FF0000FF"/>
        <rFont val="WenQuanYi Zen Hei"/>
        <family val="2"/>
      </rPr>
      <t xml:space="preserve">국유청 </t>
    </r>
    <r>
      <rPr>
        <sz val="11"/>
        <color rgb="FF0000FF"/>
        <rFont val="Cambria"/>
        <family val="0"/>
        <charset val="1"/>
      </rPr>
      <t xml:space="preserve">X NG] </t>
    </r>
    <r>
      <rPr>
        <sz val="11"/>
        <color rgb="FF0000FF"/>
        <rFont val="WenQuanYi Zen Hei"/>
        <family val="2"/>
      </rPr>
      <t xml:space="preserve">훈민정음 </t>
    </r>
    <r>
      <rPr>
        <sz val="11"/>
        <color rgb="FF0000FF"/>
        <rFont val="Cambria"/>
        <family val="0"/>
        <charset val="1"/>
      </rPr>
      <t xml:space="preserve">5</t>
    </r>
    <r>
      <rPr>
        <sz val="11"/>
        <color rgb="FF0000FF"/>
        <rFont val="WenQuanYi Zen Hei"/>
        <family val="2"/>
      </rPr>
      <t xml:space="preserve">부 반바지</t>
    </r>
  </si>
  <si>
    <t xml:space="preserve">N262UPL020</t>
  </si>
  <si>
    <t xml:space="preserve">카리디 피케 반팔 카라 티셔츠</t>
  </si>
  <si>
    <t xml:space="preserve">N262UTS420</t>
  </si>
  <si>
    <t xml:space="preserve">스트라이프 세미오버핏 반팔 티셔츠</t>
  </si>
  <si>
    <t xml:space="preserve">N262UTS633</t>
  </si>
  <si>
    <r>
      <rPr>
        <sz val="11"/>
        <color rgb="FF0000FF"/>
        <rFont val="Cambria"/>
        <family val="0"/>
        <charset val="1"/>
      </rPr>
      <t xml:space="preserve">[</t>
    </r>
    <r>
      <rPr>
        <sz val="11"/>
        <color rgb="FF0000FF"/>
        <rFont val="WenQuanYi Zen Hei"/>
        <family val="2"/>
      </rPr>
      <t xml:space="preserve">국유청 </t>
    </r>
    <r>
      <rPr>
        <sz val="11"/>
        <color rgb="FF0000FF"/>
        <rFont val="Cambria"/>
        <family val="0"/>
        <charset val="1"/>
      </rPr>
      <t xml:space="preserve">X NG] </t>
    </r>
    <r>
      <rPr>
        <sz val="11"/>
        <color rgb="FF0000FF"/>
        <rFont val="WenQuanYi Zen Hei"/>
        <family val="2"/>
      </rPr>
      <t xml:space="preserve">십장생도 세미오버핏 그래픽 티셔츠</t>
    </r>
  </si>
  <si>
    <t xml:space="preserve">N262UTS635</t>
  </si>
  <si>
    <r>
      <rPr>
        <sz val="11"/>
        <color rgb="FF0000FF"/>
        <rFont val="Cambria"/>
        <family val="0"/>
        <charset val="1"/>
      </rPr>
      <t xml:space="preserve">[</t>
    </r>
    <r>
      <rPr>
        <sz val="11"/>
        <color rgb="FF0000FF"/>
        <rFont val="WenQuanYi Zen Hei"/>
        <family val="2"/>
      </rPr>
      <t xml:space="preserve">국유청 </t>
    </r>
    <r>
      <rPr>
        <sz val="11"/>
        <color rgb="FF0000FF"/>
        <rFont val="Cambria"/>
        <family val="0"/>
        <charset val="1"/>
      </rPr>
      <t xml:space="preserve">X NG] </t>
    </r>
    <r>
      <rPr>
        <sz val="11"/>
        <color rgb="FF0000FF"/>
        <rFont val="WenQuanYi Zen Hei"/>
        <family val="2"/>
      </rPr>
      <t xml:space="preserve">훈민정음 해례본 세미오버핏 그래픽 티셔츠</t>
    </r>
  </si>
  <si>
    <t xml:space="preserve">N262UTS638</t>
  </si>
  <si>
    <r>
      <rPr>
        <sz val="11"/>
        <color rgb="FF0000FF"/>
        <rFont val="Cambria"/>
        <family val="0"/>
        <charset val="1"/>
      </rPr>
      <t xml:space="preserve">[</t>
    </r>
    <r>
      <rPr>
        <sz val="11"/>
        <color rgb="FF0000FF"/>
        <rFont val="WenQuanYi Zen Hei"/>
        <family val="2"/>
      </rPr>
      <t xml:space="preserve">국유청 </t>
    </r>
    <r>
      <rPr>
        <sz val="11"/>
        <color rgb="FF0000FF"/>
        <rFont val="Cambria"/>
        <family val="0"/>
        <charset val="1"/>
      </rPr>
      <t xml:space="preserve">X NG] </t>
    </r>
    <r>
      <rPr>
        <sz val="11"/>
        <color rgb="FF0000FF"/>
        <rFont val="WenQuanYi Zen Hei"/>
        <family val="2"/>
      </rPr>
      <t xml:space="preserve">단청 세미오버핏 그래픽 티셔츠</t>
    </r>
  </si>
  <si>
    <t xml:space="preserve">N262USI020</t>
  </si>
  <si>
    <t xml:space="preserve">리오 슬라이드</t>
  </si>
  <si>
    <t xml:space="preserve">N262WBS410</t>
  </si>
  <si>
    <r>
      <rPr>
        <sz val="11"/>
        <color rgb="FF0000FF"/>
        <rFont val="Cambria"/>
        <family val="0"/>
        <charset val="1"/>
      </rPr>
      <t xml:space="preserve">W' 4</t>
    </r>
    <r>
      <rPr>
        <sz val="11"/>
        <color rgb="FF0000FF"/>
        <rFont val="WenQuanYi Zen Hei"/>
        <family val="2"/>
      </rPr>
      <t xml:space="preserve">부 레깅스 쇼츠</t>
    </r>
  </si>
  <si>
    <t xml:space="preserve">N262WJP140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</si>
  <si>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프리즈 스트레치 스탠드넥 반팔 풀집업 </t>
    </r>
  </si>
  <si>
    <t xml:space="preserve">N262WOP040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</si>
  <si>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에리카 냉감 분또 </t>
    </r>
    <r>
      <rPr>
        <sz val="11"/>
        <color rgb="FF0000FF"/>
        <rFont val="Cambria"/>
        <family val="0"/>
        <charset val="1"/>
      </rPr>
      <t xml:space="preserve">H</t>
    </r>
    <r>
      <rPr>
        <sz val="11"/>
        <color rgb="FF0000FF"/>
        <rFont val="WenQuanYi Zen Hei"/>
        <family val="2"/>
      </rPr>
      <t xml:space="preserve">라인 반팔 원피스</t>
    </r>
  </si>
  <si>
    <t xml:space="preserve">N262WPL020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</si>
  <si>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카리디 피케 반팔 카라 티셔츠</t>
    </r>
  </si>
  <si>
    <t xml:space="preserve">N262WPL030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</si>
  <si>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피케 변형 반팔 카라 티셔츠</t>
    </r>
  </si>
  <si>
    <t xml:space="preserve">N262WRG410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</si>
  <si>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베이직 집업 래쉬가드</t>
    </r>
  </si>
  <si>
    <t xml:space="preserve">N263AMS050</t>
  </si>
  <si>
    <r>
      <rPr>
        <sz val="11"/>
        <color rgb="FF0000FF"/>
        <rFont val="Cambria"/>
        <family val="0"/>
        <charset val="1"/>
      </rPr>
      <t xml:space="preserve">W</t>
    </r>
    <r>
      <rPr>
        <sz val="11"/>
        <color rgb="FF0000FF"/>
        <rFont val="WenQuanYi Zen Hei"/>
        <family val="2"/>
      </rPr>
      <t xml:space="preserve">프린지머플러</t>
    </r>
  </si>
  <si>
    <t xml:space="preserve">N263UJP040</t>
  </si>
  <si>
    <t xml:space="preserve">면터치 우븐 스트레치 스탠드넥 자켓</t>
  </si>
  <si>
    <t xml:space="preserve">N263UFT070</t>
  </si>
  <si>
    <t xml:space="preserve">쿠션지 세미오버핏 스타디움 점퍼</t>
  </si>
  <si>
    <t xml:space="preserve">N263USH010</t>
  </si>
  <si>
    <t xml:space="preserve">플란넬 체크 셔츠</t>
  </si>
  <si>
    <t xml:space="preserve">N263WPD020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</si>
  <si>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엘크 카라넥 패딩 점퍼</t>
    </r>
  </si>
  <si>
    <t xml:space="preserve">N263WOP020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</si>
  <si>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엘크 패딩 베스트 원피스</t>
    </r>
  </si>
  <si>
    <t xml:space="preserve">N263WTS210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</si>
  <si>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카프 스몰로고 베이직핏 긴팔 티셔츠</t>
    </r>
  </si>
  <si>
    <t xml:space="preserve">N264MPT220</t>
  </si>
  <si>
    <t xml:space="preserve">어반스퀘어 스트레치 세미 레귤러핏 스트레이트 팬츠</t>
  </si>
  <si>
    <t xml:space="preserve">N264UFJ161</t>
  </si>
  <si>
    <t xml:space="preserve">시로 마이크로 플리스 스탠드넥 풀집업</t>
  </si>
  <si>
    <t xml:space="preserve">N264UJP330</t>
  </si>
  <si>
    <r>
      <rPr>
        <sz val="11"/>
        <color rgb="FF0000FF"/>
        <rFont val="Cambria"/>
        <family val="0"/>
        <charset val="1"/>
      </rPr>
      <t xml:space="preserve">[OCTA] </t>
    </r>
    <r>
      <rPr>
        <sz val="11"/>
        <color rgb="FF0000FF"/>
        <rFont val="WenQuanYi Zen Hei"/>
        <family val="2"/>
      </rPr>
      <t xml:space="preserve">베이드 후드 풀집업 자켓</t>
    </r>
  </si>
  <si>
    <t xml:space="preserve">N264UPD230</t>
  </si>
  <si>
    <r>
      <rPr>
        <sz val="11"/>
        <color rgb="FF0000FF"/>
        <rFont val="Cambria"/>
        <family val="0"/>
        <charset val="1"/>
      </rPr>
      <t xml:space="preserve">[PERTEX] </t>
    </r>
    <r>
      <rPr>
        <sz val="11"/>
        <color rgb="FF0000FF"/>
        <rFont val="WenQuanYi Zen Hei"/>
        <family val="2"/>
      </rPr>
      <t xml:space="preserve">프리마로프트 후드형 패딩 점퍼</t>
    </r>
  </si>
  <si>
    <t xml:space="preserve">N264UPV010</t>
  </si>
  <si>
    <t xml:space="preserve">링크스 리버서블 플리스 라이너 패딩 베스트</t>
  </si>
  <si>
    <t xml:space="preserve">N264USW060</t>
  </si>
  <si>
    <t xml:space="preserve">기모 하프집업 맨투맨</t>
  </si>
  <si>
    <t xml:space="preserve">N264WSK160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</si>
  <si>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시로 스커트</t>
    </r>
  </si>
  <si>
    <t xml:space="preserve">N264WKT200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</si>
  <si>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울혼방 카라넥 니트</t>
    </r>
  </si>
  <si>
    <t xml:space="preserve">N264WTS210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</si>
  <si>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하프넥 브러쉬 긴팔 티셔츠</t>
    </r>
  </si>
  <si>
    <t xml:space="preserve">N265AAC010</t>
  </si>
  <si>
    <t xml:space="preserve">몰드파우치</t>
  </si>
  <si>
    <t xml:space="preserve">N265ABG100</t>
  </si>
  <si>
    <t xml:space="preserve">얼티메이트백팩</t>
  </si>
  <si>
    <t xml:space="preserve">N265ABG040</t>
  </si>
  <si>
    <r>
      <rPr>
        <sz val="11"/>
        <color rgb="FF0000FF"/>
        <rFont val="Cambria"/>
        <family val="0"/>
        <charset val="1"/>
      </rPr>
      <t xml:space="preserve">W</t>
    </r>
    <r>
      <rPr>
        <sz val="11"/>
        <color rgb="FF0000FF"/>
        <rFont val="WenQuanYi Zen Hei"/>
        <family val="2"/>
      </rPr>
      <t xml:space="preserve">어반트래블백팩</t>
    </r>
  </si>
  <si>
    <t xml:space="preserve">N265ACR360</t>
  </si>
  <si>
    <t xml:space="preserve">마일드슬링백</t>
  </si>
  <si>
    <t xml:space="preserve">N265ACR050</t>
  </si>
  <si>
    <t xml:space="preserve">어반시티슬링백</t>
  </si>
  <si>
    <t xml:space="preserve">N265AHA110</t>
  </si>
  <si>
    <t xml:space="preserve">버트볼캡</t>
  </si>
  <si>
    <t xml:space="preserve">N265AHA120</t>
  </si>
  <si>
    <t xml:space="preserve">베이직경량햇</t>
  </si>
  <si>
    <t xml:space="preserve">N265AHA180</t>
  </si>
  <si>
    <r>
      <rPr>
        <sz val="11"/>
        <color rgb="FF0000FF"/>
        <rFont val="Cambria"/>
        <family val="0"/>
        <charset val="1"/>
      </rPr>
      <t xml:space="preserve">2WAY</t>
    </r>
    <r>
      <rPr>
        <sz val="11"/>
        <color rgb="FF0000FF"/>
        <rFont val="WenQuanYi Zen Hei"/>
        <family val="2"/>
      </rPr>
      <t xml:space="preserve">메쉬햇</t>
    </r>
  </si>
  <si>
    <t xml:space="preserve">N265AHI010</t>
  </si>
  <si>
    <t xml:space="preserve">코어오리지날힙색</t>
  </si>
  <si>
    <t xml:space="preserve">N265ATO030</t>
  </si>
  <si>
    <r>
      <rPr>
        <sz val="11"/>
        <color rgb="FF0000FF"/>
        <rFont val="Cambria"/>
        <family val="0"/>
        <charset val="1"/>
      </rPr>
      <t xml:space="preserve">W</t>
    </r>
    <r>
      <rPr>
        <sz val="11"/>
        <color rgb="FF0000FF"/>
        <rFont val="WenQuanYi Zen Hei"/>
        <family val="2"/>
      </rPr>
      <t xml:space="preserve">리브더플백</t>
    </r>
  </si>
  <si>
    <t xml:space="preserve">N265ASU200</t>
  </si>
  <si>
    <t xml:space="preserve">론다 캐리어 25</t>
  </si>
  <si>
    <t xml:space="preserve">N265UTS020</t>
  </si>
  <si>
    <t xml:space="preserve">네오디 빅로고 반팔 티셔츠</t>
  </si>
  <si>
    <t xml:space="preserve">O262UTS540</t>
  </si>
  <si>
    <r>
      <rPr>
        <sz val="11"/>
        <color rgb="FF0000FF"/>
        <rFont val="Cambria"/>
        <family val="0"/>
        <charset val="1"/>
      </rPr>
      <t xml:space="preserve">C_</t>
    </r>
    <r>
      <rPr>
        <sz val="11"/>
        <color rgb="FF0000FF"/>
        <rFont val="WenQuanYi Zen Hei"/>
        <family val="2"/>
      </rPr>
      <t xml:space="preserve">만텔라 백 빅 로고 리젠아스킨 반팔 티셔츠</t>
    </r>
  </si>
  <si>
    <t xml:space="preserve">O262UTS922</t>
  </si>
  <si>
    <t xml:space="preserve">베이직 반팔 그래픽 티셔츠2</t>
  </si>
  <si>
    <t xml:space="preserve">O262UTS923</t>
  </si>
  <si>
    <t xml:space="preserve">베이직 반팔 그래픽 티셔츠3</t>
  </si>
  <si>
    <t xml:space="preserve">O262UTS925</t>
  </si>
  <si>
    <t xml:space="preserve">베이직 반팔 그래픽 티셔츠5</t>
  </si>
  <si>
    <t xml:space="preserve">O263AHA910</t>
  </si>
  <si>
    <t xml:space="preserve">말레이시아 사슴 엠보 캡</t>
  </si>
  <si>
    <t xml:space="preserve">O263AHA920</t>
  </si>
  <si>
    <t xml:space="preserve">말레이시아 비스포크 네이비 볼캡 </t>
  </si>
  <si>
    <t xml:space="preserve">O263UTS906</t>
  </si>
  <si>
    <t xml:space="preserve">말레이시아 맥 그래픽 반팔 티셔츠</t>
  </si>
  <si>
    <t xml:space="preserve">O263UTS907</t>
  </si>
  <si>
    <t xml:space="preserve">말레이시아 검정곰 그래픽 반팔 티셔츠</t>
  </si>
  <si>
    <t xml:space="preserve">O263UTS908</t>
  </si>
  <si>
    <t xml:space="preserve">말레이시아 사슴 그래픽 반팔 티셔츠</t>
  </si>
  <si>
    <t xml:space="preserve">O263UTS909</t>
  </si>
  <si>
    <t xml:space="preserve">말레이시아 쿠알루룸프 그래픽 반팔 티셔츠 </t>
  </si>
  <si>
    <t xml:space="preserve">WW009</t>
  </si>
  <si>
    <r>
      <rPr>
        <sz val="11"/>
        <color rgb="FF0000FF"/>
        <rFont val="Cambria"/>
        <family val="0"/>
        <charset val="1"/>
      </rPr>
      <t xml:space="preserve">W</t>
    </r>
    <r>
      <rPr>
        <sz val="11"/>
        <color rgb="FF0000FF"/>
        <rFont val="WenQuanYi Zen Hei"/>
        <family val="2"/>
      </rPr>
      <t xml:space="preserve">필리핀</t>
    </r>
  </si>
  <si>
    <t xml:space="preserve">N261MPT010</t>
  </si>
  <si>
    <t xml:space="preserve">타누 테이퍼드 팬츠</t>
  </si>
  <si>
    <t xml:space="preserve">N261MPT500</t>
  </si>
  <si>
    <t xml:space="preserve">N261MPD500</t>
  </si>
  <si>
    <r>
      <rPr>
        <sz val="11"/>
        <color rgb="FF0000FF"/>
        <rFont val="Cambria"/>
        <family val="0"/>
        <charset val="1"/>
      </rPr>
      <t xml:space="preserve">[CORDURA] NRN </t>
    </r>
    <r>
      <rPr>
        <sz val="11"/>
        <color rgb="FF0000FF"/>
        <rFont val="WenQuanYi Zen Hei"/>
        <family val="2"/>
      </rPr>
      <t xml:space="preserve">인슐레이션 </t>
    </r>
    <r>
      <rPr>
        <sz val="11"/>
        <color rgb="FF0000FF"/>
        <rFont val="Cambria"/>
        <family val="0"/>
        <charset val="1"/>
      </rPr>
      <t xml:space="preserve">3 IN 1 </t>
    </r>
    <r>
      <rPr>
        <sz val="11"/>
        <color rgb="FF0000FF"/>
        <rFont val="WenQuanYi Zen Hei"/>
        <family val="2"/>
      </rPr>
      <t xml:space="preserve">자켓</t>
    </r>
  </si>
  <si>
    <t xml:space="preserve">N261MVT260</t>
  </si>
  <si>
    <t xml:space="preserve">에테르 Heatlock AERO 인슐레이션 베스트</t>
  </si>
  <si>
    <t xml:space="preserve">N261UPT902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</si>
  <si>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온전</t>
    </r>
    <r>
      <rPr>
        <sz val="11"/>
        <color rgb="FF0000FF"/>
        <rFont val="Cambria"/>
        <family val="0"/>
        <charset val="1"/>
      </rPr>
      <t xml:space="preserve">) </t>
    </r>
    <r>
      <rPr>
        <sz val="11"/>
        <color rgb="FF0000FF"/>
        <rFont val="WenQuanYi Zen Hei"/>
        <family val="2"/>
      </rPr>
      <t xml:space="preserve">벨티드 세미루즈핏 스트레이트 팬츠</t>
    </r>
  </si>
  <si>
    <t xml:space="preserve">N261UJP080</t>
  </si>
  <si>
    <t xml:space="preserve">코버스 스트레치 하이넥 블록형 점퍼</t>
  </si>
  <si>
    <t xml:space="preserve">N261UVT030</t>
  </si>
  <si>
    <t xml:space="preserve">오거스틴 2L 후드 베스트</t>
  </si>
  <si>
    <t xml:space="preserve">N262UTS903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</si>
  <si>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온전</t>
    </r>
    <r>
      <rPr>
        <sz val="11"/>
        <color rgb="FF0000FF"/>
        <rFont val="Cambria"/>
        <family val="0"/>
        <charset val="1"/>
      </rPr>
      <t xml:space="preserve">) </t>
    </r>
    <r>
      <rPr>
        <sz val="11"/>
        <color rgb="FF0000FF"/>
        <rFont val="WenQuanYi Zen Hei"/>
        <family val="2"/>
      </rPr>
      <t xml:space="preserve">소로나 쿨 메이즈 세미오버핏 반팔 티셔츠</t>
    </r>
  </si>
  <si>
    <t xml:space="preserve">N262USD050</t>
  </si>
  <si>
    <t xml:space="preserve">코어레인 SD</t>
  </si>
  <si>
    <t xml:space="preserve">N264WFJ152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</si>
  <si>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베일 쉐르파 스탠드넥 자켓</t>
    </r>
  </si>
  <si>
    <t xml:space="preserve">N265ABG020</t>
  </si>
  <si>
    <t xml:space="preserve">어반심플백팩</t>
  </si>
  <si>
    <t xml:space="preserve">N265ACR080</t>
  </si>
  <si>
    <t xml:space="preserve">루키슬링백</t>
  </si>
  <si>
    <t xml:space="preserve">N265ACR140</t>
  </si>
  <si>
    <t xml:space="preserve">라이트크로스백</t>
  </si>
  <si>
    <t xml:space="preserve">N265ACR200</t>
  </si>
  <si>
    <t xml:space="preserve">얼티메이트 2WAY백</t>
  </si>
  <si>
    <t xml:space="preserve">N265ACR310</t>
  </si>
  <si>
    <t xml:space="preserve">데일리라이트크로스백L</t>
  </si>
  <si>
    <t xml:space="preserve">N265ACR040</t>
  </si>
  <si>
    <t xml:space="preserve">어반심플슬링백</t>
  </si>
  <si>
    <t xml:space="preserve">N265ACR240</t>
  </si>
  <si>
    <r>
      <rPr>
        <sz val="11"/>
        <color rgb="FF0000FF"/>
        <rFont val="Cambria"/>
        <family val="0"/>
        <charset val="1"/>
      </rPr>
      <t xml:space="preserve">W</t>
    </r>
    <r>
      <rPr>
        <sz val="11"/>
        <color rgb="FF0000FF"/>
        <rFont val="WenQuanYi Zen Hei"/>
        <family val="2"/>
      </rPr>
      <t xml:space="preserve">어반트래블듀얼크로스백</t>
    </r>
  </si>
  <si>
    <t xml:space="preserve">N265AWA010</t>
  </si>
  <si>
    <t xml:space="preserve">지퍼반지갑</t>
  </si>
  <si>
    <t xml:space="preserve">N265MJP240</t>
  </si>
  <si>
    <t xml:space="preserve">아틀라스 윈드스토퍼 BY GORE-TEX LABS 2L 스탠드넥 자켓</t>
  </si>
  <si>
    <t xml:space="preserve">N265UJP260</t>
  </si>
  <si>
    <t xml:space="preserve">아틀라스 윈드스토퍼 BY GORE-TEX LABS 2L 후드 자켓</t>
  </si>
  <si>
    <t xml:space="preserve">N265UJG030</t>
  </si>
  <si>
    <t xml:space="preserve">네오 알파</t>
  </si>
  <si>
    <t xml:space="preserve">N265UJG040</t>
  </si>
  <si>
    <t xml:space="preserve">코지 위브</t>
  </si>
  <si>
    <t xml:space="preserve">N265UTR020</t>
  </si>
  <si>
    <t xml:space="preserve">코어레인</t>
  </si>
  <si>
    <t xml:space="preserve">O262UTS502</t>
  </si>
  <si>
    <r>
      <rPr>
        <sz val="11"/>
        <color rgb="FF0000FF"/>
        <rFont val="Cambria"/>
        <family val="0"/>
        <charset val="1"/>
      </rPr>
      <t xml:space="preserve">C_</t>
    </r>
    <r>
      <rPr>
        <sz val="11"/>
        <color rgb="FF0000FF"/>
        <rFont val="WenQuanYi Zen Hei"/>
        <family val="2"/>
      </rPr>
      <t xml:space="preserve">세미 오버핏 와펜 </t>
    </r>
    <r>
      <rPr>
        <sz val="11"/>
        <color rgb="FF0000FF"/>
        <rFont val="Cambria"/>
        <family val="0"/>
        <charset val="1"/>
      </rPr>
      <t xml:space="preserve">H/TEE</t>
    </r>
  </si>
  <si>
    <t xml:space="preserve">O262WTS510</t>
  </si>
  <si>
    <r>
      <rPr>
        <sz val="11"/>
        <color rgb="FF0000FF"/>
        <rFont val="Cambria"/>
        <family val="0"/>
        <charset val="1"/>
      </rPr>
      <t xml:space="preserve">C_</t>
    </r>
    <r>
      <rPr>
        <sz val="11"/>
        <color rgb="FF0000FF"/>
        <rFont val="WenQuanYi Zen Hei"/>
        <family val="2"/>
      </rPr>
      <t xml:space="preserve">트러타 드라이실 반팔 티셔츠</t>
    </r>
  </si>
  <si>
    <t xml:space="preserve">WW010</t>
  </si>
  <si>
    <r>
      <rPr>
        <sz val="11"/>
        <color rgb="FF0000FF"/>
        <rFont val="Cambria"/>
        <family val="0"/>
        <charset val="1"/>
      </rPr>
      <t xml:space="preserve">W</t>
    </r>
    <r>
      <rPr>
        <sz val="11"/>
        <color rgb="FF0000FF"/>
        <rFont val="WenQuanYi Zen Hei"/>
        <family val="2"/>
      </rPr>
      <t xml:space="preserve">인도네시아</t>
    </r>
  </si>
  <si>
    <t xml:space="preserve">N265AAC030</t>
  </si>
  <si>
    <t xml:space="preserve">보스턴파우치</t>
  </si>
  <si>
    <t xml:space="preserve">N265AAC050</t>
  </si>
  <si>
    <t xml:space="preserve">브리프파우치</t>
  </si>
  <si>
    <t xml:space="preserve">N265ABG010</t>
  </si>
  <si>
    <t xml:space="preserve">어반시티백팩</t>
  </si>
  <si>
    <t xml:space="preserve">N265ABG550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</si>
  <si>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)W</t>
    </r>
    <r>
      <rPr>
        <sz val="11"/>
        <color rgb="FF0000FF"/>
        <rFont val="WenQuanYi Zen Hei"/>
        <family val="2"/>
      </rPr>
      <t xml:space="preserve">루미미니백팩</t>
    </r>
  </si>
  <si>
    <t xml:space="preserve">O265ABG010</t>
  </si>
  <si>
    <t xml:space="preserve">아이콘백팩</t>
  </si>
  <si>
    <t xml:space="preserve">WW011</t>
  </si>
  <si>
    <t xml:space="preserve">디즈니_일본</t>
  </si>
  <si>
    <t xml:space="preserve">N265ABG640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</si>
  <si>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데일리라이트백팩</t>
    </r>
  </si>
  <si>
    <t xml:space="preserve">N265ACR570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</si>
  <si>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파치슬링백</t>
    </r>
  </si>
  <si>
    <t xml:space="preserve">N265ACR670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</si>
  <si>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크래스트</t>
    </r>
    <r>
      <rPr>
        <sz val="11"/>
        <color rgb="FF0000FF"/>
        <rFont val="Cambria"/>
        <family val="0"/>
        <charset val="1"/>
      </rPr>
      <t xml:space="preserve">2WAY</t>
    </r>
    <r>
      <rPr>
        <sz val="11"/>
        <color rgb="FF0000FF"/>
        <rFont val="WenQuanYi Zen Hei"/>
        <family val="2"/>
      </rPr>
      <t xml:space="preserve">크로스백</t>
    </r>
  </si>
  <si>
    <t xml:space="preserve">N265ACR800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</si>
  <si>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데일리라이트크로스백</t>
    </r>
    <r>
      <rPr>
        <sz val="11"/>
        <color rgb="FF0000FF"/>
        <rFont val="Cambria"/>
        <family val="0"/>
        <charset val="1"/>
      </rPr>
      <t xml:space="preserve">M</t>
    </r>
  </si>
  <si>
    <t xml:space="preserve">WW013</t>
  </si>
  <si>
    <t xml:space="preserve">디즈니_싱가폴크루즈(R/X)</t>
  </si>
  <si>
    <t xml:space="preserve">N261UDV010</t>
  </si>
  <si>
    <t xml:space="preserve">케루스 경량 구스다운 베스트</t>
  </si>
  <si>
    <t xml:space="preserve">N262URG410</t>
  </si>
  <si>
    <t xml:space="preserve">그래픽 워터 긴팔 티셔츠</t>
  </si>
  <si>
    <t xml:space="preserve">N262UTS901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</si>
  <si>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온전</t>
    </r>
    <r>
      <rPr>
        <sz val="11"/>
        <color rgb="FF0000FF"/>
        <rFont val="Cambria"/>
        <family val="0"/>
        <charset val="1"/>
      </rPr>
      <t xml:space="preserve">) </t>
    </r>
    <r>
      <rPr>
        <sz val="11"/>
        <color rgb="FF0000FF"/>
        <rFont val="WenQuanYi Zen Hei"/>
        <family val="2"/>
      </rPr>
      <t xml:space="preserve">소로나 쿨 그리핀 세미오버핏 반팔 티셔츠</t>
    </r>
  </si>
  <si>
    <t xml:space="preserve">O261UFT550</t>
  </si>
  <si>
    <r>
      <rPr>
        <sz val="11"/>
        <color rgb="FF0000FF"/>
        <rFont val="Cambria"/>
        <family val="0"/>
        <charset val="1"/>
      </rPr>
      <t xml:space="preserve">C_</t>
    </r>
    <r>
      <rPr>
        <sz val="11"/>
        <color rgb="FF0000FF"/>
        <rFont val="WenQuanYi Zen Hei"/>
        <family val="2"/>
      </rPr>
      <t xml:space="preserve">마게이 소매 포켓 세미오버핏 후드 풀집업</t>
    </r>
  </si>
  <si>
    <t xml:space="preserve">O261USW522</t>
  </si>
  <si>
    <r>
      <rPr>
        <sz val="11"/>
        <color rgb="FF0000FF"/>
        <rFont val="Cambria"/>
        <family val="0"/>
        <charset val="1"/>
      </rPr>
      <t xml:space="preserve">C_</t>
    </r>
    <r>
      <rPr>
        <sz val="11"/>
        <color rgb="FF0000FF"/>
        <rFont val="WenQuanYi Zen Hei"/>
        <family val="2"/>
      </rPr>
      <t xml:space="preserve">론트라 그래픽 세미오버핏 하프집업</t>
    </r>
  </si>
  <si>
    <t xml:space="preserve">O262UPL520</t>
  </si>
  <si>
    <r>
      <rPr>
        <sz val="11"/>
        <color rgb="FF0000FF"/>
        <rFont val="Cambria"/>
        <family val="0"/>
        <charset val="1"/>
      </rPr>
      <t xml:space="preserve">C_</t>
    </r>
    <r>
      <rPr>
        <sz val="11"/>
        <color rgb="FF0000FF"/>
        <rFont val="WenQuanYi Zen Hei"/>
        <family val="2"/>
      </rPr>
      <t xml:space="preserve">카리디 피케 반팔 카라 티셔츠</t>
    </r>
  </si>
  <si>
    <t xml:space="preserve">O262UTS592</t>
  </si>
  <si>
    <r>
      <rPr>
        <sz val="11"/>
        <color rgb="FF0000FF"/>
        <rFont val="Cambria"/>
        <family val="0"/>
        <charset val="1"/>
      </rPr>
      <t xml:space="preserve">C_</t>
    </r>
    <r>
      <rPr>
        <sz val="11"/>
        <color rgb="FF0000FF"/>
        <rFont val="WenQuanYi Zen Hei"/>
        <family val="2"/>
      </rPr>
      <t xml:space="preserve">크로우 소로나 쿨터치 레터링 그래픽 반팔 티셔츠</t>
    </r>
  </si>
  <si>
    <t xml:space="preserve">O265AET540</t>
  </si>
  <si>
    <r>
      <rPr>
        <sz val="11"/>
        <color rgb="FF0000FF"/>
        <rFont val="Cambria"/>
        <family val="0"/>
        <charset val="1"/>
      </rPr>
      <t xml:space="preserve">(C) </t>
    </r>
    <r>
      <rPr>
        <sz val="11"/>
        <color rgb="FF0000FF"/>
        <rFont val="WenQuanYi Zen Hei"/>
        <family val="2"/>
      </rPr>
      <t xml:space="preserve">시그니쳐 머그컵 </t>
    </r>
    <r>
      <rPr>
        <sz val="11"/>
        <color rgb="FF0000FF"/>
        <rFont val="Cambria"/>
        <family val="0"/>
        <charset val="1"/>
      </rPr>
      <t xml:space="preserve">640</t>
    </r>
  </si>
  <si>
    <t xml:space="preserve">WW015</t>
  </si>
  <si>
    <r>
      <rPr>
        <sz val="11"/>
        <color rgb="FF0000FF"/>
        <rFont val="Cambria"/>
        <family val="0"/>
        <charset val="1"/>
      </rPr>
      <t xml:space="preserve">W</t>
    </r>
    <r>
      <rPr>
        <sz val="11"/>
        <color rgb="FF0000FF"/>
        <rFont val="WenQuanYi Zen Hei"/>
        <family val="2"/>
      </rPr>
      <t xml:space="preserve">워싱턴박물관</t>
    </r>
  </si>
  <si>
    <t xml:space="preserve">N251ABG510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</si>
  <si>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파치백팩</t>
    </r>
  </si>
  <si>
    <t xml:space="preserve">N251ABG530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</si>
  <si>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리플백팩</t>
    </r>
  </si>
  <si>
    <t xml:space="preserve">N251UFT050</t>
  </si>
  <si>
    <t xml:space="preserve">마게이 후드 풀집업 </t>
  </si>
  <si>
    <t xml:space="preserve">N251USW010</t>
  </si>
  <si>
    <t xml:space="preserve">폴하스 스몰로고 베이직핏 맨투맨</t>
  </si>
  <si>
    <t xml:space="preserve">N252MPL810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</si>
  <si>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 </t>
    </r>
    <r>
      <rPr>
        <sz val="11"/>
        <color rgb="FF0000FF"/>
        <rFont val="WenQuanYi Zen Hei"/>
        <family val="2"/>
      </rPr>
      <t xml:space="preserve">웰라카 냉감 베이직핏 피케 카라티</t>
    </r>
  </si>
  <si>
    <t xml:space="preserve">N252UFT140</t>
  </si>
  <si>
    <t xml:space="preserve">아델리 경량 우븐 스트레치 풀집업 후드 점퍼</t>
  </si>
  <si>
    <t xml:space="preserve">N252UTS230</t>
  </si>
  <si>
    <t xml:space="preserve">토르콰투스 스몰로고 그래픽 베이직핏 반팔 티셔츠</t>
  </si>
  <si>
    <t xml:space="preserve">N253ABG520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</si>
  <si>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경량백팩</t>
    </r>
  </si>
  <si>
    <t xml:space="preserve">N253ACR640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</si>
  <si>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패디드슬링크로스백</t>
    </r>
    <r>
      <rPr>
        <sz val="11"/>
        <color rgb="FF0000FF"/>
        <rFont val="Cambria"/>
        <family val="0"/>
        <charset val="1"/>
      </rPr>
      <t xml:space="preserve">M</t>
    </r>
  </si>
  <si>
    <t xml:space="preserve">N255ABG020</t>
  </si>
  <si>
    <t xml:space="preserve">N255ABG510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</si>
  <si>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코어오리지날백팩</t>
    </r>
  </si>
  <si>
    <t xml:space="preserve">N255ACR650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</si>
  <si>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빅로고슬링백</t>
    </r>
  </si>
  <si>
    <t xml:space="preserve">N255AHA010</t>
  </si>
  <si>
    <t xml:space="preserve">N255AHA020</t>
  </si>
  <si>
    <t xml:space="preserve">메탈로고캡</t>
  </si>
  <si>
    <t xml:space="preserve">N255AHA510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</si>
  <si>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스몰로고캡</t>
    </r>
  </si>
  <si>
    <t xml:space="preserve">N255AHA540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</si>
  <si>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아델리볼캡</t>
    </r>
  </si>
  <si>
    <t xml:space="preserve">N255ATO540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</si>
  <si>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아델리토트백</t>
    </r>
  </si>
  <si>
    <t xml:space="preserve">N255UTS920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</si>
  <si>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 </t>
    </r>
    <r>
      <rPr>
        <sz val="11"/>
        <color rgb="FF0000FF"/>
        <rFont val="WenQuanYi Zen Hei"/>
        <family val="2"/>
      </rPr>
      <t xml:space="preserve">네오디 빅로고 베이직핏 반팔 티셔츠</t>
    </r>
  </si>
  <si>
    <t xml:space="preserve">WW016</t>
  </si>
  <si>
    <t xml:space="preserve">싱가폴동물원</t>
  </si>
  <si>
    <t xml:space="preserve">N242ACR020</t>
  </si>
  <si>
    <t xml:space="preserve">방수팩</t>
  </si>
  <si>
    <t xml:space="preserve">N242AHA050</t>
  </si>
  <si>
    <t xml:space="preserve">고주파로고선바이저</t>
  </si>
  <si>
    <t xml:space="preserve">N251ABG030</t>
  </si>
  <si>
    <t xml:space="preserve">리플백팩</t>
  </si>
  <si>
    <t xml:space="preserve">N252AHA010</t>
  </si>
  <si>
    <t xml:space="preserve">N252AHA020</t>
  </si>
  <si>
    <t xml:space="preserve">라피아선바이저</t>
  </si>
  <si>
    <t xml:space="preserve">N252AHA030</t>
  </si>
  <si>
    <t xml:space="preserve">라피아햇</t>
  </si>
  <si>
    <t xml:space="preserve">N252MPT100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</si>
  <si>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카고 와이드핏 팬츠</t>
    </r>
  </si>
  <si>
    <t xml:space="preserve">N252MPT190</t>
  </si>
  <si>
    <t xml:space="preserve">프로즌에어 릴렉스핏 팬츠</t>
  </si>
  <si>
    <t xml:space="preserve">N252MTS100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</si>
  <si>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가슴 포켓 세미오버핏 반팔 티셔츠</t>
    </r>
  </si>
  <si>
    <t xml:space="preserve">N252MTS110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</si>
  <si>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소매 포켓 세미오버핏 반팔 티셔츠</t>
    </r>
  </si>
  <si>
    <t xml:space="preserve">N252UHP120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</si>
  <si>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올오버프린트 셋업 </t>
    </r>
    <r>
      <rPr>
        <sz val="11"/>
        <color rgb="FF0000FF"/>
        <rFont val="Cambria"/>
        <family val="0"/>
        <charset val="1"/>
      </rPr>
      <t xml:space="preserve">5</t>
    </r>
    <r>
      <rPr>
        <sz val="11"/>
        <color rgb="FF0000FF"/>
        <rFont val="WenQuanYi Zen Hei"/>
        <family val="2"/>
      </rPr>
      <t xml:space="preserve">부 쇼츠</t>
    </r>
  </si>
  <si>
    <t xml:space="preserve">N252UHP140</t>
  </si>
  <si>
    <t xml:space="preserve">아델리 경량 우븐 스트레치 5부 카고 쇼츠</t>
  </si>
  <si>
    <t xml:space="preserve">N252UJP230</t>
  </si>
  <si>
    <t xml:space="preserve">월리스 슈퍼라이트 점퍼</t>
  </si>
  <si>
    <t xml:space="preserve">N252UVT140</t>
  </si>
  <si>
    <t xml:space="preserve">아델리 경량 우븐 스트레치 풀집업 베스트</t>
  </si>
  <si>
    <t xml:space="preserve">N252USH120</t>
  </si>
  <si>
    <r>
      <rPr>
        <sz val="11"/>
        <color rgb="FF0000FF"/>
        <rFont val="Cambria"/>
        <family val="0"/>
        <charset val="1"/>
      </rPr>
      <t xml:space="preserve">NRN </t>
    </r>
    <r>
      <rPr>
        <sz val="11"/>
        <color rgb="FF0000FF"/>
        <rFont val="WenQuanYi Zen Hei"/>
        <family val="2"/>
      </rPr>
      <t xml:space="preserve">올오버프린트 셋업 셔츠</t>
    </r>
  </si>
  <si>
    <t xml:space="preserve">N252UTS070</t>
  </si>
  <si>
    <t xml:space="preserve">리젠 별자리 그래픽 세미오버핏 반팔 티셔츠</t>
  </si>
  <si>
    <t xml:space="preserve">N252UTS171</t>
  </si>
  <si>
    <t xml:space="preserve">프로즌큐브 반팔티셔츠</t>
  </si>
  <si>
    <t xml:space="preserve">N252UTS190</t>
  </si>
  <si>
    <t xml:space="preserve">프로즌에어 반팔티셔츠</t>
  </si>
  <si>
    <t xml:space="preserve">N252USD326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</si>
  <si>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 </t>
    </r>
    <r>
      <rPr>
        <sz val="11"/>
        <color rgb="FF0000FF"/>
        <rFont val="WenQuanYi Zen Hei"/>
        <family val="2"/>
      </rPr>
      <t xml:space="preserve">로버 프로즌</t>
    </r>
  </si>
  <si>
    <t xml:space="preserve">N252USD327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</si>
  <si>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 </t>
    </r>
    <r>
      <rPr>
        <sz val="11"/>
        <color rgb="FF0000FF"/>
        <rFont val="WenQuanYi Zen Hei"/>
        <family val="2"/>
      </rPr>
      <t xml:space="preserve">로버 피셔맨 </t>
    </r>
  </si>
  <si>
    <t xml:space="preserve">N252WHP170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</si>
  <si>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프로즌큐브 </t>
    </r>
    <r>
      <rPr>
        <sz val="11"/>
        <color rgb="FF0000FF"/>
        <rFont val="Cambria"/>
        <family val="0"/>
        <charset val="1"/>
      </rPr>
      <t xml:space="preserve">4</t>
    </r>
    <r>
      <rPr>
        <sz val="11"/>
        <color rgb="FF0000FF"/>
        <rFont val="WenQuanYi Zen Hei"/>
        <family val="2"/>
      </rPr>
      <t xml:space="preserve">부 쇼츠</t>
    </r>
  </si>
  <si>
    <t xml:space="preserve">N252WPT190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</si>
  <si>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프로즌에어 릴렉스핏 팬츠</t>
    </r>
  </si>
  <si>
    <t xml:space="preserve">N252WTS140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</si>
  <si>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아델리 경량 우븐 스트레치 라운드 반팔 티셔츠</t>
    </r>
  </si>
  <si>
    <t xml:space="preserve">N252WTS141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</si>
  <si>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아델리 경량 우븐 스트레치 카라형 티셔츠</t>
    </r>
  </si>
  <si>
    <t xml:space="preserve">N252WTS190</t>
  </si>
  <si>
    <r>
      <rPr>
        <sz val="11"/>
        <color rgb="FF0000FF"/>
        <rFont val="Cambria"/>
        <family val="0"/>
        <charset val="1"/>
      </rPr>
      <t xml:space="preserve">W' </t>
    </r>
    <r>
      <rPr>
        <sz val="11"/>
        <color rgb="FF0000FF"/>
        <rFont val="WenQuanYi Zen Hei"/>
        <family val="2"/>
      </rPr>
      <t xml:space="preserve">프로즌에어 세미크롭 반팔티셔츠</t>
    </r>
  </si>
  <si>
    <t xml:space="preserve">N255ASU060</t>
  </si>
  <si>
    <t xml:space="preserve">하바나 캐리어 24</t>
  </si>
  <si>
    <t xml:space="preserve">N255ASU070</t>
  </si>
  <si>
    <t xml:space="preserve">하바나 캐리어 28</t>
  </si>
  <si>
    <t xml:space="preserve">N255ASU360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</si>
  <si>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하바나 캐리어 </t>
    </r>
    <r>
      <rPr>
        <sz val="11"/>
        <color rgb="FF0000FF"/>
        <rFont val="Cambria"/>
        <family val="0"/>
        <charset val="1"/>
      </rPr>
      <t xml:space="preserve">24</t>
    </r>
  </si>
  <si>
    <t xml:space="preserve">N255USN314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</si>
  <si>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 </t>
    </r>
    <r>
      <rPr>
        <sz val="11"/>
        <color rgb="FF0000FF"/>
        <rFont val="WenQuanYi Zen Hei"/>
        <family val="2"/>
      </rPr>
      <t xml:space="preserve">컨투어 에어 </t>
    </r>
  </si>
  <si>
    <t xml:space="preserve">N255USN316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</si>
  <si>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 </t>
    </r>
    <r>
      <rPr>
        <sz val="11"/>
        <color rgb="FF0000FF"/>
        <rFont val="WenQuanYi Zen Hei"/>
        <family val="2"/>
      </rPr>
      <t xml:space="preserve">로버 시티</t>
    </r>
  </si>
  <si>
    <t xml:space="preserve">N255USN317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</si>
  <si>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 </t>
    </r>
    <r>
      <rPr>
        <sz val="11"/>
        <color rgb="FF0000FF"/>
        <rFont val="WenQuanYi Zen Hei"/>
        <family val="2"/>
      </rPr>
      <t xml:space="preserve">로버 에어릿</t>
    </r>
  </si>
  <si>
    <t xml:space="preserve">N255USN311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</si>
  <si>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 </t>
    </r>
    <r>
      <rPr>
        <sz val="11"/>
        <color rgb="FF0000FF"/>
        <rFont val="WenQuanYi Zen Hei"/>
        <family val="2"/>
      </rPr>
      <t xml:space="preserve">하이킥</t>
    </r>
  </si>
  <si>
    <t xml:space="preserve">N261UPT220</t>
  </si>
  <si>
    <t xml:space="preserve">어반 스트레치 베이직핏 조거 팬츠</t>
  </si>
  <si>
    <t xml:space="preserve">N263UJP030</t>
  </si>
  <si>
    <t xml:space="preserve">코튼터치 로우머스 MA-1 항공점퍼</t>
  </si>
  <si>
    <t xml:space="preserve">O262UTS921</t>
  </si>
  <si>
    <t xml:space="preserve">베이직 반팔 그래픽 티셔츠1</t>
  </si>
  <si>
    <t xml:space="preserve">OBG2UTS901</t>
  </si>
  <si>
    <t xml:space="preserve">싱가폴 만다이 비스포크 그래픽 티셔츠(BASIC FIT)1 </t>
  </si>
  <si>
    <t xml:space="preserve">OBG2UTS902</t>
  </si>
  <si>
    <t xml:space="preserve">싱가폴 만다이 비스포크 그래픽 반팔 티셔츠(BASIC FIT)2</t>
  </si>
  <si>
    <t xml:space="preserve">OBG2UTS903</t>
  </si>
  <si>
    <t xml:space="preserve">싱가폴 만다이 비스포크 그래픽 반팔티(BASIC FIT)2</t>
  </si>
  <si>
    <t xml:space="preserve">OBG2UTS904</t>
  </si>
  <si>
    <t xml:space="preserve">싱가폴 만다이 비스포크 그래픽 반팔티(SEMI OVER FIT)</t>
  </si>
  <si>
    <t xml:space="preserve">OBG2UTS905</t>
  </si>
  <si>
    <t xml:space="preserve">싱가폴 만다이 비스포크 그래픽 반팔티 (SEMI OVER FIT) 5</t>
  </si>
  <si>
    <t xml:space="preserve">OBG5AET940</t>
  </si>
  <si>
    <t xml:space="preserve">싱가폴 만다이 비스포크 텀블러 </t>
  </si>
  <si>
    <t xml:space="preserve">OBG5AET941</t>
  </si>
  <si>
    <t xml:space="preserve">싱가폴 만다이 비스포크 머그컵</t>
  </si>
  <si>
    <t xml:space="preserve">WW017</t>
  </si>
  <si>
    <t xml:space="preserve">N251ABG560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</si>
  <si>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듀블백팩</t>
    </r>
  </si>
  <si>
    <t xml:space="preserve">N253UJP011</t>
  </si>
  <si>
    <r>
      <rPr>
        <sz val="11"/>
        <color rgb="FF0000FF"/>
        <rFont val="Cambria"/>
        <family val="0"/>
        <charset val="1"/>
      </rPr>
      <t xml:space="preserve">2L </t>
    </r>
    <r>
      <rPr>
        <sz val="11"/>
        <color rgb="FF0000FF"/>
        <rFont val="WenQuanYi Zen Hei"/>
        <family val="2"/>
      </rPr>
      <t xml:space="preserve">방풍 점퍼</t>
    </r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데님</t>
    </r>
    <r>
      <rPr>
        <sz val="11"/>
        <color rgb="FF0000FF"/>
        <rFont val="Cambria"/>
        <family val="0"/>
        <charset val="1"/>
      </rPr>
      <t xml:space="preserve">)</t>
    </r>
  </si>
  <si>
    <t xml:space="preserve">N253UJP020</t>
  </si>
  <si>
    <t xml:space="preserve">페커리 소프트쉘 스탠넥 점퍼</t>
  </si>
  <si>
    <t xml:space="preserve">N255ACR530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</si>
  <si>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데이즈메신저백</t>
    </r>
    <r>
      <rPr>
        <sz val="11"/>
        <color rgb="FF0000FF"/>
        <rFont val="Cambria"/>
        <family val="0"/>
        <charset val="1"/>
      </rPr>
      <t xml:space="preserve">13"</t>
    </r>
  </si>
  <si>
    <t xml:space="preserve">N255ACR630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</si>
  <si>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데일리슬링백</t>
    </r>
  </si>
  <si>
    <t xml:space="preserve">N255ASU350</t>
  </si>
  <si>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온</t>
    </r>
    <r>
      <rPr>
        <sz val="11"/>
        <color rgb="FF0000FF"/>
        <rFont val="Cambria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하바나 캐리어 </t>
    </r>
    <r>
      <rPr>
        <sz val="11"/>
        <color rgb="FF0000FF"/>
        <rFont val="Cambria"/>
        <family val="0"/>
        <charset val="1"/>
      </rPr>
      <t xml:space="preserve">20</t>
    </r>
  </si>
  <si>
    <t xml:space="preserve">N262MJP030</t>
  </si>
  <si>
    <t xml:space="preserve">미노우 소매포켓 홑겹 항공점퍼</t>
  </si>
  <si>
    <t xml:space="preserve">N265AHA240</t>
  </si>
  <si>
    <t xml:space="preserve">컴포트오버캡</t>
  </si>
  <si>
    <t xml:space="preserve">N265AHI040</t>
  </si>
  <si>
    <t xml:space="preserve">네이처울트라힙색</t>
  </si>
  <si>
    <t xml:space="preserve">차수(C)</t>
  </si>
  <si>
    <t xml:space="preserve">스타일(L)</t>
  </si>
  <si>
    <t xml:space="preserve">수량(P)</t>
  </si>
  <si>
    <t xml:space="preserve">택가 KRW(AB)</t>
  </si>
  <si>
    <t xml:space="preserve">한국원가 KRW(AH)</t>
  </si>
  <si>
    <t xml:space="preserve">배수(S)</t>
  </si>
  <si>
    <t xml:space="preserve">해외공급가 USD(AL)</t>
  </si>
  <si>
    <t xml:space="preserve">중국공급가(BB)</t>
  </si>
  <si>
    <t xml:space="preserve">택가(보정)</t>
  </si>
  <si>
    <t xml:space="preserve">원가(보정)</t>
  </si>
  <si>
    <t xml:space="preserve">공급단가 KRW</t>
  </si>
  <si>
    <t xml:space="preserve">택가금액</t>
  </si>
  <si>
    <t xml:space="preserve">원가금액</t>
  </si>
  <si>
    <r>
      <rPr>
        <b val="true"/>
        <sz val="11"/>
        <color rgb="FFFFFFFF"/>
        <rFont val="Cambria"/>
        <family val="0"/>
        <charset val="1"/>
      </rPr>
      <t xml:space="preserve">TNH </t>
    </r>
    <r>
      <rPr>
        <b val="true"/>
        <sz val="11"/>
        <color rgb="FFFFFFFF"/>
        <rFont val="WenQuanYi Zen Hei"/>
        <family val="2"/>
      </rPr>
      <t xml:space="preserve">공급금액</t>
    </r>
  </si>
  <si>
    <t xml:space="preserve">100</t>
  </si>
  <si>
    <t xml:space="preserve">200</t>
  </si>
  <si>
    <t xml:space="preserve">300</t>
  </si>
  <si>
    <t xml:space="preserve">500</t>
  </si>
  <si>
    <t xml:space="preserve">600</t>
  </si>
  <si>
    <t xml:space="preserve">800</t>
  </si>
  <si>
    <t xml:space="preserve">810</t>
  </si>
  <si>
    <t xml:space="preserve">830</t>
  </si>
  <si>
    <t xml:space="preserve">700</t>
  </si>
  <si>
    <t xml:space="preserve">N261MPT030</t>
  </si>
  <si>
    <t xml:space="preserve">N261MPT270</t>
  </si>
  <si>
    <t xml:space="preserve">N261MJP260</t>
  </si>
  <si>
    <t xml:space="preserve">N261UPT090</t>
  </si>
  <si>
    <t xml:space="preserve">N261UJP040</t>
  </si>
  <si>
    <t xml:space="preserve">N262MSH320</t>
  </si>
  <si>
    <t xml:space="preserve">N262MTS520</t>
  </si>
  <si>
    <t xml:space="preserve">N262UJP150</t>
  </si>
  <si>
    <t xml:space="preserve">N262UTS191</t>
  </si>
  <si>
    <t xml:space="preserve">N262UTS902</t>
  </si>
  <si>
    <t xml:space="preserve">N262UTS904</t>
  </si>
  <si>
    <t xml:space="preserve">N262UTS905</t>
  </si>
  <si>
    <t xml:space="preserve">N263MJP530</t>
  </si>
  <si>
    <t xml:space="preserve">N263UTS210</t>
  </si>
  <si>
    <t xml:space="preserve">N264MPT210</t>
  </si>
  <si>
    <t xml:space="preserve">N264MPT310</t>
  </si>
  <si>
    <t xml:space="preserve">N264MPT510</t>
  </si>
  <si>
    <t xml:space="preserve">N264MSH350</t>
  </si>
  <si>
    <t xml:space="preserve">N264UPT070</t>
  </si>
  <si>
    <t xml:space="preserve">N264UDV030</t>
  </si>
  <si>
    <t xml:space="preserve">N264UDW024</t>
  </si>
  <si>
    <t xml:space="preserve">N264UDW060</t>
  </si>
  <si>
    <t xml:space="preserve">N264UDW140</t>
  </si>
  <si>
    <t xml:space="preserve">N264UDW154</t>
  </si>
  <si>
    <t xml:space="preserve">N264UDW162</t>
  </si>
  <si>
    <t xml:space="preserve">N264UDW220</t>
  </si>
  <si>
    <t xml:space="preserve">N264UDW250</t>
  </si>
  <si>
    <t xml:space="preserve">N264UDW310</t>
  </si>
  <si>
    <t xml:space="preserve">N264UDW320</t>
  </si>
  <si>
    <t xml:space="preserve">N264UDW330</t>
  </si>
  <si>
    <t xml:space="preserve">N264UFJ155</t>
  </si>
  <si>
    <t xml:space="preserve">N264UFT040</t>
  </si>
  <si>
    <t xml:space="preserve">N264UWT030</t>
  </si>
  <si>
    <t xml:space="preserve">N264UWT070</t>
  </si>
  <si>
    <t xml:space="preserve">N264WPT080</t>
  </si>
  <si>
    <t xml:space="preserve">N264WDW040</t>
  </si>
  <si>
    <t xml:space="preserve">N264WDW131</t>
  </si>
  <si>
    <t xml:space="preserve">N264WDW152</t>
  </si>
  <si>
    <t xml:space="preserve">N264WDW162</t>
  </si>
  <si>
    <t xml:space="preserve">N264WDW260</t>
  </si>
  <si>
    <t xml:space="preserve">N264WDW310</t>
  </si>
  <si>
    <t xml:space="preserve">N264WDW320</t>
  </si>
  <si>
    <t xml:space="preserve">N264WFT040</t>
  </si>
  <si>
    <t xml:space="preserve">N264WTS220</t>
  </si>
  <si>
    <t xml:space="preserve">N265ASU140</t>
  </si>
  <si>
    <t xml:space="preserve">N265ASU150</t>
  </si>
  <si>
    <t xml:space="preserve">N265UPA010</t>
  </si>
  <si>
    <t xml:space="preserve">N265UTS901</t>
  </si>
  <si>
    <t xml:space="preserve">N265WTS010</t>
  </si>
  <si>
    <t xml:space="preserve">O261MPD301</t>
  </si>
  <si>
    <t xml:space="preserve">O261UPT101</t>
  </si>
  <si>
    <t xml:space="preserve">O261UJP101</t>
  </si>
  <si>
    <t xml:space="preserve">O261UJP102</t>
  </si>
  <si>
    <t xml:space="preserve">O261UJP260</t>
  </si>
  <si>
    <t xml:space="preserve">O261UHD101</t>
  </si>
  <si>
    <t xml:space="preserve">O261UHD102</t>
  </si>
  <si>
    <t xml:space="preserve">O261USW101</t>
  </si>
  <si>
    <t xml:space="preserve">O261UTS101</t>
  </si>
  <si>
    <t xml:space="preserve">O261UTS102</t>
  </si>
  <si>
    <t xml:space="preserve">O261UTS103</t>
  </si>
  <si>
    <t xml:space="preserve">O261UTS104</t>
  </si>
  <si>
    <t xml:space="preserve">O261WJP301</t>
  </si>
  <si>
    <t xml:space="preserve">O261WJP302</t>
  </si>
  <si>
    <t xml:space="preserve">O261WPD301</t>
  </si>
  <si>
    <t xml:space="preserve">O262UTS510</t>
  </si>
  <si>
    <t xml:space="preserve">O262WTS540</t>
  </si>
  <si>
    <t xml:space="preserve">O263UPL901</t>
  </si>
  <si>
    <t xml:space="preserve">O263UTS910</t>
  </si>
  <si>
    <t xml:space="preserve">O263UTS911</t>
  </si>
  <si>
    <t xml:space="preserve">O263WJK303</t>
  </si>
  <si>
    <t xml:space="preserve">O263WPL901</t>
  </si>
  <si>
    <t xml:space="preserve">O263WTS912</t>
  </si>
  <si>
    <t xml:space="preserve">O264APE900</t>
  </si>
  <si>
    <t xml:space="preserve">O264UDW310</t>
  </si>
  <si>
    <t xml:space="preserve">O265AAC530</t>
  </si>
  <si>
    <t xml:space="preserve">O265ABG510</t>
  </si>
  <si>
    <t xml:space="preserve">O265ACR510</t>
  </si>
  <si>
    <t xml:space="preserve">O265AHA530</t>
  </si>
  <si>
    <t xml:space="preserve">O265AHA540</t>
  </si>
  <si>
    <t xml:space="preserve">O265ATO020</t>
  </si>
  <si>
    <t xml:space="preserve">O265AET510</t>
  </si>
  <si>
    <t xml:space="preserve">O265AGW801</t>
  </si>
  <si>
    <r>
      <rPr>
        <b val="true"/>
        <sz val="14"/>
        <rFont val="Cambria"/>
        <family val="0"/>
        <charset val="1"/>
      </rPr>
      <t xml:space="preserve">2027 TNH </t>
    </r>
    <r>
      <rPr>
        <b val="true"/>
        <sz val="14"/>
        <rFont val="WenQuanYi Zen Hei"/>
        <family val="2"/>
      </rPr>
      <t xml:space="preserve">사업계획 — 계산 로직</t>
    </r>
  </si>
  <si>
    <r>
      <rPr>
        <b val="true"/>
        <sz val="12"/>
        <rFont val="Cambria"/>
        <family val="0"/>
        <charset val="1"/>
      </rPr>
      <t xml:space="preserve">1. </t>
    </r>
    <r>
      <rPr>
        <b val="true"/>
        <sz val="12"/>
        <rFont val="WenQuanYi Zen Hei"/>
        <family val="2"/>
      </rPr>
      <t xml:space="preserve">구조</t>
    </r>
  </si>
  <si>
    <r>
      <rPr>
        <sz val="11"/>
        <color theme="1"/>
        <rFont val="Calibri"/>
        <family val="2"/>
        <charset val="1"/>
      </rPr>
      <t xml:space="preserve">TNH(</t>
    </r>
    <r>
      <rPr>
        <sz val="11"/>
        <color theme="1"/>
        <rFont val="WenQuanYi Zen Hei"/>
        <family val="2"/>
      </rPr>
      <t xml:space="preserve">수출자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는 홍콩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중국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대만 법인과 홀세일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태국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말레이시아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필리핀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인도네시아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디즈니크루즈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싱가폴동물원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에 상품을 공급합니다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차수 </t>
    </r>
    <r>
      <rPr>
        <sz val="11"/>
        <color theme="1"/>
        <rFont val="Calibri"/>
        <family val="2"/>
        <charset val="1"/>
      </rPr>
      <t xml:space="preserve">100=</t>
    </r>
    <r>
      <rPr>
        <sz val="11"/>
        <color theme="1"/>
        <rFont val="WenQuanYi Zen Hei"/>
        <family val="2"/>
      </rPr>
      <t xml:space="preserve">홍콩</t>
    </r>
    <r>
      <rPr>
        <sz val="11"/>
        <color theme="1"/>
        <rFont val="Calibri"/>
        <family val="2"/>
        <charset val="1"/>
      </rPr>
      <t xml:space="preserve">, 200=</t>
    </r>
    <r>
      <rPr>
        <sz val="11"/>
        <color theme="1"/>
        <rFont val="WenQuanYi Zen Hei"/>
        <family val="2"/>
      </rPr>
      <t xml:space="preserve">중국</t>
    </r>
    <r>
      <rPr>
        <sz val="11"/>
        <color theme="1"/>
        <rFont val="Calibri"/>
        <family val="2"/>
        <charset val="1"/>
      </rPr>
      <t xml:space="preserve">, 300=</t>
    </r>
    <r>
      <rPr>
        <sz val="11"/>
        <color theme="1"/>
        <rFont val="WenQuanYi Zen Hei"/>
        <family val="2"/>
      </rPr>
      <t xml:space="preserve">대만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그 외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WenQuanYi Zen Hei"/>
        <family val="2"/>
      </rPr>
      <t xml:space="preserve">홀세일</t>
    </r>
    <r>
      <rPr>
        <sz val="11"/>
        <color theme="1"/>
        <rFont val="Calibri"/>
        <family val="2"/>
        <charset val="1"/>
      </rPr>
      <t xml:space="preserve">.</t>
    </r>
  </si>
  <si>
    <r>
      <rPr>
        <b val="true"/>
        <sz val="12"/>
        <rFont val="Cambria"/>
        <family val="0"/>
        <charset val="1"/>
      </rPr>
      <t xml:space="preserve">2. 2027 </t>
    </r>
    <r>
      <rPr>
        <b val="true"/>
        <sz val="12"/>
        <rFont val="WenQuanYi Zen Hei"/>
        <family val="2"/>
      </rPr>
      <t xml:space="preserve">계획 </t>
    </r>
    <r>
      <rPr>
        <b val="true"/>
        <sz val="12"/>
        <rFont val="Cambria"/>
        <family val="0"/>
        <charset val="1"/>
      </rPr>
      <t xml:space="preserve">(</t>
    </r>
    <r>
      <rPr>
        <b val="true"/>
        <sz val="12"/>
        <rFont val="WenQuanYi Zen Hei"/>
        <family val="2"/>
      </rPr>
      <t xml:space="preserve">가정 시트 ①</t>
    </r>
    <r>
      <rPr>
        <b val="true"/>
        <sz val="12"/>
        <rFont val="Cambria"/>
        <family val="0"/>
        <charset val="1"/>
      </rPr>
      <t xml:space="preserve">)</t>
    </r>
  </si>
  <si>
    <t xml:space="preserve">법인 정상제품 매출 = 법인 매출목표 × 정상 비중(40%)   ※ 이월제품 60%는 TNH 공급 대상이 아님</t>
  </si>
  <si>
    <t xml:space="preserve">택가 기준 공급액 = 정상제품 매출 ÷ (1 − 평균 할인율) ÷ 정판율    ※ 팔린 금액을 택가로 되돌리고, 판매율로 나눠 필요한 입고 물량(택가)을 구함</t>
  </si>
  <si>
    <r>
      <rPr>
        <sz val="11"/>
        <color theme="1"/>
        <rFont val="Calibri"/>
        <family val="2"/>
        <charset val="1"/>
      </rPr>
      <t xml:space="preserve">TNH </t>
    </r>
    <r>
      <rPr>
        <sz val="11"/>
        <color theme="1"/>
        <rFont val="WenQuanYi Zen Hei"/>
        <family val="2"/>
      </rPr>
      <t xml:space="preserve">매출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홍콩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대만</t>
    </r>
    <r>
      <rPr>
        <sz val="11"/>
        <color theme="1"/>
        <rFont val="Calibri"/>
        <family val="2"/>
        <charset val="1"/>
      </rPr>
      <t xml:space="preserve">) = </t>
    </r>
    <r>
      <rPr>
        <sz val="11"/>
        <color theme="1"/>
        <rFont val="WenQuanYi Zen Hei"/>
        <family val="2"/>
      </rPr>
      <t xml:space="preserve">택가 기준 공급액 </t>
    </r>
    <r>
      <rPr>
        <sz val="11"/>
        <color theme="1"/>
        <rFont val="Calibri"/>
        <family val="2"/>
        <charset val="1"/>
      </rPr>
      <t xml:space="preserve">× 33%</t>
    </r>
  </si>
  <si>
    <r>
      <rPr>
        <sz val="11"/>
        <color theme="1"/>
        <rFont val="Calibri"/>
        <family val="2"/>
        <charset val="1"/>
      </rPr>
      <t xml:space="preserve">TNH </t>
    </r>
    <r>
      <rPr>
        <sz val="11"/>
        <color theme="1"/>
        <rFont val="WenQuanYi Zen Hei"/>
        <family val="2"/>
      </rPr>
      <t xml:space="preserve">매출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중국</t>
    </r>
    <r>
      <rPr>
        <sz val="11"/>
        <color theme="1"/>
        <rFont val="Calibri"/>
        <family val="2"/>
        <charset val="1"/>
      </rPr>
      <t xml:space="preserve">) = </t>
    </r>
    <r>
      <rPr>
        <sz val="11"/>
        <color theme="1"/>
        <rFont val="WenQuanYi Zen Hei"/>
        <family val="2"/>
      </rPr>
      <t xml:space="preserve">한국원가 </t>
    </r>
    <r>
      <rPr>
        <sz val="11"/>
        <color theme="1"/>
        <rFont val="Calibri"/>
        <family val="2"/>
        <charset val="1"/>
      </rPr>
      <t xml:space="preserve">× (1 + 5%) = </t>
    </r>
    <r>
      <rPr>
        <sz val="11"/>
        <color theme="1"/>
        <rFont val="WenQuanYi Zen Hei"/>
        <family val="2"/>
      </rPr>
      <t xml:space="preserve">택가 기준 공급액 </t>
    </r>
    <r>
      <rPr>
        <sz val="11"/>
        <color theme="1"/>
        <rFont val="Calibri"/>
        <family val="2"/>
        <charset val="1"/>
      </rPr>
      <t xml:space="preserve">÷ 4 × 1.05</t>
    </r>
  </si>
  <si>
    <r>
      <rPr>
        <sz val="11"/>
        <color theme="1"/>
        <rFont val="Calibri"/>
        <family val="2"/>
        <charset val="1"/>
      </rPr>
      <t xml:space="preserve">TNH </t>
    </r>
    <r>
      <rPr>
        <sz val="11"/>
        <color theme="1"/>
        <rFont val="WenQuanYi Zen Hei"/>
        <family val="2"/>
      </rPr>
      <t xml:space="preserve">원가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WenQuanYi Zen Hei"/>
        <family val="2"/>
      </rPr>
      <t xml:space="preserve">택가 기준 공급액 </t>
    </r>
    <r>
      <rPr>
        <sz val="11"/>
        <color theme="1"/>
        <rFont val="Calibri"/>
        <family val="2"/>
        <charset val="1"/>
      </rPr>
      <t xml:space="preserve">÷ 4 (</t>
    </r>
    <r>
      <rPr>
        <sz val="11"/>
        <color theme="1"/>
        <rFont val="WenQuanYi Zen Hei"/>
        <family val="2"/>
      </rPr>
      <t xml:space="preserve">택가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WenQuanYi Zen Hei"/>
        <family val="2"/>
      </rPr>
      <t xml:space="preserve">한국원가의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WenQuanYi Zen Hei"/>
        <family val="2"/>
      </rPr>
      <t xml:space="preserve">배수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</si>
  <si>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TNH </t>
    </r>
    <r>
      <rPr>
        <sz val="11"/>
        <color theme="1"/>
        <rFont val="WenQuanYi Zen Hei"/>
        <family val="2"/>
      </rPr>
      <t xml:space="preserve">이익 </t>
    </r>
    <r>
      <rPr>
        <sz val="11"/>
        <color theme="1"/>
        <rFont val="Calibri"/>
        <family val="2"/>
        <charset val="1"/>
      </rPr>
      <t xml:space="preserve">= TNH </t>
    </r>
    <r>
      <rPr>
        <sz val="11"/>
        <color theme="1"/>
        <rFont val="WenQuanYi Zen Hei"/>
        <family val="2"/>
      </rPr>
      <t xml:space="preserve">매출 − </t>
    </r>
    <r>
      <rPr>
        <sz val="11"/>
        <color theme="1"/>
        <rFont val="Calibri"/>
        <family val="2"/>
        <charset val="1"/>
      </rPr>
      <t xml:space="preserve">TNH </t>
    </r>
    <r>
      <rPr>
        <sz val="11"/>
        <color theme="1"/>
        <rFont val="WenQuanYi Zen Hei"/>
        <family val="2"/>
      </rPr>
      <t xml:space="preserve">원가</t>
    </r>
  </si>
  <si>
    <t xml:space="preserve">홀세일 = TNH 매출 30억을 입력값으로 사용 → 택가 = 30억 ÷ 33%, 원가 = 택가 ÷ 4</t>
  </si>
  <si>
    <r>
      <rPr>
        <b val="true"/>
        <sz val="12"/>
        <rFont val="Cambria"/>
        <family val="0"/>
        <charset val="1"/>
      </rPr>
      <t xml:space="preserve">3. 2026 </t>
    </r>
    <r>
      <rPr>
        <b val="true"/>
        <sz val="12"/>
        <rFont val="WenQuanYi Zen Hei"/>
        <family val="2"/>
      </rPr>
      <t xml:space="preserve">예상 </t>
    </r>
    <r>
      <rPr>
        <b val="true"/>
        <sz val="12"/>
        <rFont val="Cambria"/>
        <family val="0"/>
        <charset val="1"/>
      </rPr>
      <t xml:space="preserve">(</t>
    </r>
    <r>
      <rPr>
        <b val="true"/>
        <sz val="12"/>
        <rFont val="WenQuanYi Zen Hei"/>
        <family val="2"/>
      </rPr>
      <t xml:space="preserve">가정 시트 ②③④</t>
    </r>
    <r>
      <rPr>
        <b val="true"/>
        <sz val="12"/>
        <rFont val="Cambria"/>
        <family val="0"/>
        <charset val="1"/>
      </rPr>
      <t xml:space="preserve">, RAW_</t>
    </r>
    <r>
      <rPr>
        <b val="true"/>
        <sz val="12"/>
        <rFont val="WenQuanYi Zen Hei"/>
        <family val="2"/>
      </rPr>
      <t xml:space="preserve">판매펀칭</t>
    </r>
    <r>
      <rPr>
        <b val="true"/>
        <sz val="12"/>
        <rFont val="Cambria"/>
        <family val="0"/>
        <charset val="1"/>
      </rPr>
      <t xml:space="preserve">·RAW_2026 </t>
    </r>
    <r>
      <rPr>
        <b val="true"/>
        <sz val="12"/>
        <rFont val="WenQuanYi Zen Hei"/>
        <family val="2"/>
      </rPr>
      <t xml:space="preserve">시트</t>
    </r>
    <r>
      <rPr>
        <b val="true"/>
        <sz val="12"/>
        <rFont val="Cambria"/>
        <family val="0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</si>
  <si>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ERP </t>
    </r>
    <r>
      <rPr>
        <sz val="11"/>
        <color theme="1"/>
        <rFont val="WenQuanYi Zen Hei"/>
        <family val="2"/>
      </rPr>
      <t xml:space="preserve">수주 데이터 전량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수량</t>
    </r>
    <r>
      <rPr>
        <sz val="11"/>
        <color theme="1"/>
        <rFont val="Calibri"/>
        <family val="2"/>
        <charset val="1"/>
      </rPr>
      <t xml:space="preserve">&gt;0, </t>
    </r>
    <r>
      <rPr>
        <sz val="11"/>
        <color theme="1"/>
        <rFont val="WenQuanYi Zen Hei"/>
        <family val="2"/>
      </rPr>
      <t xml:space="preserve">차수코드 유효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을 국가별로 집계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올해 예상 연간 금액으로 사용</t>
    </r>
    <r>
      <rPr>
        <sz val="11"/>
        <color theme="1"/>
        <rFont val="Calibri"/>
        <family val="2"/>
        <charset val="1"/>
      </rPr>
      <t xml:space="preserve">(ETD </t>
    </r>
    <r>
      <rPr>
        <sz val="11"/>
        <color theme="1"/>
        <rFont val="WenQuanYi Zen Hei"/>
        <family val="2"/>
      </rPr>
      <t xml:space="preserve">월 구분은 쓰지 않음</t>
    </r>
    <r>
      <rPr>
        <sz val="11"/>
        <color theme="1"/>
        <rFont val="Calibri"/>
        <family val="2"/>
        <charset val="1"/>
      </rPr>
      <t xml:space="preserve">).</t>
    </r>
  </si>
  <si>
    <t xml:space="preserve">택가금액 = 수량 × 택가(AB) / 원가금액 = 수량 × 한국원가(AH)</t>
  </si>
  <si>
    <t xml:space="preserve">공급금액(홍콩·대만·홀세일) = 수량 × 해외공급가 USD(AL) × 환율 1,362.78</t>
  </si>
  <si>
    <t xml:space="preserve">공급금액(중국) = 수량 × 중국공급가(BB) × 환율. BB가 비어 있으면(약 57%의 중국 물량) 한국원가 × 1.05로 대체</t>
  </si>
  <si>
    <t xml:space="preserve">택가·원가·공급가가 비어 있는 행은 배수 4 / 공급율 33%로 보정하고 RAW_2026 P열에 보정내역 표시</t>
  </si>
  <si>
    <r>
      <rPr>
        <b val="true"/>
        <sz val="12"/>
        <rFont val="Cambria"/>
        <family val="0"/>
        <charset val="1"/>
      </rPr>
      <t xml:space="preserve">4. </t>
    </r>
    <r>
      <rPr>
        <b val="true"/>
        <sz val="12"/>
        <rFont val="WenQuanYi Zen Hei"/>
        <family val="2"/>
      </rPr>
      <t xml:space="preserve">월별 배분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</si>
  <si>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법인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홍콩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중국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대만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WenQuanYi Zen Hei"/>
        <family val="2"/>
      </rPr>
      <t xml:space="preserve">월 매출 비중</t>
    </r>
    <r>
      <rPr>
        <sz val="11"/>
        <color theme="1"/>
        <rFont val="Calibri"/>
        <family val="2"/>
        <charset val="1"/>
      </rPr>
      <t xml:space="preserve">(1~9</t>
    </r>
    <r>
      <rPr>
        <sz val="11"/>
        <color theme="1"/>
        <rFont val="WenQuanYi Zen Hei"/>
        <family val="2"/>
      </rPr>
      <t xml:space="preserve">월 실적 </t>
    </r>
    <r>
      <rPr>
        <sz val="11"/>
        <color theme="1"/>
        <rFont val="Calibri"/>
        <family val="2"/>
        <charset val="1"/>
      </rPr>
      <t xml:space="preserve">+ 10~12</t>
    </r>
    <r>
      <rPr>
        <sz val="11"/>
        <color theme="1"/>
        <rFont val="WenQuanYi Zen Hei"/>
        <family val="2"/>
      </rPr>
      <t xml:space="preserve">월 추정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을 국가별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금액에 곱함</t>
    </r>
    <r>
      <rPr>
        <sz val="11"/>
        <color theme="1"/>
        <rFont val="Calibri"/>
        <family val="2"/>
        <charset val="1"/>
      </rPr>
      <t xml:space="preserve">. 2027</t>
    </r>
    <r>
      <rPr>
        <sz val="11"/>
        <color theme="1"/>
        <rFont val="WenQuanYi Zen Hei"/>
        <family val="2"/>
      </rPr>
      <t xml:space="preserve">은 월별비중 시트 ④의 입력 비중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초기값 </t>
    </r>
    <r>
      <rPr>
        <sz val="11"/>
        <color theme="1"/>
        <rFont val="Calibri"/>
        <family val="2"/>
        <charset val="1"/>
      </rPr>
      <t xml:space="preserve">= 2026 </t>
    </r>
    <r>
      <rPr>
        <sz val="11"/>
        <color theme="1"/>
        <rFont val="WenQuanYi Zen Hei"/>
        <family val="2"/>
      </rPr>
      <t xml:space="preserve">비중 반올림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을 곱함 —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비중을 바꾸면 월별 증감률도 달라집니다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홀세일은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법인 합계 비중</t>
    </r>
    <r>
      <rPr>
        <sz val="11"/>
        <color theme="1"/>
        <rFont val="Calibri"/>
        <family val="2"/>
        <charset val="1"/>
      </rPr>
      <t xml:space="preserve">.</t>
    </r>
  </si>
  <si>
    <r>
      <rPr>
        <b val="true"/>
        <sz val="12"/>
        <rFont val="Cambria"/>
        <family val="0"/>
        <charset val="1"/>
      </rPr>
      <t xml:space="preserve">5. </t>
    </r>
    <r>
      <rPr>
        <b val="true"/>
        <sz val="12"/>
        <rFont val="WenQuanYi Zen Hei"/>
        <family val="2"/>
      </rPr>
      <t xml:space="preserve">확인이 필요한 가정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</si>
  <si>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WenQuanYi Zen Hei"/>
        <family val="2"/>
      </rPr>
      <t xml:space="preserve">정판율 </t>
    </r>
    <r>
      <rPr>
        <sz val="11"/>
        <color theme="1"/>
        <rFont val="Calibri"/>
        <family val="2"/>
        <charset val="1"/>
      </rPr>
      <t xml:space="preserve">60%, </t>
    </r>
    <r>
      <rPr>
        <sz val="11"/>
        <color theme="1"/>
        <rFont val="WenQuanYi Zen Hei"/>
        <family val="2"/>
      </rPr>
      <t xml:space="preserve">할인율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WenQuanYi Zen Hei"/>
        <family val="2"/>
      </rPr>
      <t xml:space="preserve">는 임시값입니다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가정 시트의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환산배수와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설정 환산배수를 비교해 조정하세요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</si>
  <si>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· 2026 </t>
    </r>
    <r>
      <rPr>
        <sz val="11"/>
        <color theme="1"/>
        <rFont val="WenQuanYi Zen Hei"/>
        <family val="2"/>
      </rPr>
      <t xml:space="preserve">중국 공급가</t>
    </r>
    <r>
      <rPr>
        <sz val="11"/>
        <color theme="1"/>
        <rFont val="Calibri"/>
        <family val="2"/>
        <charset val="1"/>
      </rPr>
      <t xml:space="preserve">(BB)</t>
    </r>
    <r>
      <rPr>
        <sz val="11"/>
        <color theme="1"/>
        <rFont val="WenQuanYi Zen Hei"/>
        <family val="2"/>
      </rPr>
      <t xml:space="preserve">는 원가의 약 </t>
    </r>
    <r>
      <rPr>
        <sz val="11"/>
        <color theme="1"/>
        <rFont val="Calibri"/>
        <family val="2"/>
        <charset val="1"/>
      </rPr>
      <t xml:space="preserve">1.09</t>
    </r>
    <r>
      <rPr>
        <sz val="11"/>
        <color theme="1"/>
        <rFont val="WenQuanYi Zen Hei"/>
        <family val="2"/>
      </rPr>
      <t xml:space="preserve">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마진 약 </t>
    </r>
    <r>
      <rPr>
        <sz val="11"/>
        <color theme="1"/>
        <rFont val="Calibri"/>
        <family val="2"/>
        <charset val="1"/>
      </rPr>
      <t xml:space="preserve">9%)</t>
    </r>
    <r>
      <rPr>
        <sz val="11"/>
        <color theme="1"/>
        <rFont val="WenQuanYi Zen Hei"/>
        <family val="2"/>
      </rPr>
      <t xml:space="preserve">로 보여</t>
    </r>
    <r>
      <rPr>
        <sz val="11"/>
        <color theme="1"/>
        <rFont val="Calibri"/>
        <family val="2"/>
        <charset val="1"/>
      </rPr>
      <t xml:space="preserve">, 2027 </t>
    </r>
    <r>
      <rPr>
        <sz val="11"/>
        <color theme="1"/>
        <rFont val="WenQuanYi Zen Hei"/>
        <family val="2"/>
      </rPr>
      <t xml:space="preserve">가정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원가</t>
    </r>
    <r>
      <rPr>
        <sz val="11"/>
        <color theme="1"/>
        <rFont val="Calibri"/>
        <family val="2"/>
        <charset val="1"/>
      </rPr>
      <t xml:space="preserve">+5%)</t>
    </r>
    <r>
      <rPr>
        <sz val="11"/>
        <color theme="1"/>
        <rFont val="WenQuanYi Zen Hei"/>
        <family val="2"/>
      </rPr>
      <t xml:space="preserve">보다 높습니다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</si>
  <si>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WenQuanYi Zen Hei"/>
        <family val="2"/>
      </rPr>
      <t xml:space="preserve">법인 매출목표 단위는 억원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원화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으로 가정했습니다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중국 법인 매출에 도매</t>
    </r>
    <r>
      <rPr>
        <sz val="11"/>
        <color theme="1"/>
        <rFont val="Calibri"/>
        <family val="2"/>
        <charset val="1"/>
      </rPr>
      <t xml:space="preserve">(RF)</t>
    </r>
    <r>
      <rPr>
        <sz val="11"/>
        <color theme="1"/>
        <rFont val="WenQuanYi Zen Hei"/>
        <family val="2"/>
      </rPr>
      <t xml:space="preserve">를 포함하는지는 확인되지 않았습니다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</si>
  <si>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· 2026 </t>
    </r>
    <r>
      <rPr>
        <sz val="11"/>
        <color theme="1"/>
        <rFont val="WenQuanYi Zen Hei"/>
        <family val="2"/>
      </rPr>
      <t xml:space="preserve">법인 </t>
    </r>
    <r>
      <rPr>
        <sz val="11"/>
        <color theme="1"/>
        <rFont val="Calibri"/>
        <family val="2"/>
        <charset val="1"/>
      </rPr>
      <t xml:space="preserve">10~12</t>
    </r>
    <r>
      <rPr>
        <sz val="11"/>
        <color theme="1"/>
        <rFont val="WenQuanYi Zen Hei"/>
        <family val="2"/>
      </rPr>
      <t xml:space="preserve">월은 추정치이며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비중에만 영향을 줍니다</t>
    </r>
    <r>
      <rPr>
        <sz val="11"/>
        <color theme="1"/>
        <rFont val="Calibri"/>
        <family val="2"/>
        <charset val="1"/>
      </rPr>
      <t xml:space="preserve">.</t>
    </r>
  </si>
  <si>
    <t xml:space="preserve">데이터 보정 건수</t>
  </si>
  <si>
    <r>
      <rPr>
        <b val="true"/>
        <sz val="12"/>
        <rFont val="Cambria"/>
        <family val="0"/>
        <charset val="1"/>
      </rPr>
      <t xml:space="preserve">3-1. 2026 </t>
    </r>
    <r>
      <rPr>
        <b val="true"/>
        <sz val="12"/>
        <rFont val="WenQuanYi Zen Hei"/>
        <family val="2"/>
      </rPr>
      <t xml:space="preserve">예상</t>
    </r>
    <r>
      <rPr>
        <b val="true"/>
        <sz val="12"/>
        <rFont val="Cambria"/>
        <family val="0"/>
        <charset val="1"/>
      </rPr>
      <t xml:space="preserve">(</t>
    </r>
    <r>
      <rPr>
        <b val="true"/>
        <sz val="12"/>
        <rFont val="WenQuanYi Zen Hei"/>
        <family val="2"/>
      </rPr>
      <t xml:space="preserve">기본</t>
    </r>
    <r>
      <rPr>
        <b val="true"/>
        <sz val="12"/>
        <rFont val="Cambria"/>
        <family val="0"/>
        <charset val="1"/>
      </rPr>
      <t xml:space="preserve">, </t>
    </r>
    <r>
      <rPr>
        <b val="true"/>
        <sz val="12"/>
        <rFont val="WenQuanYi Zen Hei"/>
        <family val="2"/>
      </rPr>
      <t xml:space="preserve">방식 </t>
    </r>
    <r>
      <rPr>
        <b val="true"/>
        <sz val="12"/>
        <rFont val="Cambria"/>
        <family val="0"/>
        <charset val="1"/>
      </rPr>
      <t xml:space="preserve">1) = </t>
    </r>
    <r>
      <rPr>
        <b val="true"/>
        <sz val="12"/>
        <rFont val="WenQuanYi Zen Hei"/>
        <family val="2"/>
      </rPr>
      <t xml:space="preserve">판매펀칭 실적</t>
    </r>
    <r>
      <rPr>
        <b val="true"/>
        <sz val="12"/>
        <rFont val="Cambria"/>
        <family val="0"/>
        <charset val="1"/>
      </rPr>
      <t xml:space="preserve">(1/1~</t>
    </r>
    <r>
      <rPr>
        <b val="true"/>
        <sz val="12"/>
        <rFont val="WenQuanYi Zen Hei"/>
        <family val="2"/>
      </rPr>
      <t xml:space="preserve">기준일</t>
    </r>
    <r>
      <rPr>
        <b val="true"/>
        <sz val="12"/>
        <rFont val="Cambria"/>
        <family val="0"/>
        <charset val="1"/>
      </rPr>
      <t xml:space="preserve">) + </t>
    </r>
    <r>
      <rPr>
        <b val="true"/>
        <sz val="12"/>
        <rFont val="WenQuanYi Zen Hei"/>
        <family val="2"/>
      </rPr>
      <t xml:space="preserve">잔여 예측</t>
    </r>
  </si>
  <si>
    <t xml:space="preserve">실적 = RAW_판매펀칭의 본사판매(TNH→법인·홀세일) 판매금액·TAG금액을 구분별 합산 (홍콩법인=HK, 상해법인=CN, W대만=TW, 그 외=홀세일, 소계행 제외)</t>
  </si>
  <si>
    <t xml:space="preserve">택가 오류행(택가≤0 또는 판매금액&gt;택가)은 TAG = 판매금액 ÷ 공급율로 보정 (RAW_판매펀칭 N·O열)</t>
  </si>
  <si>
    <t xml:space="preserve">연간 예상 = 실적 ÷ 진도율, 진도율 = 2026 법인 월 매출 비중을 기준일까지 누계(월별비중 ⑤ 경과율 사용). 잔여 예측 = 연간 예상 − 실적</t>
  </si>
  <si>
    <t xml:space="preserve">원가 = 연간 예상 택가 × ERP 원가율(원가÷택가). 가정!B35에서 2(ERP 수주 전량)를 고르면 기존 방식으로 전환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</si>
</sst>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#,##0.0;[RED]\-#,##0.0;\-"/>
    <numFmt numFmtId="166" formatCode="0%"/>
    <numFmt numFmtId="167" formatCode="0.0%"/>
    <numFmt numFmtId="168" formatCode="0.0%;[RED]\-0.0%;\-"/>
    <numFmt numFmtId="169" formatCode="0.0\배"/>
    <numFmt numFmtId="170" formatCode="#,##0.00"/>
    <numFmt numFmtId="171" formatCode="yyyy\-mm\-dd"/>
    <numFmt numFmtId="172" formatCode="0"/>
    <numFmt numFmtId="173" formatCode="0.0%;[RED]\-0.0%;0.0%"/>
    <numFmt numFmtId="174" formatCode="0.00\배"/>
    <numFmt numFmtId="175" formatCode="0.0"/>
    <numFmt numFmtId="176" formatCode="0.00\x"/>
    <numFmt numFmtId="177" formatCode="0.00"/>
    <numFmt numFmtId="178" formatCode="#,##0"/>
  </numFmts>
  <fonts count="44">
    <font>
      <sz val="11"/>
      <color theme="1"/>
      <name val="맑은 고딕"/>
      <family val="2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mbria"/>
      <family val="0"/>
      <charset val="1"/>
    </font>
    <font>
      <b val="true"/>
      <sz val="16"/>
      <name val="WenQuanYi Zen Hei"/>
      <family val="2"/>
    </font>
    <font>
      <i val="true"/>
      <sz val="9"/>
      <color rgb="FF595959"/>
      <name val="WenQuanYi Zen Hei"/>
      <family val="2"/>
    </font>
    <font>
      <i val="true"/>
      <sz val="9"/>
      <color rgb="FF595959"/>
      <name val="Cambria"/>
      <family val="0"/>
      <charset val="1"/>
    </font>
    <font>
      <b val="true"/>
      <sz val="12"/>
      <color rgb="FFC00000"/>
      <name val="Cambria"/>
      <family val="0"/>
      <charset val="1"/>
    </font>
    <font>
      <b val="true"/>
      <sz val="10"/>
      <color rgb="FFC00000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2"/>
      <name val="WenQuanYi Zen Hei"/>
      <family val="2"/>
    </font>
    <font>
      <b val="true"/>
      <sz val="10"/>
      <color rgb="FFFFFFFF"/>
      <name val="WenQuanYi Zen Hei"/>
      <family val="2"/>
    </font>
    <font>
      <b val="true"/>
      <sz val="10"/>
      <color rgb="FFFFFFFF"/>
      <name val="Cambria"/>
      <family val="0"/>
      <charset val="1"/>
    </font>
    <font>
      <b val="true"/>
      <sz val="10"/>
      <name val="WenQuanYi Zen Hei"/>
      <family val="2"/>
    </font>
    <font>
      <sz val="10"/>
      <color rgb="FF0000FF"/>
      <name val="Cambria"/>
      <family val="0"/>
      <charset val="1"/>
    </font>
    <font>
      <sz val="10"/>
      <name val="Cambria"/>
      <family val="0"/>
      <charset val="1"/>
    </font>
    <font>
      <b val="true"/>
      <sz val="10"/>
      <name val="Cambria"/>
      <family val="0"/>
      <charset val="1"/>
    </font>
    <font>
      <sz val="10"/>
      <name val="WenQuanYi Zen Hei"/>
      <family val="2"/>
    </font>
    <font>
      <b val="true"/>
      <sz val="18"/>
      <color rgb="FF000000"/>
      <name val="Calibri"/>
      <family val="2"/>
    </font>
    <font>
      <b val="true"/>
      <sz val="18"/>
      <color rgb="FF000000"/>
      <name val="WenQuanYi Zen Hei"/>
      <family val="2"/>
    </font>
    <font>
      <sz val="10"/>
      <color rgb="FF000000"/>
      <name val="Calibri"/>
      <family val="2"/>
    </font>
    <font>
      <b val="true"/>
      <sz val="14"/>
      <name val="Cambria"/>
      <family val="0"/>
      <charset val="1"/>
    </font>
    <font>
      <b val="true"/>
      <sz val="14"/>
      <name val="WenQuanYi Zen Hei"/>
      <family val="2"/>
    </font>
    <font>
      <sz val="11"/>
      <color theme="1"/>
      <name val="WenQuanYi Zen Hei"/>
      <family val="2"/>
      <charset val="1"/>
    </font>
    <font>
      <b val="true"/>
      <sz val="11"/>
      <color rgb="FFC00000"/>
      <name val="Cambria"/>
      <family val="0"/>
      <charset val="1"/>
    </font>
    <font>
      <b val="true"/>
      <sz val="11"/>
      <color rgb="FFFFFFFF"/>
      <name val="WenQuanYi Zen Hei"/>
      <family val="2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WenQuanYi Zen Hei"/>
      <family val="2"/>
    </font>
    <font>
      <sz val="11"/>
      <color theme="1"/>
      <name val="Calibri"/>
      <family val="2"/>
      <charset val="1"/>
    </font>
    <font>
      <b val="true"/>
      <sz val="11"/>
      <name val="WenQuanYi Zen Hei"/>
      <family val="2"/>
      <charset val="1"/>
    </font>
    <font>
      <b val="true"/>
      <sz val="11"/>
      <name val="Cambria"/>
      <family val="0"/>
      <charset val="1"/>
    </font>
    <font>
      <b val="true"/>
      <sz val="11"/>
      <name val="WenQuanYi Zen Hei"/>
      <family val="2"/>
    </font>
    <font>
      <b val="true"/>
      <sz val="12"/>
      <name val="WenQuanYi Zen Hei"/>
      <family val="2"/>
      <charset val="1"/>
    </font>
    <font>
      <sz val="11"/>
      <color rgb="FF008000"/>
      <name val="Cambria"/>
      <family val="0"/>
      <charset val="1"/>
    </font>
    <font>
      <sz val="11"/>
      <name val="WenQuanYi Zen Hei"/>
      <family val="2"/>
      <charset val="1"/>
    </font>
    <font>
      <sz val="11"/>
      <name val="Cambria"/>
      <family val="0"/>
      <charset val="1"/>
    </font>
    <font>
      <sz val="11"/>
      <name val="WenQuanYi Zen Hei"/>
      <family val="2"/>
    </font>
    <font>
      <i val="true"/>
      <sz val="10"/>
      <name val="WenQuanYi Zen Hei"/>
      <family val="2"/>
      <charset val="1"/>
    </font>
    <font>
      <b val="true"/>
      <sz val="14"/>
      <name val="WenQuanYi Zen Hei"/>
      <family val="2"/>
      <charset val="1"/>
    </font>
    <font>
      <sz val="11"/>
      <color rgb="FF0000FF"/>
      <name val="Cambria"/>
      <family val="0"/>
      <charset val="1"/>
    </font>
    <font>
      <sz val="11"/>
      <color rgb="FF0000FF"/>
      <name val="WenQuanYi Zen Hei"/>
      <family val="2"/>
    </font>
    <font>
      <sz val="11"/>
      <color rgb="FF0000FF"/>
      <name val="WenQuanYi Zen Hei"/>
      <family val="2"/>
      <charset val="1"/>
    </font>
    <font>
      <sz val="11"/>
      <color theme="1"/>
      <name val="WenQuanYi Zen Hei"/>
      <family val="2"/>
    </font>
  </fonts>
  <fills count="7">
    <fill>
      <patternFill patternType="none"/>
    </fill>
    <fill>
      <patternFill patternType="gray125"/>
    </fill>
    <fill>
      <patternFill patternType="solid">
        <fgColor rgb="FF111111"/>
        <bgColor rgb="FF000000"/>
      </patternFill>
    </fill>
    <fill>
      <patternFill patternType="solid">
        <fgColor rgb="FFFFF9DB"/>
        <bgColor rgb="FFF2F2F2"/>
      </patternFill>
    </fill>
    <fill>
      <patternFill patternType="solid">
        <fgColor rgb="FFF2F2F2"/>
        <bgColor rgb="FFE9ECEF"/>
      </patternFill>
    </fill>
    <fill>
      <patternFill patternType="solid">
        <fgColor rgb="FFE9ECEF"/>
        <bgColor rgb="FFF2F2F2"/>
      </patternFill>
    </fill>
    <fill>
      <patternFill patternType="solid">
        <fgColor rgb="FFD0E1FF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1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3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31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1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3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3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3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3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3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DB"/>
      <rgbColor rgb="FFE9ECEF"/>
      <rgbColor rgb="FF660066"/>
      <rgbColor rgb="FFFF8080"/>
      <rgbColor rgb="FF0066CC"/>
      <rgbColor rgb="FFD0E1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D9D9"/>
      <rgbColor rgb="FFFFFF99"/>
      <rgbColor rgb="FFB3B3B3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TNH 월별 매출 (억원)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요약!A37</c:f>
              <c:strCache>
                <c:ptCount val="1"/>
                <c:pt idx="0">
                  <c:v>2026 예상</c:v>
                </c:pt>
              </c:strCache>
            </c:strRef>
          </c:tx>
          <c:spPr>
            <a:solidFill>
              <a:srgbClr val="a6a6a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요약!$B$36:$M$36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요약!$B$37:$M$37</c:f>
              <c:numCache>
                <c:formatCode>#,##0.0;[RED]\-#,##0.0;\-</c:formatCode>
                <c:ptCount val="12"/>
                <c:pt idx="0">
                  <c:v>27.485084918172</c:v>
                </c:pt>
                <c:pt idx="1">
                  <c:v>20.7021193148168</c:v>
                </c:pt>
                <c:pt idx="2">
                  <c:v>11.849186728849</c:v>
                </c:pt>
                <c:pt idx="3">
                  <c:v>13.0568722831193</c:v>
                </c:pt>
                <c:pt idx="4">
                  <c:v>14.3463681168763</c:v>
                </c:pt>
                <c:pt idx="5">
                  <c:v>13.3025271492301</c:v>
                </c:pt>
                <c:pt idx="6">
                  <c:v>10.6257568911376</c:v>
                </c:pt>
                <c:pt idx="7">
                  <c:v>11.4831606447032</c:v>
                </c:pt>
                <c:pt idx="8">
                  <c:v>11.7687711069343</c:v>
                </c:pt>
                <c:pt idx="9">
                  <c:v>18.5907230332275</c:v>
                </c:pt>
                <c:pt idx="10">
                  <c:v>22.5979951803267</c:v>
                </c:pt>
                <c:pt idx="11">
                  <c:v>23.9737947846161</c:v>
                </c:pt>
              </c:numCache>
            </c:numRef>
          </c:val>
        </c:ser>
        <c:ser>
          <c:idx val="1"/>
          <c:order val="1"/>
          <c:tx>
            <c:strRef>
              <c:f>요약!A38</c:f>
              <c:strCache>
                <c:ptCount val="1"/>
                <c:pt idx="0">
                  <c:v>2027 계획</c:v>
                </c:pt>
              </c:strCache>
            </c:strRef>
          </c:tx>
          <c:spPr>
            <a:solidFill>
              <a:srgbClr val="11111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요약!$B$36:$M$36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요약!$B$38:$M$38</c:f>
              <c:numCache>
                <c:formatCode>#,##0.0;[RED]\-#,##0.0;\-</c:formatCode>
                <c:ptCount val="12"/>
                <c:pt idx="0">
                  <c:v>23.75256</c:v>
                </c:pt>
                <c:pt idx="1">
                  <c:v>17.61718</c:v>
                </c:pt>
                <c:pt idx="2">
                  <c:v>10.0134</c:v>
                </c:pt>
                <c:pt idx="3">
                  <c:v>11.25214</c:v>
                </c:pt>
                <c:pt idx="4">
                  <c:v>12.52842</c:v>
                </c:pt>
                <c:pt idx="5">
                  <c:v>11.40818</c:v>
                </c:pt>
                <c:pt idx="6">
                  <c:v>9.1745</c:v>
                </c:pt>
                <c:pt idx="7">
                  <c:v>10.01942</c:v>
                </c:pt>
                <c:pt idx="8">
                  <c:v>10.44196</c:v>
                </c:pt>
                <c:pt idx="9">
                  <c:v>16.61934</c:v>
                </c:pt>
                <c:pt idx="10">
                  <c:v>19.50714</c:v>
                </c:pt>
                <c:pt idx="11">
                  <c:v>20.80576</c:v>
                </c:pt>
              </c:numCache>
            </c:numRef>
          </c:val>
        </c:ser>
        <c:gapWidth val="150"/>
        <c:overlap val="0"/>
        <c:axId val="60367489"/>
        <c:axId val="29703785"/>
      </c:barChart>
      <c:catAx>
        <c:axId val="603674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703785"/>
        <c:crosses val="autoZero"/>
        <c:auto val="1"/>
        <c:lblAlgn val="ctr"/>
        <c:lblOffset val="100"/>
        <c:noMultiLvlLbl val="0"/>
      </c:catAx>
      <c:valAx>
        <c:axId val="2970378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;[RED]\-#,##0.0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36748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40</xdr:row>
      <xdr:rowOff>9720</xdr:rowOff>
    </xdr:from>
    <xdr:to>
      <xdr:col>7</xdr:col>
      <xdr:colOff>162360</xdr:colOff>
      <xdr:row>52</xdr:row>
      <xdr:rowOff>63360</xdr:rowOff>
    </xdr:to>
    <xdr:graphicFrame>
      <xdr:nvGraphicFramePr>
        <xdr:cNvPr id="0" name="Chart 1"/>
        <xdr:cNvGraphicFramePr/>
      </xdr:nvGraphicFramePr>
      <xdr:xfrm>
        <a:off x="0" y="8534520"/>
        <a:ext cx="935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11111"/>
    <pageSetUpPr fitToPage="true"/>
  </sheetPr>
  <dimension ref="A1:N6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12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14" min="2" style="0" width="12.5"/>
  </cols>
  <sheetData>
    <row r="1" customFormat="false" ht="20.8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6.4" hidden="false" customHeight="false" outlineLevel="0" collapsed="false">
      <c r="A3" s="3" t="str">
        <f aca="false">"2027 TNH 매출 "&amp;TEXT(사업계획!N11,"0.0")&amp;"억 (2026 예상 "&amp;TEXT(사업계획!N20,"0.0")&amp;"억 대비 "&amp;TEXT(사업계획!N38,"+0.0%;-0.0%")&amp;")  ·  이익 "&amp;TEXT(사업계획!N83,"0.0")&amp;"억  ·  이익률 "&amp;TEXT(사업계획!N119,"0.0%")&amp;" (2026 예상 "&amp;TEXT(사업계획!N128,"0.0%")&amp;")"</f>
        <v>2027 TNH 매출 173.1억 (2026 예상 199.8억 대비 -13.3%)  ·  이익 31.7억  ·  이익률 18.3% (2026 예상 29.3%)</v>
      </c>
    </row>
    <row r="4" customFormat="false" ht="15" hidden="false" customHeight="false" outlineLevel="0" collapsed="false">
      <c r="A4" s="4" t="str">
        <f aca="false">사업계획!A3</f>
        <v/>
      </c>
    </row>
    <row r="6" customFormat="false" ht="16.4" hidden="false" customHeight="false" outlineLevel="0" collapsed="false">
      <c r="A6" s="5" t="s">
        <v>2</v>
      </c>
    </row>
    <row r="7" customFormat="false" ht="30" hidden="false" customHeight="true" outlineLevel="0" collapsed="false">
      <c r="A7" s="6" t="s">
        <v>3</v>
      </c>
      <c r="B7" s="6" t="s">
        <v>4</v>
      </c>
      <c r="C7" s="6" t="s">
        <v>5</v>
      </c>
      <c r="D7" s="6" t="s">
        <v>6</v>
      </c>
      <c r="E7" s="6" t="s">
        <v>7</v>
      </c>
      <c r="F7" s="6" t="s">
        <v>8</v>
      </c>
      <c r="G7" s="7" t="s">
        <v>9</v>
      </c>
      <c r="H7" s="7" t="s">
        <v>10</v>
      </c>
      <c r="I7" s="7" t="s">
        <v>11</v>
      </c>
      <c r="J7" s="7" t="s">
        <v>12</v>
      </c>
      <c r="K7" s="6" t="s">
        <v>13</v>
      </c>
    </row>
    <row r="8" customFormat="false" ht="15" hidden="false" customHeight="false" outlineLevel="0" collapsed="false">
      <c r="A8" s="8" t="s">
        <v>14</v>
      </c>
      <c r="B8" s="9" t="n">
        <v>150</v>
      </c>
      <c r="C8" s="10" t="n">
        <v>0.6</v>
      </c>
      <c r="D8" s="10" t="n">
        <v>0</v>
      </c>
      <c r="E8" s="11" t="n">
        <f aca="false">가정!C11</f>
        <v>60</v>
      </c>
      <c r="F8" s="11" t="n">
        <f aca="false">가정!F11</f>
        <v>100</v>
      </c>
      <c r="G8" s="12" t="n">
        <f aca="false">가정!G11</f>
        <v>0.33</v>
      </c>
      <c r="H8" s="11" t="n">
        <f aca="false">가정!H11</f>
        <v>33</v>
      </c>
      <c r="I8" s="11" t="n">
        <f aca="false">가정!I11</f>
        <v>25</v>
      </c>
      <c r="J8" s="11" t="n">
        <f aca="false">가정!J11</f>
        <v>8</v>
      </c>
      <c r="K8" s="13" t="n">
        <f aca="false">가정!K11</f>
        <v>0.242424242424242</v>
      </c>
    </row>
    <row r="9" customFormat="false" ht="15" hidden="false" customHeight="false" outlineLevel="0" collapsed="false">
      <c r="A9" s="8" t="s">
        <v>15</v>
      </c>
      <c r="B9" s="9" t="n">
        <v>300</v>
      </c>
      <c r="C9" s="10" t="n">
        <v>0.6</v>
      </c>
      <c r="D9" s="10" t="n">
        <v>0</v>
      </c>
      <c r="E9" s="11" t="n">
        <f aca="false">가정!C12</f>
        <v>120</v>
      </c>
      <c r="F9" s="11" t="n">
        <f aca="false">가정!F12</f>
        <v>200</v>
      </c>
      <c r="G9" s="12" t="n">
        <f aca="false">가정!G12</f>
        <v>0.2625</v>
      </c>
      <c r="H9" s="11" t="n">
        <f aca="false">가정!H12</f>
        <v>52.5</v>
      </c>
      <c r="I9" s="11" t="n">
        <f aca="false">가정!I12</f>
        <v>50</v>
      </c>
      <c r="J9" s="11" t="n">
        <f aca="false">가정!J12</f>
        <v>2.5</v>
      </c>
      <c r="K9" s="13" t="n">
        <f aca="false">가정!K12</f>
        <v>0.0476190476190476</v>
      </c>
    </row>
    <row r="10" customFormat="false" ht="15" hidden="false" customHeight="false" outlineLevel="0" collapsed="false">
      <c r="A10" s="8" t="s">
        <v>16</v>
      </c>
      <c r="B10" s="9" t="n">
        <v>262</v>
      </c>
      <c r="C10" s="10" t="n">
        <v>0.6</v>
      </c>
      <c r="D10" s="10" t="n">
        <v>0</v>
      </c>
      <c r="E10" s="11" t="n">
        <f aca="false">가정!C13</f>
        <v>104.8</v>
      </c>
      <c r="F10" s="11" t="n">
        <f aca="false">가정!F13</f>
        <v>174.666666666667</v>
      </c>
      <c r="G10" s="12" t="n">
        <f aca="false">가정!G13</f>
        <v>0.33</v>
      </c>
      <c r="H10" s="11" t="n">
        <f aca="false">가정!H13</f>
        <v>57.64</v>
      </c>
      <c r="I10" s="11" t="n">
        <f aca="false">가정!I13</f>
        <v>43.6666666666667</v>
      </c>
      <c r="J10" s="11" t="n">
        <f aca="false">가정!J13</f>
        <v>13.9733333333333</v>
      </c>
      <c r="K10" s="13" t="n">
        <f aca="false">가정!K13</f>
        <v>0.242424242424242</v>
      </c>
    </row>
    <row r="11" customFormat="false" ht="15" hidden="false" customHeight="false" outlineLevel="0" collapsed="false">
      <c r="A11" s="14" t="s">
        <v>17</v>
      </c>
      <c r="B11" s="15" t="n">
        <f aca="false">가정!B14</f>
        <v>712</v>
      </c>
      <c r="C11" s="16"/>
      <c r="D11" s="16"/>
      <c r="E11" s="15" t="n">
        <f aca="false">가정!C14</f>
        <v>284.8</v>
      </c>
      <c r="F11" s="15" t="n">
        <f aca="false">가정!F14</f>
        <v>474.666666666667</v>
      </c>
      <c r="G11" s="17" t="n">
        <f aca="false">가정!G14</f>
        <v>0.301558988764045</v>
      </c>
      <c r="H11" s="15" t="n">
        <f aca="false">가정!H14</f>
        <v>143.14</v>
      </c>
      <c r="I11" s="15" t="n">
        <f aca="false">가정!I14</f>
        <v>118.666666666667</v>
      </c>
      <c r="J11" s="15" t="n">
        <f aca="false">가정!J14</f>
        <v>24.4733333333333</v>
      </c>
      <c r="K11" s="18" t="n">
        <f aca="false">가정!K14</f>
        <v>0.170974803222952</v>
      </c>
    </row>
    <row r="12" customFormat="false" ht="15" hidden="false" customHeight="false" outlineLevel="0" collapsed="false">
      <c r="A12" s="8" t="s">
        <v>18</v>
      </c>
      <c r="B12" s="19" t="s">
        <v>19</v>
      </c>
      <c r="C12" s="19" t="s">
        <v>19</v>
      </c>
      <c r="D12" s="19" t="s">
        <v>19</v>
      </c>
      <c r="E12" s="19" t="s">
        <v>19</v>
      </c>
      <c r="F12" s="11" t="n">
        <f aca="false">가정!F15</f>
        <v>90.9090909090909</v>
      </c>
      <c r="G12" s="12" t="n">
        <f aca="false">가정!G15</f>
        <v>0.33</v>
      </c>
      <c r="H12" s="9" t="n">
        <v>30</v>
      </c>
      <c r="I12" s="11" t="n">
        <f aca="false">가정!I15</f>
        <v>22.7272727272727</v>
      </c>
      <c r="J12" s="11" t="n">
        <f aca="false">가정!J15</f>
        <v>7.27272727272727</v>
      </c>
      <c r="K12" s="13" t="n">
        <f aca="false">가정!K15</f>
        <v>0.242424242424242</v>
      </c>
    </row>
    <row r="13" customFormat="false" ht="15" hidden="false" customHeight="false" outlineLevel="0" collapsed="false">
      <c r="A13" s="20" t="s">
        <v>20</v>
      </c>
      <c r="B13" s="16" t="s">
        <v>19</v>
      </c>
      <c r="C13" s="16" t="s">
        <v>19</v>
      </c>
      <c r="D13" s="16" t="s">
        <v>19</v>
      </c>
      <c r="E13" s="16" t="s">
        <v>19</v>
      </c>
      <c r="F13" s="15" t="n">
        <f aca="false">가정!F16</f>
        <v>565.575757575758</v>
      </c>
      <c r="G13" s="17" t="s">
        <v>19</v>
      </c>
      <c r="H13" s="15" t="n">
        <f aca="false">가정!H16</f>
        <v>173.14</v>
      </c>
      <c r="I13" s="15" t="n">
        <f aca="false">가정!I16</f>
        <v>141.393939393939</v>
      </c>
      <c r="J13" s="15" t="n">
        <f aca="false">가정!J16</f>
        <v>31.7460606060606</v>
      </c>
      <c r="K13" s="18" t="n">
        <f aca="false">가정!K16</f>
        <v>0.183354860841288</v>
      </c>
    </row>
    <row r="15" customFormat="false" ht="16.4" hidden="false" customHeight="false" outlineLevel="0" collapsed="false">
      <c r="A15" s="21" t="s">
        <v>21</v>
      </c>
    </row>
    <row r="16" customFormat="false" ht="42" hidden="false" customHeight="true" outlineLevel="0" collapsed="false">
      <c r="A16" s="6" t="s">
        <v>22</v>
      </c>
      <c r="B16" s="6" t="s">
        <v>23</v>
      </c>
      <c r="C16" s="6" t="s">
        <v>24</v>
      </c>
      <c r="D16" s="6" t="s">
        <v>25</v>
      </c>
      <c r="E16" s="6" t="s">
        <v>26</v>
      </c>
      <c r="F16" s="6" t="s">
        <v>27</v>
      </c>
      <c r="G16" s="6" t="s">
        <v>28</v>
      </c>
      <c r="H16" s="6" t="s">
        <v>29</v>
      </c>
      <c r="I16" s="6" t="s">
        <v>30</v>
      </c>
      <c r="J16" s="6" t="s">
        <v>31</v>
      </c>
    </row>
    <row r="17" customFormat="false" ht="15" hidden="false" customHeight="false" outlineLevel="0" collapsed="false">
      <c r="A17" s="8" t="s">
        <v>32</v>
      </c>
      <c r="B17" s="10" t="n">
        <v>0.6</v>
      </c>
      <c r="C17" s="22" t="n">
        <f aca="false">가정!B8</f>
        <v>0.4</v>
      </c>
      <c r="D17" s="23" t="n">
        <v>0.33</v>
      </c>
      <c r="E17" s="24" t="n">
        <v>4</v>
      </c>
      <c r="F17" s="10" t="n">
        <v>0.05</v>
      </c>
      <c r="G17" s="25" t="n">
        <v>1362.78</v>
      </c>
      <c r="H17" s="26" t="n">
        <v>46317</v>
      </c>
      <c r="I17" s="27" t="n">
        <v>1</v>
      </c>
      <c r="J17" s="10" t="n">
        <v>0.3</v>
      </c>
    </row>
    <row r="19" customFormat="false" ht="16.4" hidden="false" customHeight="false" outlineLevel="0" collapsed="false">
      <c r="A19" s="5" t="s">
        <v>33</v>
      </c>
    </row>
    <row r="20" customFormat="false" ht="30" hidden="false" customHeight="true" outlineLevel="0" collapsed="false">
      <c r="A20" s="6" t="s">
        <v>3</v>
      </c>
      <c r="B20" s="6" t="str">
        <f aca="false">"2026 실적(1/1~"&amp;TEXT(H17,"m/d")&amp;")"</f>
        <v>2026 실적(1/1~10/22)</v>
      </c>
      <c r="C20" s="6" t="s">
        <v>34</v>
      </c>
      <c r="D20" s="7" t="s">
        <v>35</v>
      </c>
      <c r="E20" s="6" t="s">
        <v>36</v>
      </c>
      <c r="F20" s="7" t="s">
        <v>37</v>
      </c>
      <c r="G20" s="6" t="s">
        <v>38</v>
      </c>
      <c r="H20" s="6" t="s">
        <v>39</v>
      </c>
      <c r="I20" s="7" t="s">
        <v>40</v>
      </c>
      <c r="J20" s="7" t="s">
        <v>41</v>
      </c>
      <c r="K20" s="7" t="s">
        <v>42</v>
      </c>
      <c r="L20" s="7" t="s">
        <v>43</v>
      </c>
      <c r="M20" s="6" t="s">
        <v>44</v>
      </c>
    </row>
    <row r="21" customFormat="false" ht="15" hidden="false" customHeight="false" outlineLevel="0" collapsed="false">
      <c r="A21" s="8" t="s">
        <v>14</v>
      </c>
      <c r="B21" s="11" t="n">
        <f aca="false">가정!C38</f>
        <v>36.88967198</v>
      </c>
      <c r="C21" s="11" t="n">
        <f aca="false">D21-B21</f>
        <v>12.7652608040467</v>
      </c>
      <c r="D21" s="11" t="n">
        <f aca="false">사업계획!N15</f>
        <v>49.6549327840467</v>
      </c>
      <c r="E21" s="12" t="n">
        <f aca="false">가정!D38</f>
        <v>0.742920590396046</v>
      </c>
      <c r="F21" s="11" t="n">
        <f aca="false">사업계획!N6</f>
        <v>33</v>
      </c>
      <c r="G21" s="11" t="n">
        <f aca="false">F21-D21</f>
        <v>-16.6549327840467</v>
      </c>
      <c r="H21" s="13" t="n">
        <f aca="false">IF(D21=0,0,G21/D21)</f>
        <v>-0.335413459453875</v>
      </c>
      <c r="I21" s="11" t="n">
        <f aca="false">사업계획!N87</f>
        <v>16.9681144679862</v>
      </c>
      <c r="J21" s="11" t="n">
        <f aca="false">사업계획!N78</f>
        <v>8</v>
      </c>
      <c r="K21" s="13" t="n">
        <f aca="false">사업계획!N123</f>
        <v>0.341720621026352</v>
      </c>
      <c r="L21" s="13" t="n">
        <f aca="false">사업계획!N114</f>
        <v>0.242424242424242</v>
      </c>
      <c r="M21" s="28" t="n">
        <f aca="false">사업계획!N132</f>
        <v>-0.0992963786021096</v>
      </c>
    </row>
    <row r="22" customFormat="false" ht="15" hidden="false" customHeight="false" outlineLevel="0" collapsed="false">
      <c r="A22" s="8" t="s">
        <v>15</v>
      </c>
      <c r="B22" s="11" t="n">
        <f aca="false">가정!C39</f>
        <v>36.11269645</v>
      </c>
      <c r="C22" s="11" t="n">
        <f aca="false">D22-B22</f>
        <v>13.1468291968146</v>
      </c>
      <c r="D22" s="11" t="n">
        <f aca="false">사업계획!N16</f>
        <v>49.2595256468146</v>
      </c>
      <c r="E22" s="12" t="n">
        <f aca="false">가정!D39</f>
        <v>0.733110925771476</v>
      </c>
      <c r="F22" s="11" t="n">
        <f aca="false">사업계획!N7</f>
        <v>52.5</v>
      </c>
      <c r="G22" s="11" t="n">
        <f aca="false">F22-D22</f>
        <v>3.24047435318543</v>
      </c>
      <c r="H22" s="13" t="n">
        <f aca="false">IF(D22=0,0,G22/D22)</f>
        <v>0.0657837100669479</v>
      </c>
      <c r="I22" s="11" t="n">
        <f aca="false">사업계획!N88</f>
        <v>6.73174513513774</v>
      </c>
      <c r="J22" s="11" t="n">
        <f aca="false">사업계획!N79</f>
        <v>2.5</v>
      </c>
      <c r="K22" s="13" t="n">
        <f aca="false">사업계획!N124</f>
        <v>0.136658748673376</v>
      </c>
      <c r="L22" s="13" t="n">
        <f aca="false">사업계획!N115</f>
        <v>0.0476190476190476</v>
      </c>
      <c r="M22" s="28" t="n">
        <f aca="false">사업계획!N133</f>
        <v>-0.0890397010543281</v>
      </c>
    </row>
    <row r="23" customFormat="false" ht="15" hidden="false" customHeight="false" outlineLevel="0" collapsed="false">
      <c r="A23" s="8" t="s">
        <v>16</v>
      </c>
      <c r="B23" s="11" t="n">
        <f aca="false">가정!C40</f>
        <v>47.2943653</v>
      </c>
      <c r="C23" s="11" t="n">
        <f aca="false">D23-B23</f>
        <v>16.4223818631259</v>
      </c>
      <c r="D23" s="11" t="n">
        <f aca="false">사업계획!N17</f>
        <v>63.7167471631259</v>
      </c>
      <c r="E23" s="12" t="n">
        <f aca="false">가정!D40</f>
        <v>0.742259569198005</v>
      </c>
      <c r="F23" s="11" t="n">
        <f aca="false">사업계획!N8</f>
        <v>57.64</v>
      </c>
      <c r="G23" s="11" t="n">
        <f aca="false">F23-D23</f>
        <v>-6.07674716312587</v>
      </c>
      <c r="H23" s="13" t="n">
        <f aca="false">IF(D23=0,0,G23/D23)</f>
        <v>-0.0953712710344166</v>
      </c>
      <c r="I23" s="11" t="n">
        <f aca="false">사업계획!N89</f>
        <v>20.9339145919764</v>
      </c>
      <c r="J23" s="11" t="n">
        <f aca="false">사업계획!N80</f>
        <v>13.9733333333333</v>
      </c>
      <c r="K23" s="13" t="n">
        <f aca="false">사업계획!N125</f>
        <v>0.328546505024526</v>
      </c>
      <c r="L23" s="13" t="n">
        <f aca="false">사업계획!N116</f>
        <v>0.242424242424242</v>
      </c>
      <c r="M23" s="28" t="n">
        <f aca="false">사업계획!N134</f>
        <v>-0.0861222626002838</v>
      </c>
    </row>
    <row r="24" customFormat="false" ht="15" hidden="false" customHeight="false" outlineLevel="0" collapsed="false">
      <c r="A24" s="14" t="s">
        <v>17</v>
      </c>
      <c r="B24" s="15" t="n">
        <f aca="false">SUM(B21:B23)</f>
        <v>120.29673373</v>
      </c>
      <c r="C24" s="15" t="n">
        <f aca="false">D24-B24</f>
        <v>42.3344718639872</v>
      </c>
      <c r="D24" s="15" t="n">
        <f aca="false">사업계획!N18</f>
        <v>162.631205593987</v>
      </c>
      <c r="E24" s="17" t="n">
        <f aca="false">IF(D24=0,0,B24/D24)</f>
        <v>0.739690352110675</v>
      </c>
      <c r="F24" s="15" t="n">
        <f aca="false">사업계획!N9</f>
        <v>143.14</v>
      </c>
      <c r="G24" s="15" t="n">
        <f aca="false">F24-D24</f>
        <v>-19.4912055939872</v>
      </c>
      <c r="H24" s="18" t="n">
        <f aca="false">IF(D24=0,0,G24/D24)</f>
        <v>-0.119849112123337</v>
      </c>
      <c r="I24" s="15" t="n">
        <f aca="false">사업계획!N90</f>
        <v>44.6337741951004</v>
      </c>
      <c r="J24" s="15" t="n">
        <f aca="false">사업계획!N81</f>
        <v>24.4733333333333</v>
      </c>
      <c r="K24" s="18" t="n">
        <f aca="false">사업계획!N126</f>
        <v>0.274447785294845</v>
      </c>
      <c r="L24" s="18" t="n">
        <f aca="false">사업계획!N117</f>
        <v>0.170974803222952</v>
      </c>
      <c r="M24" s="29" t="n">
        <f aca="false">사업계획!N135</f>
        <v>-0.103472982071893</v>
      </c>
    </row>
    <row r="25" customFormat="false" ht="15" hidden="false" customHeight="false" outlineLevel="0" collapsed="false">
      <c r="A25" s="8" t="s">
        <v>45</v>
      </c>
      <c r="B25" s="11" t="n">
        <f aca="false">가정!C41</f>
        <v>27.51652977</v>
      </c>
      <c r="C25" s="11" t="n">
        <f aca="false">D25-B25</f>
        <v>9.63462478802161</v>
      </c>
      <c r="D25" s="11" t="n">
        <f aca="false">사업계획!N19</f>
        <v>37.1511545580216</v>
      </c>
      <c r="E25" s="12" t="n">
        <f aca="false">가정!D41</f>
        <v>0.740664189238735</v>
      </c>
      <c r="F25" s="11" t="n">
        <f aca="false">사업계획!N10</f>
        <v>30</v>
      </c>
      <c r="G25" s="11" t="n">
        <f aca="false">F25-D25</f>
        <v>-7.15115455802161</v>
      </c>
      <c r="H25" s="13" t="n">
        <f aca="false">IF(D25=0,0,G25/D25)</f>
        <v>-0.192488083966627</v>
      </c>
      <c r="I25" s="11" t="n">
        <f aca="false">사업계획!N91</f>
        <v>13.8250826896133</v>
      </c>
      <c r="J25" s="11" t="n">
        <f aca="false">사업계획!N82</f>
        <v>7.27272727272727</v>
      </c>
      <c r="K25" s="13" t="n">
        <f aca="false">사업계획!N127</f>
        <v>0.372130633733649</v>
      </c>
      <c r="L25" s="13" t="n">
        <f aca="false">사업계획!N118</f>
        <v>0.242424242424242</v>
      </c>
      <c r="M25" s="28" t="n">
        <f aca="false">사업계획!N136</f>
        <v>-0.129706391309406</v>
      </c>
    </row>
    <row r="26" customFormat="false" ht="15" hidden="false" customHeight="false" outlineLevel="0" collapsed="false">
      <c r="A26" s="20" t="s">
        <v>20</v>
      </c>
      <c r="B26" s="15" t="n">
        <f aca="false">B24+B25</f>
        <v>147.8132635</v>
      </c>
      <c r="C26" s="15" t="n">
        <f aca="false">D26-B26</f>
        <v>51.9690966520088</v>
      </c>
      <c r="D26" s="15" t="n">
        <f aca="false">사업계획!N20</f>
        <v>199.782360152009</v>
      </c>
      <c r="E26" s="17" t="n">
        <f aca="false">IF(D26=0,0,B26/D26)</f>
        <v>0.739871445044162</v>
      </c>
      <c r="F26" s="15" t="n">
        <f aca="false">사업계획!N11</f>
        <v>173.14</v>
      </c>
      <c r="G26" s="15" t="n">
        <f aca="false">F26-D26</f>
        <v>-26.6423601520088</v>
      </c>
      <c r="H26" s="18" t="n">
        <f aca="false">IF(D26=0,0,G26/D26)</f>
        <v>-0.13335691965866</v>
      </c>
      <c r="I26" s="15" t="n">
        <f aca="false">사업계획!N92</f>
        <v>58.4588568847137</v>
      </c>
      <c r="J26" s="15" t="n">
        <f aca="false">사업계획!N83</f>
        <v>31.7460606060606</v>
      </c>
      <c r="K26" s="18" t="n">
        <f aca="false">사업계획!N128</f>
        <v>0.292612705347129</v>
      </c>
      <c r="L26" s="18" t="n">
        <f aca="false">사업계획!N119</f>
        <v>0.183354860841288</v>
      </c>
      <c r="M26" s="29" t="n">
        <f aca="false">사업계획!N137</f>
        <v>-0.10925784450584</v>
      </c>
    </row>
    <row r="28" customFormat="false" ht="16.4" hidden="false" customHeight="false" outlineLevel="0" collapsed="false">
      <c r="A28" s="5" t="s">
        <v>46</v>
      </c>
    </row>
    <row r="29" customFormat="false" ht="15" hidden="false" customHeight="false" outlineLevel="0" collapsed="false">
      <c r="A29" s="6" t="s">
        <v>3</v>
      </c>
      <c r="B29" s="7" t="s">
        <v>47</v>
      </c>
      <c r="C29" s="7" t="s">
        <v>48</v>
      </c>
      <c r="D29" s="7" t="s">
        <v>49</v>
      </c>
      <c r="E29" s="7" t="s">
        <v>50</v>
      </c>
      <c r="F29" s="7" t="s">
        <v>51</v>
      </c>
      <c r="G29" s="7" t="s">
        <v>52</v>
      </c>
      <c r="H29" s="7" t="s">
        <v>53</v>
      </c>
      <c r="I29" s="7" t="s">
        <v>54</v>
      </c>
      <c r="J29" s="7" t="s">
        <v>55</v>
      </c>
      <c r="K29" s="7" t="s">
        <v>56</v>
      </c>
      <c r="L29" s="7" t="s">
        <v>57</v>
      </c>
      <c r="M29" s="7" t="s">
        <v>58</v>
      </c>
      <c r="N29" s="6" t="s">
        <v>59</v>
      </c>
    </row>
    <row r="30" customFormat="false" ht="15" hidden="false" customHeight="false" outlineLevel="0" collapsed="false">
      <c r="A30" s="8" t="s">
        <v>14</v>
      </c>
      <c r="B30" s="23" t="n">
        <v>0.144</v>
      </c>
      <c r="C30" s="23" t="n">
        <v>0.113</v>
      </c>
      <c r="D30" s="23" t="n">
        <v>0.07</v>
      </c>
      <c r="E30" s="23" t="n">
        <v>0.063</v>
      </c>
      <c r="F30" s="23" t="n">
        <v>0.065</v>
      </c>
      <c r="G30" s="23" t="n">
        <v>0.074</v>
      </c>
      <c r="H30" s="23" t="n">
        <v>0.055</v>
      </c>
      <c r="I30" s="23" t="n">
        <v>0.059</v>
      </c>
      <c r="J30" s="23" t="n">
        <v>0.046</v>
      </c>
      <c r="K30" s="23" t="n">
        <v>0.076</v>
      </c>
      <c r="L30" s="23" t="n">
        <v>0.109</v>
      </c>
      <c r="M30" s="23" t="n">
        <v>0.126</v>
      </c>
      <c r="N30" s="30" t="n">
        <f aca="false">SUM(B30:M30)</f>
        <v>1</v>
      </c>
    </row>
    <row r="31" customFormat="false" ht="15" hidden="false" customHeight="false" outlineLevel="0" collapsed="false">
      <c r="A31" s="8" t="s">
        <v>15</v>
      </c>
      <c r="B31" s="23" t="n">
        <v>0.142</v>
      </c>
      <c r="C31" s="23" t="n">
        <v>0.081</v>
      </c>
      <c r="D31" s="23" t="n">
        <v>0.046</v>
      </c>
      <c r="E31" s="23" t="n">
        <v>0.053</v>
      </c>
      <c r="F31" s="23" t="n">
        <v>0.071</v>
      </c>
      <c r="G31" s="23" t="n">
        <v>0.065</v>
      </c>
      <c r="H31" s="23" t="n">
        <v>0.055</v>
      </c>
      <c r="I31" s="23" t="n">
        <v>0.063</v>
      </c>
      <c r="J31" s="23" t="n">
        <v>0.066</v>
      </c>
      <c r="K31" s="23" t="n">
        <v>0.129</v>
      </c>
      <c r="L31" s="23" t="n">
        <v>0.099</v>
      </c>
      <c r="M31" s="23" t="n">
        <v>0.13</v>
      </c>
      <c r="N31" s="30" t="n">
        <f aca="false">SUM(B31:M31)</f>
        <v>1</v>
      </c>
    </row>
    <row r="32" customFormat="false" ht="15" hidden="false" customHeight="false" outlineLevel="0" collapsed="false">
      <c r="A32" s="8" t="s">
        <v>16</v>
      </c>
      <c r="B32" s="23" t="n">
        <v>0.129</v>
      </c>
      <c r="C32" s="23" t="n">
        <v>0.112</v>
      </c>
      <c r="D32" s="23" t="n">
        <v>0.06</v>
      </c>
      <c r="E32" s="23" t="n">
        <v>0.076</v>
      </c>
      <c r="F32" s="23" t="n">
        <v>0.078</v>
      </c>
      <c r="G32" s="23" t="n">
        <v>0.062</v>
      </c>
      <c r="H32" s="23" t="n">
        <v>0.05</v>
      </c>
      <c r="I32" s="23" t="n">
        <v>0.053</v>
      </c>
      <c r="J32" s="23" t="n">
        <v>0.064</v>
      </c>
      <c r="K32" s="23" t="n">
        <v>0.081</v>
      </c>
      <c r="L32" s="23" t="n">
        <v>0.126</v>
      </c>
      <c r="M32" s="23" t="n">
        <v>0.109</v>
      </c>
      <c r="N32" s="30" t="n">
        <f aca="false">SUM(B32:M32)</f>
        <v>1</v>
      </c>
    </row>
    <row r="33" customFormat="false" ht="15" hidden="false" customHeight="false" outlineLevel="0" collapsed="false">
      <c r="A33" s="8" t="s">
        <v>60</v>
      </c>
      <c r="B33" s="23" t="n">
        <v>0.137</v>
      </c>
      <c r="C33" s="23" t="n">
        <v>0.106</v>
      </c>
      <c r="D33" s="23" t="n">
        <v>0.061</v>
      </c>
      <c r="E33" s="23" t="n">
        <v>0.067</v>
      </c>
      <c r="F33" s="23" t="n">
        <v>0.072</v>
      </c>
      <c r="G33" s="23" t="n">
        <v>0.066</v>
      </c>
      <c r="H33" s="23" t="n">
        <v>0.053</v>
      </c>
      <c r="I33" s="23" t="n">
        <v>0.057</v>
      </c>
      <c r="J33" s="23" t="n">
        <v>0.059</v>
      </c>
      <c r="K33" s="23" t="n">
        <v>0.089</v>
      </c>
      <c r="L33" s="23" t="n">
        <v>0.115</v>
      </c>
      <c r="M33" s="23" t="n">
        <v>0.118</v>
      </c>
      <c r="N33" s="30" t="n">
        <f aca="false">SUM(B33:M33)</f>
        <v>1</v>
      </c>
    </row>
    <row r="35" customFormat="false" ht="16.4" hidden="false" customHeight="false" outlineLevel="0" collapsed="false">
      <c r="A35" s="21" t="s">
        <v>61</v>
      </c>
    </row>
    <row r="36" customFormat="false" ht="15" hidden="false" customHeight="false" outlineLevel="0" collapsed="false">
      <c r="A36" s="6" t="s">
        <v>3</v>
      </c>
      <c r="B36" s="7" t="s">
        <v>47</v>
      </c>
      <c r="C36" s="7" t="s">
        <v>48</v>
      </c>
      <c r="D36" s="7" t="s">
        <v>49</v>
      </c>
      <c r="E36" s="7" t="s">
        <v>50</v>
      </c>
      <c r="F36" s="7" t="s">
        <v>51</v>
      </c>
      <c r="G36" s="7" t="s">
        <v>52</v>
      </c>
      <c r="H36" s="7" t="s">
        <v>53</v>
      </c>
      <c r="I36" s="7" t="s">
        <v>54</v>
      </c>
      <c r="J36" s="7" t="s">
        <v>55</v>
      </c>
      <c r="K36" s="7" t="s">
        <v>56</v>
      </c>
      <c r="L36" s="7" t="s">
        <v>57</v>
      </c>
      <c r="M36" s="7" t="s">
        <v>58</v>
      </c>
      <c r="N36" s="6" t="s">
        <v>59</v>
      </c>
    </row>
    <row r="37" customFormat="false" ht="15" hidden="false" customHeight="false" outlineLevel="0" collapsed="false">
      <c r="A37" s="31" t="s">
        <v>62</v>
      </c>
      <c r="B37" s="11" t="n">
        <f aca="false">사업계획!B20</f>
        <v>27.485084918172</v>
      </c>
      <c r="C37" s="11" t="n">
        <f aca="false">사업계획!C20</f>
        <v>20.7021193148168</v>
      </c>
      <c r="D37" s="11" t="n">
        <f aca="false">사업계획!D20</f>
        <v>11.849186728849</v>
      </c>
      <c r="E37" s="11" t="n">
        <f aca="false">사업계획!E20</f>
        <v>13.0568722831193</v>
      </c>
      <c r="F37" s="11" t="n">
        <f aca="false">사업계획!F20</f>
        <v>14.3463681168763</v>
      </c>
      <c r="G37" s="11" t="n">
        <f aca="false">사업계획!G20</f>
        <v>13.3025271492301</v>
      </c>
      <c r="H37" s="11" t="n">
        <f aca="false">사업계획!H20</f>
        <v>10.6257568911376</v>
      </c>
      <c r="I37" s="11" t="n">
        <f aca="false">사업계획!I20</f>
        <v>11.4831606447032</v>
      </c>
      <c r="J37" s="11" t="n">
        <f aca="false">사업계획!J20</f>
        <v>11.7687711069343</v>
      </c>
      <c r="K37" s="11" t="n">
        <f aca="false">사업계획!K20</f>
        <v>18.5907230332275</v>
      </c>
      <c r="L37" s="11" t="n">
        <f aca="false">사업계획!L20</f>
        <v>22.5979951803267</v>
      </c>
      <c r="M37" s="11" t="n">
        <f aca="false">사업계획!M20</f>
        <v>23.9737947846161</v>
      </c>
      <c r="N37" s="11" t="n">
        <f aca="false">사업계획!N20</f>
        <v>199.782360152009</v>
      </c>
    </row>
    <row r="38" customFormat="false" ht="15" hidden="false" customHeight="false" outlineLevel="0" collapsed="false">
      <c r="A38" s="31" t="s">
        <v>63</v>
      </c>
      <c r="B38" s="11" t="n">
        <f aca="false">사업계획!B11</f>
        <v>23.75256</v>
      </c>
      <c r="C38" s="11" t="n">
        <f aca="false">사업계획!C11</f>
        <v>17.61718</v>
      </c>
      <c r="D38" s="11" t="n">
        <f aca="false">사업계획!D11</f>
        <v>10.0134</v>
      </c>
      <c r="E38" s="11" t="n">
        <f aca="false">사업계획!E11</f>
        <v>11.25214</v>
      </c>
      <c r="F38" s="11" t="n">
        <f aca="false">사업계획!F11</f>
        <v>12.52842</v>
      </c>
      <c r="G38" s="11" t="n">
        <f aca="false">사업계획!G11</f>
        <v>11.40818</v>
      </c>
      <c r="H38" s="11" t="n">
        <f aca="false">사업계획!H11</f>
        <v>9.1745</v>
      </c>
      <c r="I38" s="11" t="n">
        <f aca="false">사업계획!I11</f>
        <v>10.01942</v>
      </c>
      <c r="J38" s="11" t="n">
        <f aca="false">사업계획!J11</f>
        <v>10.44196</v>
      </c>
      <c r="K38" s="11" t="n">
        <f aca="false">사업계획!K11</f>
        <v>16.61934</v>
      </c>
      <c r="L38" s="11" t="n">
        <f aca="false">사업계획!L11</f>
        <v>19.50714</v>
      </c>
      <c r="M38" s="11" t="n">
        <f aca="false">사업계획!M11</f>
        <v>20.80576</v>
      </c>
      <c r="N38" s="11" t="n">
        <f aca="false">사업계획!N11</f>
        <v>173.14</v>
      </c>
    </row>
    <row r="39" customFormat="false" ht="15" hidden="false" customHeight="false" outlineLevel="0" collapsed="false">
      <c r="A39" s="8" t="s">
        <v>38</v>
      </c>
      <c r="B39" s="11" t="n">
        <f aca="false">사업계획!B29</f>
        <v>-3.73252491817195</v>
      </c>
      <c r="C39" s="11" t="n">
        <f aca="false">사업계획!C29</f>
        <v>-3.08493931481675</v>
      </c>
      <c r="D39" s="11" t="n">
        <f aca="false">사업계획!D29</f>
        <v>-1.83578672884902</v>
      </c>
      <c r="E39" s="11" t="n">
        <f aca="false">사업계획!E29</f>
        <v>-1.80473228311929</v>
      </c>
      <c r="F39" s="11" t="n">
        <f aca="false">사업계획!F29</f>
        <v>-1.81794811687635</v>
      </c>
      <c r="G39" s="11" t="n">
        <f aca="false">사업계획!G29</f>
        <v>-1.89434714923007</v>
      </c>
      <c r="H39" s="11" t="n">
        <f aca="false">사업계획!H29</f>
        <v>-1.45125689113762</v>
      </c>
      <c r="I39" s="11" t="n">
        <f aca="false">사업계획!I29</f>
        <v>-1.4637406447032</v>
      </c>
      <c r="J39" s="11" t="n">
        <f aca="false">사업계획!J29</f>
        <v>-1.32681110693433</v>
      </c>
      <c r="K39" s="11" t="n">
        <f aca="false">사업계획!K29</f>
        <v>-1.97138303322747</v>
      </c>
      <c r="L39" s="11" t="n">
        <f aca="false">사업계획!L29</f>
        <v>-3.0908551803267</v>
      </c>
      <c r="M39" s="11" t="n">
        <f aca="false">사업계획!M29</f>
        <v>-3.16803478461606</v>
      </c>
      <c r="N39" s="11" t="n">
        <f aca="false">사업계획!N29</f>
        <v>-26.6423601520088</v>
      </c>
    </row>
    <row r="40" customFormat="false" ht="15" hidden="false" customHeight="false" outlineLevel="0" collapsed="false">
      <c r="A40" s="8" t="s">
        <v>39</v>
      </c>
      <c r="B40" s="13" t="n">
        <f aca="false">사업계획!B38</f>
        <v>-0.135801833222795</v>
      </c>
      <c r="C40" s="13" t="n">
        <f aca="false">사업계획!C38</f>
        <v>-0.149015628202318</v>
      </c>
      <c r="D40" s="13" t="n">
        <f aca="false">사업계획!D38</f>
        <v>-0.154929344170048</v>
      </c>
      <c r="E40" s="13" t="n">
        <f aca="false">사업계획!E38</f>
        <v>-0.138220872808303</v>
      </c>
      <c r="F40" s="13" t="n">
        <f aca="false">사업계획!F38</f>
        <v>-0.126718351436822</v>
      </c>
      <c r="G40" s="13" t="n">
        <f aca="false">사업계획!G38</f>
        <v>-0.14240505792463</v>
      </c>
      <c r="H40" s="13" t="n">
        <f aca="false">사업계획!H38</f>
        <v>-0.1365791544081</v>
      </c>
      <c r="I40" s="13" t="n">
        <f aca="false">사업계획!I38</f>
        <v>-0.127468446187625</v>
      </c>
      <c r="J40" s="13" t="n">
        <f aca="false">사업계획!J38</f>
        <v>-0.112739987453113</v>
      </c>
      <c r="K40" s="13" t="n">
        <f aca="false">사업계획!K38</f>
        <v>-0.106041224416285</v>
      </c>
      <c r="L40" s="13" t="n">
        <f aca="false">사업계획!L38</f>
        <v>-0.136775636761686</v>
      </c>
      <c r="M40" s="13" t="n">
        <f aca="false">사업계획!M38</f>
        <v>-0.132145737171696</v>
      </c>
      <c r="N40" s="13" t="n">
        <f aca="false">사업계획!N38</f>
        <v>-0.133356919658659</v>
      </c>
    </row>
    <row r="56" customFormat="false" ht="15" hidden="false" customHeight="false" outlineLevel="0" collapsed="false">
      <c r="A56" s="21" t="s">
        <v>64</v>
      </c>
    </row>
    <row r="57" customFormat="false" ht="15" hidden="false" customHeight="false" outlineLevel="0" collapsed="false">
      <c r="A57" s="6" t="s">
        <v>65</v>
      </c>
      <c r="B57" s="6" t="s">
        <v>66</v>
      </c>
    </row>
    <row r="58" customFormat="false" ht="15" hidden="false" customHeight="false" outlineLevel="0" collapsed="false">
      <c r="A58" s="31" t="s">
        <v>67</v>
      </c>
      <c r="B58" s="32" t="str">
        <f aca="false">IF(MAX(ABS(N30-1),ABS(N31-1),ABS(N32-1),ABS(N33-1))&gt;0.0005,"⚠ 확인 필요","정상")</f>
        <v>정상</v>
      </c>
    </row>
    <row r="59" customFormat="false" ht="15" hidden="false" customHeight="false" outlineLevel="0" collapsed="false">
      <c r="A59" s="8" t="s">
        <v>68</v>
      </c>
      <c r="B59" s="32" t="str">
        <f aca="false">IF(ABS(사업계획!N11-H13)&lt;0.001,"정상","⚠ 불일치")</f>
        <v>정상</v>
      </c>
    </row>
    <row r="61" customFormat="false" ht="15" hidden="false" customHeight="false" outlineLevel="0" collapsed="false">
      <c r="A61" s="7" t="s">
        <v>69</v>
      </c>
      <c r="B61" s="7" t="s">
        <v>70</v>
      </c>
      <c r="C61" s="7" t="s">
        <v>71</v>
      </c>
      <c r="D61" s="6" t="s">
        <v>72</v>
      </c>
      <c r="E61" s="6" t="s">
        <v>73</v>
      </c>
    </row>
    <row r="62" customFormat="false" ht="15" hidden="false" customHeight="false" outlineLevel="0" collapsed="false">
      <c r="A62" s="8" t="s">
        <v>14</v>
      </c>
      <c r="B62" s="33" t="n">
        <f aca="false">가정!I21</f>
        <v>2.0662650518065</v>
      </c>
      <c r="C62" s="33" t="n">
        <f aca="false">가정!J21</f>
        <v>1.66666666666667</v>
      </c>
      <c r="D62" s="13" t="n">
        <f aca="false">IF(B62=0,0,C62/B62-1)</f>
        <v>-0.193391639078672</v>
      </c>
      <c r="E62" s="32" t="str">
        <f aca="false">IF(ABS(D62)&gt;$J$17,"⚠ 정판율·할인율 재검토","정상")</f>
        <v>정상</v>
      </c>
    </row>
    <row r="63" customFormat="false" ht="15" hidden="false" customHeight="false" outlineLevel="0" collapsed="false">
      <c r="A63" s="8" t="s">
        <v>15</v>
      </c>
      <c r="B63" s="33" t="n">
        <f aca="false">가정!I22</f>
        <v>3.93430275229053</v>
      </c>
      <c r="C63" s="33" t="n">
        <f aca="false">가정!J22</f>
        <v>1.66666666666667</v>
      </c>
      <c r="D63" s="13" t="n">
        <f aca="false">IF(B63=0,0,C63/B63-1)</f>
        <v>-0.576375593948294</v>
      </c>
      <c r="E63" s="32" t="str">
        <f aca="false">IF(ABS(D63)&gt;$J$17,"⚠ 정판율·할인율 재검토","정상")</f>
        <v>⚠ 정판율·할인율 재검토</v>
      </c>
    </row>
    <row r="64" customFormat="false" ht="15" hidden="false" customHeight="false" outlineLevel="0" collapsed="false">
      <c r="A64" s="8" t="s">
        <v>16</v>
      </c>
      <c r="B64" s="33" t="n">
        <f aca="false">가정!I23</f>
        <v>1.66397319828024</v>
      </c>
      <c r="C64" s="33" t="n">
        <f aca="false">가정!J23</f>
        <v>1.66666666666667</v>
      </c>
      <c r="D64" s="13" t="n">
        <f aca="false">IF(B64=0,0,C64/B64-1)</f>
        <v>0.00161869697733597</v>
      </c>
      <c r="E64" s="32" t="str">
        <f aca="false">IF(ABS(D64)&gt;$J$17,"⚠ 정판율·할인율 재검토","정상")</f>
        <v>정상</v>
      </c>
    </row>
    <row r="65" customFormat="false" ht="15" hidden="false" customHeight="false" outlineLevel="0" collapsed="false">
      <c r="A65" s="8" t="s">
        <v>17</v>
      </c>
      <c r="B65" s="33" t="n">
        <f aca="false">가정!I24</f>
        <v>2.23562246245686</v>
      </c>
      <c r="C65" s="33" t="n">
        <f aca="false">가정!J24</f>
        <v>1.66666666666667</v>
      </c>
      <c r="D65" s="13" t="n">
        <f aca="false">IF(B65=0,0,C65/B65-1)</f>
        <v>-0.254495472891669</v>
      </c>
      <c r="E65" s="32" t="str">
        <f aca="false">IF(ABS(D65)&gt;$J$17,"⚠ 정판율·할인율 재검토","정상")</f>
        <v>정상</v>
      </c>
    </row>
    <row r="66" customFormat="false" ht="15" hidden="false" customHeight="false" outlineLevel="0" collapsed="false">
      <c r="A66" s="2" t="s">
        <v>74</v>
      </c>
    </row>
  </sheetData>
  <conditionalFormatting sqref="N30:N33">
    <cfRule type="expression" priority="2" aboveAverage="0" equalAverage="0" bottom="0" percent="0" rank="0" text="" dxfId="0">
      <formula>ABS($N30-1)&gt;0.0005</formula>
    </cfRule>
  </conditionalFormatting>
  <conditionalFormatting sqref="B58:B59">
    <cfRule type="expression" priority="3" aboveAverage="0" equalAverage="0" bottom="0" percent="0" rank="0" text="" dxfId="0">
      <formula>LEFT(B58,1)="⚠"</formula>
    </cfRule>
  </conditionalFormatting>
  <conditionalFormatting sqref="E62:E65">
    <cfRule type="expression" priority="4" aboveAverage="0" equalAverage="0" bottom="0" percent="0" rank="0" text="" dxfId="0">
      <formula>LEFT(E62,1)="⚠"</formula>
    </cfRule>
  </conditionalFormatting>
  <dataValidations count="1">
    <dataValidation allowBlank="false" errorStyle="stop" operator="between" showDropDown="false" showErrorMessage="false" showInputMessage="false" sqref="I17" type="list">
      <formula1>"1,2"</formula1>
      <formula2>0</formula2>
    </dataValidation>
  </dataValidations>
  <printOptions headings="false" gridLines="false" gridLinesSet="true" horizontalCentered="true" verticalCentered="false"/>
  <pageMargins left="0.4" right="0.4" top="0.4" bottom="0.4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7.9609375" defaultRowHeight="15" zeroHeight="false" outlineLevelRow="0" outlineLevelCol="0"/>
  <cols>
    <col collapsed="false" customWidth="true" hidden="false" outlineLevel="0" max="1" min="1" style="34" width="14.68"/>
    <col collapsed="false" customWidth="true" hidden="false" outlineLevel="0" max="14" min="2" style="34" width="8.72"/>
  </cols>
  <sheetData>
    <row r="1" customFormat="false" ht="20.25" hidden="false" customHeight="true" outlineLevel="0" collapsed="false">
      <c r="A1" s="35" t="s">
        <v>75</v>
      </c>
    </row>
    <row r="2" customFormat="false" ht="15.75" hidden="false" customHeight="true" outlineLevel="0" collapsed="false">
      <c r="A2" s="36" t="s">
        <v>76</v>
      </c>
    </row>
    <row r="3" customFormat="false" ht="15" hidden="false" customHeight="true" outlineLevel="0" collapsed="false">
      <c r="A3" s="37" t="str">
        <f aca="false">IF(MAX(ABS(월별비중!N24-1),ABS(월별비중!N25-1),ABS(월별비중!N26-1),ABS(월별비중!N27-1))&gt;0.0005,"⚠ 요약 시트 ④(2027 월별 비중) 합계가 100%가 아닙니다 — 월 합계가 연간 값과 달라집니다","")</f>
        <v/>
      </c>
    </row>
    <row r="4" customFormat="false" ht="16.5" hidden="false" customHeight="true" outlineLevel="0" collapsed="false">
      <c r="A4" s="38" t="s">
        <v>77</v>
      </c>
    </row>
    <row r="5" customFormat="false" ht="15.75" hidden="false" customHeight="true" outlineLevel="0" collapsed="false">
      <c r="A5" s="39" t="s">
        <v>3</v>
      </c>
      <c r="B5" s="40" t="s">
        <v>78</v>
      </c>
      <c r="C5" s="40" t="s">
        <v>79</v>
      </c>
      <c r="D5" s="40" t="s">
        <v>80</v>
      </c>
      <c r="E5" s="40" t="s">
        <v>81</v>
      </c>
      <c r="F5" s="40" t="s">
        <v>82</v>
      </c>
      <c r="G5" s="40" t="s">
        <v>83</v>
      </c>
      <c r="H5" s="40" t="s">
        <v>84</v>
      </c>
      <c r="I5" s="40" t="s">
        <v>85</v>
      </c>
      <c r="J5" s="40" t="s">
        <v>86</v>
      </c>
      <c r="K5" s="40" t="s">
        <v>87</v>
      </c>
      <c r="L5" s="40" t="s">
        <v>88</v>
      </c>
      <c r="M5" s="40" t="s">
        <v>89</v>
      </c>
      <c r="N5" s="39" t="s">
        <v>59</v>
      </c>
    </row>
    <row r="6" customFormat="false" ht="15" hidden="false" customHeight="true" outlineLevel="0" collapsed="false">
      <c r="A6" s="36" t="s">
        <v>14</v>
      </c>
      <c r="B6" s="41" t="n">
        <f aca="false">가정!$H$11*월별비중!B$24</f>
        <v>4.752</v>
      </c>
      <c r="C6" s="41" t="n">
        <f aca="false">가정!$H$11*월별비중!C$24</f>
        <v>3.729</v>
      </c>
      <c r="D6" s="41" t="n">
        <f aca="false">가정!$H$11*월별비중!D$24</f>
        <v>2.31</v>
      </c>
      <c r="E6" s="41" t="n">
        <f aca="false">가정!$H$11*월별비중!E$24</f>
        <v>2.079</v>
      </c>
      <c r="F6" s="41" t="n">
        <f aca="false">가정!$H$11*월별비중!F$24</f>
        <v>2.145</v>
      </c>
      <c r="G6" s="41" t="n">
        <f aca="false">가정!$H$11*월별비중!G$24</f>
        <v>2.442</v>
      </c>
      <c r="H6" s="41" t="n">
        <f aca="false">가정!$H$11*월별비중!H$24</f>
        <v>1.815</v>
      </c>
      <c r="I6" s="41" t="n">
        <f aca="false">가정!$H$11*월별비중!I$24</f>
        <v>1.947</v>
      </c>
      <c r="J6" s="41" t="n">
        <f aca="false">가정!$H$11*월별비중!J$24</f>
        <v>1.518</v>
      </c>
      <c r="K6" s="41" t="n">
        <f aca="false">가정!$H$11*월별비중!K$24</f>
        <v>2.508</v>
      </c>
      <c r="L6" s="41" t="n">
        <f aca="false">가정!$H$11*월별비중!L$24</f>
        <v>3.597</v>
      </c>
      <c r="M6" s="41" t="n">
        <f aca="false">가정!$H$11*월별비중!M$24</f>
        <v>4.158</v>
      </c>
      <c r="N6" s="41" t="n">
        <f aca="false">SUM(B6:M6)</f>
        <v>33</v>
      </c>
    </row>
    <row r="7" customFormat="false" ht="15" hidden="false" customHeight="true" outlineLevel="0" collapsed="false">
      <c r="A7" s="36" t="s">
        <v>15</v>
      </c>
      <c r="B7" s="41" t="n">
        <f aca="false">가정!$H$12*월별비중!B$25</f>
        <v>7.455</v>
      </c>
      <c r="C7" s="41" t="n">
        <f aca="false">가정!$H$12*월별비중!C$25</f>
        <v>4.2525</v>
      </c>
      <c r="D7" s="41" t="n">
        <f aca="false">가정!$H$12*월별비중!D$25</f>
        <v>2.415</v>
      </c>
      <c r="E7" s="41" t="n">
        <f aca="false">가정!$H$12*월별비중!E$25</f>
        <v>2.7825</v>
      </c>
      <c r="F7" s="41" t="n">
        <f aca="false">가정!$H$12*월별비중!F$25</f>
        <v>3.7275</v>
      </c>
      <c r="G7" s="41" t="n">
        <f aca="false">가정!$H$12*월별비중!G$25</f>
        <v>3.4125</v>
      </c>
      <c r="H7" s="41" t="n">
        <f aca="false">가정!$H$12*월별비중!H$25</f>
        <v>2.8875</v>
      </c>
      <c r="I7" s="41" t="n">
        <f aca="false">가정!$H$12*월별비중!I$25</f>
        <v>3.3075</v>
      </c>
      <c r="J7" s="41" t="n">
        <f aca="false">가정!$H$12*월별비중!J$25</f>
        <v>3.465</v>
      </c>
      <c r="K7" s="41" t="n">
        <f aca="false">가정!$H$12*월별비중!K$25</f>
        <v>6.7725</v>
      </c>
      <c r="L7" s="41" t="n">
        <f aca="false">가정!$H$12*월별비중!L$25</f>
        <v>5.1975</v>
      </c>
      <c r="M7" s="41" t="n">
        <f aca="false">가정!$H$12*월별비중!M$25</f>
        <v>6.825</v>
      </c>
      <c r="N7" s="41" t="n">
        <f aca="false">SUM(B7:M7)</f>
        <v>52.5</v>
      </c>
    </row>
    <row r="8" customFormat="false" ht="15" hidden="false" customHeight="true" outlineLevel="0" collapsed="false">
      <c r="A8" s="36" t="s">
        <v>16</v>
      </c>
      <c r="B8" s="41" t="n">
        <f aca="false">가정!$H$13*월별비중!B$26</f>
        <v>7.43556</v>
      </c>
      <c r="C8" s="41" t="n">
        <f aca="false">가정!$H$13*월별비중!C$26</f>
        <v>6.45568</v>
      </c>
      <c r="D8" s="41" t="n">
        <f aca="false">가정!$H$13*월별비중!D$26</f>
        <v>3.4584</v>
      </c>
      <c r="E8" s="41" t="n">
        <f aca="false">가정!$H$13*월별비중!E$26</f>
        <v>4.38064</v>
      </c>
      <c r="F8" s="41" t="n">
        <f aca="false">가정!$H$13*월별비중!F$26</f>
        <v>4.49592</v>
      </c>
      <c r="G8" s="41" t="n">
        <f aca="false">가정!$H$13*월별비중!G$26</f>
        <v>3.57368</v>
      </c>
      <c r="H8" s="41" t="n">
        <f aca="false">가정!$H$13*월별비중!H$26</f>
        <v>2.882</v>
      </c>
      <c r="I8" s="41" t="n">
        <f aca="false">가정!$H$13*월별비중!I$26</f>
        <v>3.05492</v>
      </c>
      <c r="J8" s="41" t="n">
        <f aca="false">가정!$H$13*월별비중!J$26</f>
        <v>3.68896</v>
      </c>
      <c r="K8" s="41" t="n">
        <f aca="false">가정!$H$13*월별비중!K$26</f>
        <v>4.66884</v>
      </c>
      <c r="L8" s="41" t="n">
        <f aca="false">가정!$H$13*월별비중!L$26</f>
        <v>7.26264</v>
      </c>
      <c r="M8" s="41" t="n">
        <f aca="false">가정!$H$13*월별비중!M$26</f>
        <v>6.28276</v>
      </c>
      <c r="N8" s="41" t="n">
        <f aca="false">SUM(B8:M8)</f>
        <v>57.64</v>
      </c>
    </row>
    <row r="9" customFormat="false" ht="15" hidden="false" customHeight="true" outlineLevel="0" collapsed="false">
      <c r="A9" s="42" t="s">
        <v>17</v>
      </c>
      <c r="B9" s="43" t="n">
        <f aca="false">SUM(B6:B8)</f>
        <v>19.64256</v>
      </c>
      <c r="C9" s="43" t="n">
        <f aca="false">SUM(C6:C8)</f>
        <v>14.43718</v>
      </c>
      <c r="D9" s="43" t="n">
        <f aca="false">SUM(D6:D8)</f>
        <v>8.1834</v>
      </c>
      <c r="E9" s="43" t="n">
        <f aca="false">SUM(E6:E8)</f>
        <v>9.24214</v>
      </c>
      <c r="F9" s="43" t="n">
        <f aca="false">SUM(F6:F8)</f>
        <v>10.36842</v>
      </c>
      <c r="G9" s="43" t="n">
        <f aca="false">SUM(G6:G8)</f>
        <v>9.42818</v>
      </c>
      <c r="H9" s="43" t="n">
        <f aca="false">SUM(H6:H8)</f>
        <v>7.5845</v>
      </c>
      <c r="I9" s="43" t="n">
        <f aca="false">SUM(I6:I8)</f>
        <v>8.30942</v>
      </c>
      <c r="J9" s="43" t="n">
        <f aca="false">SUM(J6:J8)</f>
        <v>8.67196</v>
      </c>
      <c r="K9" s="43" t="n">
        <f aca="false">SUM(K6:K8)</f>
        <v>13.94934</v>
      </c>
      <c r="L9" s="43" t="n">
        <f aca="false">SUM(L6:L8)</f>
        <v>16.05714</v>
      </c>
      <c r="M9" s="43" t="n">
        <f aca="false">SUM(M6:M8)</f>
        <v>17.26576</v>
      </c>
      <c r="N9" s="43" t="n">
        <f aca="false">SUM(B9:M9)</f>
        <v>143.14</v>
      </c>
    </row>
    <row r="10" customFormat="false" ht="15" hidden="false" customHeight="true" outlineLevel="0" collapsed="false">
      <c r="A10" s="36" t="s">
        <v>45</v>
      </c>
      <c r="B10" s="41" t="n">
        <f aca="false">가정!$H$15*월별비중!B$27</f>
        <v>4.11</v>
      </c>
      <c r="C10" s="41" t="n">
        <f aca="false">가정!$H$15*월별비중!C$27</f>
        <v>3.18</v>
      </c>
      <c r="D10" s="41" t="n">
        <f aca="false">가정!$H$15*월별비중!D$27</f>
        <v>1.83</v>
      </c>
      <c r="E10" s="41" t="n">
        <f aca="false">가정!$H$15*월별비중!E$27</f>
        <v>2.01</v>
      </c>
      <c r="F10" s="41" t="n">
        <f aca="false">가정!$H$15*월별비중!F$27</f>
        <v>2.16</v>
      </c>
      <c r="G10" s="41" t="n">
        <f aca="false">가정!$H$15*월별비중!G$27</f>
        <v>1.98</v>
      </c>
      <c r="H10" s="41" t="n">
        <f aca="false">가정!$H$15*월별비중!H$27</f>
        <v>1.59</v>
      </c>
      <c r="I10" s="41" t="n">
        <f aca="false">가정!$H$15*월별비중!I$27</f>
        <v>1.71</v>
      </c>
      <c r="J10" s="41" t="n">
        <f aca="false">가정!$H$15*월별비중!J$27</f>
        <v>1.77</v>
      </c>
      <c r="K10" s="41" t="n">
        <f aca="false">가정!$H$15*월별비중!K$27</f>
        <v>2.67</v>
      </c>
      <c r="L10" s="41" t="n">
        <f aca="false">가정!$H$15*월별비중!L$27</f>
        <v>3.45</v>
      </c>
      <c r="M10" s="41" t="n">
        <f aca="false">가정!$H$15*월별비중!M$27</f>
        <v>3.54</v>
      </c>
      <c r="N10" s="41" t="n">
        <f aca="false">SUM(B10:M10)</f>
        <v>30</v>
      </c>
    </row>
    <row r="11" customFormat="false" ht="15.75" hidden="false" customHeight="true" outlineLevel="0" collapsed="false">
      <c r="A11" s="44" t="s">
        <v>90</v>
      </c>
      <c r="B11" s="45" t="n">
        <f aca="false">B9+B10</f>
        <v>23.75256</v>
      </c>
      <c r="C11" s="45" t="n">
        <f aca="false">C9+C10</f>
        <v>17.61718</v>
      </c>
      <c r="D11" s="45" t="n">
        <f aca="false">D9+D10</f>
        <v>10.0134</v>
      </c>
      <c r="E11" s="45" t="n">
        <f aca="false">E9+E10</f>
        <v>11.25214</v>
      </c>
      <c r="F11" s="45" t="n">
        <f aca="false">F9+F10</f>
        <v>12.52842</v>
      </c>
      <c r="G11" s="45" t="n">
        <f aca="false">G9+G10</f>
        <v>11.40818</v>
      </c>
      <c r="H11" s="45" t="n">
        <f aca="false">H9+H10</f>
        <v>9.1745</v>
      </c>
      <c r="I11" s="45" t="n">
        <f aca="false">I9+I10</f>
        <v>10.01942</v>
      </c>
      <c r="J11" s="45" t="n">
        <f aca="false">J9+J10</f>
        <v>10.44196</v>
      </c>
      <c r="K11" s="45" t="n">
        <f aca="false">K9+K10</f>
        <v>16.61934</v>
      </c>
      <c r="L11" s="45" t="n">
        <f aca="false">L9+L10</f>
        <v>19.50714</v>
      </c>
      <c r="M11" s="45" t="n">
        <f aca="false">M9+M10</f>
        <v>20.80576</v>
      </c>
      <c r="N11" s="45" t="n">
        <f aca="false">SUM(B11:M11)</f>
        <v>173.14</v>
      </c>
    </row>
    <row r="13" customFormat="false" ht="16.5" hidden="false" customHeight="true" outlineLevel="0" collapsed="false">
      <c r="A13" s="38" t="s">
        <v>91</v>
      </c>
    </row>
    <row r="14" customFormat="false" ht="15.75" hidden="false" customHeight="true" outlineLevel="0" collapsed="false">
      <c r="A14" s="39" t="s">
        <v>3</v>
      </c>
      <c r="B14" s="40" t="s">
        <v>78</v>
      </c>
      <c r="C14" s="40" t="s">
        <v>79</v>
      </c>
      <c r="D14" s="40" t="s">
        <v>80</v>
      </c>
      <c r="E14" s="40" t="s">
        <v>81</v>
      </c>
      <c r="F14" s="40" t="s">
        <v>82</v>
      </c>
      <c r="G14" s="40" t="s">
        <v>83</v>
      </c>
      <c r="H14" s="40" t="s">
        <v>84</v>
      </c>
      <c r="I14" s="40" t="s">
        <v>85</v>
      </c>
      <c r="J14" s="40" t="s">
        <v>86</v>
      </c>
      <c r="K14" s="40" t="s">
        <v>87</v>
      </c>
      <c r="L14" s="40" t="s">
        <v>88</v>
      </c>
      <c r="M14" s="40" t="s">
        <v>89</v>
      </c>
      <c r="N14" s="39" t="s">
        <v>59</v>
      </c>
    </row>
    <row r="15" customFormat="false" ht="15" hidden="false" customHeight="true" outlineLevel="0" collapsed="false">
      <c r="A15" s="36" t="s">
        <v>14</v>
      </c>
      <c r="B15" s="41" t="n">
        <f aca="false">가정!$D$21*월별비중!B$17</f>
        <v>7.10560293927376</v>
      </c>
      <c r="C15" s="41" t="n">
        <f aca="false">가정!$D$21*월별비중!C$17</f>
        <v>5.61776584687909</v>
      </c>
      <c r="D15" s="41" t="n">
        <f aca="false">가정!$D$21*월별비중!D$17</f>
        <v>3.49523634403827</v>
      </c>
      <c r="E15" s="41" t="n">
        <f aca="false">가정!$D$21*월별비중!E$17</f>
        <v>3.11442089777059</v>
      </c>
      <c r="F15" s="41" t="n">
        <f aca="false">가정!$D$21*월별비중!F$17</f>
        <v>3.21479086035277</v>
      </c>
      <c r="G15" s="41" t="n">
        <f aca="false">가정!$D$21*월별비중!G$17</f>
        <v>3.69007215375663</v>
      </c>
      <c r="H15" s="41" t="n">
        <f aca="false">가정!$D$21*월별비중!H$17</f>
        <v>2.74541368239493</v>
      </c>
      <c r="I15" s="41" t="n">
        <f aca="false">가정!$D$21*월별비중!I$17</f>
        <v>2.92253714577525</v>
      </c>
      <c r="J15" s="41" t="n">
        <f aca="false">가정!$D$21*월별비중!J$17</f>
        <v>2.30260502394413</v>
      </c>
      <c r="K15" s="41" t="n">
        <f aca="false">가정!$D$21*월별비중!K$17</f>
        <v>3.77809271182964</v>
      </c>
      <c r="L15" s="41" t="n">
        <f aca="false">가정!$D$21*월별비중!L$17</f>
        <v>5.4229766135786</v>
      </c>
      <c r="M15" s="41" t="n">
        <f aca="false">가정!$D$21*월별비중!M$17</f>
        <v>6.24541856445308</v>
      </c>
      <c r="N15" s="41" t="n">
        <f aca="false">SUM(B15:M15)</f>
        <v>49.6549327840467</v>
      </c>
    </row>
    <row r="16" customFormat="false" ht="15" hidden="false" customHeight="true" outlineLevel="0" collapsed="false">
      <c r="A16" s="36" t="s">
        <v>15</v>
      </c>
      <c r="B16" s="41" t="n">
        <f aca="false">가정!$D$22*월별비중!B$18</f>
        <v>6.9679263571492</v>
      </c>
      <c r="C16" s="41" t="n">
        <f aca="false">가정!$D$22*월별비중!C$18</f>
        <v>4.00805836845958</v>
      </c>
      <c r="D16" s="41" t="n">
        <f aca="false">가정!$D$22*월별비중!D$18</f>
        <v>2.25799601633264</v>
      </c>
      <c r="E16" s="41" t="n">
        <f aca="false">가정!$D$22*월별비중!E$18</f>
        <v>2.62740231757316</v>
      </c>
      <c r="F16" s="41" t="n">
        <f aca="false">가정!$D$22*월별비중!F$18</f>
        <v>3.49550712548837</v>
      </c>
      <c r="G16" s="41" t="n">
        <f aca="false">가정!$D$22*월별비중!G$18</f>
        <v>3.18612934819944</v>
      </c>
      <c r="H16" s="41" t="n">
        <f aca="false">가정!$D$22*월별비중!H$18</f>
        <v>2.72437147164879</v>
      </c>
      <c r="I16" s="41" t="n">
        <f aca="false">가정!$D$22*월별비중!I$18</f>
        <v>3.09377777288931</v>
      </c>
      <c r="J16" s="41" t="n">
        <f aca="false">가정!$D$22*월별비중!J$18</f>
        <v>3.2323051358545</v>
      </c>
      <c r="K16" s="41" t="n">
        <f aca="false">가정!$D$22*월별비중!K$18</f>
        <v>6.36799539220706</v>
      </c>
      <c r="L16" s="41" t="n">
        <f aca="false">가정!$D$22*월별비중!L$18</f>
        <v>4.88897710756542</v>
      </c>
      <c r="M16" s="41" t="n">
        <f aca="false">가정!$D$22*월별비중!M$18</f>
        <v>6.4090792334471</v>
      </c>
      <c r="N16" s="41" t="n">
        <f aca="false">SUM(B16:M16)</f>
        <v>49.2595256468146</v>
      </c>
    </row>
    <row r="17" customFormat="false" ht="15" hidden="false" customHeight="true" outlineLevel="0" collapsed="false">
      <c r="A17" s="36" t="s">
        <v>16</v>
      </c>
      <c r="B17" s="41" t="n">
        <f aca="false">가정!$D$23*월별비중!B$19</f>
        <v>8.33286540257007</v>
      </c>
      <c r="C17" s="41" t="n">
        <f aca="false">가정!$D$23*월별비중!C$19</f>
        <v>7.12848731776816</v>
      </c>
      <c r="D17" s="41" t="n">
        <f aca="false">가정!$D$23*월별비중!D$19</f>
        <v>3.84447024297165</v>
      </c>
      <c r="E17" s="41" t="n">
        <f aca="false">가정!$D$23*월별비중!E$19</f>
        <v>4.81751233920766</v>
      </c>
      <c r="F17" s="41" t="n">
        <f aca="false">가정!$D$23*월별비중!F$19</f>
        <v>4.94868222963163</v>
      </c>
      <c r="G17" s="41" t="n">
        <f aca="false">가정!$D$23*월별비중!G$19</f>
        <v>3.9589457837053</v>
      </c>
      <c r="H17" s="41" t="n">
        <f aca="false">가정!$D$23*월별비중!H$19</f>
        <v>3.19577551214765</v>
      </c>
      <c r="I17" s="41" t="n">
        <f aca="false">가정!$D$23*월별비중!I$19</f>
        <v>3.36271900905089</v>
      </c>
      <c r="J17" s="41" t="n">
        <f aca="false">가정!$D$23*월별비중!J$19</f>
        <v>4.05434206765001</v>
      </c>
      <c r="K17" s="41" t="n">
        <f aca="false">가정!$D$23*월별비중!K$19</f>
        <v>5.14397851155484</v>
      </c>
      <c r="L17" s="41" t="n">
        <f aca="false">가정!$D$23*월별비중!L$19</f>
        <v>8.00174435130752</v>
      </c>
      <c r="M17" s="41" t="n">
        <f aca="false">가정!$D$23*월별비중!M$19</f>
        <v>6.92722439556051</v>
      </c>
      <c r="N17" s="41" t="n">
        <f aca="false">SUM(B17:M17)</f>
        <v>63.7167471631259</v>
      </c>
    </row>
    <row r="18" customFormat="false" ht="15" hidden="false" customHeight="true" outlineLevel="0" collapsed="false">
      <c r="A18" s="42" t="s">
        <v>17</v>
      </c>
      <c r="B18" s="43" t="n">
        <f aca="false">SUM(B15:B17)</f>
        <v>22.406394698993</v>
      </c>
      <c r="C18" s="43" t="n">
        <f aca="false">SUM(C15:C17)</f>
        <v>16.7543115331068</v>
      </c>
      <c r="D18" s="43" t="n">
        <f aca="false">SUM(D15:D17)</f>
        <v>9.59770260334257</v>
      </c>
      <c r="E18" s="43" t="n">
        <f aca="false">SUM(E15:E17)</f>
        <v>10.5593355545514</v>
      </c>
      <c r="F18" s="43" t="n">
        <f aca="false">SUM(F15:F17)</f>
        <v>11.6589802154728</v>
      </c>
      <c r="G18" s="43" t="n">
        <f aca="false">SUM(G15:G17)</f>
        <v>10.8351472856614</v>
      </c>
      <c r="H18" s="43" t="n">
        <f aca="false">SUM(H15:H17)</f>
        <v>8.66556066619138</v>
      </c>
      <c r="I18" s="43" t="n">
        <f aca="false">SUM(I15:I17)</f>
        <v>9.37903392771544</v>
      </c>
      <c r="J18" s="43" t="n">
        <f aca="false">SUM(J15:J17)</f>
        <v>9.58925222744864</v>
      </c>
      <c r="K18" s="43" t="n">
        <f aca="false">SUM(K15:K17)</f>
        <v>15.2900666155915</v>
      </c>
      <c r="L18" s="43" t="n">
        <f aca="false">SUM(L15:L17)</f>
        <v>18.3136980724515</v>
      </c>
      <c r="M18" s="43" t="n">
        <f aca="false">SUM(M15:M17)</f>
        <v>19.5817221934607</v>
      </c>
      <c r="N18" s="43" t="n">
        <f aca="false">SUM(B18:M18)</f>
        <v>162.631205593987</v>
      </c>
    </row>
    <row r="19" customFormat="false" ht="15" hidden="false" customHeight="true" outlineLevel="0" collapsed="false">
      <c r="A19" s="36" t="s">
        <v>45</v>
      </c>
      <c r="B19" s="41" t="n">
        <f aca="false">가정!$D$25*월별비중!B$20</f>
        <v>5.07869021917892</v>
      </c>
      <c r="C19" s="41" t="n">
        <f aca="false">가정!$D$25*월별비중!C$20</f>
        <v>3.94780778170993</v>
      </c>
      <c r="D19" s="41" t="n">
        <f aca="false">가정!$D$25*월별비중!D$20</f>
        <v>2.25148412550644</v>
      </c>
      <c r="E19" s="41" t="n">
        <f aca="false">가정!$D$25*월별비중!E$20</f>
        <v>2.49753672856788</v>
      </c>
      <c r="F19" s="41" t="n">
        <f aca="false">가정!$D$25*월별비중!F$20</f>
        <v>2.68738790140358</v>
      </c>
      <c r="G19" s="41" t="n">
        <f aca="false">가정!$D$25*월별비중!G$20</f>
        <v>2.46737986356871</v>
      </c>
      <c r="H19" s="41" t="n">
        <f aca="false">가정!$D$25*월별비중!H$20</f>
        <v>1.96019622494625</v>
      </c>
      <c r="I19" s="41" t="n">
        <f aca="false">가정!$D$25*월별비중!I$20</f>
        <v>2.10412671698776</v>
      </c>
      <c r="J19" s="41" t="n">
        <f aca="false">가정!$D$25*월별비중!J$20</f>
        <v>2.17951887948569</v>
      </c>
      <c r="K19" s="41" t="n">
        <f aca="false">가정!$D$25*월별비중!K$20</f>
        <v>3.30065641763593</v>
      </c>
      <c r="L19" s="41" t="n">
        <f aca="false">가정!$D$25*월별비중!L$20</f>
        <v>4.28429710787516</v>
      </c>
      <c r="M19" s="41" t="n">
        <f aca="false">가정!$D$25*월별비중!M$20</f>
        <v>4.39207259115537</v>
      </c>
      <c r="N19" s="41" t="n">
        <f aca="false">SUM(B19:M19)</f>
        <v>37.1511545580216</v>
      </c>
    </row>
    <row r="20" customFormat="false" ht="15.75" hidden="false" customHeight="true" outlineLevel="0" collapsed="false">
      <c r="A20" s="44" t="s">
        <v>90</v>
      </c>
      <c r="B20" s="45" t="n">
        <f aca="false">B18+B19</f>
        <v>27.485084918172</v>
      </c>
      <c r="C20" s="45" t="n">
        <f aca="false">C18+C19</f>
        <v>20.7021193148168</v>
      </c>
      <c r="D20" s="45" t="n">
        <f aca="false">D18+D19</f>
        <v>11.849186728849</v>
      </c>
      <c r="E20" s="45" t="n">
        <f aca="false">E18+E19</f>
        <v>13.0568722831193</v>
      </c>
      <c r="F20" s="45" t="n">
        <f aca="false">F18+F19</f>
        <v>14.3463681168763</v>
      </c>
      <c r="G20" s="45" t="n">
        <f aca="false">G18+G19</f>
        <v>13.3025271492301</v>
      </c>
      <c r="H20" s="45" t="n">
        <f aca="false">H18+H19</f>
        <v>10.6257568911376</v>
      </c>
      <c r="I20" s="45" t="n">
        <f aca="false">I18+I19</f>
        <v>11.4831606447032</v>
      </c>
      <c r="J20" s="45" t="n">
        <f aca="false">J18+J19</f>
        <v>11.7687711069343</v>
      </c>
      <c r="K20" s="45" t="n">
        <f aca="false">K18+K19</f>
        <v>18.5907230332275</v>
      </c>
      <c r="L20" s="45" t="n">
        <f aca="false">L18+L19</f>
        <v>22.5979951803267</v>
      </c>
      <c r="M20" s="45" t="n">
        <f aca="false">M18+M19</f>
        <v>23.9737947846161</v>
      </c>
      <c r="N20" s="45" t="n">
        <f aca="false">SUM(B20:M20)</f>
        <v>199.782360152009</v>
      </c>
    </row>
    <row r="22" customFormat="false" ht="16.5" hidden="false" customHeight="true" outlineLevel="0" collapsed="false">
      <c r="A22" s="46" t="s">
        <v>92</v>
      </c>
    </row>
    <row r="23" customFormat="false" ht="15.75" hidden="false" customHeight="true" outlineLevel="0" collapsed="false">
      <c r="A23" s="39" t="s">
        <v>3</v>
      </c>
      <c r="B23" s="40" t="s">
        <v>78</v>
      </c>
      <c r="C23" s="40" t="s">
        <v>79</v>
      </c>
      <c r="D23" s="40" t="s">
        <v>80</v>
      </c>
      <c r="E23" s="40" t="s">
        <v>81</v>
      </c>
      <c r="F23" s="40" t="s">
        <v>82</v>
      </c>
      <c r="G23" s="40" t="s">
        <v>83</v>
      </c>
      <c r="H23" s="40" t="s">
        <v>84</v>
      </c>
      <c r="I23" s="40" t="s">
        <v>85</v>
      </c>
      <c r="J23" s="40" t="s">
        <v>86</v>
      </c>
      <c r="K23" s="40" t="s">
        <v>87</v>
      </c>
      <c r="L23" s="40" t="s">
        <v>88</v>
      </c>
      <c r="M23" s="40" t="s">
        <v>89</v>
      </c>
      <c r="N23" s="39" t="s">
        <v>59</v>
      </c>
    </row>
    <row r="24" customFormat="false" ht="15" hidden="false" customHeight="true" outlineLevel="0" collapsed="false">
      <c r="A24" s="36" t="s">
        <v>14</v>
      </c>
      <c r="B24" s="41" t="n">
        <f aca="false">B6-B15</f>
        <v>-2.35360293927376</v>
      </c>
      <c r="C24" s="41" t="n">
        <f aca="false">C6-C15</f>
        <v>-1.88876584687909</v>
      </c>
      <c r="D24" s="41" t="n">
        <f aca="false">D6-D15</f>
        <v>-1.18523634403827</v>
      </c>
      <c r="E24" s="41" t="n">
        <f aca="false">E6-E15</f>
        <v>-1.03542089777059</v>
      </c>
      <c r="F24" s="41" t="n">
        <f aca="false">F6-F15</f>
        <v>-1.06979086035277</v>
      </c>
      <c r="G24" s="41" t="n">
        <f aca="false">G6-G15</f>
        <v>-1.24807215375663</v>
      </c>
      <c r="H24" s="41" t="n">
        <f aca="false">H6-H15</f>
        <v>-0.930413682394929</v>
      </c>
      <c r="I24" s="41" t="n">
        <f aca="false">I6-I15</f>
        <v>-0.975537145775247</v>
      </c>
      <c r="J24" s="41" t="n">
        <f aca="false">J6-J15</f>
        <v>-0.784605023944134</v>
      </c>
      <c r="K24" s="41" t="n">
        <f aca="false">K6-K15</f>
        <v>-1.27009271182964</v>
      </c>
      <c r="L24" s="41" t="n">
        <f aca="false">L6-L15</f>
        <v>-1.8259766135786</v>
      </c>
      <c r="M24" s="41" t="n">
        <f aca="false">M6-M15</f>
        <v>-2.08741856445308</v>
      </c>
      <c r="N24" s="41" t="n">
        <f aca="false">SUM(B24:M24)</f>
        <v>-16.6549327840467</v>
      </c>
    </row>
    <row r="25" customFormat="false" ht="15" hidden="false" customHeight="true" outlineLevel="0" collapsed="false">
      <c r="A25" s="36" t="s">
        <v>15</v>
      </c>
      <c r="B25" s="41" t="n">
        <f aca="false">B7-B16</f>
        <v>0.487073642850795</v>
      </c>
      <c r="C25" s="41" t="n">
        <f aca="false">C7-C16</f>
        <v>0.244441631540419</v>
      </c>
      <c r="D25" s="41" t="n">
        <f aca="false">D7-D16</f>
        <v>0.157003983667356</v>
      </c>
      <c r="E25" s="41" t="n">
        <f aca="false">E7-E16</f>
        <v>0.155097682426841</v>
      </c>
      <c r="F25" s="41" t="n">
        <f aca="false">F7-F16</f>
        <v>0.231992874511632</v>
      </c>
      <c r="G25" s="41" t="n">
        <f aca="false">G7-G16</f>
        <v>0.226370651800563</v>
      </c>
      <c r="H25" s="41" t="n">
        <f aca="false">H7-H16</f>
        <v>0.163128528351206</v>
      </c>
      <c r="I25" s="41" t="n">
        <f aca="false">I7-I16</f>
        <v>0.213722227110692</v>
      </c>
      <c r="J25" s="41" t="n">
        <f aca="false">J7-J16</f>
        <v>0.2326948641455</v>
      </c>
      <c r="K25" s="41" t="n">
        <f aca="false">K7-K16</f>
        <v>0.404504607792945</v>
      </c>
      <c r="L25" s="41" t="n">
        <f aca="false">L7-L16</f>
        <v>0.308522892434584</v>
      </c>
      <c r="M25" s="41" t="n">
        <f aca="false">M7-M16</f>
        <v>0.4159207665529</v>
      </c>
      <c r="N25" s="41" t="n">
        <f aca="false">SUM(B25:M25)</f>
        <v>3.24047435318543</v>
      </c>
    </row>
    <row r="26" customFormat="false" ht="15" hidden="false" customHeight="true" outlineLevel="0" collapsed="false">
      <c r="A26" s="36" t="s">
        <v>16</v>
      </c>
      <c r="B26" s="41" t="n">
        <f aca="false">B8-B17</f>
        <v>-0.897305402570072</v>
      </c>
      <c r="C26" s="41" t="n">
        <f aca="false">C8-C17</f>
        <v>-0.67280731776816</v>
      </c>
      <c r="D26" s="41" t="n">
        <f aca="false">D8-D17</f>
        <v>-0.386070242971655</v>
      </c>
      <c r="E26" s="41" t="n">
        <f aca="false">E8-E17</f>
        <v>-0.436872339207655</v>
      </c>
      <c r="F26" s="41" t="n">
        <f aca="false">F8-F17</f>
        <v>-0.452762229631626</v>
      </c>
      <c r="G26" s="41" t="n">
        <f aca="false">G8-G17</f>
        <v>-0.385265783705302</v>
      </c>
      <c r="H26" s="41" t="n">
        <f aca="false">H8-H17</f>
        <v>-0.313775512147652</v>
      </c>
      <c r="I26" s="41" t="n">
        <f aca="false">I8-I17</f>
        <v>-0.307799009050888</v>
      </c>
      <c r="J26" s="41" t="n">
        <f aca="false">J8-J17</f>
        <v>-0.365382067650007</v>
      </c>
      <c r="K26" s="41" t="n">
        <f aca="false">K8-K17</f>
        <v>-0.475138511554834</v>
      </c>
      <c r="L26" s="41" t="n">
        <f aca="false">L8-L17</f>
        <v>-0.739104351307521</v>
      </c>
      <c r="M26" s="41" t="n">
        <f aca="false">M8-M17</f>
        <v>-0.644464395560511</v>
      </c>
      <c r="N26" s="41" t="n">
        <f aca="false">SUM(B26:M26)</f>
        <v>-6.07674716312588</v>
      </c>
    </row>
    <row r="27" customFormat="false" ht="15" hidden="false" customHeight="true" outlineLevel="0" collapsed="false">
      <c r="A27" s="42" t="s">
        <v>17</v>
      </c>
      <c r="B27" s="43" t="n">
        <f aca="false">B9-B18</f>
        <v>-2.76383469899303</v>
      </c>
      <c r="C27" s="43" t="n">
        <f aca="false">C9-C18</f>
        <v>-2.31713153310683</v>
      </c>
      <c r="D27" s="43" t="n">
        <f aca="false">D9-D18</f>
        <v>-1.41430260334257</v>
      </c>
      <c r="E27" s="43" t="n">
        <f aca="false">E9-E18</f>
        <v>-1.31719555455141</v>
      </c>
      <c r="F27" s="43" t="n">
        <f aca="false">F9-F18</f>
        <v>-1.29056021547277</v>
      </c>
      <c r="G27" s="43" t="n">
        <f aca="false">G9-G18</f>
        <v>-1.40696728566136</v>
      </c>
      <c r="H27" s="43" t="n">
        <f aca="false">H9-H18</f>
        <v>-1.08106066619138</v>
      </c>
      <c r="I27" s="43" t="n">
        <f aca="false">I9-I18</f>
        <v>-1.06961392771544</v>
      </c>
      <c r="J27" s="43" t="n">
        <f aca="false">J9-J18</f>
        <v>-0.917292227448641</v>
      </c>
      <c r="K27" s="43" t="n">
        <f aca="false">K9-K18</f>
        <v>-1.34072661559153</v>
      </c>
      <c r="L27" s="43" t="n">
        <f aca="false">L9-L18</f>
        <v>-2.25655807245154</v>
      </c>
      <c r="M27" s="43" t="n">
        <f aca="false">M9-M18</f>
        <v>-2.3159621934607</v>
      </c>
      <c r="N27" s="43" t="n">
        <f aca="false">SUM(B27:M27)</f>
        <v>-19.4912055939872</v>
      </c>
    </row>
    <row r="28" customFormat="false" ht="15" hidden="false" customHeight="true" outlineLevel="0" collapsed="false">
      <c r="A28" s="36" t="s">
        <v>45</v>
      </c>
      <c r="B28" s="41" t="n">
        <f aca="false">B10-B19</f>
        <v>-0.968690219178916</v>
      </c>
      <c r="C28" s="41" t="n">
        <f aca="false">C10-C19</f>
        <v>-0.767807781709928</v>
      </c>
      <c r="D28" s="41" t="n">
        <f aca="false">D10-D19</f>
        <v>-0.421484125506443</v>
      </c>
      <c r="E28" s="41" t="n">
        <f aca="false">E10-E19</f>
        <v>-0.487536728567878</v>
      </c>
      <c r="F28" s="41" t="n">
        <f aca="false">F10-F19</f>
        <v>-0.527387901403582</v>
      </c>
      <c r="G28" s="41" t="n">
        <f aca="false">G10-G19</f>
        <v>-0.487379863568705</v>
      </c>
      <c r="H28" s="41" t="n">
        <f aca="false">H10-H19</f>
        <v>-0.370196224946249</v>
      </c>
      <c r="I28" s="41" t="n">
        <f aca="false">I10-I19</f>
        <v>-0.394126716987757</v>
      </c>
      <c r="J28" s="41" t="n">
        <f aca="false">J10-J19</f>
        <v>-0.409518879485689</v>
      </c>
      <c r="K28" s="41" t="n">
        <f aca="false">K10-K19</f>
        <v>-0.630656417635934</v>
      </c>
      <c r="L28" s="41" t="n">
        <f aca="false">L10-L19</f>
        <v>-0.834297107875163</v>
      </c>
      <c r="M28" s="41" t="n">
        <f aca="false">M10-M19</f>
        <v>-0.852072591155366</v>
      </c>
      <c r="N28" s="41" t="n">
        <f aca="false">SUM(B28:M28)</f>
        <v>-7.15115455802161</v>
      </c>
    </row>
    <row r="29" customFormat="false" ht="15.75" hidden="false" customHeight="true" outlineLevel="0" collapsed="false">
      <c r="A29" s="44" t="s">
        <v>90</v>
      </c>
      <c r="B29" s="45" t="n">
        <f aca="false">B11-B20</f>
        <v>-3.73252491817195</v>
      </c>
      <c r="C29" s="45" t="n">
        <f aca="false">C11-C20</f>
        <v>-3.08493931481675</v>
      </c>
      <c r="D29" s="45" t="n">
        <f aca="false">D11-D20</f>
        <v>-1.83578672884902</v>
      </c>
      <c r="E29" s="45" t="n">
        <f aca="false">E11-E20</f>
        <v>-1.80473228311929</v>
      </c>
      <c r="F29" s="45" t="n">
        <f aca="false">F11-F20</f>
        <v>-1.81794811687635</v>
      </c>
      <c r="G29" s="45" t="n">
        <f aca="false">G11-G20</f>
        <v>-1.89434714923007</v>
      </c>
      <c r="H29" s="45" t="n">
        <f aca="false">H11-H20</f>
        <v>-1.45125689113762</v>
      </c>
      <c r="I29" s="45" t="n">
        <f aca="false">I11-I20</f>
        <v>-1.4637406447032</v>
      </c>
      <c r="J29" s="45" t="n">
        <f aca="false">J11-J20</f>
        <v>-1.32681110693433</v>
      </c>
      <c r="K29" s="45" t="n">
        <f aca="false">K11-K20</f>
        <v>-1.97138303322747</v>
      </c>
      <c r="L29" s="45" t="n">
        <f aca="false">L11-L20</f>
        <v>-3.0908551803267</v>
      </c>
      <c r="M29" s="45" t="n">
        <f aca="false">M11-M20</f>
        <v>-3.16803478461606</v>
      </c>
      <c r="N29" s="45" t="n">
        <f aca="false">SUM(B29:M29)</f>
        <v>-26.6423601520088</v>
      </c>
    </row>
    <row r="31" customFormat="false" ht="15" hidden="false" customHeight="true" outlineLevel="0" collapsed="false">
      <c r="A31" s="46" t="s">
        <v>93</v>
      </c>
    </row>
    <row r="32" customFormat="false" ht="15.75" hidden="false" customHeight="true" outlineLevel="0" collapsed="false">
      <c r="A32" s="39" t="s">
        <v>3</v>
      </c>
      <c r="B32" s="40" t="s">
        <v>78</v>
      </c>
      <c r="C32" s="40" t="s">
        <v>79</v>
      </c>
      <c r="D32" s="40" t="s">
        <v>80</v>
      </c>
      <c r="E32" s="40" t="s">
        <v>81</v>
      </c>
      <c r="F32" s="40" t="s">
        <v>82</v>
      </c>
      <c r="G32" s="40" t="s">
        <v>83</v>
      </c>
      <c r="H32" s="40" t="s">
        <v>84</v>
      </c>
      <c r="I32" s="40" t="s">
        <v>85</v>
      </c>
      <c r="J32" s="40" t="s">
        <v>86</v>
      </c>
      <c r="K32" s="40" t="s">
        <v>87</v>
      </c>
      <c r="L32" s="40" t="s">
        <v>88</v>
      </c>
      <c r="M32" s="40" t="s">
        <v>89</v>
      </c>
      <c r="N32" s="39" t="s">
        <v>59</v>
      </c>
    </row>
    <row r="33" customFormat="false" ht="15" hidden="false" customHeight="true" outlineLevel="0" collapsed="false">
      <c r="A33" s="36" t="s">
        <v>14</v>
      </c>
      <c r="B33" s="47" t="n">
        <f aca="false">IF(B15=0,0,B24/B15)</f>
        <v>-0.331231981210916</v>
      </c>
      <c r="C33" s="47" t="n">
        <f aca="false">IF(C15=0,0,C24/C15)</f>
        <v>-0.3362129889996</v>
      </c>
      <c r="D33" s="47" t="n">
        <f aca="false">IF(D15=0,0,D24/D15)</f>
        <v>-0.339100486311862</v>
      </c>
      <c r="E33" s="47" t="n">
        <f aca="false">IF(E15=0,0,E24/E15)</f>
        <v>-0.332460168923147</v>
      </c>
      <c r="F33" s="47" t="n">
        <f aca="false">IF(F15=0,0,F24/F15)</f>
        <v>-0.332771525994503</v>
      </c>
      <c r="G33" s="47" t="n">
        <f aca="false">IF(G15=0,0,G24/G15)</f>
        <v>-0.338224322385145</v>
      </c>
      <c r="H33" s="47" t="n">
        <f aca="false">IF(H15=0,0,H24/H15)</f>
        <v>-0.338897444986613</v>
      </c>
      <c r="I33" s="47" t="n">
        <f aca="false">IF(I15=0,0,I24/I15)</f>
        <v>-0.333798031339127</v>
      </c>
      <c r="J33" s="47" t="n">
        <f aca="false">IF(J15=0,0,J24/J15)</f>
        <v>-0.340746682902734</v>
      </c>
      <c r="K33" s="47" t="n">
        <f aca="false">IF(K15=0,0,K24/K15)</f>
        <v>-0.336172986928785</v>
      </c>
      <c r="L33" s="47" t="n">
        <f aca="false">IF(L15=0,0,L24/L15)</f>
        <v>-0.336711135542524</v>
      </c>
      <c r="M33" s="47" t="n">
        <f aca="false">IF(M15=0,0,M24/M15)</f>
        <v>-0.334231972270682</v>
      </c>
      <c r="N33" s="47" t="n">
        <f aca="false">IF(N15=0,0,N24/N15)</f>
        <v>-0.335413459453875</v>
      </c>
    </row>
    <row r="34" customFormat="false" ht="15" hidden="false" customHeight="true" outlineLevel="0" collapsed="false">
      <c r="A34" s="36" t="s">
        <v>15</v>
      </c>
      <c r="B34" s="47" t="n">
        <f aca="false">IF(B16=0,0,B25/B16)</f>
        <v>0.0699022374642421</v>
      </c>
      <c r="C34" s="47" t="n">
        <f aca="false">IF(C16=0,0,C25/C16)</f>
        <v>0.0609875428621479</v>
      </c>
      <c r="D34" s="47" t="n">
        <f aca="false">IF(D16=0,0,D25/D16)</f>
        <v>0.0695324449342281</v>
      </c>
      <c r="E34" s="47" t="n">
        <f aca="false">IF(E16=0,0,E25/E16)</f>
        <v>0.0590308082585918</v>
      </c>
      <c r="F34" s="47" t="n">
        <f aca="false">IF(F16=0,0,F25/F16)</f>
        <v>0.0663688747249284</v>
      </c>
      <c r="G34" s="47" t="n">
        <f aca="false">IF(G16=0,0,G25/G16)</f>
        <v>0.0710487952814881</v>
      </c>
      <c r="H34" s="47" t="n">
        <f aca="false">IF(H16=0,0,H25/H16)</f>
        <v>0.0598774910282263</v>
      </c>
      <c r="I34" s="47" t="n">
        <f aca="false">IF(I16=0,0,I25/I16)</f>
        <v>0.0690813118458391</v>
      </c>
      <c r="J34" s="47" t="n">
        <f aca="false">IF(J16=0,0,J25/J16)</f>
        <v>0.0719903766399776</v>
      </c>
      <c r="K34" s="47" t="n">
        <f aca="false">IF(K16=0,0,K25/K16)</f>
        <v>0.0635214981920315</v>
      </c>
      <c r="L34" s="47" t="n">
        <f aca="false">IF(L16=0,0,L25/L16)</f>
        <v>0.0631058165433342</v>
      </c>
      <c r="M34" s="47" t="n">
        <f aca="false">IF(M16=0,0,M25/M16)</f>
        <v>0.0648955569752254</v>
      </c>
      <c r="N34" s="47" t="n">
        <f aca="false">IF(N16=0,0,N25/N16)</f>
        <v>0.0657837100669479</v>
      </c>
    </row>
    <row r="35" customFormat="false" ht="15" hidden="false" customHeight="true" outlineLevel="0" collapsed="false">
      <c r="A35" s="36" t="s">
        <v>16</v>
      </c>
      <c r="B35" s="47" t="n">
        <f aca="false">IF(B17=0,0,B26/B17)</f>
        <v>-0.107682694873881</v>
      </c>
      <c r="C35" s="47" t="n">
        <f aca="false">IF(C17=0,0,C26/C17)</f>
        <v>-0.0943829016979731</v>
      </c>
      <c r="D35" s="47" t="n">
        <f aca="false">IF(D17=0,0,D26/D17)</f>
        <v>-0.100422221677345</v>
      </c>
      <c r="E35" s="47" t="n">
        <f aca="false">IF(E17=0,0,E26/E17)</f>
        <v>-0.0906842180044127</v>
      </c>
      <c r="F35" s="47" t="n">
        <f aca="false">IF(F17=0,0,F26/F17)</f>
        <v>-0.0914914736130327</v>
      </c>
      <c r="G35" s="47" t="n">
        <f aca="false">IF(G17=0,0,G26/G17)</f>
        <v>-0.0973152462180777</v>
      </c>
      <c r="H35" s="47" t="n">
        <f aca="false">IF(H17=0,0,H26/H17)</f>
        <v>-0.0981844660098751</v>
      </c>
      <c r="I35" s="47" t="n">
        <f aca="false">IF(I17=0,0,I26/I17)</f>
        <v>-0.0915327769648416</v>
      </c>
      <c r="J35" s="47" t="n">
        <f aca="false">IF(J17=0,0,J26/J17)</f>
        <v>-0.0901211741765516</v>
      </c>
      <c r="K35" s="47" t="n">
        <f aca="false">IF(K17=0,0,K26/K17)</f>
        <v>-0.092367903654251</v>
      </c>
      <c r="L35" s="47" t="n">
        <f aca="false">IF(L17=0,0,L26/L17)</f>
        <v>-0.0923679036542511</v>
      </c>
      <c r="M35" s="47" t="n">
        <f aca="false">IF(M17=0,0,M26/M17)</f>
        <v>-0.0930335670912483</v>
      </c>
      <c r="N35" s="47" t="n">
        <f aca="false">IF(N17=0,0,N26/N17)</f>
        <v>-0.0953712710344167</v>
      </c>
    </row>
    <row r="36" customFormat="false" ht="15" hidden="false" customHeight="true" outlineLevel="0" collapsed="false">
      <c r="A36" s="42" t="s">
        <v>17</v>
      </c>
      <c r="B36" s="48" t="n">
        <f aca="false">IF(B18=0,0,B27/B18)</f>
        <v>-0.123350263892176</v>
      </c>
      <c r="C36" s="48" t="n">
        <f aca="false">IF(C18=0,0,C27/C18)</f>
        <v>-0.138300611668115</v>
      </c>
      <c r="D36" s="48" t="n">
        <f aca="false">IF(D18=0,0,D27/D18)</f>
        <v>-0.147358452516545</v>
      </c>
      <c r="E36" s="48" t="n">
        <f aca="false">IF(E18=0,0,E27/E18)</f>
        <v>-0.124742276419434</v>
      </c>
      <c r="F36" s="48" t="n">
        <f aca="false">IF(F18=0,0,F27/F18)</f>
        <v>-0.110692375458365</v>
      </c>
      <c r="G36" s="48" t="n">
        <f aca="false">IF(G18=0,0,G27/G18)</f>
        <v>-0.129852160618367</v>
      </c>
      <c r="H36" s="48" t="n">
        <f aca="false">IF(H18=0,0,H27/H18)</f>
        <v>-0.124753689672859</v>
      </c>
      <c r="I36" s="48" t="n">
        <f aca="false">IF(I18=0,0,I27/I18)</f>
        <v>-0.11404308119141</v>
      </c>
      <c r="J36" s="48" t="n">
        <f aca="false">IF(J18=0,0,J27/J18)</f>
        <v>-0.0956583689417355</v>
      </c>
      <c r="K36" s="48" t="n">
        <f aca="false">IF(K18=0,0,K27/K18)</f>
        <v>-0.0876861199691813</v>
      </c>
      <c r="L36" s="48" t="n">
        <f aca="false">IF(L18=0,0,L27/L18)</f>
        <v>-0.123216952879985</v>
      </c>
      <c r="M36" s="48" t="n">
        <f aca="false">IF(M18=0,0,M27/M18)</f>
        <v>-0.118271629562496</v>
      </c>
      <c r="N36" s="48" t="n">
        <f aca="false">IF(N18=0,0,N27/N18)</f>
        <v>-0.119849112123337</v>
      </c>
    </row>
    <row r="37" customFormat="false" ht="15" hidden="false" customHeight="true" outlineLevel="0" collapsed="false">
      <c r="A37" s="36" t="s">
        <v>45</v>
      </c>
      <c r="B37" s="47" t="n">
        <f aca="false">IF(B19=0,0,B28/B19)</f>
        <v>-0.190736228707316</v>
      </c>
      <c r="C37" s="47" t="n">
        <f aca="false">IF(C19=0,0,C28/C19)</f>
        <v>-0.194489657086943</v>
      </c>
      <c r="D37" s="47" t="n">
        <f aca="false">IF(D19=0,0,D28/D19)</f>
        <v>-0.18720279691585</v>
      </c>
      <c r="E37" s="47" t="n">
        <f aca="false">IF(E19=0,0,E28/E19)</f>
        <v>-0.19520703058787</v>
      </c>
      <c r="F37" s="47" t="n">
        <f aca="false">IF(F19=0,0,F28/F19)</f>
        <v>-0.196245544280427</v>
      </c>
      <c r="G37" s="47" t="n">
        <f aca="false">IF(G19=0,0,G28/G19)</f>
        <v>-0.197529318758313</v>
      </c>
      <c r="H37" s="47" t="n">
        <f aca="false">IF(H19=0,0,H28/H19)</f>
        <v>-0.188856717626012</v>
      </c>
      <c r="I37" s="47" t="n">
        <f aca="false">IF(I19=0,0,I28/I19)</f>
        <v>-0.18731130297703</v>
      </c>
      <c r="J37" s="47" t="n">
        <f aca="false">IF(J19=0,0,J28/J19)</f>
        <v>-0.18789416478114</v>
      </c>
      <c r="K37" s="47" t="n">
        <f aca="false">IF(K19=0,0,K28/K19)</f>
        <v>-0.191069998763348</v>
      </c>
      <c r="L37" s="47" t="n">
        <f aca="false">IF(L19=0,0,L28/L19)</f>
        <v>-0.194733718710031</v>
      </c>
      <c r="M37" s="47" t="n">
        <f aca="false">IF(M19=0,0,M28/M19)</f>
        <v>-0.194002392599623</v>
      </c>
      <c r="N37" s="47" t="n">
        <f aca="false">IF(N19=0,0,N28/N19)</f>
        <v>-0.192488083966627</v>
      </c>
    </row>
    <row r="38" customFormat="false" ht="15.75" hidden="false" customHeight="true" outlineLevel="0" collapsed="false">
      <c r="A38" s="44" t="s">
        <v>90</v>
      </c>
      <c r="B38" s="49" t="n">
        <f aca="false">IF(B20=0,0,B29/B20)</f>
        <v>-0.135801833222795</v>
      </c>
      <c r="C38" s="49" t="n">
        <f aca="false">IF(C20=0,0,C29/C20)</f>
        <v>-0.149015628202318</v>
      </c>
      <c r="D38" s="49" t="n">
        <f aca="false">IF(D20=0,0,D29/D20)</f>
        <v>-0.154929344170048</v>
      </c>
      <c r="E38" s="49" t="n">
        <f aca="false">IF(E20=0,0,E29/E20)</f>
        <v>-0.138220872808303</v>
      </c>
      <c r="F38" s="49" t="n">
        <f aca="false">IF(F20=0,0,F29/F20)</f>
        <v>-0.126718351436822</v>
      </c>
      <c r="G38" s="49" t="n">
        <f aca="false">IF(G20=0,0,G29/G20)</f>
        <v>-0.14240505792463</v>
      </c>
      <c r="H38" s="49" t="n">
        <f aca="false">IF(H20=0,0,H29/H20)</f>
        <v>-0.1365791544081</v>
      </c>
      <c r="I38" s="49" t="n">
        <f aca="false">IF(I20=0,0,I29/I20)</f>
        <v>-0.127468446187625</v>
      </c>
      <c r="J38" s="49" t="n">
        <f aca="false">IF(J20=0,0,J29/J20)</f>
        <v>-0.112739987453113</v>
      </c>
      <c r="K38" s="49" t="n">
        <f aca="false">IF(K20=0,0,K29/K20)</f>
        <v>-0.106041224416285</v>
      </c>
      <c r="L38" s="49" t="n">
        <f aca="false">IF(L20=0,0,L29/L20)</f>
        <v>-0.136775636761686</v>
      </c>
      <c r="M38" s="49" t="n">
        <f aca="false">IF(M20=0,0,M29/M20)</f>
        <v>-0.132145737171696</v>
      </c>
      <c r="N38" s="49" t="n">
        <f aca="false">IF(N20=0,0,N29/N20)</f>
        <v>-0.133356919658659</v>
      </c>
    </row>
    <row r="40" customFormat="false" ht="16.5" hidden="false" customHeight="true" outlineLevel="0" collapsed="false">
      <c r="A40" s="38" t="s">
        <v>94</v>
      </c>
    </row>
    <row r="41" customFormat="false" ht="15.75" hidden="false" customHeight="true" outlineLevel="0" collapsed="false">
      <c r="A41" s="39" t="s">
        <v>3</v>
      </c>
      <c r="B41" s="40" t="s">
        <v>78</v>
      </c>
      <c r="C41" s="40" t="s">
        <v>79</v>
      </c>
      <c r="D41" s="40" t="s">
        <v>80</v>
      </c>
      <c r="E41" s="40" t="s">
        <v>81</v>
      </c>
      <c r="F41" s="40" t="s">
        <v>82</v>
      </c>
      <c r="G41" s="40" t="s">
        <v>83</v>
      </c>
      <c r="H41" s="40" t="s">
        <v>84</v>
      </c>
      <c r="I41" s="40" t="s">
        <v>85</v>
      </c>
      <c r="J41" s="40" t="s">
        <v>86</v>
      </c>
      <c r="K41" s="40" t="s">
        <v>87</v>
      </c>
      <c r="L41" s="40" t="s">
        <v>88</v>
      </c>
      <c r="M41" s="40" t="s">
        <v>89</v>
      </c>
      <c r="N41" s="39" t="s">
        <v>59</v>
      </c>
    </row>
    <row r="42" customFormat="false" ht="15" hidden="false" customHeight="true" outlineLevel="0" collapsed="false">
      <c r="A42" s="36" t="s">
        <v>14</v>
      </c>
      <c r="B42" s="41" t="n">
        <f aca="false">가정!$I$11*월별비중!B$24</f>
        <v>3.6</v>
      </c>
      <c r="C42" s="41" t="n">
        <f aca="false">가정!$I$11*월별비중!C$24</f>
        <v>2.825</v>
      </c>
      <c r="D42" s="41" t="n">
        <f aca="false">가정!$I$11*월별비중!D$24</f>
        <v>1.75</v>
      </c>
      <c r="E42" s="41" t="n">
        <f aca="false">가정!$I$11*월별비중!E$24</f>
        <v>1.575</v>
      </c>
      <c r="F42" s="41" t="n">
        <f aca="false">가정!$I$11*월별비중!F$24</f>
        <v>1.625</v>
      </c>
      <c r="G42" s="41" t="n">
        <f aca="false">가정!$I$11*월별비중!G$24</f>
        <v>1.85</v>
      </c>
      <c r="H42" s="41" t="n">
        <f aca="false">가정!$I$11*월별비중!H$24</f>
        <v>1.375</v>
      </c>
      <c r="I42" s="41" t="n">
        <f aca="false">가정!$I$11*월별비중!I$24</f>
        <v>1.475</v>
      </c>
      <c r="J42" s="41" t="n">
        <f aca="false">가정!$I$11*월별비중!J$24</f>
        <v>1.15</v>
      </c>
      <c r="K42" s="41" t="n">
        <f aca="false">가정!$I$11*월별비중!K$24</f>
        <v>1.9</v>
      </c>
      <c r="L42" s="41" t="n">
        <f aca="false">가정!$I$11*월별비중!L$24</f>
        <v>2.725</v>
      </c>
      <c r="M42" s="41" t="n">
        <f aca="false">가정!$I$11*월별비중!M$24</f>
        <v>3.15</v>
      </c>
      <c r="N42" s="41" t="n">
        <f aca="false">SUM(B42:M42)</f>
        <v>25</v>
      </c>
    </row>
    <row r="43" customFormat="false" ht="15" hidden="false" customHeight="true" outlineLevel="0" collapsed="false">
      <c r="A43" s="36" t="s">
        <v>15</v>
      </c>
      <c r="B43" s="41" t="n">
        <f aca="false">가정!$I$12*월별비중!B$25</f>
        <v>7.1</v>
      </c>
      <c r="C43" s="41" t="n">
        <f aca="false">가정!$I$12*월별비중!C$25</f>
        <v>4.05</v>
      </c>
      <c r="D43" s="41" t="n">
        <f aca="false">가정!$I$12*월별비중!D$25</f>
        <v>2.3</v>
      </c>
      <c r="E43" s="41" t="n">
        <f aca="false">가정!$I$12*월별비중!E$25</f>
        <v>2.65</v>
      </c>
      <c r="F43" s="41" t="n">
        <f aca="false">가정!$I$12*월별비중!F$25</f>
        <v>3.55</v>
      </c>
      <c r="G43" s="41" t="n">
        <f aca="false">가정!$I$12*월별비중!G$25</f>
        <v>3.25</v>
      </c>
      <c r="H43" s="41" t="n">
        <f aca="false">가정!$I$12*월별비중!H$25</f>
        <v>2.75</v>
      </c>
      <c r="I43" s="41" t="n">
        <f aca="false">가정!$I$12*월별비중!I$25</f>
        <v>3.15</v>
      </c>
      <c r="J43" s="41" t="n">
        <f aca="false">가정!$I$12*월별비중!J$25</f>
        <v>3.3</v>
      </c>
      <c r="K43" s="41" t="n">
        <f aca="false">가정!$I$12*월별비중!K$25</f>
        <v>6.45</v>
      </c>
      <c r="L43" s="41" t="n">
        <f aca="false">가정!$I$12*월별비중!L$25</f>
        <v>4.95</v>
      </c>
      <c r="M43" s="41" t="n">
        <f aca="false">가정!$I$12*월별비중!M$25</f>
        <v>6.5</v>
      </c>
      <c r="N43" s="41" t="n">
        <f aca="false">SUM(B43:M43)</f>
        <v>50</v>
      </c>
    </row>
    <row r="44" customFormat="false" ht="15" hidden="false" customHeight="true" outlineLevel="0" collapsed="false">
      <c r="A44" s="36" t="s">
        <v>16</v>
      </c>
      <c r="B44" s="41" t="n">
        <f aca="false">가정!$I$13*월별비중!B$26</f>
        <v>5.633</v>
      </c>
      <c r="C44" s="41" t="n">
        <f aca="false">가정!$I$13*월별비중!C$26</f>
        <v>4.89066666666667</v>
      </c>
      <c r="D44" s="41" t="n">
        <f aca="false">가정!$I$13*월별비중!D$26</f>
        <v>2.62</v>
      </c>
      <c r="E44" s="41" t="n">
        <f aca="false">가정!$I$13*월별비중!E$26</f>
        <v>3.31866666666667</v>
      </c>
      <c r="F44" s="41" t="n">
        <f aca="false">가정!$I$13*월별비중!F$26</f>
        <v>3.406</v>
      </c>
      <c r="G44" s="41" t="n">
        <f aca="false">가정!$I$13*월별비중!G$26</f>
        <v>2.70733333333333</v>
      </c>
      <c r="H44" s="41" t="n">
        <f aca="false">가정!$I$13*월별비중!H$26</f>
        <v>2.18333333333333</v>
      </c>
      <c r="I44" s="41" t="n">
        <f aca="false">가정!$I$13*월별비중!I$26</f>
        <v>2.31433333333333</v>
      </c>
      <c r="J44" s="41" t="n">
        <f aca="false">가정!$I$13*월별비중!J$26</f>
        <v>2.79466666666667</v>
      </c>
      <c r="K44" s="41" t="n">
        <f aca="false">가정!$I$13*월별비중!K$26</f>
        <v>3.537</v>
      </c>
      <c r="L44" s="41" t="n">
        <f aca="false">가정!$I$13*월별비중!L$26</f>
        <v>5.502</v>
      </c>
      <c r="M44" s="41" t="n">
        <f aca="false">가정!$I$13*월별비중!M$26</f>
        <v>4.75966666666667</v>
      </c>
      <c r="N44" s="41" t="n">
        <f aca="false">SUM(B44:M44)</f>
        <v>43.6666666666667</v>
      </c>
    </row>
    <row r="45" customFormat="false" ht="15" hidden="false" customHeight="true" outlineLevel="0" collapsed="false">
      <c r="A45" s="42" t="s">
        <v>17</v>
      </c>
      <c r="B45" s="43" t="n">
        <f aca="false">SUM(B42:B44)</f>
        <v>16.333</v>
      </c>
      <c r="C45" s="43" t="n">
        <f aca="false">SUM(C42:C44)</f>
        <v>11.7656666666667</v>
      </c>
      <c r="D45" s="43" t="n">
        <f aca="false">SUM(D42:D44)</f>
        <v>6.67</v>
      </c>
      <c r="E45" s="43" t="n">
        <f aca="false">SUM(E42:E44)</f>
        <v>7.54366666666667</v>
      </c>
      <c r="F45" s="43" t="n">
        <f aca="false">SUM(F42:F44)</f>
        <v>8.581</v>
      </c>
      <c r="G45" s="43" t="n">
        <f aca="false">SUM(G42:G44)</f>
        <v>7.80733333333333</v>
      </c>
      <c r="H45" s="43" t="n">
        <f aca="false">SUM(H42:H44)</f>
        <v>6.30833333333333</v>
      </c>
      <c r="I45" s="43" t="n">
        <f aca="false">SUM(I42:I44)</f>
        <v>6.93933333333333</v>
      </c>
      <c r="J45" s="43" t="n">
        <f aca="false">SUM(J42:J44)</f>
        <v>7.24466666666667</v>
      </c>
      <c r="K45" s="43" t="n">
        <f aca="false">SUM(K42:K44)</f>
        <v>11.887</v>
      </c>
      <c r="L45" s="43" t="n">
        <f aca="false">SUM(L42:L44)</f>
        <v>13.177</v>
      </c>
      <c r="M45" s="43" t="n">
        <f aca="false">SUM(M42:M44)</f>
        <v>14.4096666666667</v>
      </c>
      <c r="N45" s="43" t="n">
        <f aca="false">SUM(B45:M45)</f>
        <v>118.666666666667</v>
      </c>
    </row>
    <row r="46" customFormat="false" ht="15" hidden="false" customHeight="true" outlineLevel="0" collapsed="false">
      <c r="A46" s="36" t="s">
        <v>45</v>
      </c>
      <c r="B46" s="41" t="n">
        <f aca="false">가정!$I$15*월별비중!B$27</f>
        <v>3.11363636363636</v>
      </c>
      <c r="C46" s="41" t="n">
        <f aca="false">가정!$I$15*월별비중!C$27</f>
        <v>2.40909090909091</v>
      </c>
      <c r="D46" s="41" t="n">
        <f aca="false">가정!$I$15*월별비중!D$27</f>
        <v>1.38636363636364</v>
      </c>
      <c r="E46" s="41" t="n">
        <f aca="false">가정!$I$15*월별비중!E$27</f>
        <v>1.52272727272727</v>
      </c>
      <c r="F46" s="41" t="n">
        <f aca="false">가정!$I$15*월별비중!F$27</f>
        <v>1.63636363636364</v>
      </c>
      <c r="G46" s="41" t="n">
        <f aca="false">가정!$I$15*월별비중!G$27</f>
        <v>1.5</v>
      </c>
      <c r="H46" s="41" t="n">
        <f aca="false">가정!$I$15*월별비중!H$27</f>
        <v>1.20454545454545</v>
      </c>
      <c r="I46" s="41" t="n">
        <f aca="false">가정!$I$15*월별비중!I$27</f>
        <v>1.29545454545455</v>
      </c>
      <c r="J46" s="41" t="n">
        <f aca="false">가정!$I$15*월별비중!J$27</f>
        <v>1.34090909090909</v>
      </c>
      <c r="K46" s="41" t="n">
        <f aca="false">가정!$I$15*월별비중!K$27</f>
        <v>2.02272727272727</v>
      </c>
      <c r="L46" s="41" t="n">
        <f aca="false">가정!$I$15*월별비중!L$27</f>
        <v>2.61363636363636</v>
      </c>
      <c r="M46" s="41" t="n">
        <f aca="false">가정!$I$15*월별비중!M$27</f>
        <v>2.68181818181818</v>
      </c>
      <c r="N46" s="41" t="n">
        <f aca="false">SUM(B46:M46)</f>
        <v>22.7272727272727</v>
      </c>
    </row>
    <row r="47" customFormat="false" ht="15.75" hidden="false" customHeight="true" outlineLevel="0" collapsed="false">
      <c r="A47" s="44" t="s">
        <v>90</v>
      </c>
      <c r="B47" s="45" t="n">
        <f aca="false">B45+B46</f>
        <v>19.4466363636364</v>
      </c>
      <c r="C47" s="45" t="n">
        <f aca="false">C45+C46</f>
        <v>14.1747575757576</v>
      </c>
      <c r="D47" s="45" t="n">
        <f aca="false">D45+D46</f>
        <v>8.05636363636364</v>
      </c>
      <c r="E47" s="45" t="n">
        <f aca="false">E45+E46</f>
        <v>9.06639393939394</v>
      </c>
      <c r="F47" s="45" t="n">
        <f aca="false">F45+F46</f>
        <v>10.2173636363636</v>
      </c>
      <c r="G47" s="45" t="n">
        <f aca="false">G45+G46</f>
        <v>9.30733333333333</v>
      </c>
      <c r="H47" s="45" t="n">
        <f aca="false">H45+H46</f>
        <v>7.51287878787879</v>
      </c>
      <c r="I47" s="45" t="n">
        <f aca="false">I45+I46</f>
        <v>8.23478787878788</v>
      </c>
      <c r="J47" s="45" t="n">
        <f aca="false">J45+J46</f>
        <v>8.58557575757576</v>
      </c>
      <c r="K47" s="45" t="n">
        <f aca="false">K45+K46</f>
        <v>13.9097272727273</v>
      </c>
      <c r="L47" s="45" t="n">
        <f aca="false">L45+L46</f>
        <v>15.7906363636364</v>
      </c>
      <c r="M47" s="45" t="n">
        <f aca="false">M45+M46</f>
        <v>17.0914848484848</v>
      </c>
      <c r="N47" s="45" t="n">
        <f aca="false">SUM(B47:M47)</f>
        <v>141.393939393939</v>
      </c>
    </row>
    <row r="49" customFormat="false" ht="16.5" hidden="false" customHeight="true" outlineLevel="0" collapsed="false">
      <c r="A49" s="38" t="s">
        <v>95</v>
      </c>
    </row>
    <row r="50" customFormat="false" ht="15.75" hidden="false" customHeight="true" outlineLevel="0" collapsed="false">
      <c r="A50" s="39" t="s">
        <v>3</v>
      </c>
      <c r="B50" s="40" t="s">
        <v>78</v>
      </c>
      <c r="C50" s="40" t="s">
        <v>79</v>
      </c>
      <c r="D50" s="40" t="s">
        <v>80</v>
      </c>
      <c r="E50" s="40" t="s">
        <v>81</v>
      </c>
      <c r="F50" s="40" t="s">
        <v>82</v>
      </c>
      <c r="G50" s="40" t="s">
        <v>83</v>
      </c>
      <c r="H50" s="40" t="s">
        <v>84</v>
      </c>
      <c r="I50" s="40" t="s">
        <v>85</v>
      </c>
      <c r="J50" s="40" t="s">
        <v>86</v>
      </c>
      <c r="K50" s="40" t="s">
        <v>87</v>
      </c>
      <c r="L50" s="40" t="s">
        <v>88</v>
      </c>
      <c r="M50" s="40" t="s">
        <v>89</v>
      </c>
      <c r="N50" s="39" t="s">
        <v>59</v>
      </c>
    </row>
    <row r="51" customFormat="false" ht="15" hidden="false" customHeight="true" outlineLevel="0" collapsed="false">
      <c r="A51" s="36" t="s">
        <v>14</v>
      </c>
      <c r="B51" s="41" t="n">
        <f aca="false">가정!$C$21*월별비중!B$17</f>
        <v>4.67747189009846</v>
      </c>
      <c r="C51" s="41" t="n">
        <f aca="false">가정!$C$21*월별비중!C$17</f>
        <v>3.69805941290293</v>
      </c>
      <c r="D51" s="41" t="n">
        <f aca="false">가정!$C$21*월별비중!D$17</f>
        <v>2.30084200991964</v>
      </c>
      <c r="E51" s="41" t="n">
        <f aca="false">가정!$C$21*월별비중!E$17</f>
        <v>2.05015905444698</v>
      </c>
      <c r="F51" s="41" t="n">
        <f aca="false">가정!$C$21*월별비중!F$17</f>
        <v>2.11623053108318</v>
      </c>
      <c r="G51" s="41" t="n">
        <f aca="false">가정!$C$21*월별비중!G$17</f>
        <v>2.42909840574286</v>
      </c>
      <c r="H51" s="41" t="n">
        <f aca="false">가정!$C$21*월별비중!H$17</f>
        <v>1.80724921387269</v>
      </c>
      <c r="I51" s="41" t="n">
        <f aca="false">가정!$C$21*월별비중!I$17</f>
        <v>1.92384593734835</v>
      </c>
      <c r="J51" s="41" t="n">
        <f aca="false">가정!$C$21*월별비중!J$17</f>
        <v>1.51575740518355</v>
      </c>
      <c r="K51" s="41" t="n">
        <f aca="false">가정!$C$21*월별비중!K$17</f>
        <v>2.48704052404808</v>
      </c>
      <c r="L51" s="41" t="n">
        <f aca="false">가정!$C$21*월별비중!L$17</f>
        <v>3.56983367737514</v>
      </c>
      <c r="M51" s="41" t="n">
        <f aca="false">가정!$C$21*월별비중!M$17</f>
        <v>4.11123025403867</v>
      </c>
      <c r="N51" s="41" t="n">
        <f aca="false">SUM(B51:M51)</f>
        <v>32.6868183160605</v>
      </c>
    </row>
    <row r="52" customFormat="false" ht="15" hidden="false" customHeight="true" outlineLevel="0" collapsed="false">
      <c r="A52" s="36" t="s">
        <v>15</v>
      </c>
      <c r="B52" s="41" t="n">
        <f aca="false">가정!$C$22*월별비중!B$18</f>
        <v>6.01569826033296</v>
      </c>
      <c r="C52" s="41" t="n">
        <f aca="false">가정!$C$22*월별비중!C$18</f>
        <v>3.46032212721604</v>
      </c>
      <c r="D52" s="41" t="n">
        <f aca="false">가정!$C$22*월별비중!D$18</f>
        <v>1.94942110623116</v>
      </c>
      <c r="E52" s="41" t="n">
        <f aca="false">가정!$C$22*월별비중!E$18</f>
        <v>2.26834480459208</v>
      </c>
      <c r="F52" s="41" t="n">
        <f aca="false">가정!$C$22*월별비중!F$18</f>
        <v>3.01781549574026</v>
      </c>
      <c r="G52" s="41" t="n">
        <f aca="false">가정!$C$22*월별비중!G$18</f>
        <v>2.75071689836298</v>
      </c>
      <c r="H52" s="41" t="n">
        <f aca="false">가정!$C$22*월별비중!H$18</f>
        <v>2.35206227541183</v>
      </c>
      <c r="I52" s="41" t="n">
        <f aca="false">가정!$C$22*월별비중!I$18</f>
        <v>2.67098597377275</v>
      </c>
      <c r="J52" s="41" t="n">
        <f aca="false">가정!$C$22*월별비중!J$18</f>
        <v>2.7905823606581</v>
      </c>
      <c r="K52" s="41" t="n">
        <f aca="false">가정!$C$22*월별비중!K$18</f>
        <v>5.49775311035022</v>
      </c>
      <c r="L52" s="41" t="n">
        <f aca="false">가정!$C$22*월별비중!L$18</f>
        <v>4.22085561375275</v>
      </c>
      <c r="M52" s="41" t="n">
        <f aca="false">가정!$C$22*월별비중!M$18</f>
        <v>5.5332224852557</v>
      </c>
      <c r="N52" s="41" t="n">
        <f aca="false">SUM(B52:M52)</f>
        <v>42.5277805116768</v>
      </c>
    </row>
    <row r="53" customFormat="false" ht="15" hidden="false" customHeight="true" outlineLevel="0" collapsed="false">
      <c r="A53" s="36" t="s">
        <v>16</v>
      </c>
      <c r="B53" s="41" t="n">
        <f aca="false">가정!$C$23*월별비중!B$19</f>
        <v>5.59513159771589</v>
      </c>
      <c r="C53" s="41" t="n">
        <f aca="false">가정!$C$23*월별비중!C$19</f>
        <v>4.78644772340377</v>
      </c>
      <c r="D53" s="41" t="n">
        <f aca="false">가정!$C$23*월별비중!D$19</f>
        <v>2.58138298097253</v>
      </c>
      <c r="E53" s="41" t="n">
        <f aca="false">가정!$C$23*월별비중!E$19</f>
        <v>3.23473549724845</v>
      </c>
      <c r="F53" s="41" t="n">
        <f aca="false">가정!$C$23*월별비중!F$19</f>
        <v>3.32280997860918</v>
      </c>
      <c r="G53" s="41" t="n">
        <f aca="false">가정!$C$23*월별비중!G$19</f>
        <v>2.65824798288734</v>
      </c>
      <c r="H53" s="41" t="n">
        <f aca="false">가정!$C$23*월별비중!H$19</f>
        <v>2.14581463678858</v>
      </c>
      <c r="I53" s="41" t="n">
        <f aca="false">가정!$C$23*월별비중!I$19</f>
        <v>2.25790943124768</v>
      </c>
      <c r="J53" s="41" t="n">
        <f aca="false">가정!$C$23*월별비중!J$19</f>
        <v>2.72230215114969</v>
      </c>
      <c r="K53" s="41" t="n">
        <f aca="false">가정!$C$23*월별비중!K$19</f>
        <v>3.45394234966223</v>
      </c>
      <c r="L53" s="41" t="n">
        <f aca="false">가정!$C$23*월별비중!L$19</f>
        <v>5.37279921058569</v>
      </c>
      <c r="M53" s="41" t="n">
        <f aca="false">가정!$C$23*월별비중!M$19</f>
        <v>4.65130903087847</v>
      </c>
      <c r="N53" s="41" t="n">
        <f aca="false">SUM(B53:M53)</f>
        <v>42.7828325711495</v>
      </c>
    </row>
    <row r="54" customFormat="false" ht="15" hidden="false" customHeight="true" outlineLevel="0" collapsed="false">
      <c r="A54" s="42" t="s">
        <v>17</v>
      </c>
      <c r="B54" s="43" t="n">
        <f aca="false">SUM(B51:B53)</f>
        <v>16.2883017481473</v>
      </c>
      <c r="C54" s="43" t="n">
        <f aca="false">SUM(C51:C53)</f>
        <v>11.9448292635228</v>
      </c>
      <c r="D54" s="43" t="n">
        <f aca="false">SUM(D51:D53)</f>
        <v>6.83164609712333</v>
      </c>
      <c r="E54" s="43" t="n">
        <f aca="false">SUM(E51:E53)</f>
        <v>7.55323935628751</v>
      </c>
      <c r="F54" s="43" t="n">
        <f aca="false">SUM(F51:F53)</f>
        <v>8.45685600543262</v>
      </c>
      <c r="G54" s="43" t="n">
        <f aca="false">SUM(G51:G53)</f>
        <v>7.83806328699319</v>
      </c>
      <c r="H54" s="43" t="n">
        <f aca="false">SUM(H51:H53)</f>
        <v>6.30512612607309</v>
      </c>
      <c r="I54" s="43" t="n">
        <f aca="false">SUM(I51:I53)</f>
        <v>6.85274134236878</v>
      </c>
      <c r="J54" s="43" t="n">
        <f aca="false">SUM(J51:J53)</f>
        <v>7.02864191699133</v>
      </c>
      <c r="K54" s="43" t="n">
        <f aca="false">SUM(K51:K53)</f>
        <v>11.4387359840605</v>
      </c>
      <c r="L54" s="43" t="n">
        <f aca="false">SUM(L51:L53)</f>
        <v>13.1634885017136</v>
      </c>
      <c r="M54" s="43" t="n">
        <f aca="false">SUM(M51:M53)</f>
        <v>14.2957617701728</v>
      </c>
      <c r="N54" s="43" t="n">
        <f aca="false">SUM(B54:M54)</f>
        <v>117.997431398887</v>
      </c>
    </row>
    <row r="55" customFormat="false" ht="15" hidden="false" customHeight="true" outlineLevel="0" collapsed="false">
      <c r="A55" s="36" t="s">
        <v>45</v>
      </c>
      <c r="B55" s="41" t="n">
        <f aca="false">가정!$C$25*월별비중!B$20</f>
        <v>3.18875400937898</v>
      </c>
      <c r="C55" s="41" t="n">
        <f aca="false">가정!$C$25*월별비중!C$20</f>
        <v>2.47870757004358</v>
      </c>
      <c r="D55" s="41" t="n">
        <f aca="false">가정!$C$25*월별비중!D$20</f>
        <v>1.41363791104048</v>
      </c>
      <c r="E55" s="41" t="n">
        <f aca="false">가정!$C$25*월별비중!E$20</f>
        <v>1.56812680299285</v>
      </c>
      <c r="F55" s="41" t="n">
        <f aca="false">가정!$C$25*월별비중!F$20</f>
        <v>1.68732853856613</v>
      </c>
      <c r="G55" s="41" t="n">
        <f aca="false">가정!$C$25*월별비중!G$20</f>
        <v>1.54919223127724</v>
      </c>
      <c r="H55" s="41" t="n">
        <f aca="false">가정!$C$25*월별비중!H$20</f>
        <v>1.2307471615147</v>
      </c>
      <c r="I55" s="41" t="n">
        <f aca="false">가정!$C$25*월별비중!I$20</f>
        <v>1.3211167083392</v>
      </c>
      <c r="J55" s="41" t="n">
        <f aca="false">가정!$C$25*월별비중!J$20</f>
        <v>1.36845313762823</v>
      </c>
      <c r="K55" s="41" t="n">
        <f aca="false">가정!$C$25*월별비중!K$20</f>
        <v>2.07238105320404</v>
      </c>
      <c r="L55" s="41" t="n">
        <f aca="false">가정!$C$25*월별비중!L$20</f>
        <v>2.68997891001834</v>
      </c>
      <c r="M55" s="41" t="n">
        <f aca="false">가정!$C$25*월별비중!M$20</f>
        <v>2.75764783440453</v>
      </c>
      <c r="N55" s="41" t="n">
        <f aca="false">SUM(B55:M55)</f>
        <v>23.3260718684083</v>
      </c>
    </row>
    <row r="56" customFormat="false" ht="15.75" hidden="false" customHeight="true" outlineLevel="0" collapsed="false">
      <c r="A56" s="44" t="s">
        <v>90</v>
      </c>
      <c r="B56" s="45" t="n">
        <f aca="false">B54+B55</f>
        <v>19.4770557575263</v>
      </c>
      <c r="C56" s="45" t="n">
        <f aca="false">C54+C55</f>
        <v>14.4235368335663</v>
      </c>
      <c r="D56" s="45" t="n">
        <f aca="false">D54+D55</f>
        <v>8.24528400816381</v>
      </c>
      <c r="E56" s="45" t="n">
        <f aca="false">E54+E55</f>
        <v>9.12136615928036</v>
      </c>
      <c r="F56" s="45" t="n">
        <f aca="false">F54+F55</f>
        <v>10.1441845439987</v>
      </c>
      <c r="G56" s="45" t="n">
        <f aca="false">G54+G55</f>
        <v>9.38725551827043</v>
      </c>
      <c r="H56" s="45" t="n">
        <f aca="false">H54+H55</f>
        <v>7.53587328758779</v>
      </c>
      <c r="I56" s="45" t="n">
        <f aca="false">I54+I55</f>
        <v>8.17385805070798</v>
      </c>
      <c r="J56" s="45" t="n">
        <f aca="false">J54+J55</f>
        <v>8.39709505461956</v>
      </c>
      <c r="K56" s="45" t="n">
        <f aca="false">K54+K55</f>
        <v>13.5111170372646</v>
      </c>
      <c r="L56" s="45" t="n">
        <f aca="false">L54+L55</f>
        <v>15.8534674117319</v>
      </c>
      <c r="M56" s="45" t="n">
        <f aca="false">M54+M55</f>
        <v>17.0534096045774</v>
      </c>
      <c r="N56" s="45" t="n">
        <f aca="false">SUM(B56:M56)</f>
        <v>141.323503267295</v>
      </c>
    </row>
    <row r="58" customFormat="false" ht="16.5" hidden="false" customHeight="true" outlineLevel="0" collapsed="false">
      <c r="A58" s="46" t="s">
        <v>96</v>
      </c>
    </row>
    <row r="59" customFormat="false" ht="15.75" hidden="false" customHeight="true" outlineLevel="0" collapsed="false">
      <c r="A59" s="39" t="s">
        <v>3</v>
      </c>
      <c r="B59" s="40" t="s">
        <v>78</v>
      </c>
      <c r="C59" s="40" t="s">
        <v>79</v>
      </c>
      <c r="D59" s="40" t="s">
        <v>80</v>
      </c>
      <c r="E59" s="40" t="s">
        <v>81</v>
      </c>
      <c r="F59" s="40" t="s">
        <v>82</v>
      </c>
      <c r="G59" s="40" t="s">
        <v>83</v>
      </c>
      <c r="H59" s="40" t="s">
        <v>84</v>
      </c>
      <c r="I59" s="40" t="s">
        <v>85</v>
      </c>
      <c r="J59" s="40" t="s">
        <v>86</v>
      </c>
      <c r="K59" s="40" t="s">
        <v>87</v>
      </c>
      <c r="L59" s="40" t="s">
        <v>88</v>
      </c>
      <c r="M59" s="40" t="s">
        <v>89</v>
      </c>
      <c r="N59" s="39" t="s">
        <v>59</v>
      </c>
    </row>
    <row r="60" customFormat="false" ht="15" hidden="false" customHeight="true" outlineLevel="0" collapsed="false">
      <c r="A60" s="36" t="s">
        <v>14</v>
      </c>
      <c r="B60" s="41" t="n">
        <f aca="false">B42-B51</f>
        <v>-1.07747189009846</v>
      </c>
      <c r="C60" s="41" t="n">
        <f aca="false">C42-C51</f>
        <v>-0.873059412902934</v>
      </c>
      <c r="D60" s="41" t="n">
        <f aca="false">D42-D51</f>
        <v>-0.550842009919639</v>
      </c>
      <c r="E60" s="41" t="n">
        <f aca="false">E42-E51</f>
        <v>-0.475159054446976</v>
      </c>
      <c r="F60" s="41" t="n">
        <f aca="false">F42-F51</f>
        <v>-0.491230531083182</v>
      </c>
      <c r="G60" s="41" t="n">
        <f aca="false">G42-G51</f>
        <v>-0.579098405742863</v>
      </c>
      <c r="H60" s="41" t="n">
        <f aca="false">H42-H51</f>
        <v>-0.43224921387269</v>
      </c>
      <c r="I60" s="41" t="n">
        <f aca="false">I42-I51</f>
        <v>-0.448845937348348</v>
      </c>
      <c r="J60" s="41" t="n">
        <f aca="false">J42-J51</f>
        <v>-0.365757405183546</v>
      </c>
      <c r="K60" s="41" t="n">
        <f aca="false">K42-K51</f>
        <v>-0.587040524048084</v>
      </c>
      <c r="L60" s="41" t="n">
        <f aca="false">L42-L51</f>
        <v>-0.84483367737514</v>
      </c>
      <c r="M60" s="41" t="n">
        <f aca="false">M42-M51</f>
        <v>-0.961230254038669</v>
      </c>
      <c r="N60" s="41" t="n">
        <f aca="false">SUM(B60:M60)</f>
        <v>-7.68681831606053</v>
      </c>
    </row>
    <row r="61" customFormat="false" ht="15" hidden="false" customHeight="true" outlineLevel="0" collapsed="false">
      <c r="A61" s="36" t="s">
        <v>15</v>
      </c>
      <c r="B61" s="41" t="n">
        <f aca="false">B43-B52</f>
        <v>1.08430173966704</v>
      </c>
      <c r="C61" s="41" t="n">
        <f aca="false">C43-C52</f>
        <v>0.589677872783957</v>
      </c>
      <c r="D61" s="41" t="n">
        <f aca="false">D43-D52</f>
        <v>0.350578893768842</v>
      </c>
      <c r="E61" s="41" t="n">
        <f aca="false">E43-E52</f>
        <v>0.381655195407916</v>
      </c>
      <c r="F61" s="41" t="n">
        <f aca="false">F43-F52</f>
        <v>0.532184504259741</v>
      </c>
      <c r="G61" s="41" t="n">
        <f aca="false">G43-G52</f>
        <v>0.499283101637016</v>
      </c>
      <c r="H61" s="41" t="n">
        <f aca="false">H43-H52</f>
        <v>0.397937724588173</v>
      </c>
      <c r="I61" s="41" t="n">
        <f aca="false">I43-I52</f>
        <v>0.479014026227247</v>
      </c>
      <c r="J61" s="41" t="n">
        <f aca="false">J43-J52</f>
        <v>0.509417639341901</v>
      </c>
      <c r="K61" s="41" t="n">
        <f aca="false">K43-K52</f>
        <v>0.952246889649784</v>
      </c>
      <c r="L61" s="41" t="n">
        <f aca="false">L43-L52</f>
        <v>0.729144386247254</v>
      </c>
      <c r="M61" s="41" t="n">
        <f aca="false">M43-M52</f>
        <v>0.966777514744298</v>
      </c>
      <c r="N61" s="41" t="n">
        <f aca="false">SUM(B61:M61)</f>
        <v>7.47221948832317</v>
      </c>
    </row>
    <row r="62" customFormat="false" ht="15" hidden="false" customHeight="true" outlineLevel="0" collapsed="false">
      <c r="A62" s="36" t="s">
        <v>16</v>
      </c>
      <c r="B62" s="41" t="n">
        <f aca="false">B44-B53</f>
        <v>0.0378684022841158</v>
      </c>
      <c r="C62" s="41" t="n">
        <f aca="false">C44-C53</f>
        <v>0.104218943262894</v>
      </c>
      <c r="D62" s="41" t="n">
        <f aca="false">D44-D53</f>
        <v>0.0386170190274733</v>
      </c>
      <c r="E62" s="41" t="n">
        <f aca="false">E44-E53</f>
        <v>0.0839311694182161</v>
      </c>
      <c r="F62" s="41" t="n">
        <f aca="false">F44-F53</f>
        <v>0.0831900213908243</v>
      </c>
      <c r="G62" s="41" t="n">
        <f aca="false">G44-G53</f>
        <v>0.0490853504459921</v>
      </c>
      <c r="H62" s="41" t="n">
        <f aca="false">H44-H53</f>
        <v>0.0375186965447569</v>
      </c>
      <c r="I62" s="41" t="n">
        <f aca="false">I44-I53</f>
        <v>0.0564239020856521</v>
      </c>
      <c r="J62" s="41" t="n">
        <f aca="false">J44-J53</f>
        <v>0.0723645155169801</v>
      </c>
      <c r="K62" s="41" t="n">
        <f aca="false">K44-K53</f>
        <v>0.08305765033777</v>
      </c>
      <c r="L62" s="41" t="n">
        <f aca="false">L44-L53</f>
        <v>0.12920078941431</v>
      </c>
      <c r="M62" s="41" t="n">
        <f aca="false">M44-M53</f>
        <v>0.108357635788197</v>
      </c>
      <c r="N62" s="41" t="n">
        <f aca="false">SUM(B62:M62)</f>
        <v>0.883834095517182</v>
      </c>
    </row>
    <row r="63" customFormat="false" ht="15" hidden="false" customHeight="true" outlineLevel="0" collapsed="false">
      <c r="A63" s="42" t="s">
        <v>17</v>
      </c>
      <c r="B63" s="43" t="n">
        <f aca="false">B45-B54</f>
        <v>0.0446982518526973</v>
      </c>
      <c r="C63" s="43" t="n">
        <f aca="false">C45-C54</f>
        <v>-0.179162596856083</v>
      </c>
      <c r="D63" s="43" t="n">
        <f aca="false">D45-D54</f>
        <v>-0.161646097123325</v>
      </c>
      <c r="E63" s="43" t="n">
        <f aca="false">E45-E54</f>
        <v>-0.00957268962084434</v>
      </c>
      <c r="F63" s="43" t="n">
        <f aca="false">F45-F54</f>
        <v>0.124143994567383</v>
      </c>
      <c r="G63" s="43" t="n">
        <f aca="false">G45-G54</f>
        <v>-0.0307299536598551</v>
      </c>
      <c r="H63" s="43" t="n">
        <f aca="false">H45-H54</f>
        <v>0.00320720726024071</v>
      </c>
      <c r="I63" s="43" t="n">
        <f aca="false">I45-I54</f>
        <v>0.0865919909645534</v>
      </c>
      <c r="J63" s="43" t="n">
        <f aca="false">J45-J54</f>
        <v>0.216024749675334</v>
      </c>
      <c r="K63" s="43" t="n">
        <f aca="false">K45-K54</f>
        <v>0.44826401593947</v>
      </c>
      <c r="L63" s="43" t="n">
        <f aca="false">L45-L54</f>
        <v>0.0135114982864248</v>
      </c>
      <c r="M63" s="43" t="n">
        <f aca="false">M45-M54</f>
        <v>0.113904896493825</v>
      </c>
      <c r="N63" s="43" t="n">
        <f aca="false">SUM(B63:M63)</f>
        <v>0.669235267779822</v>
      </c>
    </row>
    <row r="64" customFormat="false" ht="15" hidden="false" customHeight="true" outlineLevel="0" collapsed="false">
      <c r="A64" s="36" t="s">
        <v>45</v>
      </c>
      <c r="B64" s="41" t="n">
        <f aca="false">B46-B55</f>
        <v>-0.0751176457426186</v>
      </c>
      <c r="C64" s="41" t="n">
        <f aca="false">C46-C55</f>
        <v>-0.0696166609526725</v>
      </c>
      <c r="D64" s="41" t="n">
        <f aca="false">D46-D55</f>
        <v>-0.0272742746768442</v>
      </c>
      <c r="E64" s="41" t="n">
        <f aca="false">E46-E55</f>
        <v>-0.0453995302655765</v>
      </c>
      <c r="F64" s="41" t="n">
        <f aca="false">F46-F55</f>
        <v>-0.0509649022024896</v>
      </c>
      <c r="G64" s="41" t="n">
        <f aca="false">G46-G55</f>
        <v>-0.0491922312772388</v>
      </c>
      <c r="H64" s="41" t="n">
        <f aca="false">H46-H55</f>
        <v>-0.0262017069692406</v>
      </c>
      <c r="I64" s="41" t="n">
        <f aca="false">I46-I55</f>
        <v>-0.0256621628846554</v>
      </c>
      <c r="J64" s="41" t="n">
        <f aca="false">J46-J55</f>
        <v>-0.0275440467191368</v>
      </c>
      <c r="K64" s="41" t="n">
        <f aca="false">K46-K55</f>
        <v>-0.0496537804767656</v>
      </c>
      <c r="L64" s="41" t="n">
        <f aca="false">L46-L55</f>
        <v>-0.076342546381976</v>
      </c>
      <c r="M64" s="41" t="n">
        <f aca="false">M46-M55</f>
        <v>-0.0758296525863487</v>
      </c>
      <c r="N64" s="41" t="n">
        <f aca="false">SUM(B64:M64)</f>
        <v>-0.598799141135563</v>
      </c>
    </row>
    <row r="65" customFormat="false" ht="15.75" hidden="false" customHeight="true" outlineLevel="0" collapsed="false">
      <c r="A65" s="44" t="s">
        <v>90</v>
      </c>
      <c r="B65" s="45" t="n">
        <f aca="false">B47-B56</f>
        <v>-0.0304193938899218</v>
      </c>
      <c r="C65" s="45" t="n">
        <f aca="false">C47-C56</f>
        <v>-0.248779257808755</v>
      </c>
      <c r="D65" s="45" t="n">
        <f aca="false">D47-D56</f>
        <v>-0.188920371800169</v>
      </c>
      <c r="E65" s="45" t="n">
        <f aca="false">E47-E56</f>
        <v>-0.0549722198864195</v>
      </c>
      <c r="F65" s="45" t="n">
        <f aca="false">F47-F56</f>
        <v>0.0731790923648941</v>
      </c>
      <c r="G65" s="45" t="n">
        <f aca="false">G47-G56</f>
        <v>-0.0799221849370948</v>
      </c>
      <c r="H65" s="45" t="n">
        <f aca="false">H47-H56</f>
        <v>-0.0229944997089993</v>
      </c>
      <c r="I65" s="45" t="n">
        <f aca="false">I47-I56</f>
        <v>0.0609298280798978</v>
      </c>
      <c r="J65" s="45" t="n">
        <f aca="false">J47-J56</f>
        <v>0.188480702956197</v>
      </c>
      <c r="K65" s="45" t="n">
        <f aca="false">K47-K56</f>
        <v>0.398610235462705</v>
      </c>
      <c r="L65" s="45" t="n">
        <f aca="false">L47-L56</f>
        <v>-0.0628310480955516</v>
      </c>
      <c r="M65" s="45" t="n">
        <f aca="false">M47-M56</f>
        <v>0.0380752439074747</v>
      </c>
      <c r="N65" s="45" t="n">
        <f aca="false">SUM(B65:M65)</f>
        <v>0.0704361266442577</v>
      </c>
    </row>
    <row r="67" customFormat="false" ht="15" hidden="false" customHeight="true" outlineLevel="0" collapsed="false">
      <c r="A67" s="46" t="s">
        <v>97</v>
      </c>
    </row>
    <row r="68" customFormat="false" ht="15.75" hidden="false" customHeight="true" outlineLevel="0" collapsed="false">
      <c r="A68" s="39" t="s">
        <v>3</v>
      </c>
      <c r="B68" s="40" t="s">
        <v>78</v>
      </c>
      <c r="C68" s="40" t="s">
        <v>79</v>
      </c>
      <c r="D68" s="40" t="s">
        <v>80</v>
      </c>
      <c r="E68" s="40" t="s">
        <v>81</v>
      </c>
      <c r="F68" s="40" t="s">
        <v>82</v>
      </c>
      <c r="G68" s="40" t="s">
        <v>83</v>
      </c>
      <c r="H68" s="40" t="s">
        <v>84</v>
      </c>
      <c r="I68" s="40" t="s">
        <v>85</v>
      </c>
      <c r="J68" s="40" t="s">
        <v>86</v>
      </c>
      <c r="K68" s="40" t="s">
        <v>87</v>
      </c>
      <c r="L68" s="40" t="s">
        <v>88</v>
      </c>
      <c r="M68" s="40" t="s">
        <v>89</v>
      </c>
      <c r="N68" s="39" t="s">
        <v>59</v>
      </c>
    </row>
    <row r="69" customFormat="false" ht="15" hidden="false" customHeight="true" outlineLevel="0" collapsed="false">
      <c r="A69" s="36" t="s">
        <v>14</v>
      </c>
      <c r="B69" s="47" t="n">
        <f aca="false">IF(B51=0,0,B60/B51)</f>
        <v>-0.230353472006815</v>
      </c>
      <c r="C69" s="47" t="n">
        <f aca="false">IF(C51=0,0,C60/C51)</f>
        <v>-0.236085826489627</v>
      </c>
      <c r="D69" s="47" t="n">
        <f aca="false">IF(D51=0,0,D60/D51)</f>
        <v>-0.239408880551029</v>
      </c>
      <c r="E69" s="47" t="n">
        <f aca="false">IF(E51=0,0,E60/E51)</f>
        <v>-0.231766922384053</v>
      </c>
      <c r="F69" s="47" t="n">
        <f aca="false">IF(F51=0,0,F60/F51)</f>
        <v>-0.232125245273608</v>
      </c>
      <c r="G69" s="47" t="n">
        <f aca="false">IF(G51=0,0,G60/G51)</f>
        <v>-0.238400554038388</v>
      </c>
      <c r="H69" s="47" t="n">
        <f aca="false">IF(H51=0,0,H60/H51)</f>
        <v>-0.239175212004347</v>
      </c>
      <c r="I69" s="47" t="n">
        <f aca="false">IF(I51=0,0,I60/I51)</f>
        <v>-0.233306591050111</v>
      </c>
      <c r="J69" s="47" t="n">
        <f aca="false">IF(J51=0,0,J60/J51)</f>
        <v>-0.24130339322951</v>
      </c>
      <c r="K69" s="47" t="n">
        <f aca="false">IF(K51=0,0,K60/K51)</f>
        <v>-0.236039790414261</v>
      </c>
      <c r="L69" s="47" t="n">
        <f aca="false">IF(L51=0,0,L60/L51)</f>
        <v>-0.23665911460512</v>
      </c>
      <c r="M69" s="47" t="n">
        <f aca="false">IF(M51=0,0,M60/M51)</f>
        <v>-0.233805988631847</v>
      </c>
      <c r="N69" s="47" t="n">
        <f aca="false">IF(N51=0,0,N60/N51)</f>
        <v>-0.235165694064621</v>
      </c>
    </row>
    <row r="70" customFormat="false" ht="15" hidden="false" customHeight="true" outlineLevel="0" collapsed="false">
      <c r="A70" s="36" t="s">
        <v>15</v>
      </c>
      <c r="B70" s="47" t="n">
        <f aca="false">IF(B52=0,0,B61/B52)</f>
        <v>0.180245366829124</v>
      </c>
      <c r="C70" s="47" t="n">
        <f aca="false">IF(C52=0,0,C61/C52)</f>
        <v>0.170411265513704</v>
      </c>
      <c r="D70" s="47" t="n">
        <f aca="false">IF(D52=0,0,D61/D52)</f>
        <v>0.179837436174383</v>
      </c>
      <c r="E70" s="47" t="n">
        <f aca="false">IF(E52=0,0,E61/E52)</f>
        <v>0.168252725350787</v>
      </c>
      <c r="F70" s="47" t="n">
        <f aca="false">IF(F52=0,0,F61/F52)</f>
        <v>0.176347594811855</v>
      </c>
      <c r="G70" s="47" t="n">
        <f aca="false">IF(G52=0,0,G61/G52)</f>
        <v>0.181510173560264</v>
      </c>
      <c r="H70" s="47" t="n">
        <f aca="false">IF(H52=0,0,H61/H52)</f>
        <v>0.16918672976824</v>
      </c>
      <c r="I70" s="47" t="n">
        <f aca="false">IF(I52=0,0,I61/I52)</f>
        <v>0.179339775996893</v>
      </c>
      <c r="J70" s="47" t="n">
        <f aca="false">IF(J52=0,0,J61/J52)</f>
        <v>0.182548863822735</v>
      </c>
      <c r="K70" s="47" t="n">
        <f aca="false">IF(K52=0,0,K61/K52)</f>
        <v>0.173206557394703</v>
      </c>
      <c r="L70" s="47" t="n">
        <f aca="false">IF(L52=0,0,L61/L52)</f>
        <v>0.172748004900119</v>
      </c>
      <c r="M70" s="47" t="n">
        <f aca="false">IF(M52=0,0,M61/M52)</f>
        <v>0.174722328140691</v>
      </c>
      <c r="N70" s="47" t="n">
        <f aca="false">IF(N52=0,0,N61/N52)</f>
        <v>0.17570207987392</v>
      </c>
    </row>
    <row r="71" customFormat="false" ht="15" hidden="false" customHeight="true" outlineLevel="0" collapsed="false">
      <c r="A71" s="36" t="s">
        <v>16</v>
      </c>
      <c r="B71" s="47" t="n">
        <f aca="false">IF(B53=0,0,B62/B53)</f>
        <v>0.00676809859120649</v>
      </c>
      <c r="C71" s="47" t="n">
        <f aca="false">IF(C53=0,0,C62/C53)</f>
        <v>0.0217737556713105</v>
      </c>
      <c r="D71" s="47" t="n">
        <f aca="false">IF(D53=0,0,D62/D53)</f>
        <v>0.0149598177845445</v>
      </c>
      <c r="E71" s="47" t="n">
        <f aca="false">IF(E53=0,0,E62/E53)</f>
        <v>0.0259468415546217</v>
      </c>
      <c r="F71" s="47" t="n">
        <f aca="false">IF(F53=0,0,F62/F53)</f>
        <v>0.0250360453731528</v>
      </c>
      <c r="G71" s="47" t="n">
        <f aca="false">IF(G53=0,0,G62/G53)</f>
        <v>0.0184653014925554</v>
      </c>
      <c r="H71" s="47" t="n">
        <f aca="false">IF(H53=0,0,H62/H53)</f>
        <v>0.0174845934506754</v>
      </c>
      <c r="I71" s="47" t="n">
        <f aca="false">IF(I53=0,0,I62/I53)</f>
        <v>0.0249894443527229</v>
      </c>
      <c r="J71" s="47" t="n">
        <f aca="false">IF(J53=0,0,J62/J53)</f>
        <v>0.0265821027568226</v>
      </c>
      <c r="K71" s="47" t="n">
        <f aca="false">IF(K53=0,0,K62/K53)</f>
        <v>0.0240472022776791</v>
      </c>
      <c r="L71" s="47" t="n">
        <f aca="false">IF(L53=0,0,L62/L53)</f>
        <v>0.0240472022776793</v>
      </c>
      <c r="M71" s="47" t="n">
        <f aca="false">IF(M53=0,0,M62/M53)</f>
        <v>0.0232961592250369</v>
      </c>
      <c r="N71" s="47" t="n">
        <f aca="false">IF(N53=0,0,N62/N53)</f>
        <v>0.0206586156736427</v>
      </c>
    </row>
    <row r="72" customFormat="false" ht="15" hidden="false" customHeight="true" outlineLevel="0" collapsed="false">
      <c r="A72" s="42" t="s">
        <v>17</v>
      </c>
      <c r="B72" s="48" t="n">
        <f aca="false">IF(B54=0,0,B63/B54)</f>
        <v>0.00274419350426029</v>
      </c>
      <c r="C72" s="48" t="n">
        <f aca="false">IF(C54=0,0,C63/C54)</f>
        <v>-0.0149991760370499</v>
      </c>
      <c r="D72" s="48" t="n">
        <f aca="false">IF(D54=0,0,D63/D54)</f>
        <v>-0.0236613686987373</v>
      </c>
      <c r="E72" s="48" t="n">
        <f aca="false">IF(E54=0,0,E63/E54)</f>
        <v>-0.0012673621434856</v>
      </c>
      <c r="F72" s="48" t="n">
        <f aca="false">IF(F54=0,0,F63/F54)</f>
        <v>0.0146796864564838</v>
      </c>
      <c r="G72" s="48" t="n">
        <f aca="false">IF(G54=0,0,G63/G54)</f>
        <v>-0.00392060545247825</v>
      </c>
      <c r="H72" s="48" t="n">
        <f aca="false">IF(H54=0,0,H63/H54)</f>
        <v>0.000508666630311834</v>
      </c>
      <c r="I72" s="48" t="n">
        <f aca="false">IF(I54=0,0,I63/I54)</f>
        <v>0.0126361096440598</v>
      </c>
      <c r="J72" s="48" t="n">
        <f aca="false">IF(J54=0,0,J63/J54)</f>
        <v>0.0307349203767384</v>
      </c>
      <c r="K72" s="48" t="n">
        <f aca="false">IF(K54=0,0,K63/K54)</f>
        <v>0.0391882474221024</v>
      </c>
      <c r="L72" s="48" t="n">
        <f aca="false">IF(L54=0,0,L63/L54)</f>
        <v>0.00102643750436413</v>
      </c>
      <c r="M72" s="48" t="n">
        <f aca="false">IF(M54=0,0,M63/M54)</f>
        <v>0.00796773885330684</v>
      </c>
      <c r="N72" s="48" t="n">
        <f aca="false">IF(N54=0,0,N63/N54)</f>
        <v>0.00567160877864783</v>
      </c>
    </row>
    <row r="73" customFormat="false" ht="15" hidden="false" customHeight="true" outlineLevel="0" collapsed="false">
      <c r="A73" s="36" t="s">
        <v>45</v>
      </c>
      <c r="B73" s="47" t="n">
        <f aca="false">IF(B55=0,0,B64/B55)</f>
        <v>-0.0235570525420517</v>
      </c>
      <c r="C73" s="47" t="n">
        <f aca="false">IF(C55=0,0,C64/C55)</f>
        <v>-0.0280858709571168</v>
      </c>
      <c r="D73" s="47" t="n">
        <f aca="false">IF(D55=0,0,D64/D55)</f>
        <v>-0.019293678008939</v>
      </c>
      <c r="E73" s="47" t="n">
        <f aca="false">IF(E55=0,0,E64/E55)</f>
        <v>-0.0289514407756625</v>
      </c>
      <c r="F73" s="47" t="n">
        <f aca="false">IF(F55=0,0,F64/F55)</f>
        <v>-0.0302044925084946</v>
      </c>
      <c r="G73" s="47" t="n">
        <f aca="false">IF(G55=0,0,G64/G55)</f>
        <v>-0.0317534714440712</v>
      </c>
      <c r="H73" s="47" t="n">
        <f aca="false">IF(H55=0,0,H64/H55)</f>
        <v>-0.0212892686561177</v>
      </c>
      <c r="I73" s="47" t="n">
        <f aca="false">IF(I55=0,0,I64/I55)</f>
        <v>-0.0194245994488373</v>
      </c>
      <c r="J73" s="47" t="n">
        <f aca="false">IF(J55=0,0,J64/J55)</f>
        <v>-0.0201278699005181</v>
      </c>
      <c r="K73" s="47" t="n">
        <f aca="false">IF(K55=0,0,K64/K55)</f>
        <v>-0.0239597734210113</v>
      </c>
      <c r="L73" s="47" t="n">
        <f aca="false">IF(L55=0,0,L64/L55)</f>
        <v>-0.0283803512725144</v>
      </c>
      <c r="M73" s="47" t="n">
        <f aca="false">IF(M55=0,0,M64/M55)</f>
        <v>-0.02749794648914</v>
      </c>
      <c r="N73" s="47" t="n">
        <f aca="false">IF(N55=0,0,N64/N55)</f>
        <v>-0.0256708092349895</v>
      </c>
    </row>
    <row r="74" customFormat="false" ht="15.75" hidden="false" customHeight="true" outlineLevel="0" collapsed="false">
      <c r="A74" s="44" t="s">
        <v>90</v>
      </c>
      <c r="B74" s="49" t="n">
        <f aca="false">IF(B56=0,0,B65/B56)</f>
        <v>-0.00156180658250502</v>
      </c>
      <c r="C74" s="49" t="n">
        <f aca="false">IF(C56=0,0,C65/C56)</f>
        <v>-0.0172481452142721</v>
      </c>
      <c r="D74" s="49" t="n">
        <f aca="false">IF(D56=0,0,D65/D56)</f>
        <v>-0.0229125366225245</v>
      </c>
      <c r="E74" s="49" t="n">
        <f aca="false">IF(E56=0,0,E65/E56)</f>
        <v>-0.00602675289276586</v>
      </c>
      <c r="F74" s="49" t="n">
        <f aca="false">IF(F56=0,0,F65/F56)</f>
        <v>0.00721389600588315</v>
      </c>
      <c r="G74" s="49" t="n">
        <f aca="false">IF(G56=0,0,G65/G56)</f>
        <v>-0.008513903215007</v>
      </c>
      <c r="H74" s="49" t="n">
        <f aca="false">IF(H56=0,0,H65/H56)</f>
        <v>-0.00305133842243249</v>
      </c>
      <c r="I74" s="49" t="n">
        <f aca="false">IF(I56=0,0,I65/I56)</f>
        <v>0.00745423124574818</v>
      </c>
      <c r="J74" s="49" t="n">
        <f aca="false">IF(J56=0,0,J65/J56)</f>
        <v>0.0224459413321165</v>
      </c>
      <c r="K74" s="49" t="n">
        <f aca="false">IF(K56=0,0,K65/K56)</f>
        <v>0.0295023893556181</v>
      </c>
      <c r="L74" s="49" t="n">
        <f aca="false">IF(L56=0,0,L65/L56)</f>
        <v>-0.00396323696663704</v>
      </c>
      <c r="M74" s="49" t="n">
        <f aca="false">IF(M56=0,0,M65/M56)</f>
        <v>0.00223270564598735</v>
      </c>
      <c r="N74" s="49" t="n">
        <f aca="false">IF(N56=0,0,N65/N56)</f>
        <v>0.000498403485731859</v>
      </c>
    </row>
    <row r="76" customFormat="false" ht="16.5" hidden="false" customHeight="true" outlineLevel="0" collapsed="false">
      <c r="A76" s="38" t="s">
        <v>98</v>
      </c>
    </row>
    <row r="77" customFormat="false" ht="15.75" hidden="false" customHeight="true" outlineLevel="0" collapsed="false">
      <c r="A77" s="39" t="s">
        <v>3</v>
      </c>
      <c r="B77" s="40" t="s">
        <v>78</v>
      </c>
      <c r="C77" s="40" t="s">
        <v>79</v>
      </c>
      <c r="D77" s="40" t="s">
        <v>80</v>
      </c>
      <c r="E77" s="40" t="s">
        <v>81</v>
      </c>
      <c r="F77" s="40" t="s">
        <v>82</v>
      </c>
      <c r="G77" s="40" t="s">
        <v>83</v>
      </c>
      <c r="H77" s="40" t="s">
        <v>84</v>
      </c>
      <c r="I77" s="40" t="s">
        <v>85</v>
      </c>
      <c r="J77" s="40" t="s">
        <v>86</v>
      </c>
      <c r="K77" s="40" t="s">
        <v>87</v>
      </c>
      <c r="L77" s="40" t="s">
        <v>88</v>
      </c>
      <c r="M77" s="40" t="s">
        <v>89</v>
      </c>
      <c r="N77" s="39" t="s">
        <v>59</v>
      </c>
    </row>
    <row r="78" customFormat="false" ht="15" hidden="false" customHeight="true" outlineLevel="0" collapsed="false">
      <c r="A78" s="36" t="s">
        <v>14</v>
      </c>
      <c r="B78" s="41" t="n">
        <f aca="false">가정!$J$11*월별비중!B$24</f>
        <v>1.152</v>
      </c>
      <c r="C78" s="41" t="n">
        <f aca="false">가정!$J$11*월별비중!C$24</f>
        <v>0.904</v>
      </c>
      <c r="D78" s="41" t="n">
        <f aca="false">가정!$J$11*월별비중!D$24</f>
        <v>0.56</v>
      </c>
      <c r="E78" s="41" t="n">
        <f aca="false">가정!$J$11*월별비중!E$24</f>
        <v>0.504</v>
      </c>
      <c r="F78" s="41" t="n">
        <f aca="false">가정!$J$11*월별비중!F$24</f>
        <v>0.52</v>
      </c>
      <c r="G78" s="41" t="n">
        <f aca="false">가정!$J$11*월별비중!G$24</f>
        <v>0.592</v>
      </c>
      <c r="H78" s="41" t="n">
        <f aca="false">가정!$J$11*월별비중!H$24</f>
        <v>0.44</v>
      </c>
      <c r="I78" s="41" t="n">
        <f aca="false">가정!$J$11*월별비중!I$24</f>
        <v>0.472</v>
      </c>
      <c r="J78" s="41" t="n">
        <f aca="false">가정!$J$11*월별비중!J$24</f>
        <v>0.368</v>
      </c>
      <c r="K78" s="41" t="n">
        <f aca="false">가정!$J$11*월별비중!K$24</f>
        <v>0.608</v>
      </c>
      <c r="L78" s="41" t="n">
        <f aca="false">가정!$J$11*월별비중!L$24</f>
        <v>0.872</v>
      </c>
      <c r="M78" s="41" t="n">
        <f aca="false">가정!$J$11*월별비중!M$24</f>
        <v>1.008</v>
      </c>
      <c r="N78" s="41" t="n">
        <f aca="false">SUM(B78:M78)</f>
        <v>8</v>
      </c>
    </row>
    <row r="79" customFormat="false" ht="15" hidden="false" customHeight="true" outlineLevel="0" collapsed="false">
      <c r="A79" s="36" t="s">
        <v>15</v>
      </c>
      <c r="B79" s="41" t="n">
        <f aca="false">가정!$J$12*월별비중!B$25</f>
        <v>0.355</v>
      </c>
      <c r="C79" s="41" t="n">
        <f aca="false">가정!$J$12*월별비중!C$25</f>
        <v>0.2025</v>
      </c>
      <c r="D79" s="41" t="n">
        <f aca="false">가정!$J$12*월별비중!D$25</f>
        <v>0.115</v>
      </c>
      <c r="E79" s="41" t="n">
        <f aca="false">가정!$J$12*월별비중!E$25</f>
        <v>0.1325</v>
      </c>
      <c r="F79" s="41" t="n">
        <f aca="false">가정!$J$12*월별비중!F$25</f>
        <v>0.1775</v>
      </c>
      <c r="G79" s="41" t="n">
        <f aca="false">가정!$J$12*월별비중!G$25</f>
        <v>0.1625</v>
      </c>
      <c r="H79" s="41" t="n">
        <f aca="false">가정!$J$12*월별비중!H$25</f>
        <v>0.1375</v>
      </c>
      <c r="I79" s="41" t="n">
        <f aca="false">가정!$J$12*월별비중!I$25</f>
        <v>0.1575</v>
      </c>
      <c r="J79" s="41" t="n">
        <f aca="false">가정!$J$12*월별비중!J$25</f>
        <v>0.165</v>
      </c>
      <c r="K79" s="41" t="n">
        <f aca="false">가정!$J$12*월별비중!K$25</f>
        <v>0.3225</v>
      </c>
      <c r="L79" s="41" t="n">
        <f aca="false">가정!$J$12*월별비중!L$25</f>
        <v>0.2475</v>
      </c>
      <c r="M79" s="41" t="n">
        <f aca="false">가정!$J$12*월별비중!M$25</f>
        <v>0.325</v>
      </c>
      <c r="N79" s="41" t="n">
        <f aca="false">SUM(B79:M79)</f>
        <v>2.5</v>
      </c>
    </row>
    <row r="80" customFormat="false" ht="15" hidden="false" customHeight="true" outlineLevel="0" collapsed="false">
      <c r="A80" s="36" t="s">
        <v>16</v>
      </c>
      <c r="B80" s="41" t="n">
        <f aca="false">가정!$J$13*월별비중!B$26</f>
        <v>1.80256</v>
      </c>
      <c r="C80" s="41" t="n">
        <f aca="false">가정!$J$13*월별비중!C$26</f>
        <v>1.56501333333333</v>
      </c>
      <c r="D80" s="41" t="n">
        <f aca="false">가정!$J$13*월별비중!D$26</f>
        <v>0.8384</v>
      </c>
      <c r="E80" s="41" t="n">
        <f aca="false">가정!$J$13*월별비중!E$26</f>
        <v>1.06197333333333</v>
      </c>
      <c r="F80" s="41" t="n">
        <f aca="false">가정!$J$13*월별비중!F$26</f>
        <v>1.08992</v>
      </c>
      <c r="G80" s="41" t="n">
        <f aca="false">가정!$J$13*월별비중!G$26</f>
        <v>0.866346666666667</v>
      </c>
      <c r="H80" s="41" t="n">
        <f aca="false">가정!$J$13*월별비중!H$26</f>
        <v>0.698666666666667</v>
      </c>
      <c r="I80" s="41" t="n">
        <f aca="false">가정!$J$13*월별비중!I$26</f>
        <v>0.740586666666667</v>
      </c>
      <c r="J80" s="41" t="n">
        <f aca="false">가정!$J$13*월별비중!J$26</f>
        <v>0.894293333333334</v>
      </c>
      <c r="K80" s="41" t="n">
        <f aca="false">가정!$J$13*월별비중!K$26</f>
        <v>1.13184</v>
      </c>
      <c r="L80" s="41" t="n">
        <f aca="false">가정!$J$13*월별비중!L$26</f>
        <v>1.76064</v>
      </c>
      <c r="M80" s="41" t="n">
        <f aca="false">가정!$J$13*월별비중!M$26</f>
        <v>1.52309333333333</v>
      </c>
      <c r="N80" s="41" t="n">
        <f aca="false">SUM(B80:M80)</f>
        <v>13.9733333333333</v>
      </c>
    </row>
    <row r="81" customFormat="false" ht="15" hidden="false" customHeight="true" outlineLevel="0" collapsed="false">
      <c r="A81" s="42" t="s">
        <v>17</v>
      </c>
      <c r="B81" s="43" t="n">
        <f aca="false">SUM(B78:B80)</f>
        <v>3.30956</v>
      </c>
      <c r="C81" s="43" t="n">
        <f aca="false">SUM(C78:C80)</f>
        <v>2.67151333333333</v>
      </c>
      <c r="D81" s="43" t="n">
        <f aca="false">SUM(D78:D80)</f>
        <v>1.5134</v>
      </c>
      <c r="E81" s="43" t="n">
        <f aca="false">SUM(E78:E80)</f>
        <v>1.69847333333333</v>
      </c>
      <c r="F81" s="43" t="n">
        <f aca="false">SUM(F78:F80)</f>
        <v>1.78742</v>
      </c>
      <c r="G81" s="43" t="n">
        <f aca="false">SUM(G78:G80)</f>
        <v>1.62084666666667</v>
      </c>
      <c r="H81" s="43" t="n">
        <f aca="false">SUM(H78:H80)</f>
        <v>1.27616666666667</v>
      </c>
      <c r="I81" s="43" t="n">
        <f aca="false">SUM(I78:I80)</f>
        <v>1.37008666666667</v>
      </c>
      <c r="J81" s="43" t="n">
        <f aca="false">SUM(J78:J80)</f>
        <v>1.42729333333333</v>
      </c>
      <c r="K81" s="43" t="n">
        <f aca="false">SUM(K78:K80)</f>
        <v>2.06234</v>
      </c>
      <c r="L81" s="43" t="n">
        <f aca="false">SUM(L78:L80)</f>
        <v>2.88014</v>
      </c>
      <c r="M81" s="43" t="n">
        <f aca="false">SUM(M78:M80)</f>
        <v>2.85609333333333</v>
      </c>
      <c r="N81" s="43" t="n">
        <f aca="false">SUM(B81:M81)</f>
        <v>24.4733333333333</v>
      </c>
    </row>
    <row r="82" customFormat="false" ht="15" hidden="false" customHeight="true" outlineLevel="0" collapsed="false">
      <c r="A82" s="36" t="s">
        <v>45</v>
      </c>
      <c r="B82" s="41" t="n">
        <f aca="false">가정!$J$15*월별비중!B$27</f>
        <v>0.996363636363637</v>
      </c>
      <c r="C82" s="41" t="n">
        <f aca="false">가정!$J$15*월별비중!C$27</f>
        <v>0.770909090909091</v>
      </c>
      <c r="D82" s="41" t="n">
        <f aca="false">가정!$J$15*월별비중!D$27</f>
        <v>0.443636363636364</v>
      </c>
      <c r="E82" s="41" t="n">
        <f aca="false">가정!$J$15*월별비중!E$27</f>
        <v>0.487272727272727</v>
      </c>
      <c r="F82" s="41" t="n">
        <f aca="false">가정!$J$15*월별비중!F$27</f>
        <v>0.523636363636364</v>
      </c>
      <c r="G82" s="41" t="n">
        <f aca="false">가정!$J$15*월별비중!G$27</f>
        <v>0.48</v>
      </c>
      <c r="H82" s="41" t="n">
        <f aca="false">가정!$J$15*월별비중!H$27</f>
        <v>0.385454545454546</v>
      </c>
      <c r="I82" s="41" t="n">
        <f aca="false">가정!$J$15*월별비중!I$27</f>
        <v>0.414545454545455</v>
      </c>
      <c r="J82" s="41" t="n">
        <f aca="false">가정!$J$15*월별비중!J$27</f>
        <v>0.429090909090909</v>
      </c>
      <c r="K82" s="41" t="n">
        <f aca="false">가정!$J$15*월별비중!K$27</f>
        <v>0.647272727272727</v>
      </c>
      <c r="L82" s="41" t="n">
        <f aca="false">가정!$J$15*월별비중!L$27</f>
        <v>0.836363636363636</v>
      </c>
      <c r="M82" s="41" t="n">
        <f aca="false">가정!$J$15*월별비중!M$27</f>
        <v>0.858181818181818</v>
      </c>
      <c r="N82" s="41" t="n">
        <f aca="false">SUM(B82:M82)</f>
        <v>7.27272727272727</v>
      </c>
    </row>
    <row r="83" customFormat="false" ht="15.75" hidden="false" customHeight="true" outlineLevel="0" collapsed="false">
      <c r="A83" s="44" t="s">
        <v>90</v>
      </c>
      <c r="B83" s="45" t="n">
        <f aca="false">B81+B82</f>
        <v>4.30592363636364</v>
      </c>
      <c r="C83" s="45" t="n">
        <f aca="false">C81+C82</f>
        <v>3.44242242424242</v>
      </c>
      <c r="D83" s="45" t="n">
        <f aca="false">D81+D82</f>
        <v>1.95703636363636</v>
      </c>
      <c r="E83" s="45" t="n">
        <f aca="false">E81+E82</f>
        <v>2.18574606060606</v>
      </c>
      <c r="F83" s="45" t="n">
        <f aca="false">F81+F82</f>
        <v>2.31105636363636</v>
      </c>
      <c r="G83" s="45" t="n">
        <f aca="false">G81+G82</f>
        <v>2.10084666666667</v>
      </c>
      <c r="H83" s="45" t="n">
        <f aca="false">H81+H82</f>
        <v>1.66162121212121</v>
      </c>
      <c r="I83" s="45" t="n">
        <f aca="false">I81+I82</f>
        <v>1.78463212121212</v>
      </c>
      <c r="J83" s="45" t="n">
        <f aca="false">J81+J82</f>
        <v>1.85638424242424</v>
      </c>
      <c r="K83" s="45" t="n">
        <f aca="false">K81+K82</f>
        <v>2.70961272727273</v>
      </c>
      <c r="L83" s="45" t="n">
        <f aca="false">L81+L82</f>
        <v>3.71650363636364</v>
      </c>
      <c r="M83" s="45" t="n">
        <f aca="false">M81+M82</f>
        <v>3.71427515151515</v>
      </c>
      <c r="N83" s="45" t="n">
        <f aca="false">SUM(B83:M83)</f>
        <v>31.7460606060606</v>
      </c>
    </row>
    <row r="85" customFormat="false" ht="16.5" hidden="false" customHeight="true" outlineLevel="0" collapsed="false">
      <c r="A85" s="38" t="s">
        <v>99</v>
      </c>
    </row>
    <row r="86" customFormat="false" ht="15.75" hidden="false" customHeight="true" outlineLevel="0" collapsed="false">
      <c r="A86" s="39" t="s">
        <v>3</v>
      </c>
      <c r="B86" s="40" t="s">
        <v>78</v>
      </c>
      <c r="C86" s="40" t="s">
        <v>79</v>
      </c>
      <c r="D86" s="40" t="s">
        <v>80</v>
      </c>
      <c r="E86" s="40" t="s">
        <v>81</v>
      </c>
      <c r="F86" s="40" t="s">
        <v>82</v>
      </c>
      <c r="G86" s="40" t="s">
        <v>83</v>
      </c>
      <c r="H86" s="40" t="s">
        <v>84</v>
      </c>
      <c r="I86" s="40" t="s">
        <v>85</v>
      </c>
      <c r="J86" s="40" t="s">
        <v>86</v>
      </c>
      <c r="K86" s="40" t="s">
        <v>87</v>
      </c>
      <c r="L86" s="40" t="s">
        <v>88</v>
      </c>
      <c r="M86" s="40" t="s">
        <v>89</v>
      </c>
      <c r="N86" s="39" t="s">
        <v>59</v>
      </c>
    </row>
    <row r="87" customFormat="false" ht="15" hidden="false" customHeight="true" outlineLevel="0" collapsed="false">
      <c r="A87" s="36" t="s">
        <v>14</v>
      </c>
      <c r="B87" s="41" t="n">
        <f aca="false">가정!$E$21*월별비중!B$17</f>
        <v>2.4281310491753</v>
      </c>
      <c r="C87" s="41" t="n">
        <f aca="false">가정!$E$21*월별비중!C$17</f>
        <v>1.91970643397615</v>
      </c>
      <c r="D87" s="41" t="n">
        <f aca="false">가정!$E$21*월별비중!D$17</f>
        <v>1.19439433411864</v>
      </c>
      <c r="E87" s="41" t="n">
        <f aca="false">가정!$E$21*월별비중!E$17</f>
        <v>1.06426184332362</v>
      </c>
      <c r="F87" s="41" t="n">
        <f aca="false">가정!$E$21*월별비중!F$17</f>
        <v>1.09856032926959</v>
      </c>
      <c r="G87" s="41" t="n">
        <f aca="false">가정!$E$21*월별비중!G$17</f>
        <v>1.26097374801376</v>
      </c>
      <c r="H87" s="41" t="n">
        <f aca="false">가정!$E$21*월별비중!H$17</f>
        <v>0.938164468522239</v>
      </c>
      <c r="I87" s="41" t="n">
        <f aca="false">가정!$E$21*월별비중!I$17</f>
        <v>0.9986912084269</v>
      </c>
      <c r="J87" s="41" t="n">
        <f aca="false">가정!$E$21*월별비중!J$17</f>
        <v>0.786847618760587</v>
      </c>
      <c r="K87" s="41" t="n">
        <f aca="false">가정!$E$21*월별비중!K$17</f>
        <v>1.29105218778156</v>
      </c>
      <c r="L87" s="41" t="n">
        <f aca="false">가정!$E$21*월별비중!L$17</f>
        <v>1.85314293620346</v>
      </c>
      <c r="M87" s="41" t="n">
        <f aca="false">가정!$E$21*월별비중!M$17</f>
        <v>2.13418831041442</v>
      </c>
      <c r="N87" s="41" t="n">
        <f aca="false">SUM(B87:M87)</f>
        <v>16.9681144679862</v>
      </c>
    </row>
    <row r="88" customFormat="false" ht="15" hidden="false" customHeight="true" outlineLevel="0" collapsed="false">
      <c r="A88" s="36" t="s">
        <v>15</v>
      </c>
      <c r="B88" s="41" t="n">
        <f aca="false">가정!$E$22*월별비중!B$18</f>
        <v>0.952228096816243</v>
      </c>
      <c r="C88" s="41" t="n">
        <f aca="false">가정!$E$22*월별비중!C$18</f>
        <v>0.547736241243538</v>
      </c>
      <c r="D88" s="41" t="n">
        <f aca="false">가정!$E$22*월별비중!D$18</f>
        <v>0.308574910101486</v>
      </c>
      <c r="E88" s="41" t="n">
        <f aca="false">가정!$E$22*월별비중!E$18</f>
        <v>0.359057512981075</v>
      </c>
      <c r="F88" s="41" t="n">
        <f aca="false">가정!$E$22*월별비중!F$18</f>
        <v>0.477691629748109</v>
      </c>
      <c r="G88" s="41" t="n">
        <f aca="false">가정!$E$22*월별비중!G$18</f>
        <v>0.435412449836453</v>
      </c>
      <c r="H88" s="41" t="n">
        <f aca="false">가정!$E$22*월별비중!H$18</f>
        <v>0.372309196236967</v>
      </c>
      <c r="I88" s="41" t="n">
        <f aca="false">가정!$E$22*월별비중!I$18</f>
        <v>0.422791799116556</v>
      </c>
      <c r="J88" s="41" t="n">
        <f aca="false">가정!$E$22*월별비중!J$18</f>
        <v>0.441722775196402</v>
      </c>
      <c r="K88" s="41" t="n">
        <f aca="false">가정!$E$22*월별비중!K$18</f>
        <v>0.870242281856838</v>
      </c>
      <c r="L88" s="41" t="n">
        <f aca="false">가정!$E$22*월별비중!L$18</f>
        <v>0.66812149381267</v>
      </c>
      <c r="M88" s="41" t="n">
        <f aca="false">가정!$E$22*월별비중!M$18</f>
        <v>0.875856748191399</v>
      </c>
      <c r="N88" s="41" t="n">
        <f aca="false">SUM(B88:M88)</f>
        <v>6.73174513513774</v>
      </c>
    </row>
    <row r="89" customFormat="false" ht="15" hidden="false" customHeight="true" outlineLevel="0" collapsed="false">
      <c r="A89" s="36" t="s">
        <v>16</v>
      </c>
      <c r="B89" s="41" t="n">
        <f aca="false">가정!$E$23*월별비중!B$19</f>
        <v>2.73773380485419</v>
      </c>
      <c r="C89" s="41" t="n">
        <f aca="false">가정!$E$23*월별비중!C$19</f>
        <v>2.34203959436439</v>
      </c>
      <c r="D89" s="41" t="n">
        <f aca="false">가정!$E$23*월별비중!D$19</f>
        <v>1.26308726199913</v>
      </c>
      <c r="E89" s="41" t="n">
        <f aca="false">가정!$E$23*월별비중!E$19</f>
        <v>1.5827768419592</v>
      </c>
      <c r="F89" s="41" t="n">
        <f aca="false">가정!$E$23*월별비중!F$19</f>
        <v>1.62587225102245</v>
      </c>
      <c r="G89" s="41" t="n">
        <f aca="false">가정!$E$23*월별비중!G$19</f>
        <v>1.30069780081796</v>
      </c>
      <c r="H89" s="41" t="n">
        <f aca="false">가정!$E$23*월별비중!H$19</f>
        <v>1.04996087535908</v>
      </c>
      <c r="I89" s="41" t="n">
        <f aca="false">가정!$E$23*월별비중!I$19</f>
        <v>1.10480957780321</v>
      </c>
      <c r="J89" s="41" t="n">
        <f aca="false">가정!$E$23*월별비중!J$19</f>
        <v>1.33203991650032</v>
      </c>
      <c r="K89" s="41" t="n">
        <f aca="false">가정!$E$23*월별비중!K$19</f>
        <v>1.69003616189261</v>
      </c>
      <c r="L89" s="41" t="n">
        <f aca="false">가정!$E$23*월별비중!L$19</f>
        <v>2.62894514072183</v>
      </c>
      <c r="M89" s="41" t="n">
        <f aca="false">가정!$E$23*월별비중!M$19</f>
        <v>2.27591536468204</v>
      </c>
      <c r="N89" s="41" t="n">
        <f aca="false">SUM(B89:M89)</f>
        <v>20.9339145919764</v>
      </c>
    </row>
    <row r="90" customFormat="false" ht="15" hidden="false" customHeight="true" outlineLevel="0" collapsed="false">
      <c r="A90" s="42" t="s">
        <v>17</v>
      </c>
      <c r="B90" s="43" t="n">
        <f aca="false">SUM(B87:B89)</f>
        <v>6.11809295084573</v>
      </c>
      <c r="C90" s="43" t="n">
        <f aca="false">SUM(C87:C89)</f>
        <v>4.80948226958408</v>
      </c>
      <c r="D90" s="43" t="n">
        <f aca="false">SUM(D87:D89)</f>
        <v>2.76605650621925</v>
      </c>
      <c r="E90" s="43" t="n">
        <f aca="false">SUM(E87:E89)</f>
        <v>3.0060961982639</v>
      </c>
      <c r="F90" s="43" t="n">
        <f aca="false">SUM(F87:F89)</f>
        <v>3.20212421004015</v>
      </c>
      <c r="G90" s="43" t="n">
        <f aca="false">SUM(G87:G89)</f>
        <v>2.99708399866818</v>
      </c>
      <c r="H90" s="43" t="n">
        <f aca="false">SUM(H87:H89)</f>
        <v>2.36043454011828</v>
      </c>
      <c r="I90" s="43" t="n">
        <f aca="false">SUM(I87:I89)</f>
        <v>2.52629258534666</v>
      </c>
      <c r="J90" s="43" t="n">
        <f aca="false">SUM(J87:J89)</f>
        <v>2.56061031045731</v>
      </c>
      <c r="K90" s="43" t="n">
        <f aca="false">SUM(K87:K89)</f>
        <v>3.851330631531</v>
      </c>
      <c r="L90" s="43" t="n">
        <f aca="false">SUM(L87:L89)</f>
        <v>5.15020957073796</v>
      </c>
      <c r="M90" s="43" t="n">
        <f aca="false">SUM(M87:M89)</f>
        <v>5.28596042328786</v>
      </c>
      <c r="N90" s="43" t="n">
        <f aca="false">SUM(B90:M90)</f>
        <v>44.6337741951004</v>
      </c>
    </row>
    <row r="91" customFormat="false" ht="15" hidden="false" customHeight="true" outlineLevel="0" collapsed="false">
      <c r="A91" s="36" t="s">
        <v>45</v>
      </c>
      <c r="B91" s="41" t="n">
        <f aca="false">가정!$E$25*월별비중!B$20</f>
        <v>1.88993620979993</v>
      </c>
      <c r="C91" s="41" t="n">
        <f aca="false">가정!$E$25*월별비중!C$20</f>
        <v>1.46910021166635</v>
      </c>
      <c r="D91" s="41" t="n">
        <f aca="false">가정!$E$25*월별비중!D$20</f>
        <v>0.837846214465963</v>
      </c>
      <c r="E91" s="41" t="n">
        <f aca="false">가정!$E$25*월별비중!E$20</f>
        <v>0.929409925575028</v>
      </c>
      <c r="F91" s="41" t="n">
        <f aca="false">가정!$E$25*월별비중!F$20</f>
        <v>1.00005936283746</v>
      </c>
      <c r="G91" s="41" t="n">
        <f aca="false">가정!$E$25*월별비중!G$20</f>
        <v>0.918187632291466</v>
      </c>
      <c r="H91" s="41" t="n">
        <f aca="false">가정!$E$25*월별비중!H$20</f>
        <v>0.729449063431554</v>
      </c>
      <c r="I91" s="41" t="n">
        <f aca="false">가정!$E$25*월별비중!I$20</f>
        <v>0.783010008648556</v>
      </c>
      <c r="J91" s="41" t="n">
        <f aca="false">가정!$E$25*월별비중!J$20</f>
        <v>0.811065741857462</v>
      </c>
      <c r="K91" s="41" t="n">
        <f aca="false">가정!$E$25*월별비중!K$20</f>
        <v>1.2282753644319</v>
      </c>
      <c r="L91" s="41" t="n">
        <f aca="false">가정!$E$25*월별비중!L$20</f>
        <v>1.59431819785682</v>
      </c>
      <c r="M91" s="41" t="n">
        <f aca="false">가정!$E$25*월별비중!M$20</f>
        <v>1.63442475675084</v>
      </c>
      <c r="N91" s="41" t="n">
        <f aca="false">SUM(B91:M91)</f>
        <v>13.8250826896133</v>
      </c>
    </row>
    <row r="92" customFormat="false" ht="15.75" hidden="false" customHeight="true" outlineLevel="0" collapsed="false">
      <c r="A92" s="44" t="s">
        <v>90</v>
      </c>
      <c r="B92" s="45" t="n">
        <f aca="false">B90+B91</f>
        <v>8.00802916064567</v>
      </c>
      <c r="C92" s="45" t="n">
        <f aca="false">C90+C91</f>
        <v>6.27858248125042</v>
      </c>
      <c r="D92" s="45" t="n">
        <f aca="false">D90+D91</f>
        <v>3.60390272068521</v>
      </c>
      <c r="E92" s="45" t="n">
        <f aca="false">E90+E91</f>
        <v>3.93550612383892</v>
      </c>
      <c r="F92" s="45" t="n">
        <f aca="false">F90+F91</f>
        <v>4.2021835728776</v>
      </c>
      <c r="G92" s="45" t="n">
        <f aca="false">G90+G91</f>
        <v>3.91527163095964</v>
      </c>
      <c r="H92" s="45" t="n">
        <f aca="false">H90+H91</f>
        <v>3.08988360354984</v>
      </c>
      <c r="I92" s="45" t="n">
        <f aca="false">I90+I91</f>
        <v>3.30930259399522</v>
      </c>
      <c r="J92" s="45" t="n">
        <f aca="false">J90+J91</f>
        <v>3.37167605231477</v>
      </c>
      <c r="K92" s="45" t="n">
        <f aca="false">K90+K91</f>
        <v>5.0796059959629</v>
      </c>
      <c r="L92" s="45" t="n">
        <f aca="false">L90+L91</f>
        <v>6.74452776859479</v>
      </c>
      <c r="M92" s="45" t="n">
        <f aca="false">M90+M91</f>
        <v>6.92038518003869</v>
      </c>
      <c r="N92" s="45" t="n">
        <f aca="false">SUM(B92:M92)</f>
        <v>58.4588568847137</v>
      </c>
    </row>
    <row r="94" customFormat="false" ht="16.5" hidden="false" customHeight="true" outlineLevel="0" collapsed="false">
      <c r="A94" s="46" t="s">
        <v>100</v>
      </c>
    </row>
    <row r="95" customFormat="false" ht="15.75" hidden="false" customHeight="true" outlineLevel="0" collapsed="false">
      <c r="A95" s="39" t="s">
        <v>3</v>
      </c>
      <c r="B95" s="40" t="s">
        <v>78</v>
      </c>
      <c r="C95" s="40" t="s">
        <v>79</v>
      </c>
      <c r="D95" s="40" t="s">
        <v>80</v>
      </c>
      <c r="E95" s="40" t="s">
        <v>81</v>
      </c>
      <c r="F95" s="40" t="s">
        <v>82</v>
      </c>
      <c r="G95" s="40" t="s">
        <v>83</v>
      </c>
      <c r="H95" s="40" t="s">
        <v>84</v>
      </c>
      <c r="I95" s="40" t="s">
        <v>85</v>
      </c>
      <c r="J95" s="40" t="s">
        <v>86</v>
      </c>
      <c r="K95" s="40" t="s">
        <v>87</v>
      </c>
      <c r="L95" s="40" t="s">
        <v>88</v>
      </c>
      <c r="M95" s="40" t="s">
        <v>89</v>
      </c>
      <c r="N95" s="39" t="s">
        <v>59</v>
      </c>
    </row>
    <row r="96" customFormat="false" ht="15" hidden="false" customHeight="true" outlineLevel="0" collapsed="false">
      <c r="A96" s="36" t="s">
        <v>14</v>
      </c>
      <c r="B96" s="41" t="n">
        <f aca="false">B78-B87</f>
        <v>-1.2761310491753</v>
      </c>
      <c r="C96" s="41" t="n">
        <f aca="false">C78-C87</f>
        <v>-1.01570643397615</v>
      </c>
      <c r="D96" s="41" t="n">
        <f aca="false">D78-D87</f>
        <v>-0.634394334118635</v>
      </c>
      <c r="E96" s="41" t="n">
        <f aca="false">E78-E87</f>
        <v>-0.560261843323615</v>
      </c>
      <c r="F96" s="41" t="n">
        <f aca="false">F78-F87</f>
        <v>-0.578560329269589</v>
      </c>
      <c r="G96" s="41" t="n">
        <f aca="false">G78-G87</f>
        <v>-0.668973748013762</v>
      </c>
      <c r="H96" s="41" t="n">
        <f aca="false">H78-H87</f>
        <v>-0.498164468522239</v>
      </c>
      <c r="I96" s="41" t="n">
        <f aca="false">I78-I87</f>
        <v>-0.5266912084269</v>
      </c>
      <c r="J96" s="41" t="n">
        <f aca="false">J78-J87</f>
        <v>-0.418847618760587</v>
      </c>
      <c r="K96" s="41" t="n">
        <f aca="false">K78-K87</f>
        <v>-0.68305218778156</v>
      </c>
      <c r="L96" s="41" t="n">
        <f aca="false">L78-L87</f>
        <v>-0.981142936203464</v>
      </c>
      <c r="M96" s="41" t="n">
        <f aca="false">M78-M87</f>
        <v>-1.12618831041442</v>
      </c>
      <c r="N96" s="41" t="n">
        <f aca="false">SUM(B96:M96)</f>
        <v>-8.96811446798622</v>
      </c>
    </row>
    <row r="97" customFormat="false" ht="15" hidden="false" customHeight="true" outlineLevel="0" collapsed="false">
      <c r="A97" s="36" t="s">
        <v>15</v>
      </c>
      <c r="B97" s="41" t="n">
        <f aca="false">B79-B88</f>
        <v>-0.597228096816243</v>
      </c>
      <c r="C97" s="41" t="n">
        <f aca="false">C79-C88</f>
        <v>-0.345236241243538</v>
      </c>
      <c r="D97" s="41" t="n">
        <f aca="false">D79-D88</f>
        <v>-0.193574910101486</v>
      </c>
      <c r="E97" s="41" t="n">
        <f aca="false">E79-E88</f>
        <v>-0.226557512981075</v>
      </c>
      <c r="F97" s="41" t="n">
        <f aca="false">F79-F88</f>
        <v>-0.300191629748109</v>
      </c>
      <c r="G97" s="41" t="n">
        <f aca="false">G79-G88</f>
        <v>-0.272912449836453</v>
      </c>
      <c r="H97" s="41" t="n">
        <f aca="false">H79-H88</f>
        <v>-0.234809196236967</v>
      </c>
      <c r="I97" s="41" t="n">
        <f aca="false">I79-I88</f>
        <v>-0.265291799116556</v>
      </c>
      <c r="J97" s="41" t="n">
        <f aca="false">J79-J88</f>
        <v>-0.276722775196402</v>
      </c>
      <c r="K97" s="41" t="n">
        <f aca="false">K79-K88</f>
        <v>-0.547742281856838</v>
      </c>
      <c r="L97" s="41" t="n">
        <f aca="false">L79-L88</f>
        <v>-0.42062149381267</v>
      </c>
      <c r="M97" s="41" t="n">
        <f aca="false">M79-M88</f>
        <v>-0.550856748191399</v>
      </c>
      <c r="N97" s="41" t="n">
        <f aca="false">SUM(B97:M97)</f>
        <v>-4.23174513513774</v>
      </c>
    </row>
    <row r="98" customFormat="false" ht="15" hidden="false" customHeight="true" outlineLevel="0" collapsed="false">
      <c r="A98" s="36" t="s">
        <v>16</v>
      </c>
      <c r="B98" s="41" t="n">
        <f aca="false">B80-B89</f>
        <v>-0.935173804854188</v>
      </c>
      <c r="C98" s="41" t="n">
        <f aca="false">C80-C89</f>
        <v>-0.777026261031054</v>
      </c>
      <c r="D98" s="41" t="n">
        <f aca="false">D80-D89</f>
        <v>-0.424687261999128</v>
      </c>
      <c r="E98" s="41" t="n">
        <f aca="false">E80-E89</f>
        <v>-0.520803508625871</v>
      </c>
      <c r="F98" s="41" t="n">
        <f aca="false">F80-F89</f>
        <v>-0.53595225102245</v>
      </c>
      <c r="G98" s="41" t="n">
        <f aca="false">G80-G89</f>
        <v>-0.434351134151294</v>
      </c>
      <c r="H98" s="41" t="n">
        <f aca="false">H80-H89</f>
        <v>-0.35129420869241</v>
      </c>
      <c r="I98" s="41" t="n">
        <f aca="false">I80-I89</f>
        <v>-0.364222911136541</v>
      </c>
      <c r="J98" s="41" t="n">
        <f aca="false">J80-J89</f>
        <v>-0.437746583166987</v>
      </c>
      <c r="K98" s="41" t="n">
        <f aca="false">K80-K89</f>
        <v>-0.558196161892605</v>
      </c>
      <c r="L98" s="41" t="n">
        <f aca="false">L80-L89</f>
        <v>-0.86830514072183</v>
      </c>
      <c r="M98" s="41" t="n">
        <f aca="false">M80-M89</f>
        <v>-0.752822031348708</v>
      </c>
      <c r="N98" s="41" t="n">
        <f aca="false">SUM(B98:M98)</f>
        <v>-6.96058125864307</v>
      </c>
    </row>
    <row r="99" customFormat="false" ht="15" hidden="false" customHeight="true" outlineLevel="0" collapsed="false">
      <c r="A99" s="42" t="s">
        <v>17</v>
      </c>
      <c r="B99" s="43" t="n">
        <f aca="false">B81-B90</f>
        <v>-2.80853295084573</v>
      </c>
      <c r="C99" s="43" t="n">
        <f aca="false">C81-C90</f>
        <v>-2.13796893625074</v>
      </c>
      <c r="D99" s="43" t="n">
        <f aca="false">D81-D90</f>
        <v>-1.25265650621925</v>
      </c>
      <c r="E99" s="43" t="n">
        <f aca="false">E81-E90</f>
        <v>-1.30762286493056</v>
      </c>
      <c r="F99" s="43" t="n">
        <f aca="false">F81-F90</f>
        <v>-1.41470421004015</v>
      </c>
      <c r="G99" s="43" t="n">
        <f aca="false">G81-G90</f>
        <v>-1.37623733200151</v>
      </c>
      <c r="H99" s="43" t="n">
        <f aca="false">H81-H90</f>
        <v>-1.08426787345162</v>
      </c>
      <c r="I99" s="43" t="n">
        <f aca="false">I81-I90</f>
        <v>-1.15620591868</v>
      </c>
      <c r="J99" s="43" t="n">
        <f aca="false">J81-J90</f>
        <v>-1.13331697712398</v>
      </c>
      <c r="K99" s="43" t="n">
        <f aca="false">K81-K90</f>
        <v>-1.788990631531</v>
      </c>
      <c r="L99" s="43" t="n">
        <f aca="false">L81-L90</f>
        <v>-2.27006957073796</v>
      </c>
      <c r="M99" s="43" t="n">
        <f aca="false">M81-M90</f>
        <v>-2.42986708995452</v>
      </c>
      <c r="N99" s="43" t="n">
        <f aca="false">SUM(B99:M99)</f>
        <v>-20.160440861767</v>
      </c>
    </row>
    <row r="100" customFormat="false" ht="15" hidden="false" customHeight="true" outlineLevel="0" collapsed="false">
      <c r="A100" s="36" t="s">
        <v>45</v>
      </c>
      <c r="B100" s="41" t="n">
        <f aca="false">B82-B91</f>
        <v>-0.893572573436298</v>
      </c>
      <c r="C100" s="41" t="n">
        <f aca="false">C82-C91</f>
        <v>-0.698191120757255</v>
      </c>
      <c r="D100" s="41" t="n">
        <f aca="false">D82-D91</f>
        <v>-0.394209850829599</v>
      </c>
      <c r="E100" s="41" t="n">
        <f aca="false">E82-E91</f>
        <v>-0.442137198302301</v>
      </c>
      <c r="F100" s="41" t="n">
        <f aca="false">F82-F91</f>
        <v>-0.476422999201092</v>
      </c>
      <c r="G100" s="41" t="n">
        <f aca="false">G82-G91</f>
        <v>-0.438187632291466</v>
      </c>
      <c r="H100" s="41" t="n">
        <f aca="false">H82-H91</f>
        <v>-0.343994517977008</v>
      </c>
      <c r="I100" s="41" t="n">
        <f aca="false">I82-I91</f>
        <v>-0.368464554103101</v>
      </c>
      <c r="J100" s="41" t="n">
        <f aca="false">J82-J91</f>
        <v>-0.381974832766553</v>
      </c>
      <c r="K100" s="41" t="n">
        <f aca="false">K82-K91</f>
        <v>-0.581002637159168</v>
      </c>
      <c r="L100" s="41" t="n">
        <f aca="false">L82-L91</f>
        <v>-0.757954561493187</v>
      </c>
      <c r="M100" s="41" t="n">
        <f aca="false">M82-M91</f>
        <v>-0.776242938569017</v>
      </c>
      <c r="N100" s="41" t="n">
        <f aca="false">SUM(B100:M100)</f>
        <v>-6.55235541688605</v>
      </c>
    </row>
    <row r="101" customFormat="false" ht="15.75" hidden="false" customHeight="true" outlineLevel="0" collapsed="false">
      <c r="A101" s="44" t="s">
        <v>90</v>
      </c>
      <c r="B101" s="45" t="n">
        <f aca="false">B83-B92</f>
        <v>-3.70210552428203</v>
      </c>
      <c r="C101" s="45" t="n">
        <f aca="false">C83-C92</f>
        <v>-2.836160057008</v>
      </c>
      <c r="D101" s="45" t="n">
        <f aca="false">D83-D92</f>
        <v>-1.64686635704885</v>
      </c>
      <c r="E101" s="45" t="n">
        <f aca="false">E83-E92</f>
        <v>-1.74976006323286</v>
      </c>
      <c r="F101" s="45" t="n">
        <f aca="false">F83-F92</f>
        <v>-1.89112720924124</v>
      </c>
      <c r="G101" s="45" t="n">
        <f aca="false">G83-G92</f>
        <v>-1.81442496429298</v>
      </c>
      <c r="H101" s="45" t="n">
        <f aca="false">H83-H92</f>
        <v>-1.42826239142862</v>
      </c>
      <c r="I101" s="45" t="n">
        <f aca="false">I83-I92</f>
        <v>-1.5246704727831</v>
      </c>
      <c r="J101" s="45" t="n">
        <f aca="false">J83-J92</f>
        <v>-1.51529180989053</v>
      </c>
      <c r="K101" s="45" t="n">
        <f aca="false">K83-K92</f>
        <v>-2.36999326869017</v>
      </c>
      <c r="L101" s="45" t="n">
        <f aca="false">L83-L92</f>
        <v>-3.02802413223115</v>
      </c>
      <c r="M101" s="45" t="n">
        <f aca="false">M83-M92</f>
        <v>-3.20611002852354</v>
      </c>
      <c r="N101" s="45" t="n">
        <f aca="false">SUM(B101:M101)</f>
        <v>-26.7127962786531</v>
      </c>
    </row>
    <row r="103" customFormat="false" ht="15" hidden="false" customHeight="true" outlineLevel="0" collapsed="false">
      <c r="A103" s="46" t="s">
        <v>101</v>
      </c>
    </row>
    <row r="104" customFormat="false" ht="15.75" hidden="false" customHeight="true" outlineLevel="0" collapsed="false">
      <c r="A104" s="39" t="s">
        <v>3</v>
      </c>
      <c r="B104" s="40" t="s">
        <v>78</v>
      </c>
      <c r="C104" s="40" t="s">
        <v>79</v>
      </c>
      <c r="D104" s="40" t="s">
        <v>80</v>
      </c>
      <c r="E104" s="40" t="s">
        <v>81</v>
      </c>
      <c r="F104" s="40" t="s">
        <v>82</v>
      </c>
      <c r="G104" s="40" t="s">
        <v>83</v>
      </c>
      <c r="H104" s="40" t="s">
        <v>84</v>
      </c>
      <c r="I104" s="40" t="s">
        <v>85</v>
      </c>
      <c r="J104" s="40" t="s">
        <v>86</v>
      </c>
      <c r="K104" s="40" t="s">
        <v>87</v>
      </c>
      <c r="L104" s="40" t="s">
        <v>88</v>
      </c>
      <c r="M104" s="40" t="s">
        <v>89</v>
      </c>
      <c r="N104" s="39" t="s">
        <v>59</v>
      </c>
    </row>
    <row r="105" customFormat="false" ht="15" hidden="false" customHeight="true" outlineLevel="0" collapsed="false">
      <c r="A105" s="36" t="s">
        <v>14</v>
      </c>
      <c r="B105" s="47" t="n">
        <f aca="false">IF(B87=0,0,B96/B87)</f>
        <v>-0.525561027527213</v>
      </c>
      <c r="C105" s="47" t="n">
        <f aca="false">IF(C87=0,0,C96/C87)</f>
        <v>-0.529094665725733</v>
      </c>
      <c r="D105" s="47" t="n">
        <f aca="false">IF(D87=0,0,D96/D87)</f>
        <v>-0.531143120824301</v>
      </c>
      <c r="E105" s="47" t="n">
        <f aca="false">IF(E87=0,0,E96/E87)</f>
        <v>-0.52643233132737</v>
      </c>
      <c r="F105" s="47" t="n">
        <f aca="false">IF(F87=0,0,F96/F87)</f>
        <v>-0.526653214989351</v>
      </c>
      <c r="G105" s="47" t="n">
        <f aca="false">IF(G87=0,0,G96/G87)</f>
        <v>-0.530521550561623</v>
      </c>
      <c r="H105" s="47" t="n">
        <f aca="false">IF(H87=0,0,H96/H87)</f>
        <v>-0.530999078772327</v>
      </c>
      <c r="I105" s="47" t="n">
        <f aca="false">IF(I87=0,0,I96/I87)</f>
        <v>-0.527381440812444</v>
      </c>
      <c r="J105" s="47" t="n">
        <f aca="false">IF(J87=0,0,J96/J87)</f>
        <v>-0.532310969461076</v>
      </c>
      <c r="K105" s="47" t="n">
        <f aca="false">IF(K87=0,0,K96/K87)</f>
        <v>-0.529066287363071</v>
      </c>
      <c r="L105" s="47" t="n">
        <f aca="false">IF(L87=0,0,L96/L87)</f>
        <v>-0.529448062011629</v>
      </c>
      <c r="M105" s="47" t="n">
        <f aca="false">IF(M87=0,0,M96/M87)</f>
        <v>-0.527689288203314</v>
      </c>
      <c r="N105" s="47" t="n">
        <f aca="false">IF(N87=0,0,N96/N87)</f>
        <v>-0.528527461604905</v>
      </c>
    </row>
    <row r="106" customFormat="false" ht="15" hidden="false" customHeight="true" outlineLevel="0" collapsed="false">
      <c r="A106" s="36" t="s">
        <v>15</v>
      </c>
      <c r="B106" s="47" t="n">
        <f aca="false">IF(B88=0,0,B97/B88)</f>
        <v>-0.627190164639191</v>
      </c>
      <c r="C106" s="47" t="n">
        <f aca="false">IF(C88=0,0,C97/C88)</f>
        <v>-0.630296509976664</v>
      </c>
      <c r="D106" s="47" t="n">
        <f aca="false">IF(D88=0,0,D97/D88)</f>
        <v>-0.627319019676039</v>
      </c>
      <c r="E106" s="47" t="n">
        <f aca="false">IF(E88=0,0,E97/E88)</f>
        <v>-0.630978338539922</v>
      </c>
      <c r="F106" s="47" t="n">
        <f aca="false">IF(F88=0,0,F97/F88)</f>
        <v>-0.628421372814095</v>
      </c>
      <c r="G106" s="47" t="n">
        <f aca="false">IF(G88=0,0,G97/G88)</f>
        <v>-0.626790643995051</v>
      </c>
      <c r="H106" s="47" t="n">
        <f aca="false">IF(H88=0,0,H97/H88)</f>
        <v>-0.630683310029001</v>
      </c>
      <c r="I106" s="47" t="n">
        <f aca="false">IF(I88=0,0,I97/I88)</f>
        <v>-0.62747621801297</v>
      </c>
      <c r="J106" s="47" t="n">
        <f aca="false">IF(J88=0,0,J97/J88)</f>
        <v>-0.626462547857903</v>
      </c>
      <c r="K106" s="47" t="n">
        <f aca="false">IF(K88=0,0,K97/K88)</f>
        <v>-0.629413547556112</v>
      </c>
      <c r="L106" s="47" t="n">
        <f aca="false">IF(L88=0,0,L97/L88)</f>
        <v>-0.629558392759334</v>
      </c>
      <c r="M106" s="47" t="n">
        <f aca="false">IF(M88=0,0,M97/M88)</f>
        <v>-0.628934753689905</v>
      </c>
      <c r="N106" s="47" t="n">
        <f aca="false">IF(N88=0,0,N97/N88)</f>
        <v>-0.628625274752199</v>
      </c>
    </row>
    <row r="107" customFormat="false" ht="15" hidden="false" customHeight="true" outlineLevel="0" collapsed="false">
      <c r="A107" s="36" t="s">
        <v>16</v>
      </c>
      <c r="B107" s="47" t="n">
        <f aca="false">IF(B89=0,0,B98/B89)</f>
        <v>-0.341586827468785</v>
      </c>
      <c r="C107" s="47" t="n">
        <f aca="false">IF(C89=0,0,C98/C89)</f>
        <v>-0.331773323944138</v>
      </c>
      <c r="D107" s="47" t="n">
        <f aca="false">IF(D89=0,0,D98/D89)</f>
        <v>-0.336229550226769</v>
      </c>
      <c r="E107" s="47" t="n">
        <f aca="false">IF(E89=0,0,E98/E89)</f>
        <v>-0.329044180341435</v>
      </c>
      <c r="F107" s="47" t="n">
        <f aca="false">IF(F89=0,0,F98/F89)</f>
        <v>-0.329639829135044</v>
      </c>
      <c r="G107" s="47" t="n">
        <f aca="false">IF(G89=0,0,G98/G89)</f>
        <v>-0.333937009717512</v>
      </c>
      <c r="H107" s="47" t="n">
        <f aca="false">IF(H89=0,0,H98/H89)</f>
        <v>-0.334578379953701</v>
      </c>
      <c r="I107" s="47" t="n">
        <f aca="false">IF(I89=0,0,I98/I89)</f>
        <v>-0.329670305593076</v>
      </c>
      <c r="J107" s="47" t="n">
        <f aca="false">IF(J89=0,0,J98/J89)</f>
        <v>-0.328628727821522</v>
      </c>
      <c r="K107" s="47" t="n">
        <f aca="false">IF(K89=0,0,K98/K89)</f>
        <v>-0.330286519589914</v>
      </c>
      <c r="L107" s="47" t="n">
        <f aca="false">IF(L89=0,0,L98/L89)</f>
        <v>-0.330286519589914</v>
      </c>
      <c r="M107" s="47" t="n">
        <f aca="false">IF(M89=0,0,M98/M89)</f>
        <v>-0.330777691926115</v>
      </c>
      <c r="N107" s="47" t="n">
        <f aca="false">IF(N89=0,0,N98/N89)</f>
        <v>-0.332502610921654</v>
      </c>
    </row>
    <row r="108" customFormat="false" ht="15" hidden="false" customHeight="true" outlineLevel="0" collapsed="false">
      <c r="A108" s="42" t="s">
        <v>17</v>
      </c>
      <c r="B108" s="48" t="n">
        <f aca="false">IF(B90=0,0,B99/B90)</f>
        <v>-0.459053658290284</v>
      </c>
      <c r="C108" s="48" t="n">
        <f aca="false">IF(C90=0,0,C99/C90)</f>
        <v>-0.444532034096808</v>
      </c>
      <c r="D108" s="48" t="n">
        <f aca="false">IF(D90=0,0,D99/D90)</f>
        <v>-0.452867287202107</v>
      </c>
      <c r="E108" s="48" t="n">
        <f aca="false">IF(E90=0,0,E99/E90)</f>
        <v>-0.434990359152761</v>
      </c>
      <c r="F108" s="48" t="n">
        <f aca="false">IF(F90=0,0,F99/F90)</f>
        <v>-0.441801790700184</v>
      </c>
      <c r="G108" s="48" t="n">
        <f aca="false">IF(G90=0,0,G99/G90)</f>
        <v>-0.459192112270818</v>
      </c>
      <c r="H108" s="48" t="n">
        <f aca="false">IF(H90=0,0,H99/H90)</f>
        <v>-0.459350960606297</v>
      </c>
      <c r="I108" s="48" t="n">
        <f aca="false">IF(I90=0,0,I99/I90)</f>
        <v>-0.457669046485896</v>
      </c>
      <c r="J108" s="48" t="n">
        <f aca="false">IF(J90=0,0,J99/J90)</f>
        <v>-0.442596428084199</v>
      </c>
      <c r="K108" s="48" t="n">
        <f aca="false">IF(K90=0,0,K99/K90)</f>
        <v>-0.46451234720916</v>
      </c>
      <c r="L108" s="48" t="n">
        <f aca="false">IF(L90=0,0,L99/L90)</f>
        <v>-0.440772271411217</v>
      </c>
      <c r="M108" s="48" t="n">
        <f aca="false">IF(M90=0,0,M99/M90)</f>
        <v>-0.459683178718003</v>
      </c>
      <c r="N108" s="48" t="n">
        <f aca="false">IF(N90=0,0,N99/N90)</f>
        <v>-0.451685774401308</v>
      </c>
    </row>
    <row r="109" customFormat="false" ht="15" hidden="false" customHeight="true" outlineLevel="0" collapsed="false">
      <c r="A109" s="36" t="s">
        <v>45</v>
      </c>
      <c r="B109" s="47" t="n">
        <f aca="false">IF(B91=0,0,B100/B91)</f>
        <v>-0.472805679261995</v>
      </c>
      <c r="C109" s="47" t="n">
        <f aca="false">IF(C91=0,0,C100/C91)</f>
        <v>-0.475250847568337</v>
      </c>
      <c r="D109" s="47" t="n">
        <f aca="false">IF(D91=0,0,D100/D91)</f>
        <v>-0.470503827579941</v>
      </c>
      <c r="E109" s="47" t="n">
        <f aca="false">IF(E91=0,0,E100/E91)</f>
        <v>-0.475718180036381</v>
      </c>
      <c r="F109" s="47" t="n">
        <f aca="false">IF(F91=0,0,F100/F91)</f>
        <v>-0.47639471905882</v>
      </c>
      <c r="G109" s="47" t="n">
        <f aca="false">IF(G91=0,0,G100/G91)</f>
        <v>-0.477231033049212</v>
      </c>
      <c r="H109" s="47" t="n">
        <f aca="false">IF(H91=0,0,H100/H91)</f>
        <v>-0.471581273075808</v>
      </c>
      <c r="I109" s="47" t="n">
        <f aca="false">IF(I91=0,0,I100/I91)</f>
        <v>-0.470574513777999</v>
      </c>
      <c r="J109" s="47" t="n">
        <f aca="false">IF(J91=0,0,J100/J91)</f>
        <v>-0.470954218694743</v>
      </c>
      <c r="K109" s="47" t="n">
        <f aca="false">IF(K91=0,0,K100/K91)</f>
        <v>-0.473023113532766</v>
      </c>
      <c r="L109" s="47" t="n">
        <f aca="false">IF(L91=0,0,L100/L91)</f>
        <v>-0.475409841342885</v>
      </c>
      <c r="M109" s="47" t="n">
        <f aca="false">IF(M91=0,0,M100/M91)</f>
        <v>-0.474933419457102</v>
      </c>
      <c r="N109" s="47" t="n">
        <f aca="false">IF(N91=0,0,N100/N91)</f>
        <v>-0.473946924151765</v>
      </c>
    </row>
    <row r="110" customFormat="false" ht="15.75" hidden="false" customHeight="true" outlineLevel="0" collapsed="false">
      <c r="A110" s="44" t="s">
        <v>90</v>
      </c>
      <c r="B110" s="49" t="n">
        <f aca="false">IF(B92=0,0,B101/B92)</f>
        <v>-0.462299206211124</v>
      </c>
      <c r="C110" s="49" t="n">
        <f aca="false">IF(C92=0,0,C101/C92)</f>
        <v>-0.451719805462069</v>
      </c>
      <c r="D110" s="49" t="n">
        <f aca="false">IF(D92=0,0,D101/D92)</f>
        <v>-0.45696748349959</v>
      </c>
      <c r="E110" s="49" t="n">
        <f aca="false">IF(E92=0,0,E101/E92)</f>
        <v>-0.44460864960516</v>
      </c>
      <c r="F110" s="49" t="n">
        <f aca="false">IF(F92=0,0,F101/F92)</f>
        <v>-0.450034411025556</v>
      </c>
      <c r="G110" s="49" t="n">
        <f aca="false">IF(G92=0,0,G101/G92)</f>
        <v>-0.463422499206844</v>
      </c>
      <c r="H110" s="49" t="n">
        <f aca="false">IF(H92=0,0,H101/H92)</f>
        <v>-0.462238250589036</v>
      </c>
      <c r="I110" s="49" t="n">
        <f aca="false">IF(I92=0,0,I101/I92)</f>
        <v>-0.460722593198227</v>
      </c>
      <c r="J110" s="49" t="n">
        <f aca="false">IF(J92=0,0,J101/J92)</f>
        <v>-0.449417970878379</v>
      </c>
      <c r="K110" s="49" t="n">
        <f aca="false">IF(K92=0,0,K101/K92)</f>
        <v>-0.466570295131899</v>
      </c>
      <c r="L110" s="49" t="n">
        <f aca="false">IF(L92=0,0,L101/L92)</f>
        <v>-0.448960140149595</v>
      </c>
      <c r="M110" s="49" t="n">
        <f aca="false">IF(M92=0,0,M101/M92)</f>
        <v>-0.463284910465867</v>
      </c>
      <c r="N110" s="49" t="n">
        <f aca="false">IF(N92=0,0,N101/N92)</f>
        <v>-0.456950369921417</v>
      </c>
    </row>
    <row r="112" customFormat="false" ht="16.5" hidden="false" customHeight="true" outlineLevel="0" collapsed="false">
      <c r="A112" s="38" t="s">
        <v>102</v>
      </c>
    </row>
    <row r="113" customFormat="false" ht="15.75" hidden="false" customHeight="true" outlineLevel="0" collapsed="false">
      <c r="A113" s="39" t="s">
        <v>3</v>
      </c>
      <c r="B113" s="40" t="s">
        <v>78</v>
      </c>
      <c r="C113" s="40" t="s">
        <v>79</v>
      </c>
      <c r="D113" s="40" t="s">
        <v>80</v>
      </c>
      <c r="E113" s="40" t="s">
        <v>81</v>
      </c>
      <c r="F113" s="40" t="s">
        <v>82</v>
      </c>
      <c r="G113" s="40" t="s">
        <v>83</v>
      </c>
      <c r="H113" s="40" t="s">
        <v>84</v>
      </c>
      <c r="I113" s="40" t="s">
        <v>85</v>
      </c>
      <c r="J113" s="40" t="s">
        <v>86</v>
      </c>
      <c r="K113" s="40" t="s">
        <v>87</v>
      </c>
      <c r="L113" s="40" t="s">
        <v>88</v>
      </c>
      <c r="M113" s="40" t="s">
        <v>89</v>
      </c>
      <c r="N113" s="39" t="s">
        <v>59</v>
      </c>
    </row>
    <row r="114" customFormat="false" ht="15" hidden="false" customHeight="true" outlineLevel="0" collapsed="false">
      <c r="A114" s="36" t="s">
        <v>14</v>
      </c>
      <c r="B114" s="47" t="n">
        <f aca="false">IF(B6=0,0,B78/B6)</f>
        <v>0.242424242424242</v>
      </c>
      <c r="C114" s="47" t="n">
        <f aca="false">IF(C6=0,0,C78/C6)</f>
        <v>0.242424242424242</v>
      </c>
      <c r="D114" s="47" t="n">
        <f aca="false">IF(D6=0,0,D78/D6)</f>
        <v>0.242424242424242</v>
      </c>
      <c r="E114" s="47" t="n">
        <f aca="false">IF(E6=0,0,E78/E6)</f>
        <v>0.242424242424242</v>
      </c>
      <c r="F114" s="47" t="n">
        <f aca="false">IF(F6=0,0,F78/F6)</f>
        <v>0.242424242424242</v>
      </c>
      <c r="G114" s="47" t="n">
        <f aca="false">IF(G6=0,0,G78/G6)</f>
        <v>0.242424242424242</v>
      </c>
      <c r="H114" s="47" t="n">
        <f aca="false">IF(H6=0,0,H78/H6)</f>
        <v>0.242424242424242</v>
      </c>
      <c r="I114" s="47" t="n">
        <f aca="false">IF(I6=0,0,I78/I6)</f>
        <v>0.242424242424242</v>
      </c>
      <c r="J114" s="47" t="n">
        <f aca="false">IF(J6=0,0,J78/J6)</f>
        <v>0.242424242424242</v>
      </c>
      <c r="K114" s="47" t="n">
        <f aca="false">IF(K6=0,0,K78/K6)</f>
        <v>0.242424242424242</v>
      </c>
      <c r="L114" s="47" t="n">
        <f aca="false">IF(L6=0,0,L78/L6)</f>
        <v>0.242424242424242</v>
      </c>
      <c r="M114" s="47" t="n">
        <f aca="false">IF(M6=0,0,M78/M6)</f>
        <v>0.242424242424242</v>
      </c>
      <c r="N114" s="47" t="n">
        <f aca="false">IF(N6=0,0,N78/N6)</f>
        <v>0.242424242424242</v>
      </c>
    </row>
    <row r="115" customFormat="false" ht="15" hidden="false" customHeight="true" outlineLevel="0" collapsed="false">
      <c r="A115" s="36" t="s">
        <v>15</v>
      </c>
      <c r="B115" s="47" t="n">
        <f aca="false">IF(B7=0,0,B79/B7)</f>
        <v>0.0476190476190476</v>
      </c>
      <c r="C115" s="47" t="n">
        <f aca="false">IF(C7=0,0,C79/C7)</f>
        <v>0.0476190476190476</v>
      </c>
      <c r="D115" s="47" t="n">
        <f aca="false">IF(D7=0,0,D79/D7)</f>
        <v>0.0476190476190476</v>
      </c>
      <c r="E115" s="47" t="n">
        <f aca="false">IF(E7=0,0,E79/E7)</f>
        <v>0.0476190476190476</v>
      </c>
      <c r="F115" s="47" t="n">
        <f aca="false">IF(F7=0,0,F79/F7)</f>
        <v>0.0476190476190476</v>
      </c>
      <c r="G115" s="47" t="n">
        <f aca="false">IF(G7=0,0,G79/G7)</f>
        <v>0.0476190476190476</v>
      </c>
      <c r="H115" s="47" t="n">
        <f aca="false">IF(H7=0,0,H79/H7)</f>
        <v>0.0476190476190476</v>
      </c>
      <c r="I115" s="47" t="n">
        <f aca="false">IF(I7=0,0,I79/I7)</f>
        <v>0.0476190476190476</v>
      </c>
      <c r="J115" s="47" t="n">
        <f aca="false">IF(J7=0,0,J79/J7)</f>
        <v>0.0476190476190476</v>
      </c>
      <c r="K115" s="47" t="n">
        <f aca="false">IF(K7=0,0,K79/K7)</f>
        <v>0.0476190476190476</v>
      </c>
      <c r="L115" s="47" t="n">
        <f aca="false">IF(L7=0,0,L79/L7)</f>
        <v>0.0476190476190476</v>
      </c>
      <c r="M115" s="47" t="n">
        <f aca="false">IF(M7=0,0,M79/M7)</f>
        <v>0.0476190476190476</v>
      </c>
      <c r="N115" s="47" t="n">
        <f aca="false">IF(N7=0,0,N79/N7)</f>
        <v>0.0476190476190476</v>
      </c>
    </row>
    <row r="116" customFormat="false" ht="15" hidden="false" customHeight="true" outlineLevel="0" collapsed="false">
      <c r="A116" s="36" t="s">
        <v>16</v>
      </c>
      <c r="B116" s="47" t="n">
        <f aca="false">IF(B8=0,0,B80/B8)</f>
        <v>0.242424242424242</v>
      </c>
      <c r="C116" s="47" t="n">
        <f aca="false">IF(C8=0,0,C80/C8)</f>
        <v>0.242424242424242</v>
      </c>
      <c r="D116" s="47" t="n">
        <f aca="false">IF(D8=0,0,D80/D8)</f>
        <v>0.242424242424242</v>
      </c>
      <c r="E116" s="47" t="n">
        <f aca="false">IF(E8=0,0,E80/E8)</f>
        <v>0.242424242424242</v>
      </c>
      <c r="F116" s="47" t="n">
        <f aca="false">IF(F8=0,0,F80/F8)</f>
        <v>0.242424242424242</v>
      </c>
      <c r="G116" s="47" t="n">
        <f aca="false">IF(G8=0,0,G80/G8)</f>
        <v>0.242424242424242</v>
      </c>
      <c r="H116" s="47" t="n">
        <f aca="false">IF(H8=0,0,H80/H8)</f>
        <v>0.242424242424242</v>
      </c>
      <c r="I116" s="47" t="n">
        <f aca="false">IF(I8=0,0,I80/I8)</f>
        <v>0.242424242424242</v>
      </c>
      <c r="J116" s="47" t="n">
        <f aca="false">IF(J8=0,0,J80/J8)</f>
        <v>0.242424242424242</v>
      </c>
      <c r="K116" s="47" t="n">
        <f aca="false">IF(K8=0,0,K80/K8)</f>
        <v>0.242424242424242</v>
      </c>
      <c r="L116" s="47" t="n">
        <f aca="false">IF(L8=0,0,L80/L8)</f>
        <v>0.242424242424242</v>
      </c>
      <c r="M116" s="47" t="n">
        <f aca="false">IF(M8=0,0,M80/M8)</f>
        <v>0.242424242424242</v>
      </c>
      <c r="N116" s="47" t="n">
        <f aca="false">IF(N8=0,0,N80/N8)</f>
        <v>0.242424242424242</v>
      </c>
    </row>
    <row r="117" customFormat="false" ht="15" hidden="false" customHeight="true" outlineLevel="0" collapsed="false">
      <c r="A117" s="42" t="s">
        <v>17</v>
      </c>
      <c r="B117" s="48" t="n">
        <f aca="false">IF(B9=0,0,B81/B9)</f>
        <v>0.168489239691771</v>
      </c>
      <c r="C117" s="48" t="n">
        <f aca="false">IF(C9=0,0,C81/C9)</f>
        <v>0.185043985967712</v>
      </c>
      <c r="D117" s="48" t="n">
        <f aca="false">IF(D9=0,0,D81/D9)</f>
        <v>0.184935356942102</v>
      </c>
      <c r="E117" s="48" t="n">
        <f aca="false">IF(E9=0,0,E81/E9)</f>
        <v>0.18377489773292</v>
      </c>
      <c r="F117" s="48" t="n">
        <f aca="false">IF(F9=0,0,F81/F9)</f>
        <v>0.172390778922922</v>
      </c>
      <c r="G117" s="48" t="n">
        <f aca="false">IF(G9=0,0,G81/G9)</f>
        <v>0.171915116880105</v>
      </c>
      <c r="H117" s="48" t="n">
        <f aca="false">IF(H9=0,0,H81/H9)</f>
        <v>0.168259828158305</v>
      </c>
      <c r="I117" s="48" t="n">
        <f aca="false">IF(I9=0,0,I81/I9)</f>
        <v>0.164883549834605</v>
      </c>
      <c r="J117" s="48" t="n">
        <f aca="false">IF(J9=0,0,J81/J9)</f>
        <v>0.164587167529986</v>
      </c>
      <c r="K117" s="48" t="n">
        <f aca="false">IF(K9=0,0,K81/K9)</f>
        <v>0.147844987648161</v>
      </c>
      <c r="L117" s="48" t="n">
        <f aca="false">IF(L9=0,0,L81/L9)</f>
        <v>0.179368181382239</v>
      </c>
      <c r="M117" s="48" t="n">
        <f aca="false">IF(M9=0,0,M81/M9)</f>
        <v>0.165419496931113</v>
      </c>
      <c r="N117" s="48" t="n">
        <f aca="false">IF(N9=0,0,N81/N9)</f>
        <v>0.170974803222952</v>
      </c>
    </row>
    <row r="118" customFormat="false" ht="15" hidden="false" customHeight="true" outlineLevel="0" collapsed="false">
      <c r="A118" s="36" t="s">
        <v>45</v>
      </c>
      <c r="B118" s="47" t="n">
        <f aca="false">IF(B10=0,0,B82/B10)</f>
        <v>0.242424242424242</v>
      </c>
      <c r="C118" s="47" t="n">
        <f aca="false">IF(C10=0,0,C82/C10)</f>
        <v>0.242424242424242</v>
      </c>
      <c r="D118" s="47" t="n">
        <f aca="false">IF(D10=0,0,D82/D10)</f>
        <v>0.242424242424242</v>
      </c>
      <c r="E118" s="47" t="n">
        <f aca="false">IF(E10=0,0,E82/E10)</f>
        <v>0.242424242424242</v>
      </c>
      <c r="F118" s="47" t="n">
        <f aca="false">IF(F10=0,0,F82/F10)</f>
        <v>0.242424242424243</v>
      </c>
      <c r="G118" s="47" t="n">
        <f aca="false">IF(G10=0,0,G82/G10)</f>
        <v>0.242424242424242</v>
      </c>
      <c r="H118" s="47" t="n">
        <f aca="false">IF(H10=0,0,H82/H10)</f>
        <v>0.242424242424242</v>
      </c>
      <c r="I118" s="47" t="n">
        <f aca="false">IF(I10=0,0,I82/I10)</f>
        <v>0.242424242424242</v>
      </c>
      <c r="J118" s="47" t="n">
        <f aca="false">IF(J10=0,0,J82/J10)</f>
        <v>0.242424242424242</v>
      </c>
      <c r="K118" s="47" t="n">
        <f aca="false">IF(K10=0,0,K82/K10)</f>
        <v>0.242424242424242</v>
      </c>
      <c r="L118" s="47" t="n">
        <f aca="false">IF(L10=0,0,L82/L10)</f>
        <v>0.242424242424242</v>
      </c>
      <c r="M118" s="47" t="n">
        <f aca="false">IF(M10=0,0,M82/M10)</f>
        <v>0.242424242424242</v>
      </c>
      <c r="N118" s="47" t="n">
        <f aca="false">IF(N10=0,0,N82/N10)</f>
        <v>0.242424242424242</v>
      </c>
    </row>
    <row r="119" customFormat="false" ht="15.75" hidden="false" customHeight="true" outlineLevel="0" collapsed="false">
      <c r="A119" s="44" t="s">
        <v>90</v>
      </c>
      <c r="B119" s="49" t="n">
        <f aca="false">IF(B11=0,0,B83/B11)</f>
        <v>0.181282507500818</v>
      </c>
      <c r="C119" s="49" t="n">
        <f aca="false">IF(C11=0,0,C83/C11)</f>
        <v>0.195401444739875</v>
      </c>
      <c r="D119" s="49" t="n">
        <f aca="false">IF(D11=0,0,D83/D11)</f>
        <v>0.195441744426105</v>
      </c>
      <c r="E119" s="49" t="n">
        <f aca="false">IF(E11=0,0,E83/E11)</f>
        <v>0.194251587751846</v>
      </c>
      <c r="F119" s="49" t="n">
        <f aca="false">IF(F11=0,0,F83/F11)</f>
        <v>0.18446510921859</v>
      </c>
      <c r="G119" s="49" t="n">
        <f aca="false">IF(G11=0,0,G83/G11)</f>
        <v>0.184152657712858</v>
      </c>
      <c r="H119" s="49" t="n">
        <f aca="false">IF(H11=0,0,H83/H11)</f>
        <v>0.181112999304726</v>
      </c>
      <c r="I119" s="49" t="n">
        <f aca="false">IF(I11=0,0,I83/I11)</f>
        <v>0.178117308308477</v>
      </c>
      <c r="J119" s="49" t="n">
        <f aca="false">IF(J11=0,0,J83/J11)</f>
        <v>0.177781206059422</v>
      </c>
      <c r="K119" s="49" t="n">
        <f aca="false">IF(K11=0,0,K83/K11)</f>
        <v>0.163039731257242</v>
      </c>
      <c r="L119" s="49" t="n">
        <f aca="false">IF(L11=0,0,L83/L11)</f>
        <v>0.190520170376777</v>
      </c>
      <c r="M119" s="49" t="n">
        <f aca="false">IF(M11=0,0,M83/M11)</f>
        <v>0.178521484027267</v>
      </c>
      <c r="N119" s="49" t="n">
        <f aca="false">IF(N11=0,0,N83/N11)</f>
        <v>0.183354860841288</v>
      </c>
    </row>
    <row r="121" customFormat="false" ht="16.5" hidden="false" customHeight="true" outlineLevel="0" collapsed="false">
      <c r="A121" s="38" t="s">
        <v>103</v>
      </c>
    </row>
    <row r="122" customFormat="false" ht="15.75" hidden="false" customHeight="true" outlineLevel="0" collapsed="false">
      <c r="A122" s="39" t="s">
        <v>3</v>
      </c>
      <c r="B122" s="40" t="s">
        <v>78</v>
      </c>
      <c r="C122" s="40" t="s">
        <v>79</v>
      </c>
      <c r="D122" s="40" t="s">
        <v>80</v>
      </c>
      <c r="E122" s="40" t="s">
        <v>81</v>
      </c>
      <c r="F122" s="40" t="s">
        <v>82</v>
      </c>
      <c r="G122" s="40" t="s">
        <v>83</v>
      </c>
      <c r="H122" s="40" t="s">
        <v>84</v>
      </c>
      <c r="I122" s="40" t="s">
        <v>85</v>
      </c>
      <c r="J122" s="40" t="s">
        <v>86</v>
      </c>
      <c r="K122" s="40" t="s">
        <v>87</v>
      </c>
      <c r="L122" s="40" t="s">
        <v>88</v>
      </c>
      <c r="M122" s="40" t="s">
        <v>89</v>
      </c>
      <c r="N122" s="39" t="s">
        <v>59</v>
      </c>
    </row>
    <row r="123" customFormat="false" ht="15" hidden="false" customHeight="true" outlineLevel="0" collapsed="false">
      <c r="A123" s="36" t="s">
        <v>14</v>
      </c>
      <c r="B123" s="47" t="n">
        <f aca="false">IF(B15=0,0,B87/B15)</f>
        <v>0.341720621026352</v>
      </c>
      <c r="C123" s="47" t="n">
        <f aca="false">IF(C15=0,0,C87/C15)</f>
        <v>0.341720621026352</v>
      </c>
      <c r="D123" s="47" t="n">
        <f aca="false">IF(D15=0,0,D87/D15)</f>
        <v>0.341720621026352</v>
      </c>
      <c r="E123" s="47" t="n">
        <f aca="false">IF(E15=0,0,E87/E15)</f>
        <v>0.341720621026352</v>
      </c>
      <c r="F123" s="47" t="n">
        <f aca="false">IF(F15=0,0,F87/F15)</f>
        <v>0.341720621026352</v>
      </c>
      <c r="G123" s="47" t="n">
        <f aca="false">IF(G15=0,0,G87/G15)</f>
        <v>0.341720621026352</v>
      </c>
      <c r="H123" s="47" t="n">
        <f aca="false">IF(H15=0,0,H87/H15)</f>
        <v>0.341720621026352</v>
      </c>
      <c r="I123" s="47" t="n">
        <f aca="false">IF(I15=0,0,I87/I15)</f>
        <v>0.341720621026352</v>
      </c>
      <c r="J123" s="47" t="n">
        <f aca="false">IF(J15=0,0,J87/J15)</f>
        <v>0.341720621026352</v>
      </c>
      <c r="K123" s="47" t="n">
        <f aca="false">IF(K15=0,0,K87/K15)</f>
        <v>0.341720621026352</v>
      </c>
      <c r="L123" s="47" t="n">
        <f aca="false">IF(L15=0,0,L87/L15)</f>
        <v>0.341720621026352</v>
      </c>
      <c r="M123" s="47" t="n">
        <f aca="false">IF(M15=0,0,M87/M15)</f>
        <v>0.341720621026352</v>
      </c>
      <c r="N123" s="47" t="n">
        <f aca="false">IF(N15=0,0,N87/N15)</f>
        <v>0.341720621026352</v>
      </c>
    </row>
    <row r="124" customFormat="false" ht="15" hidden="false" customHeight="true" outlineLevel="0" collapsed="false">
      <c r="A124" s="36" t="s">
        <v>15</v>
      </c>
      <c r="B124" s="47" t="n">
        <f aca="false">IF(B16=0,0,B88/B16)</f>
        <v>0.136658748673376</v>
      </c>
      <c r="C124" s="47" t="n">
        <f aca="false">IF(C16=0,0,C88/C16)</f>
        <v>0.136658748673376</v>
      </c>
      <c r="D124" s="47" t="n">
        <f aca="false">IF(D16=0,0,D88/D16)</f>
        <v>0.136658748673376</v>
      </c>
      <c r="E124" s="47" t="n">
        <f aca="false">IF(E16=0,0,E88/E16)</f>
        <v>0.136658748673376</v>
      </c>
      <c r="F124" s="47" t="n">
        <f aca="false">IF(F16=0,0,F88/F16)</f>
        <v>0.136658748673376</v>
      </c>
      <c r="G124" s="47" t="n">
        <f aca="false">IF(G16=0,0,G88/G16)</f>
        <v>0.136658748673376</v>
      </c>
      <c r="H124" s="47" t="n">
        <f aca="false">IF(H16=0,0,H88/H16)</f>
        <v>0.136658748673376</v>
      </c>
      <c r="I124" s="47" t="n">
        <f aca="false">IF(I16=0,0,I88/I16)</f>
        <v>0.136658748673376</v>
      </c>
      <c r="J124" s="47" t="n">
        <f aca="false">IF(J16=0,0,J88/J16)</f>
        <v>0.136658748673376</v>
      </c>
      <c r="K124" s="47" t="n">
        <f aca="false">IF(K16=0,0,K88/K16)</f>
        <v>0.136658748673376</v>
      </c>
      <c r="L124" s="47" t="n">
        <f aca="false">IF(L16=0,0,L88/L16)</f>
        <v>0.136658748673376</v>
      </c>
      <c r="M124" s="47" t="n">
        <f aca="false">IF(M16=0,0,M88/M16)</f>
        <v>0.136658748673376</v>
      </c>
      <c r="N124" s="47" t="n">
        <f aca="false">IF(N16=0,0,N88/N16)</f>
        <v>0.136658748673376</v>
      </c>
    </row>
    <row r="125" customFormat="false" ht="15" hidden="false" customHeight="true" outlineLevel="0" collapsed="false">
      <c r="A125" s="36" t="s">
        <v>16</v>
      </c>
      <c r="B125" s="47" t="n">
        <f aca="false">IF(B17=0,0,B89/B17)</f>
        <v>0.328546505024526</v>
      </c>
      <c r="C125" s="47" t="n">
        <f aca="false">IF(C17=0,0,C89/C17)</f>
        <v>0.328546505024526</v>
      </c>
      <c r="D125" s="47" t="n">
        <f aca="false">IF(D17=0,0,D89/D17)</f>
        <v>0.328546505024526</v>
      </c>
      <c r="E125" s="47" t="n">
        <f aca="false">IF(E17=0,0,E89/E17)</f>
        <v>0.328546505024526</v>
      </c>
      <c r="F125" s="47" t="n">
        <f aca="false">IF(F17=0,0,F89/F17)</f>
        <v>0.328546505024526</v>
      </c>
      <c r="G125" s="47" t="n">
        <f aca="false">IF(G17=0,0,G89/G17)</f>
        <v>0.328546505024526</v>
      </c>
      <c r="H125" s="47" t="n">
        <f aca="false">IF(H17=0,0,H89/H17)</f>
        <v>0.328546505024526</v>
      </c>
      <c r="I125" s="47" t="n">
        <f aca="false">IF(I17=0,0,I89/I17)</f>
        <v>0.328546505024526</v>
      </c>
      <c r="J125" s="47" t="n">
        <f aca="false">IF(J17=0,0,J89/J17)</f>
        <v>0.328546505024526</v>
      </c>
      <c r="K125" s="47" t="n">
        <f aca="false">IF(K17=0,0,K89/K17)</f>
        <v>0.328546505024526</v>
      </c>
      <c r="L125" s="47" t="n">
        <f aca="false">IF(L17=0,0,L89/L17)</f>
        <v>0.328546505024526</v>
      </c>
      <c r="M125" s="47" t="n">
        <f aca="false">IF(M17=0,0,M89/M17)</f>
        <v>0.328546505024526</v>
      </c>
      <c r="N125" s="47" t="n">
        <f aca="false">IF(N17=0,0,N89/N17)</f>
        <v>0.328546505024526</v>
      </c>
    </row>
    <row r="126" customFormat="false" ht="15" hidden="false" customHeight="true" outlineLevel="0" collapsed="false">
      <c r="A126" s="42" t="s">
        <v>17</v>
      </c>
      <c r="B126" s="48" t="n">
        <f aca="false">IF(B18=0,0,B90/B18)</f>
        <v>0.273051199581015</v>
      </c>
      <c r="C126" s="48" t="n">
        <f aca="false">IF(C18=0,0,C90/C18)</f>
        <v>0.287059379317404</v>
      </c>
      <c r="D126" s="48" t="n">
        <f aca="false">IF(D18=0,0,D90/D18)</f>
        <v>0.288199855792148</v>
      </c>
      <c r="E126" s="48" t="n">
        <f aca="false">IF(E18=0,0,E90/E18)</f>
        <v>0.284686113319713</v>
      </c>
      <c r="F126" s="48" t="n">
        <f aca="false">IF(F18=0,0,F90/F18)</f>
        <v>0.274648738642731</v>
      </c>
      <c r="G126" s="48" t="n">
        <f aca="false">IF(G18=0,0,G90/G18)</f>
        <v>0.276607591909189</v>
      </c>
      <c r="H126" s="48" t="n">
        <f aca="false">IF(H18=0,0,H90/H18)</f>
        <v>0.272392593052577</v>
      </c>
      <c r="I126" s="48" t="n">
        <f aca="false">IF(I18=0,0,I90/I18)</f>
        <v>0.269355309386542</v>
      </c>
      <c r="J126" s="48" t="n">
        <f aca="false">IF(J18=0,0,J90/J18)</f>
        <v>0.267029195783142</v>
      </c>
      <c r="K126" s="48" t="n">
        <f aca="false">IF(K18=0,0,K90/K18)</f>
        <v>0.251884489999784</v>
      </c>
      <c r="L126" s="48" t="n">
        <f aca="false">IF(L18=0,0,L90/L18)</f>
        <v>0.281221714498242</v>
      </c>
      <c r="M126" s="48" t="n">
        <f aca="false">IF(M18=0,0,M90/M18)</f>
        <v>0.269943591838572</v>
      </c>
      <c r="N126" s="48" t="n">
        <f aca="false">IF(N18=0,0,N90/N18)</f>
        <v>0.274447785294845</v>
      </c>
    </row>
    <row r="127" customFormat="false" ht="15" hidden="false" customHeight="true" outlineLevel="0" collapsed="false">
      <c r="A127" s="36" t="s">
        <v>45</v>
      </c>
      <c r="B127" s="47" t="n">
        <f aca="false">IF(B19=0,0,B91/B19)</f>
        <v>0.372130633733649</v>
      </c>
      <c r="C127" s="47" t="n">
        <f aca="false">IF(C19=0,0,C91/C19)</f>
        <v>0.372130633733649</v>
      </c>
      <c r="D127" s="47" t="n">
        <f aca="false">IF(D19=0,0,D91/D19)</f>
        <v>0.372130633733649</v>
      </c>
      <c r="E127" s="47" t="n">
        <f aca="false">IF(E19=0,0,E91/E19)</f>
        <v>0.372130633733649</v>
      </c>
      <c r="F127" s="47" t="n">
        <f aca="false">IF(F19=0,0,F91/F19)</f>
        <v>0.372130633733649</v>
      </c>
      <c r="G127" s="47" t="n">
        <f aca="false">IF(G19=0,0,G91/G19)</f>
        <v>0.372130633733649</v>
      </c>
      <c r="H127" s="47" t="n">
        <f aca="false">IF(H19=0,0,H91/H19)</f>
        <v>0.372130633733649</v>
      </c>
      <c r="I127" s="47" t="n">
        <f aca="false">IF(I19=0,0,I91/I19)</f>
        <v>0.372130633733649</v>
      </c>
      <c r="J127" s="47" t="n">
        <f aca="false">IF(J19=0,0,J91/J19)</f>
        <v>0.372130633733649</v>
      </c>
      <c r="K127" s="47" t="n">
        <f aca="false">IF(K19=0,0,K91/K19)</f>
        <v>0.372130633733649</v>
      </c>
      <c r="L127" s="47" t="n">
        <f aca="false">IF(L19=0,0,L91/L19)</f>
        <v>0.372130633733649</v>
      </c>
      <c r="M127" s="47" t="n">
        <f aca="false">IF(M19=0,0,M91/M19)</f>
        <v>0.372130633733649</v>
      </c>
      <c r="N127" s="47" t="n">
        <f aca="false">IF(N19=0,0,N91/N19)</f>
        <v>0.372130633733649</v>
      </c>
    </row>
    <row r="128" customFormat="false" ht="15.75" hidden="false" customHeight="true" outlineLevel="0" collapsed="false">
      <c r="A128" s="44" t="s">
        <v>90</v>
      </c>
      <c r="B128" s="49" t="n">
        <f aca="false">IF(B20=0,0,B92/B20)</f>
        <v>0.291359083826265</v>
      </c>
      <c r="C128" s="49" t="n">
        <f aca="false">IF(C20=0,0,C92/C20)</f>
        <v>0.303282112607513</v>
      </c>
      <c r="D128" s="49" t="n">
        <f aca="false">IF(D20=0,0,D92/D20)</f>
        <v>0.304147685672878</v>
      </c>
      <c r="E128" s="49" t="n">
        <f aca="false">IF(E20=0,0,E92/E20)</f>
        <v>0.301412623061879</v>
      </c>
      <c r="F128" s="49" t="n">
        <f aca="false">IF(F20=0,0,F92/F20)</f>
        <v>0.292909225432071</v>
      </c>
      <c r="G128" s="49" t="n">
        <f aca="false">IF(G20=0,0,G92/G20)</f>
        <v>0.294325400507546</v>
      </c>
      <c r="H128" s="49" t="n">
        <f aca="false">IF(H20=0,0,H92/H20)</f>
        <v>0.290791859366455</v>
      </c>
      <c r="I128" s="49" t="n">
        <f aca="false">IF(I20=0,0,I92/I20)</f>
        <v>0.288187433441654</v>
      </c>
      <c r="J128" s="49" t="n">
        <f aca="false">IF(J20=0,0,J92/J20)</f>
        <v>0.28649346832212</v>
      </c>
      <c r="K128" s="49" t="n">
        <f aca="false">IF(K20=0,0,K92/K20)</f>
        <v>0.273233374887251</v>
      </c>
      <c r="L128" s="49" t="n">
        <f aca="false">IF(L20=0,0,L92/L20)</f>
        <v>0.298456908003344</v>
      </c>
      <c r="M128" s="49" t="n">
        <f aca="false">IF(M20=0,0,M92/M20)</f>
        <v>0.288664570720339</v>
      </c>
      <c r="N128" s="49" t="n">
        <f aca="false">IF(N20=0,0,N92/N20)</f>
        <v>0.292612705347129</v>
      </c>
    </row>
    <row r="130" customFormat="false" ht="16.5" hidden="false" customHeight="true" outlineLevel="0" collapsed="false">
      <c r="A130" s="46" t="s">
        <v>104</v>
      </c>
    </row>
    <row r="131" customFormat="false" ht="15.75" hidden="false" customHeight="true" outlineLevel="0" collapsed="false">
      <c r="A131" s="39" t="s">
        <v>3</v>
      </c>
      <c r="B131" s="40" t="s">
        <v>78</v>
      </c>
      <c r="C131" s="40" t="s">
        <v>79</v>
      </c>
      <c r="D131" s="40" t="s">
        <v>80</v>
      </c>
      <c r="E131" s="40" t="s">
        <v>81</v>
      </c>
      <c r="F131" s="40" t="s">
        <v>82</v>
      </c>
      <c r="G131" s="40" t="s">
        <v>83</v>
      </c>
      <c r="H131" s="40" t="s">
        <v>84</v>
      </c>
      <c r="I131" s="40" t="s">
        <v>85</v>
      </c>
      <c r="J131" s="40" t="s">
        <v>86</v>
      </c>
      <c r="K131" s="40" t="s">
        <v>87</v>
      </c>
      <c r="L131" s="40" t="s">
        <v>88</v>
      </c>
      <c r="M131" s="40" t="s">
        <v>89</v>
      </c>
      <c r="N131" s="39" t="s">
        <v>59</v>
      </c>
    </row>
    <row r="132" customFormat="false" ht="15" hidden="false" customHeight="true" outlineLevel="0" collapsed="false">
      <c r="A132" s="36" t="s">
        <v>14</v>
      </c>
      <c r="B132" s="47" t="n">
        <f aca="false">B114-B123</f>
        <v>-0.0992963786021095</v>
      </c>
      <c r="C132" s="47" t="n">
        <f aca="false">C114-C123</f>
        <v>-0.0992963786021096</v>
      </c>
      <c r="D132" s="47" t="n">
        <f aca="false">D114-D123</f>
        <v>-0.0992963786021096</v>
      </c>
      <c r="E132" s="47" t="n">
        <f aca="false">E114-E123</f>
        <v>-0.0992963786021096</v>
      </c>
      <c r="F132" s="47" t="n">
        <f aca="false">F114-F123</f>
        <v>-0.0992963786021095</v>
      </c>
      <c r="G132" s="47" t="n">
        <f aca="false">G114-G123</f>
        <v>-0.0992963786021095</v>
      </c>
      <c r="H132" s="47" t="n">
        <f aca="false">H114-H123</f>
        <v>-0.0992963786021096</v>
      </c>
      <c r="I132" s="47" t="n">
        <f aca="false">I114-I123</f>
        <v>-0.0992963786021095</v>
      </c>
      <c r="J132" s="47" t="n">
        <f aca="false">J114-J123</f>
        <v>-0.0992963786021096</v>
      </c>
      <c r="K132" s="47" t="n">
        <f aca="false">K114-K123</f>
        <v>-0.0992963786021095</v>
      </c>
      <c r="L132" s="47" t="n">
        <f aca="false">L114-L123</f>
        <v>-0.0992963786021096</v>
      </c>
      <c r="M132" s="47" t="n">
        <f aca="false">M114-M123</f>
        <v>-0.0992963786021096</v>
      </c>
      <c r="N132" s="47" t="n">
        <f aca="false">N114-N123</f>
        <v>-0.0992963786021096</v>
      </c>
    </row>
    <row r="133" customFormat="false" ht="15" hidden="false" customHeight="true" outlineLevel="0" collapsed="false">
      <c r="A133" s="36" t="s">
        <v>15</v>
      </c>
      <c r="B133" s="47" t="n">
        <f aca="false">B115-B124</f>
        <v>-0.0890397010543281</v>
      </c>
      <c r="C133" s="47" t="n">
        <f aca="false">C115-C124</f>
        <v>-0.0890397010543281</v>
      </c>
      <c r="D133" s="47" t="n">
        <f aca="false">D115-D124</f>
        <v>-0.0890397010543281</v>
      </c>
      <c r="E133" s="47" t="n">
        <f aca="false">E115-E124</f>
        <v>-0.0890397010543281</v>
      </c>
      <c r="F133" s="47" t="n">
        <f aca="false">F115-F124</f>
        <v>-0.0890397010543281</v>
      </c>
      <c r="G133" s="47" t="n">
        <f aca="false">G115-G124</f>
        <v>-0.0890397010543281</v>
      </c>
      <c r="H133" s="47" t="n">
        <f aca="false">H115-H124</f>
        <v>-0.0890397010543281</v>
      </c>
      <c r="I133" s="47" t="n">
        <f aca="false">I115-I124</f>
        <v>-0.0890397010543281</v>
      </c>
      <c r="J133" s="47" t="n">
        <f aca="false">J115-J124</f>
        <v>-0.0890397010543281</v>
      </c>
      <c r="K133" s="47" t="n">
        <f aca="false">K115-K124</f>
        <v>-0.0890397010543281</v>
      </c>
      <c r="L133" s="47" t="n">
        <f aca="false">L115-L124</f>
        <v>-0.0890397010543281</v>
      </c>
      <c r="M133" s="47" t="n">
        <f aca="false">M115-M124</f>
        <v>-0.0890397010543281</v>
      </c>
      <c r="N133" s="47" t="n">
        <f aca="false">N115-N124</f>
        <v>-0.0890397010543281</v>
      </c>
    </row>
    <row r="134" customFormat="false" ht="15" hidden="false" customHeight="true" outlineLevel="0" collapsed="false">
      <c r="A134" s="36" t="s">
        <v>16</v>
      </c>
      <c r="B134" s="47" t="n">
        <f aca="false">B116-B125</f>
        <v>-0.0861222626002837</v>
      </c>
      <c r="C134" s="47" t="n">
        <f aca="false">C116-C125</f>
        <v>-0.0861222626002837</v>
      </c>
      <c r="D134" s="47" t="n">
        <f aca="false">D116-D125</f>
        <v>-0.0861222626002837</v>
      </c>
      <c r="E134" s="47" t="n">
        <f aca="false">E116-E125</f>
        <v>-0.0861222626002837</v>
      </c>
      <c r="F134" s="47" t="n">
        <f aca="false">F116-F125</f>
        <v>-0.0861222626002837</v>
      </c>
      <c r="G134" s="47" t="n">
        <f aca="false">G116-G125</f>
        <v>-0.0861222626002837</v>
      </c>
      <c r="H134" s="47" t="n">
        <f aca="false">H116-H125</f>
        <v>-0.0861222626002837</v>
      </c>
      <c r="I134" s="47" t="n">
        <f aca="false">I116-I125</f>
        <v>-0.0861222626002837</v>
      </c>
      <c r="J134" s="47" t="n">
        <f aca="false">J116-J125</f>
        <v>-0.0861222626002837</v>
      </c>
      <c r="K134" s="47" t="n">
        <f aca="false">K116-K125</f>
        <v>-0.0861222626002837</v>
      </c>
      <c r="L134" s="47" t="n">
        <f aca="false">L116-L125</f>
        <v>-0.0861222626002836</v>
      </c>
      <c r="M134" s="47" t="n">
        <f aca="false">M116-M125</f>
        <v>-0.0861222626002836</v>
      </c>
      <c r="N134" s="47" t="n">
        <f aca="false">N116-N125</f>
        <v>-0.0861222626002838</v>
      </c>
    </row>
    <row r="135" customFormat="false" ht="15" hidden="false" customHeight="true" outlineLevel="0" collapsed="false">
      <c r="A135" s="42" t="s">
        <v>17</v>
      </c>
      <c r="B135" s="48" t="n">
        <f aca="false">B117-B126</f>
        <v>-0.104561959889243</v>
      </c>
      <c r="C135" s="48" t="n">
        <f aca="false">C117-C126</f>
        <v>-0.102015393349692</v>
      </c>
      <c r="D135" s="48" t="n">
        <f aca="false">D117-D126</f>
        <v>-0.103264498850045</v>
      </c>
      <c r="E135" s="48" t="n">
        <f aca="false">E117-E126</f>
        <v>-0.100911215586792</v>
      </c>
      <c r="F135" s="48" t="n">
        <f aca="false">F117-F126</f>
        <v>-0.102257959719809</v>
      </c>
      <c r="G135" s="48" t="n">
        <f aca="false">G117-G126</f>
        <v>-0.104692475029084</v>
      </c>
      <c r="H135" s="48" t="n">
        <f aca="false">H117-H126</f>
        <v>-0.104132764894271</v>
      </c>
      <c r="I135" s="48" t="n">
        <f aca="false">I117-I126</f>
        <v>-0.104471759551936</v>
      </c>
      <c r="J135" s="48" t="n">
        <f aca="false">J117-J126</f>
        <v>-0.102442028253156</v>
      </c>
      <c r="K135" s="48" t="n">
        <f aca="false">K117-K126</f>
        <v>-0.104039502351623</v>
      </c>
      <c r="L135" s="48" t="n">
        <f aca="false">L117-L126</f>
        <v>-0.101853533116003</v>
      </c>
      <c r="M135" s="48" t="n">
        <f aca="false">M117-M126</f>
        <v>-0.104524094907459</v>
      </c>
      <c r="N135" s="48" t="n">
        <f aca="false">N117-N126</f>
        <v>-0.103472982071893</v>
      </c>
    </row>
    <row r="136" customFormat="false" ht="15" hidden="false" customHeight="true" outlineLevel="0" collapsed="false">
      <c r="A136" s="36" t="s">
        <v>45</v>
      </c>
      <c r="B136" s="47" t="n">
        <f aca="false">B118-B127</f>
        <v>-0.129706391309406</v>
      </c>
      <c r="C136" s="47" t="n">
        <f aca="false">C118-C127</f>
        <v>-0.129706391309406</v>
      </c>
      <c r="D136" s="47" t="n">
        <f aca="false">D118-D127</f>
        <v>-0.129706391309406</v>
      </c>
      <c r="E136" s="47" t="n">
        <f aca="false">E118-E127</f>
        <v>-0.129706391309406</v>
      </c>
      <c r="F136" s="47" t="n">
        <f aca="false">F118-F127</f>
        <v>-0.129706391309406</v>
      </c>
      <c r="G136" s="47" t="n">
        <f aca="false">G118-G127</f>
        <v>-0.129706391309406</v>
      </c>
      <c r="H136" s="47" t="n">
        <f aca="false">H118-H127</f>
        <v>-0.129706391309406</v>
      </c>
      <c r="I136" s="47" t="n">
        <f aca="false">I118-I127</f>
        <v>-0.129706391309406</v>
      </c>
      <c r="J136" s="47" t="n">
        <f aca="false">J118-J127</f>
        <v>-0.129706391309406</v>
      </c>
      <c r="K136" s="47" t="n">
        <f aca="false">K118-K127</f>
        <v>-0.129706391309406</v>
      </c>
      <c r="L136" s="47" t="n">
        <f aca="false">L118-L127</f>
        <v>-0.129706391309406</v>
      </c>
      <c r="M136" s="47" t="n">
        <f aca="false">M118-M127</f>
        <v>-0.129706391309406</v>
      </c>
      <c r="N136" s="47" t="n">
        <f aca="false">N118-N127</f>
        <v>-0.129706391309406</v>
      </c>
    </row>
    <row r="137" customFormat="false" ht="15.75" hidden="false" customHeight="true" outlineLevel="0" collapsed="false">
      <c r="A137" s="44" t="s">
        <v>90</v>
      </c>
      <c r="B137" s="49" t="n">
        <f aca="false">B119-B128</f>
        <v>-0.110076576325446</v>
      </c>
      <c r="C137" s="49" t="n">
        <f aca="false">C119-C128</f>
        <v>-0.107880667867638</v>
      </c>
      <c r="D137" s="49" t="n">
        <f aca="false">D119-D128</f>
        <v>-0.108705941246773</v>
      </c>
      <c r="E137" s="49" t="n">
        <f aca="false">E119-E128</f>
        <v>-0.107161035310032</v>
      </c>
      <c r="F137" s="49" t="n">
        <f aca="false">F119-F128</f>
        <v>-0.108444116213481</v>
      </c>
      <c r="G137" s="49" t="n">
        <f aca="false">G119-G128</f>
        <v>-0.110172742794688</v>
      </c>
      <c r="H137" s="49" t="n">
        <f aca="false">H119-H128</f>
        <v>-0.109678860061729</v>
      </c>
      <c r="I137" s="49" t="n">
        <f aca="false">I119-I128</f>
        <v>-0.110070125133176</v>
      </c>
      <c r="J137" s="49" t="n">
        <f aca="false">J119-J128</f>
        <v>-0.108712262262698</v>
      </c>
      <c r="K137" s="49" t="n">
        <f aca="false">K119-K128</f>
        <v>-0.11019364363001</v>
      </c>
      <c r="L137" s="49" t="n">
        <f aca="false">L119-L128</f>
        <v>-0.107936737626568</v>
      </c>
      <c r="M137" s="49" t="n">
        <f aca="false">M119-M128</f>
        <v>-0.110143086693072</v>
      </c>
      <c r="N137" s="49" t="n">
        <f aca="false">N119-N128</f>
        <v>-0.10925784450584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9609375" defaultRowHeight="15" zeroHeight="false" outlineLevelRow="0" outlineLevelCol="0"/>
  <cols>
    <col collapsed="false" customWidth="true" hidden="false" outlineLevel="0" max="1" min="1" style="34" width="36.7"/>
    <col collapsed="false" customWidth="true" hidden="false" outlineLevel="0" max="11" min="2" style="34" width="17.43"/>
  </cols>
  <sheetData>
    <row r="1" customFormat="false" ht="20.25" hidden="false" customHeight="true" outlineLevel="0" collapsed="false">
      <c r="A1" s="35" t="s">
        <v>105</v>
      </c>
    </row>
    <row r="2" customFormat="false" ht="15.75" hidden="false" customHeight="true" outlineLevel="0" collapsed="false">
      <c r="A2" s="36" t="s">
        <v>106</v>
      </c>
    </row>
    <row r="3" customFormat="false" ht="15.75" hidden="false" customHeight="true" outlineLevel="0" collapsed="false">
      <c r="A3" s="36" t="s">
        <v>107</v>
      </c>
      <c r="B3" s="50" t="n">
        <f aca="false">요약!G17</f>
        <v>1362.78</v>
      </c>
    </row>
    <row r="4" customFormat="false" ht="15.75" hidden="false" customHeight="true" outlineLevel="0" collapsed="false">
      <c r="A4" s="36" t="s">
        <v>108</v>
      </c>
      <c r="B4" s="51" t="n">
        <f aca="false">요약!D17</f>
        <v>0.33</v>
      </c>
    </row>
    <row r="5" customFormat="false" ht="15.75" hidden="false" customHeight="true" outlineLevel="0" collapsed="false">
      <c r="A5" s="36" t="s">
        <v>109</v>
      </c>
      <c r="B5" s="52" t="n">
        <f aca="false">요약!E17</f>
        <v>4</v>
      </c>
    </row>
    <row r="6" customFormat="false" ht="15.75" hidden="false" customHeight="true" outlineLevel="0" collapsed="false">
      <c r="A6" s="36" t="s">
        <v>110</v>
      </c>
      <c r="B6" s="51" t="n">
        <f aca="false">요약!F17</f>
        <v>0.05</v>
      </c>
    </row>
    <row r="7" customFormat="false" ht="15" hidden="false" customHeight="true" outlineLevel="0" collapsed="false">
      <c r="A7" s="36" t="s">
        <v>111</v>
      </c>
      <c r="B7" s="53" t="n">
        <f aca="false">요약!B17</f>
        <v>0.6</v>
      </c>
    </row>
    <row r="8" customFormat="false" ht="15.75" hidden="false" customHeight="true" outlineLevel="0" collapsed="false">
      <c r="A8" s="36" t="s">
        <v>112</v>
      </c>
      <c r="B8" s="54" t="n">
        <f aca="false">1-B7</f>
        <v>0.4</v>
      </c>
    </row>
    <row r="9" customFormat="false" ht="15.75" hidden="false" customHeight="true" outlineLevel="0" collapsed="false">
      <c r="A9" s="55" t="s">
        <v>113</v>
      </c>
    </row>
    <row r="10" customFormat="false" ht="48" hidden="false" customHeight="true" outlineLevel="0" collapsed="false">
      <c r="A10" s="56" t="s">
        <v>3</v>
      </c>
      <c r="B10" s="57" t="s">
        <v>114</v>
      </c>
      <c r="C10" s="56" t="s">
        <v>115</v>
      </c>
      <c r="D10" s="56" t="s">
        <v>116</v>
      </c>
      <c r="E10" s="56" t="s">
        <v>117</v>
      </c>
      <c r="F10" s="56" t="s">
        <v>118</v>
      </c>
      <c r="G10" s="57" t="s">
        <v>119</v>
      </c>
      <c r="H10" s="57" t="s">
        <v>120</v>
      </c>
      <c r="I10" s="57" t="s">
        <v>121</v>
      </c>
      <c r="J10" s="57" t="s">
        <v>122</v>
      </c>
      <c r="K10" s="56" t="s">
        <v>13</v>
      </c>
    </row>
    <row r="11" customFormat="false" ht="15" hidden="false" customHeight="true" outlineLevel="0" collapsed="false">
      <c r="A11" s="36" t="s">
        <v>14</v>
      </c>
      <c r="B11" s="58" t="n">
        <f aca="false">요약!B8</f>
        <v>150</v>
      </c>
      <c r="C11" s="41" t="n">
        <f aca="false">B11*$B$8</f>
        <v>60</v>
      </c>
      <c r="D11" s="53" t="n">
        <f aca="false">요약!C8</f>
        <v>0.6</v>
      </c>
      <c r="E11" s="53" t="n">
        <f aca="false">요약!D8</f>
        <v>0</v>
      </c>
      <c r="F11" s="41" t="n">
        <f aca="false">C11/(1-E11)/D11</f>
        <v>100</v>
      </c>
      <c r="G11" s="59" t="n">
        <f aca="false">$B$4</f>
        <v>0.33</v>
      </c>
      <c r="H11" s="41" t="n">
        <f aca="false">F11*G11</f>
        <v>33</v>
      </c>
      <c r="I11" s="41" t="n">
        <f aca="false">F11/$B$5</f>
        <v>25</v>
      </c>
      <c r="J11" s="41" t="n">
        <f aca="false">H11-I11</f>
        <v>8</v>
      </c>
      <c r="K11" s="59" t="n">
        <f aca="false">IF(H11=0,0,J11/H11)</f>
        <v>0.242424242424242</v>
      </c>
    </row>
    <row r="12" customFormat="false" ht="15" hidden="false" customHeight="true" outlineLevel="0" collapsed="false">
      <c r="A12" s="36" t="s">
        <v>15</v>
      </c>
      <c r="B12" s="58" t="n">
        <f aca="false">요약!B9</f>
        <v>300</v>
      </c>
      <c r="C12" s="41" t="n">
        <f aca="false">B12*$B$8</f>
        <v>120</v>
      </c>
      <c r="D12" s="53" t="n">
        <f aca="false">요약!C9</f>
        <v>0.6</v>
      </c>
      <c r="E12" s="53" t="n">
        <f aca="false">요약!D9</f>
        <v>0</v>
      </c>
      <c r="F12" s="41" t="n">
        <f aca="false">C12/(1-E12)/D12</f>
        <v>200</v>
      </c>
      <c r="G12" s="59" t="n">
        <f aca="false">(1+$B$6)/$B$5</f>
        <v>0.2625</v>
      </c>
      <c r="H12" s="41" t="n">
        <f aca="false">F12*G12</f>
        <v>52.5</v>
      </c>
      <c r="I12" s="41" t="n">
        <f aca="false">F12/$B$5</f>
        <v>50</v>
      </c>
      <c r="J12" s="41" t="n">
        <f aca="false">H12-I12</f>
        <v>2.5</v>
      </c>
      <c r="K12" s="59" t="n">
        <f aca="false">IF(H12=0,0,J12/H12)</f>
        <v>0.0476190476190476</v>
      </c>
    </row>
    <row r="13" customFormat="false" ht="15" hidden="false" customHeight="true" outlineLevel="0" collapsed="false">
      <c r="A13" s="36" t="s">
        <v>16</v>
      </c>
      <c r="B13" s="58" t="n">
        <f aca="false">요약!B10</f>
        <v>262</v>
      </c>
      <c r="C13" s="41" t="n">
        <f aca="false">B13*$B$8</f>
        <v>104.8</v>
      </c>
      <c r="D13" s="53" t="n">
        <f aca="false">요약!C10</f>
        <v>0.6</v>
      </c>
      <c r="E13" s="53" t="n">
        <f aca="false">요약!D10</f>
        <v>0</v>
      </c>
      <c r="F13" s="41" t="n">
        <f aca="false">C13/(1-E13)/D13</f>
        <v>174.666666666667</v>
      </c>
      <c r="G13" s="59" t="n">
        <f aca="false">$B$4</f>
        <v>0.33</v>
      </c>
      <c r="H13" s="41" t="n">
        <f aca="false">F13*G13</f>
        <v>57.64</v>
      </c>
      <c r="I13" s="41" t="n">
        <f aca="false">F13/$B$5</f>
        <v>43.6666666666667</v>
      </c>
      <c r="J13" s="41" t="n">
        <f aca="false">H13-I13</f>
        <v>13.9733333333333</v>
      </c>
      <c r="K13" s="59" t="n">
        <f aca="false">IF(H13=0,0,J13/H13)</f>
        <v>0.242424242424242</v>
      </c>
    </row>
    <row r="14" customFormat="false" ht="15" hidden="false" customHeight="true" outlineLevel="0" collapsed="false">
      <c r="A14" s="42" t="s">
        <v>17</v>
      </c>
      <c r="B14" s="43" t="n">
        <f aca="false">SUM(B11:B13)</f>
        <v>712</v>
      </c>
      <c r="C14" s="43" t="n">
        <f aca="false">SUM(C11:C13)</f>
        <v>284.8</v>
      </c>
      <c r="D14" s="42"/>
      <c r="E14" s="42"/>
      <c r="F14" s="43" t="n">
        <f aca="false">SUM(F11:F13)</f>
        <v>474.666666666667</v>
      </c>
      <c r="G14" s="60" t="n">
        <f aca="false">H14/F14</f>
        <v>0.301558988764045</v>
      </c>
      <c r="H14" s="43" t="n">
        <f aca="false">SUM(H11:H13)</f>
        <v>143.14</v>
      </c>
      <c r="I14" s="43" t="n">
        <f aca="false">SUM(I11:I13)</f>
        <v>118.666666666667</v>
      </c>
      <c r="J14" s="43" t="n">
        <f aca="false">SUM(J11:J13)</f>
        <v>24.4733333333333</v>
      </c>
      <c r="K14" s="60" t="n">
        <f aca="false">J14/H14</f>
        <v>0.170974803222952</v>
      </c>
    </row>
    <row r="15" customFormat="false" ht="15.75" hidden="false" customHeight="true" outlineLevel="0" collapsed="false">
      <c r="A15" s="36" t="s">
        <v>123</v>
      </c>
      <c r="F15" s="41" t="n">
        <f aca="false">H15/G15</f>
        <v>90.9090909090909</v>
      </c>
      <c r="G15" s="59" t="n">
        <f aca="false">$B$4</f>
        <v>0.33</v>
      </c>
      <c r="H15" s="58" t="n">
        <f aca="false">요약!H12</f>
        <v>30</v>
      </c>
      <c r="I15" s="41" t="n">
        <f aca="false">F15/$B$5</f>
        <v>22.7272727272727</v>
      </c>
      <c r="J15" s="41" t="n">
        <f aca="false">H15-I15</f>
        <v>7.27272727272727</v>
      </c>
      <c r="K15" s="59" t="n">
        <f aca="false">J15/H15</f>
        <v>0.242424242424242</v>
      </c>
    </row>
    <row r="16" customFormat="false" ht="15.75" hidden="false" customHeight="true" outlineLevel="0" collapsed="false">
      <c r="A16" s="44" t="s">
        <v>90</v>
      </c>
      <c r="B16" s="44"/>
      <c r="C16" s="44"/>
      <c r="D16" s="44"/>
      <c r="E16" s="44"/>
      <c r="F16" s="45" t="n">
        <f aca="false">F14+F15</f>
        <v>565.575757575758</v>
      </c>
      <c r="G16" s="44"/>
      <c r="H16" s="45" t="n">
        <f aca="false">H14+H15</f>
        <v>173.14</v>
      </c>
      <c r="I16" s="45" t="n">
        <f aca="false">I14+I15</f>
        <v>141.393939393939</v>
      </c>
      <c r="J16" s="45" t="n">
        <f aca="false">J14+J15</f>
        <v>31.7460606060606</v>
      </c>
      <c r="K16" s="61" t="n">
        <f aca="false">J16/H16</f>
        <v>0.183354860841288</v>
      </c>
    </row>
    <row r="19" customFormat="false" ht="15.75" hidden="false" customHeight="true" outlineLevel="0" collapsed="false">
      <c r="A19" s="55" t="s">
        <v>124</v>
      </c>
    </row>
    <row r="20" customFormat="false" ht="48" hidden="false" customHeight="true" outlineLevel="0" collapsed="false">
      <c r="A20" s="56" t="s">
        <v>3</v>
      </c>
      <c r="B20" s="56" t="s">
        <v>125</v>
      </c>
      <c r="C20" s="56" t="s">
        <v>126</v>
      </c>
      <c r="D20" s="57" t="s">
        <v>127</v>
      </c>
      <c r="E20" s="57" t="s">
        <v>128</v>
      </c>
      <c r="F20" s="56" t="s">
        <v>13</v>
      </c>
      <c r="G20" s="57" t="s">
        <v>129</v>
      </c>
      <c r="H20" s="56" t="s">
        <v>130</v>
      </c>
      <c r="I20" s="57" t="s">
        <v>131</v>
      </c>
      <c r="J20" s="57" t="s">
        <v>132</v>
      </c>
    </row>
    <row r="21" customFormat="false" ht="15" hidden="false" customHeight="true" outlineLevel="0" collapsed="false">
      <c r="A21" s="36" t="s">
        <v>14</v>
      </c>
      <c r="B21" s="41" t="n">
        <f aca="false">IF($B$35=2,B47,E38)</f>
        <v>139.022013644132</v>
      </c>
      <c r="C21" s="41" t="n">
        <f aca="false">IF($B$35=2,C47,E38*H38)</f>
        <v>32.6868183160605</v>
      </c>
      <c r="D21" s="41" t="n">
        <f aca="false">IF($B$35=2,D47,F38)</f>
        <v>49.6549327840468</v>
      </c>
      <c r="E21" s="41" t="n">
        <f aca="false">D21-C21</f>
        <v>16.9681144679862</v>
      </c>
      <c r="F21" s="59" t="n">
        <f aca="false">IF(D21=0,0,E21/D21)</f>
        <v>0.341720621026352</v>
      </c>
      <c r="G21" s="41" t="n">
        <f aca="false">월별비중!N11</f>
        <v>168.204477836213</v>
      </c>
      <c r="H21" s="41" t="n">
        <f aca="false">G21*$B$8</f>
        <v>67.2817911344854</v>
      </c>
      <c r="I21" s="62" t="n">
        <f aca="false">B21/H21</f>
        <v>2.0662650518065</v>
      </c>
      <c r="J21" s="62" t="n">
        <f aca="false">F11/C11</f>
        <v>1.66666666666667</v>
      </c>
    </row>
    <row r="22" customFormat="false" ht="15" hidden="false" customHeight="true" outlineLevel="0" collapsed="false">
      <c r="A22" s="36" t="s">
        <v>15</v>
      </c>
      <c r="B22" s="41" t="n">
        <f aca="false">IF($B$35=2,B48,E39)</f>
        <v>167.88182480091</v>
      </c>
      <c r="C22" s="41" t="n">
        <f aca="false">IF($B$35=2,C48,E39*H39)</f>
        <v>42.5277805116768</v>
      </c>
      <c r="D22" s="41" t="n">
        <f aca="false">IF($B$35=2,D48,F39)</f>
        <v>49.2595256468146</v>
      </c>
      <c r="E22" s="41" t="n">
        <f aca="false">D22-C22</f>
        <v>6.73174513513774</v>
      </c>
      <c r="F22" s="59" t="n">
        <f aca="false">IF(D22=0,0,E22/D22)</f>
        <v>0.136658748673376</v>
      </c>
      <c r="G22" s="41" t="n">
        <f aca="false">월별비중!N12</f>
        <v>106.678257477243</v>
      </c>
      <c r="H22" s="41" t="n">
        <f aca="false">G22*$B$8</f>
        <v>42.6713029908973</v>
      </c>
      <c r="I22" s="62" t="n">
        <f aca="false">B22/H22</f>
        <v>3.93430275229053</v>
      </c>
      <c r="J22" s="62" t="n">
        <f aca="false">F12/C12</f>
        <v>1.66666666666667</v>
      </c>
    </row>
    <row r="23" customFormat="false" ht="15" hidden="false" customHeight="true" outlineLevel="0" collapsed="false">
      <c r="A23" s="36" t="s">
        <v>16</v>
      </c>
      <c r="B23" s="41" t="n">
        <f aca="false">IF($B$35=2,B49,E40)</f>
        <v>177.823211013114</v>
      </c>
      <c r="C23" s="41" t="n">
        <f aca="false">IF($B$35=2,C49,E40*H40)</f>
        <v>42.7828325711495</v>
      </c>
      <c r="D23" s="41" t="n">
        <f aca="false">IF($B$35=2,D49,F40)</f>
        <v>63.7167471631259</v>
      </c>
      <c r="E23" s="41" t="n">
        <f aca="false">D23-C23</f>
        <v>20.9339145919764</v>
      </c>
      <c r="F23" s="59" t="n">
        <f aca="false">IF(D23=0,0,E23/D23)</f>
        <v>0.328546505024526</v>
      </c>
      <c r="G23" s="41" t="n">
        <f aca="false">월별비중!N13</f>
        <v>267.166579360922</v>
      </c>
      <c r="H23" s="41" t="n">
        <f aca="false">G23*$B$8</f>
        <v>106.866631744369</v>
      </c>
      <c r="I23" s="62" t="n">
        <f aca="false">B23/H23</f>
        <v>1.66397319828024</v>
      </c>
      <c r="J23" s="62" t="n">
        <f aca="false">F13/C13</f>
        <v>1.66666666666667</v>
      </c>
    </row>
    <row r="24" customFormat="false" ht="15" hidden="false" customHeight="true" outlineLevel="0" collapsed="false">
      <c r="A24" s="42" t="s">
        <v>17</v>
      </c>
      <c r="B24" s="43" t="n">
        <f aca="false">SUM(B21:B23)</f>
        <v>484.727049458156</v>
      </c>
      <c r="C24" s="43" t="n">
        <f aca="false">SUM(C21:C23)</f>
        <v>117.997431398887</v>
      </c>
      <c r="D24" s="43" t="n">
        <f aca="false">SUM(D21:D23)</f>
        <v>162.631205593987</v>
      </c>
      <c r="E24" s="43" t="n">
        <f aca="false">SUM(E21:E23)</f>
        <v>44.6337741951004</v>
      </c>
      <c r="F24" s="60" t="n">
        <f aca="false">E24/D24</f>
        <v>0.274447785294845</v>
      </c>
      <c r="G24" s="43" t="n">
        <f aca="false">SUM(G21:G23)</f>
        <v>542.049314674379</v>
      </c>
      <c r="H24" s="43" t="n">
        <f aca="false">SUM(H21:H23)</f>
        <v>216.819725869751</v>
      </c>
      <c r="I24" s="63" t="n">
        <f aca="false">B24/H24</f>
        <v>2.23562246245686</v>
      </c>
      <c r="J24" s="63" t="n">
        <f aca="false">F14/C14</f>
        <v>1.66666666666667</v>
      </c>
    </row>
    <row r="25" customFormat="false" ht="15" hidden="false" customHeight="true" outlineLevel="0" collapsed="false">
      <c r="A25" s="36" t="s">
        <v>45</v>
      </c>
      <c r="B25" s="41" t="n">
        <f aca="false">IF($B$35=2,B50,E41)</f>
        <v>97.4342097923936</v>
      </c>
      <c r="C25" s="41" t="n">
        <f aca="false">IF($B$35=2,C50,E41*H41)</f>
        <v>23.3260718684083</v>
      </c>
      <c r="D25" s="41" t="n">
        <f aca="false">IF($B$35=2,D50,F41)</f>
        <v>37.1511545580216</v>
      </c>
      <c r="E25" s="41" t="n">
        <f aca="false">D25-C25</f>
        <v>13.8250826896133</v>
      </c>
      <c r="F25" s="59" t="n">
        <f aca="false">IF(D25=0,0,E25/D25)</f>
        <v>0.372130633733649</v>
      </c>
    </row>
    <row r="26" customFormat="false" ht="15.75" hidden="false" customHeight="true" outlineLevel="0" collapsed="false">
      <c r="A26" s="44" t="s">
        <v>90</v>
      </c>
      <c r="B26" s="45" t="n">
        <f aca="false">B24+B25</f>
        <v>582.16125925055</v>
      </c>
      <c r="C26" s="45" t="n">
        <f aca="false">C24+C25</f>
        <v>141.323503267295</v>
      </c>
      <c r="D26" s="45" t="n">
        <f aca="false">D24+D25</f>
        <v>199.782360152009</v>
      </c>
      <c r="E26" s="45" t="n">
        <f aca="false">E24+E25</f>
        <v>58.4588568847137</v>
      </c>
      <c r="F26" s="61" t="n">
        <f aca="false">E26/D26</f>
        <v>0.292612705347129</v>
      </c>
      <c r="G26" s="44"/>
      <c r="H26" s="44"/>
      <c r="I26" s="44"/>
      <c r="J26" s="44"/>
    </row>
    <row r="28" customFormat="false" ht="15" hidden="false" customHeight="true" outlineLevel="0" collapsed="false">
      <c r="A28" s="64" t="s">
        <v>133</v>
      </c>
      <c r="B28" s="64"/>
      <c r="C28" s="64"/>
      <c r="D28" s="64"/>
      <c r="E28" s="64"/>
      <c r="F28" s="64"/>
      <c r="G28" s="64"/>
      <c r="H28" s="64"/>
      <c r="I28" s="64"/>
      <c r="J28" s="64"/>
      <c r="K28" s="64"/>
    </row>
    <row r="29" customFormat="false" ht="15" hidden="false" customHeight="true" outlineLevel="0" collapsed="false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</row>
    <row r="31" customFormat="false" ht="15" hidden="false" customHeight="true" outlineLevel="0" collapsed="false">
      <c r="A31" s="65" t="s">
        <v>134</v>
      </c>
      <c r="B31" s="53" t="n">
        <f aca="false">요약!J17</f>
        <v>0.3</v>
      </c>
    </row>
    <row r="33" customFormat="false" ht="15" hidden="false" customHeight="true" outlineLevel="0" collapsed="false">
      <c r="A33" s="55" t="s">
        <v>135</v>
      </c>
    </row>
    <row r="34" customFormat="false" ht="15" hidden="false" customHeight="true" outlineLevel="0" collapsed="false">
      <c r="A34" s="65" t="s">
        <v>29</v>
      </c>
      <c r="B34" s="66" t="n">
        <f aca="false">요약!H17</f>
        <v>46317</v>
      </c>
    </row>
    <row r="35" customFormat="false" ht="15" hidden="false" customHeight="true" outlineLevel="0" collapsed="false">
      <c r="A35" s="67" t="s">
        <v>136</v>
      </c>
      <c r="B35" s="68" t="n">
        <f aca="false">요약!I17</f>
        <v>1</v>
      </c>
    </row>
    <row r="36" customFormat="false" ht="15" hidden="false" customHeight="true" outlineLevel="0" collapsed="false">
      <c r="A36" s="69" t="s">
        <v>137</v>
      </c>
    </row>
    <row r="37" customFormat="false" ht="45" hidden="false" customHeight="true" outlineLevel="0" collapsed="false">
      <c r="A37" s="70" t="s">
        <v>3</v>
      </c>
      <c r="B37" s="70" t="s">
        <v>138</v>
      </c>
      <c r="C37" s="70" t="s">
        <v>139</v>
      </c>
      <c r="D37" s="70" t="s">
        <v>140</v>
      </c>
      <c r="E37" s="70" t="s">
        <v>141</v>
      </c>
      <c r="F37" s="70" t="s">
        <v>142</v>
      </c>
      <c r="G37" s="70" t="s">
        <v>143</v>
      </c>
      <c r="H37" s="70" t="s">
        <v>144</v>
      </c>
      <c r="I37" s="71" t="s">
        <v>145</v>
      </c>
      <c r="J37" s="70" t="s">
        <v>146</v>
      </c>
    </row>
    <row r="38" customFormat="false" ht="15" hidden="false" customHeight="true" outlineLevel="0" collapsed="false">
      <c r="A38" s="72" t="s">
        <v>14</v>
      </c>
      <c r="B38" s="73" t="n">
        <f aca="false">SUMIFS(RAW_판매펀칭!$N:$N,RAW_판매펀칭!$A:$A,"HK")/10^8</f>
        <v>103.282316454545</v>
      </c>
      <c r="C38" s="73" t="n">
        <f aca="false">SUMIFS(RAW_판매펀칭!$M:$M,RAW_판매펀칭!$A:$A,"HK")/10^8</f>
        <v>36.88967198</v>
      </c>
      <c r="D38" s="74" t="n">
        <f aca="false">SUMPRODUCT(월별비중!$B$17:$M$17,월별비중!$B$32:$M$32)</f>
        <v>0.742920590396046</v>
      </c>
      <c r="E38" s="73" t="n">
        <f aca="false">IF(D38=0,B38,B38/D38)</f>
        <v>139.022013644132</v>
      </c>
      <c r="F38" s="73" t="n">
        <f aca="false">IF(D38=0,C38,C38/D38)</f>
        <v>49.6549327840468</v>
      </c>
      <c r="G38" s="73" t="n">
        <f aca="false">F38-C38</f>
        <v>12.7652608040467</v>
      </c>
      <c r="H38" s="74" t="n">
        <f aca="false">IF(B47=0,1/$B$5,C47/B47)</f>
        <v>0.235119730028744</v>
      </c>
      <c r="I38" s="73" t="n">
        <f aca="false">D47</f>
        <v>45.6009404643</v>
      </c>
      <c r="J38" s="75" t="n">
        <f aca="false">IF(I38=0,0,F38/I38-1)</f>
        <v>0.0889015068213457</v>
      </c>
    </row>
    <row r="39" customFormat="false" ht="15" hidden="false" customHeight="true" outlineLevel="0" collapsed="false">
      <c r="A39" s="72" t="s">
        <v>15</v>
      </c>
      <c r="B39" s="73" t="n">
        <f aca="false">SUMIFS(RAW_판매펀칭!$N:$N,RAW_판매펀칭!$A:$A,"CN")/10^8</f>
        <v>123.076</v>
      </c>
      <c r="C39" s="73" t="n">
        <f aca="false">SUMIFS(RAW_판매펀칭!$M:$M,RAW_판매펀칭!$A:$A,"CN")/10^8</f>
        <v>36.11269645</v>
      </c>
      <c r="D39" s="74" t="n">
        <f aca="false">SUMPRODUCT(월별비중!$B$18:$M$18,월별비중!$B$32:$M$32)</f>
        <v>0.733110925771476</v>
      </c>
      <c r="E39" s="73" t="n">
        <f aca="false">IF(D39=0,B39,B39/D39)</f>
        <v>167.88182480091</v>
      </c>
      <c r="F39" s="73" t="n">
        <f aca="false">IF(D39=0,C39,C39/D39)</f>
        <v>49.2595256468146</v>
      </c>
      <c r="G39" s="73" t="n">
        <f aca="false">F39-C39</f>
        <v>13.1468291968146</v>
      </c>
      <c r="H39" s="74" t="n">
        <f aca="false">IF(B48=0,1/$B$5,C48/B48)</f>
        <v>0.253319741801176</v>
      </c>
      <c r="I39" s="73" t="n">
        <f aca="false">D48</f>
        <v>60.20122151352</v>
      </c>
      <c r="J39" s="75" t="n">
        <f aca="false">IF(I39=0,0,F39/I39-1)</f>
        <v>-0.181752057377244</v>
      </c>
    </row>
    <row r="40" customFormat="false" ht="15" hidden="false" customHeight="true" outlineLevel="0" collapsed="false">
      <c r="A40" s="72" t="s">
        <v>16</v>
      </c>
      <c r="B40" s="73" t="n">
        <f aca="false">SUMIFS(RAW_판매펀칭!$N:$N,RAW_판매펀칭!$A:$A,"TW")/10^8</f>
        <v>131.99098</v>
      </c>
      <c r="C40" s="73" t="n">
        <f aca="false">SUMIFS(RAW_판매펀칭!$M:$M,RAW_판매펀칭!$A:$A,"TW")/10^8</f>
        <v>47.2943653</v>
      </c>
      <c r="D40" s="74" t="n">
        <f aca="false">SUMPRODUCT(월별비중!$B$19:$M$19,월별비중!$B$32:$M$32)</f>
        <v>0.742259569198005</v>
      </c>
      <c r="E40" s="73" t="n">
        <f aca="false">IF(D40=0,B40,B40/D40)</f>
        <v>177.823211013114</v>
      </c>
      <c r="F40" s="73" t="n">
        <f aca="false">IF(D40=0,C40,C40/D40)</f>
        <v>63.7167471631259</v>
      </c>
      <c r="G40" s="73" t="n">
        <f aca="false">F40-C40</f>
        <v>16.4223818631259</v>
      </c>
      <c r="H40" s="74" t="n">
        <f aca="false">IF(B49=0,1/$B$5,C49/B49)</f>
        <v>0.240591947065866</v>
      </c>
      <c r="I40" s="73" t="n">
        <f aca="false">D49</f>
        <v>64.1038678515</v>
      </c>
      <c r="J40" s="75" t="n">
        <f aca="false">IF(I40=0,0,F40/I40-1)</f>
        <v>-0.00603895991535008</v>
      </c>
    </row>
    <row r="41" customFormat="false" ht="15" hidden="false" customHeight="true" outlineLevel="0" collapsed="false">
      <c r="A41" s="72" t="s">
        <v>45</v>
      </c>
      <c r="B41" s="73" t="n">
        <f aca="false">SUMIFS(RAW_판매펀칭!$N:$N,RAW_판매펀칭!$A:$A,"홀세일")/10^8</f>
        <v>72.16603</v>
      </c>
      <c r="C41" s="73" t="n">
        <f aca="false">SUMIFS(RAW_판매펀칭!$M:$M,RAW_판매펀칭!$A:$A,"홀세일")/10^8</f>
        <v>27.51652977</v>
      </c>
      <c r="D41" s="74" t="n">
        <f aca="false">SUMPRODUCT(월별비중!$B$20:$M$20,월별비중!$B$32:$M$32)</f>
        <v>0.740664189238735</v>
      </c>
      <c r="E41" s="73" t="n">
        <f aca="false">IF(D41=0,B41,B41/D41)</f>
        <v>97.4342097923936</v>
      </c>
      <c r="F41" s="73" t="n">
        <f aca="false">IF(D41=0,C41,C41/D41)</f>
        <v>37.1511545580216</v>
      </c>
      <c r="G41" s="73" t="n">
        <f aca="false">F41-C41</f>
        <v>9.63462478802162</v>
      </c>
      <c r="H41" s="74" t="n">
        <f aca="false">IF(B50=0,1/$B$5,C50/B50)</f>
        <v>0.239403305246791</v>
      </c>
      <c r="I41" s="73" t="n">
        <f aca="false">D50</f>
        <v>37.51718940606</v>
      </c>
      <c r="J41" s="75" t="n">
        <f aca="false">IF(I41=0,0,F41/I41-1)</f>
        <v>-0.00975645707562667</v>
      </c>
    </row>
    <row r="42" customFormat="false" ht="15" hidden="false" customHeight="true" outlineLevel="0" collapsed="false">
      <c r="A42" s="76" t="s">
        <v>90</v>
      </c>
      <c r="B42" s="76" t="n">
        <f aca="false">SUM(B38:B41)</f>
        <v>430.515326454546</v>
      </c>
      <c r="C42" s="76" t="n">
        <f aca="false">SUM(C38:C41)</f>
        <v>147.8132635</v>
      </c>
      <c r="D42" s="77" t="n">
        <f aca="false">IF(F42=0,0,C42/F42)</f>
        <v>0.739871445044162</v>
      </c>
      <c r="E42" s="76" t="n">
        <f aca="false">SUM(E38:E41)</f>
        <v>582.16125925055</v>
      </c>
      <c r="F42" s="76" t="n">
        <f aca="false">SUM(F38:F41)</f>
        <v>199.782360152009</v>
      </c>
      <c r="G42" s="76" t="n">
        <f aca="false">SUM(G38:G41)</f>
        <v>51.9690966520088</v>
      </c>
      <c r="H42" s="77" t="n">
        <f aca="false">IF(E42=0,0,SUMPRODUCT(E38:E41,H38:H41)/E42)</f>
        <v>0.242756626315583</v>
      </c>
      <c r="I42" s="76" t="n">
        <f aca="false">SUM(I38:I41)</f>
        <v>207.42321923538</v>
      </c>
      <c r="J42" s="78" t="n">
        <f aca="false">IF(I42=0,0,F42/I42-1)</f>
        <v>-0.0368370480003999</v>
      </c>
    </row>
    <row r="43" customFormat="false" ht="15" hidden="false" customHeight="true" outlineLevel="0" collapsed="false">
      <c r="A43" s="69" t="s">
        <v>147</v>
      </c>
    </row>
    <row r="45" customFormat="false" ht="15" hidden="false" customHeight="true" outlineLevel="0" collapsed="false">
      <c r="A45" s="79" t="s">
        <v>148</v>
      </c>
    </row>
    <row r="46" customFormat="false" ht="15" hidden="false" customHeight="true" outlineLevel="0" collapsed="false">
      <c r="A46" s="80" t="s">
        <v>3</v>
      </c>
      <c r="B46" s="80" t="s">
        <v>125</v>
      </c>
      <c r="C46" s="80" t="s">
        <v>126</v>
      </c>
      <c r="D46" s="81" t="s">
        <v>127</v>
      </c>
      <c r="E46" s="81" t="s">
        <v>128</v>
      </c>
    </row>
    <row r="47" customFormat="false" ht="15" hidden="false" customHeight="true" outlineLevel="0" collapsed="false">
      <c r="A47" s="72" t="s">
        <v>14</v>
      </c>
      <c r="B47" s="73" t="n">
        <f aca="false">SUMIFS(RAW_2026!$M:$M,RAW_2026!$B:$B,"HK")/10^8</f>
        <v>131.5000436</v>
      </c>
      <c r="C47" s="73" t="n">
        <f aca="false">SUMIFS(RAW_2026!$N:$N,RAW_2026!$B:$B,"HK")/10^8</f>
        <v>30.91825475</v>
      </c>
      <c r="D47" s="73" t="n">
        <f aca="false">SUMIFS(RAW_2026!$O:$O,RAW_2026!$B:$B,"HK")/10^8</f>
        <v>45.6009404643</v>
      </c>
      <c r="E47" s="73" t="n">
        <f aca="false">D47-C47</f>
        <v>14.6826857143</v>
      </c>
    </row>
    <row r="48" customFormat="false" ht="15" hidden="false" customHeight="true" outlineLevel="0" collapsed="false">
      <c r="A48" s="72" t="s">
        <v>15</v>
      </c>
      <c r="B48" s="73" t="n">
        <f aca="false">SUMIFS(RAW_2026!$M:$M,RAW_2026!$B:$B,"CN")/10^8</f>
        <v>220.3024132</v>
      </c>
      <c r="C48" s="73" t="n">
        <f aca="false">SUMIFS(RAW_2026!$N:$N,RAW_2026!$B:$B,"CN")/10^8</f>
        <v>55.80695043</v>
      </c>
      <c r="D48" s="73" t="n">
        <f aca="false">SUMIFS(RAW_2026!$O:$O,RAW_2026!$B:$B,"CN")/10^8</f>
        <v>60.20122151352</v>
      </c>
      <c r="E48" s="73" t="n">
        <f aca="false">D48-C48</f>
        <v>4.39427108352</v>
      </c>
    </row>
    <row r="49" customFormat="false" ht="15" hidden="false" customHeight="true" outlineLevel="0" collapsed="false">
      <c r="A49" s="72" t="s">
        <v>16</v>
      </c>
      <c r="B49" s="73" t="n">
        <f aca="false">SUMIFS(RAW_2026!$M:$M,RAW_2026!$B:$B,"TW")/10^8</f>
        <v>186.9682348</v>
      </c>
      <c r="C49" s="73" t="n">
        <f aca="false">SUMIFS(RAW_2026!$N:$N,RAW_2026!$B:$B,"TW")/10^8</f>
        <v>44.98305165</v>
      </c>
      <c r="D49" s="73" t="n">
        <f aca="false">SUMIFS(RAW_2026!$O:$O,RAW_2026!$B:$B,"TW")/10^8</f>
        <v>64.1038678515</v>
      </c>
      <c r="E49" s="73" t="n">
        <f aca="false">D49-C49</f>
        <v>19.1208162015</v>
      </c>
    </row>
    <row r="50" customFormat="false" ht="15" hidden="false" customHeight="true" outlineLevel="0" collapsed="false">
      <c r="A50" s="72" t="s">
        <v>45</v>
      </c>
      <c r="B50" s="73" t="n">
        <f aca="false">SUMIFS(RAW_2026!$M:$M,RAW_2026!$B:$B,"홀세일")/10^8</f>
        <v>108.8797608</v>
      </c>
      <c r="C50" s="73" t="n">
        <f aca="false">SUMIFS(RAW_2026!$N:$N,RAW_2026!$B:$B,"홀세일")/10^8</f>
        <v>26.06617461</v>
      </c>
      <c r="D50" s="73" t="n">
        <f aca="false">SUMIFS(RAW_2026!$O:$O,RAW_2026!$B:$B,"홀세일")/10^8</f>
        <v>37.51718940606</v>
      </c>
      <c r="E50" s="73" t="n">
        <f aca="false">D50-C50</f>
        <v>11.45101479606</v>
      </c>
    </row>
    <row r="51" customFormat="false" ht="15" hidden="false" customHeight="true" outlineLevel="0" collapsed="false">
      <c r="A51" s="76" t="s">
        <v>90</v>
      </c>
      <c r="B51" s="76" t="n">
        <f aca="false">SUM(B47:B50)</f>
        <v>647.6504524</v>
      </c>
      <c r="C51" s="76" t="n">
        <f aca="false">SUM(C47:C50)</f>
        <v>157.77443144</v>
      </c>
      <c r="D51" s="76" t="n">
        <f aca="false">SUM(D47:D50)</f>
        <v>207.42321923538</v>
      </c>
      <c r="E51" s="76" t="n">
        <f aca="false">SUM(E47:E50)</f>
        <v>49.64878779538</v>
      </c>
    </row>
  </sheetData>
  <mergeCells count="1">
    <mergeCell ref="A28:K29"/>
  </mergeCells>
  <dataValidations count="1">
    <dataValidation allowBlank="false" errorStyle="stop" operator="between" showDropDown="false" showErrorMessage="false" showInputMessage="false" sqref="B35" type="list">
      <formula1>"1,2"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9609375" defaultRowHeight="15" zeroHeight="false" outlineLevelRow="0" outlineLevelCol="0"/>
  <cols>
    <col collapsed="false" customWidth="true" hidden="false" outlineLevel="0" max="1" min="1" style="34" width="22.02"/>
    <col collapsed="false" customWidth="true" hidden="false" outlineLevel="0" max="14" min="2" style="34" width="8.26"/>
  </cols>
  <sheetData>
    <row r="1" customFormat="false" ht="20.25" hidden="false" customHeight="true" outlineLevel="0" collapsed="false">
      <c r="A1" s="82" t="s">
        <v>149</v>
      </c>
    </row>
    <row r="2" customFormat="false" ht="15.75" hidden="false" customHeight="true" outlineLevel="0" collapsed="false">
      <c r="A2" s="36" t="s">
        <v>150</v>
      </c>
    </row>
    <row r="3" customFormat="false" ht="15.75" hidden="false" customHeight="true" outlineLevel="0" collapsed="false">
      <c r="A3" s="55" t="s">
        <v>151</v>
      </c>
    </row>
    <row r="4" customFormat="false" ht="15.75" hidden="false" customHeight="true" outlineLevel="0" collapsed="false">
      <c r="A4" s="39" t="s">
        <v>3</v>
      </c>
      <c r="B4" s="40" t="s">
        <v>78</v>
      </c>
      <c r="C4" s="40" t="s">
        <v>79</v>
      </c>
      <c r="D4" s="40" t="s">
        <v>80</v>
      </c>
      <c r="E4" s="40" t="s">
        <v>81</v>
      </c>
      <c r="F4" s="40" t="s">
        <v>82</v>
      </c>
      <c r="G4" s="40" t="s">
        <v>83</v>
      </c>
      <c r="H4" s="40" t="s">
        <v>84</v>
      </c>
      <c r="I4" s="40" t="s">
        <v>85</v>
      </c>
      <c r="J4" s="40" t="s">
        <v>86</v>
      </c>
      <c r="K4" s="40" t="s">
        <v>87</v>
      </c>
      <c r="L4" s="40" t="s">
        <v>88</v>
      </c>
      <c r="M4" s="40" t="s">
        <v>89</v>
      </c>
      <c r="N4" s="39" t="s">
        <v>59</v>
      </c>
    </row>
    <row r="5" customFormat="false" ht="15" hidden="false" customHeight="true" outlineLevel="0" collapsed="false">
      <c r="A5" s="36" t="s">
        <v>14</v>
      </c>
      <c r="B5" s="83" t="n">
        <v>31.7</v>
      </c>
      <c r="C5" s="83" t="n">
        <v>18.2</v>
      </c>
      <c r="D5" s="83" t="n">
        <v>12.1</v>
      </c>
      <c r="E5" s="83" t="n">
        <v>13</v>
      </c>
      <c r="F5" s="83" t="n">
        <v>11.9</v>
      </c>
      <c r="G5" s="83" t="n">
        <v>12.5</v>
      </c>
      <c r="H5" s="83" t="n">
        <v>12.7</v>
      </c>
      <c r="I5" s="83" t="n">
        <v>12.3</v>
      </c>
      <c r="J5" s="83" t="n">
        <v>8.7</v>
      </c>
      <c r="K5" s="83" t="n">
        <v>14.7</v>
      </c>
      <c r="L5" s="83" t="n">
        <v>21.1</v>
      </c>
      <c r="M5" s="83" t="n">
        <v>24.3</v>
      </c>
      <c r="N5" s="41" t="n">
        <f aca="false">SUM(B5:M5)</f>
        <v>193.2</v>
      </c>
    </row>
    <row r="6" customFormat="false" ht="15" hidden="false" customHeight="true" outlineLevel="0" collapsed="false">
      <c r="A6" s="36" t="s">
        <v>15</v>
      </c>
      <c r="B6" s="83" t="n">
        <v>15.8</v>
      </c>
      <c r="C6" s="83" t="n">
        <v>6.5</v>
      </c>
      <c r="D6" s="83" t="n">
        <v>7.4</v>
      </c>
      <c r="E6" s="83" t="n">
        <v>9.4</v>
      </c>
      <c r="F6" s="83" t="n">
        <v>9.6</v>
      </c>
      <c r="G6" s="83" t="n">
        <v>8.6</v>
      </c>
      <c r="H6" s="83" t="n">
        <v>7.1</v>
      </c>
      <c r="I6" s="83" t="n">
        <v>6.7</v>
      </c>
      <c r="J6" s="83" t="n">
        <v>5.8</v>
      </c>
      <c r="K6" s="83" t="n">
        <v>15.5</v>
      </c>
      <c r="L6" s="83" t="n">
        <v>11.9</v>
      </c>
      <c r="M6" s="83" t="n">
        <v>15.6</v>
      </c>
      <c r="N6" s="41" t="n">
        <f aca="false">SUM(B6:M6)</f>
        <v>119.9</v>
      </c>
    </row>
    <row r="7" customFormat="false" ht="15" hidden="false" customHeight="true" outlineLevel="0" collapsed="false">
      <c r="A7" s="36" t="s">
        <v>16</v>
      </c>
      <c r="B7" s="83" t="n">
        <v>39.8</v>
      </c>
      <c r="C7" s="83" t="n">
        <v>20.9</v>
      </c>
      <c r="D7" s="83" t="n">
        <v>19</v>
      </c>
      <c r="E7" s="83" t="n">
        <v>21.2</v>
      </c>
      <c r="F7" s="83" t="n">
        <v>21</v>
      </c>
      <c r="G7" s="83" t="n">
        <v>16.6</v>
      </c>
      <c r="H7" s="83" t="n">
        <v>16.2</v>
      </c>
      <c r="I7" s="83" t="n">
        <v>19.7</v>
      </c>
      <c r="J7" s="83" t="n">
        <v>16.5</v>
      </c>
      <c r="K7" s="83" t="n">
        <v>22.5</v>
      </c>
      <c r="L7" s="83" t="n">
        <v>35</v>
      </c>
      <c r="M7" s="83" t="n">
        <v>30.3</v>
      </c>
      <c r="N7" s="41" t="n">
        <f aca="false">SUM(B7:M7)</f>
        <v>278.7</v>
      </c>
    </row>
    <row r="8" customFormat="false" ht="15.75" hidden="false" customHeight="true" outlineLevel="0" collapsed="false">
      <c r="A8" s="55" t="s">
        <v>152</v>
      </c>
      <c r="B8" s="84" t="n">
        <f aca="false">SUM(B5:B7)</f>
        <v>87.3</v>
      </c>
      <c r="C8" s="84" t="n">
        <f aca="false">SUM(C5:C7)</f>
        <v>45.6</v>
      </c>
      <c r="D8" s="84" t="n">
        <f aca="false">SUM(D5:D7)</f>
        <v>38.5</v>
      </c>
      <c r="E8" s="84" t="n">
        <f aca="false">SUM(E5:E7)</f>
        <v>43.6</v>
      </c>
      <c r="F8" s="84" t="n">
        <f aca="false">SUM(F5:F7)</f>
        <v>42.5</v>
      </c>
      <c r="G8" s="84" t="n">
        <f aca="false">SUM(G5:G7)</f>
        <v>37.7</v>
      </c>
      <c r="H8" s="84" t="n">
        <f aca="false">SUM(H5:H7)</f>
        <v>36</v>
      </c>
      <c r="I8" s="84" t="n">
        <f aca="false">SUM(I5:I7)</f>
        <v>38.7</v>
      </c>
      <c r="J8" s="84" t="n">
        <f aca="false">SUM(J5:J7)</f>
        <v>31</v>
      </c>
      <c r="K8" s="84" t="n">
        <f aca="false">SUM(K5:K7)</f>
        <v>52.7</v>
      </c>
      <c r="L8" s="84" t="n">
        <f aca="false">SUM(L5:L7)</f>
        <v>68</v>
      </c>
      <c r="M8" s="84" t="n">
        <f aca="false">SUM(M5:M7)</f>
        <v>70.2</v>
      </c>
      <c r="N8" s="84" t="n">
        <f aca="false">SUM(N5:N7)</f>
        <v>591.8</v>
      </c>
    </row>
    <row r="9" customFormat="false" ht="15.75" hidden="false" customHeight="true" outlineLevel="0" collapsed="false">
      <c r="A9" s="55" t="s">
        <v>153</v>
      </c>
    </row>
    <row r="10" customFormat="false" ht="15.75" hidden="false" customHeight="true" outlineLevel="0" collapsed="false">
      <c r="A10" s="39" t="s">
        <v>3</v>
      </c>
      <c r="B10" s="40" t="s">
        <v>78</v>
      </c>
      <c r="C10" s="40" t="s">
        <v>79</v>
      </c>
      <c r="D10" s="40" t="s">
        <v>80</v>
      </c>
      <c r="E10" s="40" t="s">
        <v>81</v>
      </c>
      <c r="F10" s="40" t="s">
        <v>82</v>
      </c>
      <c r="G10" s="40" t="s">
        <v>83</v>
      </c>
      <c r="H10" s="40" t="s">
        <v>84</v>
      </c>
      <c r="I10" s="40" t="s">
        <v>85</v>
      </c>
      <c r="J10" s="40" t="s">
        <v>86</v>
      </c>
      <c r="K10" s="40" t="s">
        <v>87</v>
      </c>
      <c r="L10" s="40" t="s">
        <v>88</v>
      </c>
      <c r="M10" s="40" t="s">
        <v>89</v>
      </c>
      <c r="N10" s="39" t="s">
        <v>59</v>
      </c>
    </row>
    <row r="11" customFormat="false" ht="15" hidden="false" customHeight="true" outlineLevel="0" collapsed="false">
      <c r="A11" s="36" t="s">
        <v>14</v>
      </c>
      <c r="B11" s="83" t="n">
        <v>24.07</v>
      </c>
      <c r="C11" s="83" t="n">
        <v>19.03</v>
      </c>
      <c r="D11" s="83" t="n">
        <v>11.84</v>
      </c>
      <c r="E11" s="83" t="n">
        <v>10.55</v>
      </c>
      <c r="F11" s="83" t="n">
        <v>10.89</v>
      </c>
      <c r="G11" s="83" t="n">
        <v>12.5</v>
      </c>
      <c r="H11" s="83" t="n">
        <v>9.3</v>
      </c>
      <c r="I11" s="83" t="n">
        <v>9.9</v>
      </c>
      <c r="J11" s="83" t="n">
        <v>7.8</v>
      </c>
      <c r="K11" s="41" t="n">
        <f aca="false">K5*SUM($B11:$J11)/SUM($B5:$J5)</f>
        <v>12.7981667918858</v>
      </c>
      <c r="L11" s="41" t="n">
        <f aca="false">L5*SUM($B11:$J11)/SUM($B5:$J5)</f>
        <v>18.3701577761082</v>
      </c>
      <c r="M11" s="41" t="n">
        <f aca="false">M5*SUM($B11:$J11)/SUM($B5:$J5)</f>
        <v>21.1561532682194</v>
      </c>
      <c r="N11" s="41" t="n">
        <f aca="false">SUM(B11:M11)</f>
        <v>168.204477836213</v>
      </c>
    </row>
    <row r="12" customFormat="false" ht="15" hidden="false" customHeight="true" outlineLevel="0" collapsed="false">
      <c r="A12" s="36" t="s">
        <v>15</v>
      </c>
      <c r="B12" s="83" t="n">
        <v>15.09</v>
      </c>
      <c r="C12" s="83" t="n">
        <v>8.68</v>
      </c>
      <c r="D12" s="83" t="n">
        <v>4.89</v>
      </c>
      <c r="E12" s="83" t="n">
        <v>5.69</v>
      </c>
      <c r="F12" s="83" t="n">
        <v>7.57</v>
      </c>
      <c r="G12" s="83" t="n">
        <v>6.9</v>
      </c>
      <c r="H12" s="83" t="n">
        <v>5.9</v>
      </c>
      <c r="I12" s="83" t="n">
        <v>6.7</v>
      </c>
      <c r="J12" s="83" t="n">
        <v>7</v>
      </c>
      <c r="K12" s="41" t="n">
        <f aca="false">K6*SUM($B12:$J12)/SUM($B6:$J6)</f>
        <v>13.7907672301691</v>
      </c>
      <c r="L12" s="41" t="n">
        <f aca="false">L6*SUM($B12:$J12)/SUM($B6:$J6)</f>
        <v>10.5877503250975</v>
      </c>
      <c r="M12" s="41" t="n">
        <f aca="false">M6*SUM($B12:$J12)/SUM($B6:$J6)</f>
        <v>13.8797399219766</v>
      </c>
      <c r="N12" s="41" t="n">
        <f aca="false">SUM(B12:M12)</f>
        <v>106.678257477243</v>
      </c>
    </row>
    <row r="13" customFormat="false" ht="15" hidden="false" customHeight="true" outlineLevel="0" collapsed="false">
      <c r="A13" s="36" t="s">
        <v>16</v>
      </c>
      <c r="B13" s="83" t="n">
        <v>34.94</v>
      </c>
      <c r="C13" s="83" t="n">
        <v>29.89</v>
      </c>
      <c r="D13" s="83" t="n">
        <v>16.12</v>
      </c>
      <c r="E13" s="83" t="n">
        <v>20.2</v>
      </c>
      <c r="F13" s="83" t="n">
        <v>20.75</v>
      </c>
      <c r="G13" s="83" t="n">
        <v>16.6</v>
      </c>
      <c r="H13" s="83" t="n">
        <v>13.4</v>
      </c>
      <c r="I13" s="83" t="n">
        <v>14.1</v>
      </c>
      <c r="J13" s="83" t="n">
        <v>17</v>
      </c>
      <c r="K13" s="41" t="n">
        <f aca="false">K7*SUM($B13:$J13)/SUM($B7:$J7)</f>
        <v>21.5688842325825</v>
      </c>
      <c r="L13" s="41" t="n">
        <f aca="false">L7*SUM($B13:$J13)/SUM($B7:$J7)</f>
        <v>33.5515976951283</v>
      </c>
      <c r="M13" s="41" t="n">
        <f aca="false">M7*SUM($B13:$J13)/SUM($B7:$J7)</f>
        <v>29.0460974332111</v>
      </c>
      <c r="N13" s="41" t="n">
        <f aca="false">SUM(B13:M13)</f>
        <v>267.166579360922</v>
      </c>
    </row>
    <row r="14" customFormat="false" ht="15.75" hidden="false" customHeight="true" outlineLevel="0" collapsed="false">
      <c r="A14" s="55" t="s">
        <v>152</v>
      </c>
      <c r="B14" s="84" t="n">
        <f aca="false">SUM(B11:B13)</f>
        <v>74.1</v>
      </c>
      <c r="C14" s="84" t="n">
        <f aca="false">SUM(C11:C13)</f>
        <v>57.6</v>
      </c>
      <c r="D14" s="84" t="n">
        <f aca="false">SUM(D11:D13)</f>
        <v>32.85</v>
      </c>
      <c r="E14" s="84" t="n">
        <f aca="false">SUM(E11:E13)</f>
        <v>36.44</v>
      </c>
      <c r="F14" s="84" t="n">
        <f aca="false">SUM(F11:F13)</f>
        <v>39.21</v>
      </c>
      <c r="G14" s="84" t="n">
        <f aca="false">SUM(G11:G13)</f>
        <v>36</v>
      </c>
      <c r="H14" s="84" t="n">
        <f aca="false">SUM(H11:H13)</f>
        <v>28.6</v>
      </c>
      <c r="I14" s="84" t="n">
        <f aca="false">SUM(I11:I13)</f>
        <v>30.7</v>
      </c>
      <c r="J14" s="84" t="n">
        <f aca="false">SUM(J11:J13)</f>
        <v>31.8</v>
      </c>
      <c r="K14" s="84" t="n">
        <f aca="false">SUM(K11:K13)</f>
        <v>48.1578182546374</v>
      </c>
      <c r="L14" s="84" t="n">
        <f aca="false">SUM(L11:L13)</f>
        <v>62.5095057963341</v>
      </c>
      <c r="M14" s="84" t="n">
        <f aca="false">SUM(M11:M13)</f>
        <v>64.0819906234071</v>
      </c>
      <c r="N14" s="84" t="n">
        <f aca="false">SUM(N11:N13)</f>
        <v>542.049314674379</v>
      </c>
    </row>
    <row r="15" customFormat="false" ht="15.75" hidden="false" customHeight="true" outlineLevel="0" collapsed="false">
      <c r="A15" s="55" t="s">
        <v>154</v>
      </c>
    </row>
    <row r="16" customFormat="false" ht="15.75" hidden="false" customHeight="true" outlineLevel="0" collapsed="false">
      <c r="A16" s="39" t="s">
        <v>3</v>
      </c>
      <c r="B16" s="40" t="s">
        <v>78</v>
      </c>
      <c r="C16" s="40" t="s">
        <v>79</v>
      </c>
      <c r="D16" s="40" t="s">
        <v>80</v>
      </c>
      <c r="E16" s="40" t="s">
        <v>81</v>
      </c>
      <c r="F16" s="40" t="s">
        <v>82</v>
      </c>
      <c r="G16" s="40" t="s">
        <v>83</v>
      </c>
      <c r="H16" s="40" t="s">
        <v>84</v>
      </c>
      <c r="I16" s="40" t="s">
        <v>85</v>
      </c>
      <c r="J16" s="40" t="s">
        <v>86</v>
      </c>
      <c r="K16" s="40" t="s">
        <v>87</v>
      </c>
      <c r="L16" s="40" t="s">
        <v>88</v>
      </c>
      <c r="M16" s="40" t="s">
        <v>89</v>
      </c>
      <c r="N16" s="39" t="s">
        <v>59</v>
      </c>
    </row>
    <row r="17" customFormat="false" ht="15" hidden="false" customHeight="true" outlineLevel="0" collapsed="false">
      <c r="A17" s="36" t="s">
        <v>14</v>
      </c>
      <c r="B17" s="59" t="n">
        <f aca="false">B11/$N11</f>
        <v>0.143099638663828</v>
      </c>
      <c r="C17" s="59" t="n">
        <f aca="false">C11/$N11</f>
        <v>0.113136108175016</v>
      </c>
      <c r="D17" s="59" t="n">
        <f aca="false">D11/$N11</f>
        <v>0.070390516068954</v>
      </c>
      <c r="E17" s="59" t="n">
        <f aca="false">E11/$N11</f>
        <v>0.0627212790986035</v>
      </c>
      <c r="F17" s="59" t="n">
        <f aca="false">F11/$N11</f>
        <v>0.0647426283776106</v>
      </c>
      <c r="G17" s="59" t="n">
        <f aca="false">G11/$N11</f>
        <v>0.0743143117282032</v>
      </c>
      <c r="H17" s="59" t="n">
        <f aca="false">H11/$N11</f>
        <v>0.0552898479257832</v>
      </c>
      <c r="I17" s="59" t="n">
        <f aca="false">I11/$N11</f>
        <v>0.0588569348887369</v>
      </c>
      <c r="J17" s="59" t="n">
        <f aca="false">J11/$N11</f>
        <v>0.0463721305183988</v>
      </c>
      <c r="K17" s="59" t="n">
        <f aca="false">K11/$N11</f>
        <v>0.0760869565217391</v>
      </c>
      <c r="L17" s="59" t="n">
        <f aca="false">L11/$N11</f>
        <v>0.109213250517598</v>
      </c>
      <c r="M17" s="59" t="n">
        <f aca="false">M11/$N11</f>
        <v>0.125776397515528</v>
      </c>
      <c r="N17" s="59" t="n">
        <f aca="false">SUM(B17:M17)</f>
        <v>1</v>
      </c>
    </row>
    <row r="18" customFormat="false" ht="15" hidden="false" customHeight="true" outlineLevel="0" collapsed="false">
      <c r="A18" s="36" t="s">
        <v>15</v>
      </c>
      <c r="B18" s="59" t="n">
        <f aca="false">B12/$N12</f>
        <v>0.141453379131348</v>
      </c>
      <c r="C18" s="59" t="n">
        <f aca="false">C12/$N12</f>
        <v>0.081366158440033</v>
      </c>
      <c r="D18" s="59" t="n">
        <f aca="false">D12/$N12</f>
        <v>0.0458387689829218</v>
      </c>
      <c r="E18" s="59" t="n">
        <f aca="false">E12/$N12</f>
        <v>0.0533379540926023</v>
      </c>
      <c r="F18" s="59" t="n">
        <f aca="false">F12/$N12</f>
        <v>0.0709610391003513</v>
      </c>
      <c r="G18" s="59" t="n">
        <f aca="false">G12/$N12</f>
        <v>0.064680471570994</v>
      </c>
      <c r="H18" s="59" t="n">
        <f aca="false">H12/$N12</f>
        <v>0.0553064901838934</v>
      </c>
      <c r="I18" s="59" t="n">
        <f aca="false">I12/$N12</f>
        <v>0.0628056752935738</v>
      </c>
      <c r="J18" s="59" t="n">
        <f aca="false">J12/$N12</f>
        <v>0.065617869709704</v>
      </c>
      <c r="K18" s="59" t="n">
        <f aca="false">K12/$N12</f>
        <v>0.129274395329441</v>
      </c>
      <c r="L18" s="59" t="n">
        <f aca="false">L12/$N12</f>
        <v>0.0992493744787323</v>
      </c>
      <c r="M18" s="59" t="n">
        <f aca="false">M12/$N12</f>
        <v>0.130108423686405</v>
      </c>
      <c r="N18" s="59" t="n">
        <f aca="false">SUM(B18:M18)</f>
        <v>1</v>
      </c>
    </row>
    <row r="19" customFormat="false" ht="15" hidden="false" customHeight="true" outlineLevel="0" collapsed="false">
      <c r="A19" s="36" t="s">
        <v>16</v>
      </c>
      <c r="B19" s="59" t="n">
        <f aca="false">B13/$N13</f>
        <v>0.130779830634425</v>
      </c>
      <c r="C19" s="59" t="n">
        <f aca="false">C13/$N13</f>
        <v>0.111877765817486</v>
      </c>
      <c r="D19" s="59" t="n">
        <f aca="false">D13/$N13</f>
        <v>0.0603368880889218</v>
      </c>
      <c r="E19" s="59" t="n">
        <f aca="false">E13/$N13</f>
        <v>0.0756082592677556</v>
      </c>
      <c r="F19" s="59" t="n">
        <f aca="false">F13/$N13</f>
        <v>0.0776668999903925</v>
      </c>
      <c r="G19" s="59" t="n">
        <f aca="false">G13/$N13</f>
        <v>0.0621335199923141</v>
      </c>
      <c r="H19" s="59" t="n">
        <f aca="false">H13/$N13</f>
        <v>0.0501559739696993</v>
      </c>
      <c r="I19" s="59" t="n">
        <f aca="false">I13/$N13</f>
        <v>0.0527760621621463</v>
      </c>
      <c r="J19" s="59" t="n">
        <f aca="false">J13/$N13</f>
        <v>0.0636307132451409</v>
      </c>
      <c r="K19" s="59" t="n">
        <f aca="false">K13/$N13</f>
        <v>0.0807319698600646</v>
      </c>
      <c r="L19" s="59" t="n">
        <f aca="false">L13/$N13</f>
        <v>0.125583064226767</v>
      </c>
      <c r="M19" s="59" t="n">
        <f aca="false">M13/$N13</f>
        <v>0.108719052744887</v>
      </c>
      <c r="N19" s="59" t="n">
        <f aca="false">SUM(B19:M19)</f>
        <v>1</v>
      </c>
    </row>
    <row r="20" customFormat="false" ht="15.75" hidden="false" customHeight="true" outlineLevel="0" collapsed="false">
      <c r="A20" s="55" t="s">
        <v>155</v>
      </c>
      <c r="B20" s="85" t="n">
        <f aca="false">B14/$N14</f>
        <v>0.136703428994304</v>
      </c>
      <c r="C20" s="85" t="n">
        <f aca="false">C14/$N14</f>
        <v>0.106263394198001</v>
      </c>
      <c r="D20" s="85" t="n">
        <f aca="false">D14/$N14</f>
        <v>0.0606033420035477</v>
      </c>
      <c r="E20" s="85" t="n">
        <f aca="false">E14/$N14</f>
        <v>0.0672263556349856</v>
      </c>
      <c r="F20" s="85" t="n">
        <f aca="false">F14/$N14</f>
        <v>0.072336591779577</v>
      </c>
      <c r="G20" s="85" t="n">
        <f aca="false">G14/$N14</f>
        <v>0.0664146213737509</v>
      </c>
      <c r="H20" s="85" t="n">
        <f aca="false">H14/$N14</f>
        <v>0.0527627269802576</v>
      </c>
      <c r="I20" s="85" t="n">
        <f aca="false">I14/$N14</f>
        <v>0.0566369132270598</v>
      </c>
      <c r="J20" s="85" t="n">
        <f aca="false">J14/$N14</f>
        <v>0.0586662488801466</v>
      </c>
      <c r="K20" s="85" t="n">
        <f aca="false">K14/$N14</f>
        <v>0.0888439795991013</v>
      </c>
      <c r="L20" s="85" t="n">
        <f aca="false">L14/$N14</f>
        <v>0.115320698881217</v>
      </c>
      <c r="M20" s="85" t="n">
        <f aca="false">M14/$N14</f>
        <v>0.118221698448051</v>
      </c>
      <c r="N20" s="85" t="n">
        <f aca="false">N14/$N14</f>
        <v>1</v>
      </c>
    </row>
    <row r="22" customFormat="false" ht="15" hidden="false" customHeight="true" outlineLevel="0" collapsed="false">
      <c r="A22" s="55" t="s">
        <v>156</v>
      </c>
    </row>
    <row r="23" customFormat="false" ht="15" hidden="false" customHeight="true" outlineLevel="0" collapsed="false">
      <c r="A23" s="39" t="s">
        <v>3</v>
      </c>
      <c r="B23" s="40" t="s">
        <v>78</v>
      </c>
      <c r="C23" s="40" t="s">
        <v>79</v>
      </c>
      <c r="D23" s="40" t="s">
        <v>80</v>
      </c>
      <c r="E23" s="40" t="s">
        <v>81</v>
      </c>
      <c r="F23" s="40" t="s">
        <v>82</v>
      </c>
      <c r="G23" s="40" t="s">
        <v>83</v>
      </c>
      <c r="H23" s="40" t="s">
        <v>84</v>
      </c>
      <c r="I23" s="40" t="s">
        <v>85</v>
      </c>
      <c r="J23" s="40" t="s">
        <v>86</v>
      </c>
      <c r="K23" s="40" t="s">
        <v>87</v>
      </c>
      <c r="L23" s="40" t="s">
        <v>88</v>
      </c>
      <c r="M23" s="40" t="s">
        <v>89</v>
      </c>
      <c r="N23" s="39" t="s">
        <v>59</v>
      </c>
    </row>
    <row r="24" customFormat="false" ht="15" hidden="false" customHeight="true" outlineLevel="0" collapsed="false">
      <c r="A24" s="36" t="s">
        <v>14</v>
      </c>
      <c r="B24" s="51" t="n">
        <f aca="false">요약!B30</f>
        <v>0.144</v>
      </c>
      <c r="C24" s="51" t="n">
        <f aca="false">요약!C30</f>
        <v>0.113</v>
      </c>
      <c r="D24" s="51" t="n">
        <f aca="false">요약!D30</f>
        <v>0.07</v>
      </c>
      <c r="E24" s="51" t="n">
        <f aca="false">요약!E30</f>
        <v>0.063</v>
      </c>
      <c r="F24" s="51" t="n">
        <f aca="false">요약!F30</f>
        <v>0.065</v>
      </c>
      <c r="G24" s="51" t="n">
        <f aca="false">요약!G30</f>
        <v>0.074</v>
      </c>
      <c r="H24" s="51" t="n">
        <f aca="false">요약!H30</f>
        <v>0.055</v>
      </c>
      <c r="I24" s="51" t="n">
        <f aca="false">요약!I30</f>
        <v>0.059</v>
      </c>
      <c r="J24" s="51" t="n">
        <f aca="false">요약!J30</f>
        <v>0.046</v>
      </c>
      <c r="K24" s="51" t="n">
        <f aca="false">요약!K30</f>
        <v>0.076</v>
      </c>
      <c r="L24" s="51" t="n">
        <f aca="false">요약!L30</f>
        <v>0.109</v>
      </c>
      <c r="M24" s="51" t="n">
        <f aca="false">요약!M30</f>
        <v>0.126</v>
      </c>
      <c r="N24" s="85" t="n">
        <f aca="false">SUM(B24:M24)</f>
        <v>1</v>
      </c>
    </row>
    <row r="25" customFormat="false" ht="15" hidden="false" customHeight="true" outlineLevel="0" collapsed="false">
      <c r="A25" s="36" t="s">
        <v>15</v>
      </c>
      <c r="B25" s="51" t="n">
        <f aca="false">요약!B31</f>
        <v>0.142</v>
      </c>
      <c r="C25" s="51" t="n">
        <f aca="false">요약!C31</f>
        <v>0.081</v>
      </c>
      <c r="D25" s="51" t="n">
        <f aca="false">요약!D31</f>
        <v>0.046</v>
      </c>
      <c r="E25" s="51" t="n">
        <f aca="false">요약!E31</f>
        <v>0.053</v>
      </c>
      <c r="F25" s="51" t="n">
        <f aca="false">요약!F31</f>
        <v>0.071</v>
      </c>
      <c r="G25" s="51" t="n">
        <f aca="false">요약!G31</f>
        <v>0.065</v>
      </c>
      <c r="H25" s="51" t="n">
        <f aca="false">요약!H31</f>
        <v>0.055</v>
      </c>
      <c r="I25" s="51" t="n">
        <f aca="false">요약!I31</f>
        <v>0.063</v>
      </c>
      <c r="J25" s="51" t="n">
        <f aca="false">요약!J31</f>
        <v>0.066</v>
      </c>
      <c r="K25" s="51" t="n">
        <f aca="false">요약!K31</f>
        <v>0.129</v>
      </c>
      <c r="L25" s="51" t="n">
        <f aca="false">요약!L31</f>
        <v>0.099</v>
      </c>
      <c r="M25" s="51" t="n">
        <f aca="false">요약!M31</f>
        <v>0.13</v>
      </c>
      <c r="N25" s="85" t="n">
        <f aca="false">SUM(B25:M25)</f>
        <v>1</v>
      </c>
    </row>
    <row r="26" customFormat="false" ht="15" hidden="false" customHeight="true" outlineLevel="0" collapsed="false">
      <c r="A26" s="36" t="s">
        <v>16</v>
      </c>
      <c r="B26" s="51" t="n">
        <f aca="false">요약!B32</f>
        <v>0.129</v>
      </c>
      <c r="C26" s="51" t="n">
        <f aca="false">요약!C32</f>
        <v>0.112</v>
      </c>
      <c r="D26" s="51" t="n">
        <f aca="false">요약!D32</f>
        <v>0.06</v>
      </c>
      <c r="E26" s="51" t="n">
        <f aca="false">요약!E32</f>
        <v>0.076</v>
      </c>
      <c r="F26" s="51" t="n">
        <f aca="false">요약!F32</f>
        <v>0.078</v>
      </c>
      <c r="G26" s="51" t="n">
        <f aca="false">요약!G32</f>
        <v>0.062</v>
      </c>
      <c r="H26" s="51" t="n">
        <f aca="false">요약!H32</f>
        <v>0.05</v>
      </c>
      <c r="I26" s="51" t="n">
        <f aca="false">요약!I32</f>
        <v>0.053</v>
      </c>
      <c r="J26" s="51" t="n">
        <f aca="false">요약!J32</f>
        <v>0.064</v>
      </c>
      <c r="K26" s="51" t="n">
        <f aca="false">요약!K32</f>
        <v>0.081</v>
      </c>
      <c r="L26" s="51" t="n">
        <f aca="false">요약!L32</f>
        <v>0.126</v>
      </c>
      <c r="M26" s="51" t="n">
        <f aca="false">요약!M32</f>
        <v>0.109</v>
      </c>
      <c r="N26" s="85" t="n">
        <f aca="false">SUM(B26:M26)</f>
        <v>1</v>
      </c>
    </row>
    <row r="27" customFormat="false" ht="15" hidden="false" customHeight="true" outlineLevel="0" collapsed="false">
      <c r="A27" s="79" t="s">
        <v>157</v>
      </c>
      <c r="B27" s="51" t="n">
        <f aca="false">요약!B33</f>
        <v>0.137</v>
      </c>
      <c r="C27" s="51" t="n">
        <f aca="false">요약!C33</f>
        <v>0.106</v>
      </c>
      <c r="D27" s="51" t="n">
        <f aca="false">요약!D33</f>
        <v>0.061</v>
      </c>
      <c r="E27" s="51" t="n">
        <f aca="false">요약!E33</f>
        <v>0.067</v>
      </c>
      <c r="F27" s="51" t="n">
        <f aca="false">요약!F33</f>
        <v>0.072</v>
      </c>
      <c r="G27" s="51" t="n">
        <f aca="false">요약!G33</f>
        <v>0.066</v>
      </c>
      <c r="H27" s="51" t="n">
        <f aca="false">요약!H33</f>
        <v>0.053</v>
      </c>
      <c r="I27" s="51" t="n">
        <f aca="false">요약!I33</f>
        <v>0.057</v>
      </c>
      <c r="J27" s="51" t="n">
        <f aca="false">요약!J33</f>
        <v>0.059</v>
      </c>
      <c r="K27" s="51" t="n">
        <f aca="false">요약!K33</f>
        <v>0.089</v>
      </c>
      <c r="L27" s="51" t="n">
        <f aca="false">요약!L33</f>
        <v>0.115</v>
      </c>
      <c r="M27" s="51" t="n">
        <f aca="false">요약!M33</f>
        <v>0.118</v>
      </c>
      <c r="N27" s="85" t="n">
        <f aca="false">SUM(B27:M27)</f>
        <v>1</v>
      </c>
    </row>
    <row r="28" customFormat="false" ht="15" hidden="false" customHeight="true" outlineLevel="0" collapsed="false">
      <c r="A28" s="69" t="s">
        <v>158</v>
      </c>
    </row>
    <row r="30" customFormat="false" ht="15" hidden="false" customHeight="true" outlineLevel="0" collapsed="false">
      <c r="A30" s="55" t="s">
        <v>159</v>
      </c>
    </row>
    <row r="31" customFormat="false" ht="15" hidden="false" customHeight="true" outlineLevel="0" collapsed="false">
      <c r="A31" s="39" t="s">
        <v>3</v>
      </c>
      <c r="B31" s="40" t="s">
        <v>78</v>
      </c>
      <c r="C31" s="40" t="s">
        <v>79</v>
      </c>
      <c r="D31" s="40" t="s">
        <v>80</v>
      </c>
      <c r="E31" s="40" t="s">
        <v>81</v>
      </c>
      <c r="F31" s="40" t="s">
        <v>82</v>
      </c>
      <c r="G31" s="40" t="s">
        <v>83</v>
      </c>
      <c r="H31" s="40" t="s">
        <v>84</v>
      </c>
      <c r="I31" s="40" t="s">
        <v>85</v>
      </c>
      <c r="J31" s="40" t="s">
        <v>86</v>
      </c>
      <c r="K31" s="40" t="s">
        <v>87</v>
      </c>
      <c r="L31" s="40" t="s">
        <v>88</v>
      </c>
      <c r="M31" s="40" t="s">
        <v>89</v>
      </c>
      <c r="N31" s="39"/>
    </row>
    <row r="32" customFormat="false" ht="15" hidden="false" customHeight="true" outlineLevel="0" collapsed="false">
      <c r="A32" s="79" t="s">
        <v>160</v>
      </c>
      <c r="B32" s="86" t="n">
        <f aca="false">IF(1&lt;MONTH(가정!$B$34),1,IF(1=MONTH(가정!$B$34),DAY(가정!$B$34)/DAY(EOMONTH(DATE(YEAR(가정!$B$34),1,1),0)),0))</f>
        <v>1</v>
      </c>
      <c r="C32" s="86" t="n">
        <f aca="false">IF(2&lt;MONTH(가정!$B$34),1,IF(2=MONTH(가정!$B$34),DAY(가정!$B$34)/DAY(EOMONTH(DATE(YEAR(가정!$B$34),2,1),0)),0))</f>
        <v>1</v>
      </c>
      <c r="D32" s="86" t="n">
        <f aca="false">IF(3&lt;MONTH(가정!$B$34),1,IF(3=MONTH(가정!$B$34),DAY(가정!$B$34)/DAY(EOMONTH(DATE(YEAR(가정!$B$34),3,1),0)),0))</f>
        <v>1</v>
      </c>
      <c r="E32" s="86" t="n">
        <f aca="false">IF(4&lt;MONTH(가정!$B$34),1,IF(4=MONTH(가정!$B$34),DAY(가정!$B$34)/DAY(EOMONTH(DATE(YEAR(가정!$B$34),4,1),0)),0))</f>
        <v>1</v>
      </c>
      <c r="F32" s="86" t="n">
        <f aca="false">IF(5&lt;MONTH(가정!$B$34),1,IF(5=MONTH(가정!$B$34),DAY(가정!$B$34)/DAY(EOMONTH(DATE(YEAR(가정!$B$34),5,1),0)),0))</f>
        <v>1</v>
      </c>
      <c r="G32" s="86" t="n">
        <f aca="false">IF(6&lt;MONTH(가정!$B$34),1,IF(6=MONTH(가정!$B$34),DAY(가정!$B$34)/DAY(EOMONTH(DATE(YEAR(가정!$B$34),6,1),0)),0))</f>
        <v>1</v>
      </c>
      <c r="H32" s="86" t="n">
        <f aca="false">IF(7&lt;MONTH(가정!$B$34),1,IF(7=MONTH(가정!$B$34),DAY(가정!$B$34)/DAY(EOMONTH(DATE(YEAR(가정!$B$34),7,1),0)),0))</f>
        <v>1</v>
      </c>
      <c r="I32" s="86" t="n">
        <f aca="false">IF(8&lt;MONTH(가정!$B$34),1,IF(8=MONTH(가정!$B$34),DAY(가정!$B$34)/DAY(EOMONTH(DATE(YEAR(가정!$B$34),8,1),0)),0))</f>
        <v>1</v>
      </c>
      <c r="J32" s="86" t="n">
        <f aca="false">IF(9&lt;MONTH(가정!$B$34),1,IF(9=MONTH(가정!$B$34),DAY(가정!$B$34)/DAY(EOMONTH(DATE(YEAR(가정!$B$34),9,1),0)),0))</f>
        <v>1</v>
      </c>
      <c r="K32" s="86" t="n">
        <f aca="false">IF(10&lt;MONTH(가정!$B$34),1,IF(10=MONTH(가정!$B$34),DAY(가정!$B$34)/DAY(EOMONTH(DATE(YEAR(가정!$B$34),10,1),0)),0))</f>
        <v>0.709677419354839</v>
      </c>
      <c r="L32" s="86" t="n">
        <f aca="false">IF(11&lt;MONTH(가정!$B$34),1,IF(11=MONTH(가정!$B$34),DAY(가정!$B$34)/DAY(EOMONTH(DATE(YEAR(가정!$B$34),11,1),0)),0))</f>
        <v>0</v>
      </c>
      <c r="M32" s="86" t="n">
        <f aca="false">IF(12&lt;MONTH(가정!$B$34),1,IF(12=MONTH(가정!$B$34),DAY(가정!$B$34)/DAY(EOMONTH(DATE(YEAR(가정!$B$34),12,1),0)),0))</f>
        <v>0</v>
      </c>
    </row>
  </sheetData>
  <conditionalFormatting sqref="N24:N27">
    <cfRule type="expression" priority="2" aboveAverage="0" equalAverage="0" bottom="0" percent="0" rank="0" text="" dxfId="1">
      <formula>ABS($N24-1)&gt;0.0005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125" defaultRowHeight="15" zeroHeight="false" outlineLevelRow="0" outlineLevelCol="0"/>
  <cols>
    <col collapsed="false" customWidth="true" hidden="false" outlineLevel="0" max="1" min="1" style="34" width="8"/>
    <col collapsed="false" customWidth="true" hidden="false" outlineLevel="0" max="2" min="2" style="34" width="9"/>
    <col collapsed="false" customWidth="true" hidden="false" outlineLevel="0" max="3" min="3" style="34" width="22"/>
    <col collapsed="false" customWidth="true" hidden="false" outlineLevel="0" max="4" min="4" style="34" width="18"/>
    <col collapsed="false" customWidth="true" hidden="false" outlineLevel="0" max="7" min="5" style="34" width="7"/>
    <col collapsed="false" customWidth="true" hidden="false" outlineLevel="0" max="8" min="8" style="34" width="10"/>
    <col collapsed="false" customWidth="true" hidden="false" outlineLevel="0" max="9" min="9" style="34" width="13"/>
    <col collapsed="false" customWidth="true" hidden="false" outlineLevel="0" max="10" min="10" style="34" width="40"/>
    <col collapsed="false" customWidth="true" hidden="false" outlineLevel="0" max="11" min="11" style="34" width="9"/>
    <col collapsed="false" customWidth="true" hidden="false" outlineLevel="0" max="14" min="12" style="34" width="16"/>
    <col collapsed="false" customWidth="true" hidden="false" outlineLevel="0" max="15" min="15" style="34" width="24"/>
  </cols>
  <sheetData>
    <row r="1" customFormat="false" ht="15" hidden="false" customHeight="true" outlineLevel="0" collapsed="false">
      <c r="A1" s="39" t="s">
        <v>3</v>
      </c>
      <c r="B1" s="39" t="s">
        <v>161</v>
      </c>
      <c r="C1" s="39" t="s">
        <v>162</v>
      </c>
      <c r="D1" s="39" t="s">
        <v>163</v>
      </c>
      <c r="E1" s="39" t="s">
        <v>164</v>
      </c>
      <c r="F1" s="39" t="s">
        <v>165</v>
      </c>
      <c r="G1" s="39" t="s">
        <v>166</v>
      </c>
      <c r="H1" s="39" t="s">
        <v>167</v>
      </c>
      <c r="I1" s="39" t="s">
        <v>168</v>
      </c>
      <c r="J1" s="39" t="s">
        <v>169</v>
      </c>
      <c r="K1" s="39" t="s">
        <v>170</v>
      </c>
      <c r="L1" s="40" t="s">
        <v>171</v>
      </c>
      <c r="M1" s="39" t="s">
        <v>172</v>
      </c>
      <c r="N1" s="40" t="s">
        <v>173</v>
      </c>
      <c r="O1" s="39" t="s">
        <v>174</v>
      </c>
      <c r="Q1" s="69" t="s">
        <v>175</v>
      </c>
    </row>
    <row r="2" customFormat="false" ht="15" hidden="false" customHeight="true" outlineLevel="0" collapsed="false">
      <c r="A2" s="67" t="str">
        <f aca="false">IF(OR(TRIM(C2)="",SUBSTITUTE(C2," ","")="소계"),"제외",IF(ISNUMBER(SEARCH("홍콩",C2)),"HK",IF(ISNUMBER(SEARCH("상해",C2)),"CN",IF(ISNUMBER(SEARCH("대만",C2)),"TW","홀세일"))))</f>
        <v>TW</v>
      </c>
      <c r="B2" s="87" t="s">
        <v>176</v>
      </c>
      <c r="C2" s="87" t="s">
        <v>177</v>
      </c>
      <c r="D2" s="88" t="s">
        <v>178</v>
      </c>
      <c r="E2" s="87" t="n">
        <v>2025</v>
      </c>
      <c r="F2" s="88" t="s">
        <v>179</v>
      </c>
      <c r="G2" s="88" t="s">
        <v>180</v>
      </c>
      <c r="H2" s="87" t="s">
        <v>181</v>
      </c>
      <c r="I2" s="87" t="s">
        <v>182</v>
      </c>
      <c r="J2" s="88" t="s">
        <v>183</v>
      </c>
      <c r="K2" s="89" t="n">
        <v>67</v>
      </c>
      <c r="L2" s="89" t="n">
        <v>20033000</v>
      </c>
      <c r="M2" s="89" t="n">
        <v>7088533</v>
      </c>
      <c r="N2" s="90" t="n">
        <f aca="false">IF(A2="제외",0,IF(OR(N(L2)&lt;=0,N(M2)&gt;N(L2)),N(M2)/가정!$B$4,N(L2)))</f>
        <v>20033000</v>
      </c>
      <c r="O2" s="67" t="str">
        <f aca="false">IF(A2="제외","",IF(OR(N(L2)&lt;=0,N(M2)&gt;N(L2)),"택가보정(판매금액÷공급율)",""))</f>
        <v/>
      </c>
      <c r="Q2" s="69" t="s">
        <v>184</v>
      </c>
    </row>
    <row r="3" customFormat="false" ht="15" hidden="false" customHeight="true" outlineLevel="0" collapsed="false">
      <c r="A3" s="67" t="str">
        <f aca="false">IF(OR(TRIM(C3)="",SUBSTITUTE(C3," ","")="소계"),"제외",IF(ISNUMBER(SEARCH("홍콩",C3)),"HK",IF(ISNUMBER(SEARCH("상해",C3)),"CN",IF(ISNUMBER(SEARCH("대만",C3)),"TW","홀세일"))))</f>
        <v>TW</v>
      </c>
      <c r="B3" s="87" t="s">
        <v>176</v>
      </c>
      <c r="C3" s="87" t="s">
        <v>177</v>
      </c>
      <c r="D3" s="88" t="s">
        <v>178</v>
      </c>
      <c r="E3" s="87" t="n">
        <v>2025</v>
      </c>
      <c r="F3" s="88" t="s">
        <v>179</v>
      </c>
      <c r="G3" s="88" t="s">
        <v>180</v>
      </c>
      <c r="H3" s="88" t="s">
        <v>185</v>
      </c>
      <c r="I3" s="87" t="s">
        <v>186</v>
      </c>
      <c r="J3" s="87" t="s">
        <v>187</v>
      </c>
      <c r="K3" s="89" t="n">
        <v>20</v>
      </c>
      <c r="L3" s="89" t="n">
        <v>5980000</v>
      </c>
      <c r="M3" s="89" t="n">
        <v>2115980</v>
      </c>
      <c r="N3" s="90" t="n">
        <f aca="false">IF(A3="제외",0,IF(OR(N(L3)&lt;=0,N(M3)&gt;N(L3)),N(M3)/가정!$B$4,N(L3)))</f>
        <v>5980000</v>
      </c>
      <c r="O3" s="67" t="str">
        <f aca="false">IF(A3="제외","",IF(OR(N(L3)&lt;=0,N(M3)&gt;N(L3)),"택가보정(판매금액÷공급율)",""))</f>
        <v/>
      </c>
    </row>
    <row r="4" customFormat="false" ht="15" hidden="false" customHeight="true" outlineLevel="0" collapsed="false">
      <c r="A4" s="67" t="str">
        <f aca="false">IF(OR(TRIM(C4)="",SUBSTITUTE(C4," ","")="소계"),"제외",IF(ISNUMBER(SEARCH("홍콩",C4)),"HK",IF(ISNUMBER(SEARCH("상해",C4)),"CN",IF(ISNUMBER(SEARCH("대만",C4)),"TW","홀세일"))))</f>
        <v>TW</v>
      </c>
      <c r="B4" s="87" t="s">
        <v>176</v>
      </c>
      <c r="C4" s="87" t="s">
        <v>177</v>
      </c>
      <c r="D4" s="88" t="s">
        <v>178</v>
      </c>
      <c r="E4" s="87" t="n">
        <v>2026</v>
      </c>
      <c r="F4" s="88" t="s">
        <v>179</v>
      </c>
      <c r="G4" s="88" t="s">
        <v>188</v>
      </c>
      <c r="H4" s="87" t="s">
        <v>189</v>
      </c>
      <c r="I4" s="87" t="s">
        <v>190</v>
      </c>
      <c r="J4" s="88" t="s">
        <v>191</v>
      </c>
      <c r="K4" s="89" t="n">
        <v>150</v>
      </c>
      <c r="L4" s="89" t="n">
        <v>25350000</v>
      </c>
      <c r="M4" s="89" t="n">
        <v>9736800</v>
      </c>
      <c r="N4" s="90" t="n">
        <f aca="false">IF(A4="제외",0,IF(OR(N(L4)&lt;=0,N(M4)&gt;N(L4)),N(M4)/가정!$B$4,N(L4)))</f>
        <v>25350000</v>
      </c>
      <c r="O4" s="67" t="str">
        <f aca="false">IF(A4="제외","",IF(OR(N(L4)&lt;=0,N(M4)&gt;N(L4)),"택가보정(판매금액÷공급율)",""))</f>
        <v/>
      </c>
    </row>
    <row r="5" customFormat="false" ht="15" hidden="false" customHeight="true" outlineLevel="0" collapsed="false">
      <c r="A5" s="67" t="str">
        <f aca="false">IF(OR(TRIM(C5)="",SUBSTITUTE(C5," ","")="소계"),"제외",IF(ISNUMBER(SEARCH("홍콩",C5)),"HK",IF(ISNUMBER(SEARCH("상해",C5)),"CN",IF(ISNUMBER(SEARCH("대만",C5)),"TW","홀세일"))))</f>
        <v>TW</v>
      </c>
      <c r="B5" s="87" t="s">
        <v>176</v>
      </c>
      <c r="C5" s="87" t="s">
        <v>177</v>
      </c>
      <c r="D5" s="88" t="s">
        <v>178</v>
      </c>
      <c r="E5" s="87" t="n">
        <v>2026</v>
      </c>
      <c r="F5" s="88" t="s">
        <v>179</v>
      </c>
      <c r="G5" s="88" t="s">
        <v>188</v>
      </c>
      <c r="H5" s="87" t="s">
        <v>189</v>
      </c>
      <c r="I5" s="87" t="s">
        <v>192</v>
      </c>
      <c r="J5" s="88" t="s">
        <v>193</v>
      </c>
      <c r="K5" s="89" t="n">
        <v>250</v>
      </c>
      <c r="L5" s="89" t="n">
        <v>44750000</v>
      </c>
      <c r="M5" s="89" t="n">
        <v>17203750</v>
      </c>
      <c r="N5" s="90" t="n">
        <f aca="false">IF(A5="제외",0,IF(OR(N(L5)&lt;=0,N(M5)&gt;N(L5)),N(M5)/가정!$B$4,N(L5)))</f>
        <v>44750000</v>
      </c>
      <c r="O5" s="67" t="str">
        <f aca="false">IF(A5="제외","",IF(OR(N(L5)&lt;=0,N(M5)&gt;N(L5)),"택가보정(판매금액÷공급율)",""))</f>
        <v/>
      </c>
    </row>
    <row r="6" customFormat="false" ht="15" hidden="false" customHeight="true" outlineLevel="0" collapsed="false">
      <c r="A6" s="67" t="str">
        <f aca="false">IF(OR(TRIM(C6)="",SUBSTITUTE(C6," ","")="소계"),"제외",IF(ISNUMBER(SEARCH("홍콩",C6)),"HK",IF(ISNUMBER(SEARCH("상해",C6)),"CN",IF(ISNUMBER(SEARCH("대만",C6)),"TW","홀세일"))))</f>
        <v>TW</v>
      </c>
      <c r="B6" s="87" t="s">
        <v>176</v>
      </c>
      <c r="C6" s="87" t="s">
        <v>177</v>
      </c>
      <c r="D6" s="88" t="s">
        <v>178</v>
      </c>
      <c r="E6" s="87" t="n">
        <v>2026</v>
      </c>
      <c r="F6" s="88" t="s">
        <v>179</v>
      </c>
      <c r="G6" s="88" t="s">
        <v>188</v>
      </c>
      <c r="H6" s="87" t="s">
        <v>189</v>
      </c>
      <c r="I6" s="87" t="s">
        <v>194</v>
      </c>
      <c r="J6" s="88" t="s">
        <v>195</v>
      </c>
      <c r="K6" s="89" t="n">
        <v>130</v>
      </c>
      <c r="L6" s="89" t="n">
        <v>21970000</v>
      </c>
      <c r="M6" s="89" t="n">
        <v>8438560</v>
      </c>
      <c r="N6" s="90" t="n">
        <f aca="false">IF(A6="제외",0,IF(OR(N(L6)&lt;=0,N(M6)&gt;N(L6)),N(M6)/가정!$B$4,N(L6)))</f>
        <v>21970000</v>
      </c>
      <c r="O6" s="67" t="str">
        <f aca="false">IF(A6="제외","",IF(OR(N(L6)&lt;=0,N(M6)&gt;N(L6)),"택가보정(판매금액÷공급율)",""))</f>
        <v/>
      </c>
    </row>
    <row r="7" customFormat="false" ht="15" hidden="false" customHeight="true" outlineLevel="0" collapsed="false">
      <c r="A7" s="67" t="str">
        <f aca="false">IF(OR(TRIM(C7)="",SUBSTITUTE(C7," ","")="소계"),"제외",IF(ISNUMBER(SEARCH("홍콩",C7)),"HK",IF(ISNUMBER(SEARCH("상해",C7)),"CN",IF(ISNUMBER(SEARCH("대만",C7)),"TW","홀세일"))))</f>
        <v>TW</v>
      </c>
      <c r="B7" s="87" t="s">
        <v>176</v>
      </c>
      <c r="C7" s="87" t="s">
        <v>177</v>
      </c>
      <c r="D7" s="88" t="s">
        <v>178</v>
      </c>
      <c r="E7" s="87" t="n">
        <v>2026</v>
      </c>
      <c r="F7" s="88" t="s">
        <v>179</v>
      </c>
      <c r="G7" s="88" t="s">
        <v>188</v>
      </c>
      <c r="H7" s="87" t="s">
        <v>189</v>
      </c>
      <c r="I7" s="87" t="s">
        <v>196</v>
      </c>
      <c r="J7" s="88" t="s">
        <v>197</v>
      </c>
      <c r="K7" s="89" t="n">
        <v>180</v>
      </c>
      <c r="L7" s="89" t="n">
        <v>26820000</v>
      </c>
      <c r="M7" s="89" t="n">
        <v>10305000</v>
      </c>
      <c r="N7" s="90" t="n">
        <f aca="false">IF(A7="제외",0,IF(OR(N(L7)&lt;=0,N(M7)&gt;N(L7)),N(M7)/가정!$B$4,N(L7)))</f>
        <v>26820000</v>
      </c>
      <c r="O7" s="67" t="str">
        <f aca="false">IF(A7="제외","",IF(OR(N(L7)&lt;=0,N(M7)&gt;N(L7)),"택가보정(판매금액÷공급율)",""))</f>
        <v/>
      </c>
    </row>
    <row r="8" customFormat="false" ht="15" hidden="false" customHeight="true" outlineLevel="0" collapsed="false">
      <c r="A8" s="67" t="str">
        <f aca="false">IF(OR(TRIM(C8)="",SUBSTITUTE(C8," ","")="소계"),"제외",IF(ISNUMBER(SEARCH("홍콩",C8)),"HK",IF(ISNUMBER(SEARCH("상해",C8)),"CN",IF(ISNUMBER(SEARCH("대만",C8)),"TW","홀세일"))))</f>
        <v>TW</v>
      </c>
      <c r="B8" s="87" t="s">
        <v>176</v>
      </c>
      <c r="C8" s="87" t="s">
        <v>177</v>
      </c>
      <c r="D8" s="88" t="s">
        <v>178</v>
      </c>
      <c r="E8" s="87" t="n">
        <v>2026</v>
      </c>
      <c r="F8" s="88" t="s">
        <v>179</v>
      </c>
      <c r="G8" s="88" t="s">
        <v>188</v>
      </c>
      <c r="H8" s="87" t="s">
        <v>189</v>
      </c>
      <c r="I8" s="87" t="s">
        <v>198</v>
      </c>
      <c r="J8" s="88" t="s">
        <v>199</v>
      </c>
      <c r="K8" s="89" t="n">
        <v>280</v>
      </c>
      <c r="L8" s="89" t="n">
        <v>41720000</v>
      </c>
      <c r="M8" s="89" t="n">
        <v>15693200</v>
      </c>
      <c r="N8" s="90" t="n">
        <f aca="false">IF(A8="제외",0,IF(OR(N(L8)&lt;=0,N(M8)&gt;N(L8)),N(M8)/가정!$B$4,N(L8)))</f>
        <v>41720000</v>
      </c>
      <c r="O8" s="67" t="str">
        <f aca="false">IF(A8="제외","",IF(OR(N(L8)&lt;=0,N(M8)&gt;N(L8)),"택가보정(판매금액÷공급율)",""))</f>
        <v/>
      </c>
    </row>
    <row r="9" customFormat="false" ht="15" hidden="false" customHeight="true" outlineLevel="0" collapsed="false">
      <c r="A9" s="67" t="str">
        <f aca="false">IF(OR(TRIM(C9)="",SUBSTITUTE(C9," ","")="소계"),"제외",IF(ISNUMBER(SEARCH("홍콩",C9)),"HK",IF(ISNUMBER(SEARCH("상해",C9)),"CN",IF(ISNUMBER(SEARCH("대만",C9)),"TW","홀세일"))))</f>
        <v>TW</v>
      </c>
      <c r="B9" s="87" t="s">
        <v>176</v>
      </c>
      <c r="C9" s="87" t="s">
        <v>177</v>
      </c>
      <c r="D9" s="88" t="s">
        <v>178</v>
      </c>
      <c r="E9" s="87" t="n">
        <v>2026</v>
      </c>
      <c r="F9" s="88" t="s">
        <v>179</v>
      </c>
      <c r="G9" s="88" t="s">
        <v>188</v>
      </c>
      <c r="H9" s="87" t="s">
        <v>189</v>
      </c>
      <c r="I9" s="87" t="s">
        <v>200</v>
      </c>
      <c r="J9" s="88" t="s">
        <v>201</v>
      </c>
      <c r="K9" s="89" t="n">
        <v>150</v>
      </c>
      <c r="L9" s="89" t="n">
        <v>25350000</v>
      </c>
      <c r="M9" s="89" t="n">
        <v>9736800</v>
      </c>
      <c r="N9" s="90" t="n">
        <f aca="false">IF(A9="제외",0,IF(OR(N(L9)&lt;=0,N(M9)&gt;N(L9)),N(M9)/가정!$B$4,N(L9)))</f>
        <v>25350000</v>
      </c>
      <c r="O9" s="67" t="str">
        <f aca="false">IF(A9="제외","",IF(OR(N(L9)&lt;=0,N(M9)&gt;N(L9)),"택가보정(판매금액÷공급율)",""))</f>
        <v/>
      </c>
    </row>
    <row r="10" customFormat="false" ht="15" hidden="false" customHeight="true" outlineLevel="0" collapsed="false">
      <c r="A10" s="67" t="str">
        <f aca="false">IF(OR(TRIM(C10)="",SUBSTITUTE(C10," ","")="소계"),"제외",IF(ISNUMBER(SEARCH("홍콩",C10)),"HK",IF(ISNUMBER(SEARCH("상해",C10)),"CN",IF(ISNUMBER(SEARCH("대만",C10)),"TW","홀세일"))))</f>
        <v>TW</v>
      </c>
      <c r="B10" s="87" t="s">
        <v>176</v>
      </c>
      <c r="C10" s="87" t="s">
        <v>177</v>
      </c>
      <c r="D10" s="88" t="s">
        <v>178</v>
      </c>
      <c r="E10" s="87" t="n">
        <v>2026</v>
      </c>
      <c r="F10" s="88" t="s">
        <v>179</v>
      </c>
      <c r="G10" s="88" t="s">
        <v>188</v>
      </c>
      <c r="H10" s="87" t="s">
        <v>189</v>
      </c>
      <c r="I10" s="87" t="s">
        <v>202</v>
      </c>
      <c r="J10" s="88" t="s">
        <v>203</v>
      </c>
      <c r="K10" s="89" t="n">
        <v>230</v>
      </c>
      <c r="L10" s="89" t="n">
        <v>38870000</v>
      </c>
      <c r="M10" s="89" t="n">
        <v>15003260</v>
      </c>
      <c r="N10" s="90" t="n">
        <f aca="false">IF(A10="제외",0,IF(OR(N(L10)&lt;=0,N(M10)&gt;N(L10)),N(M10)/가정!$B$4,N(L10)))</f>
        <v>38870000</v>
      </c>
      <c r="O10" s="67" t="str">
        <f aca="false">IF(A10="제외","",IF(OR(N(L10)&lt;=0,N(M10)&gt;N(L10)),"택가보정(판매금액÷공급율)",""))</f>
        <v/>
      </c>
    </row>
    <row r="11" customFormat="false" ht="15" hidden="false" customHeight="true" outlineLevel="0" collapsed="false">
      <c r="A11" s="67" t="str">
        <f aca="false">IF(OR(TRIM(C11)="",SUBSTITUTE(C11," ","")="소계"),"제외",IF(ISNUMBER(SEARCH("홍콩",C11)),"HK",IF(ISNUMBER(SEARCH("상해",C11)),"CN",IF(ISNUMBER(SEARCH("대만",C11)),"TW","홀세일"))))</f>
        <v>TW</v>
      </c>
      <c r="B11" s="87" t="s">
        <v>176</v>
      </c>
      <c r="C11" s="87" t="s">
        <v>177</v>
      </c>
      <c r="D11" s="88" t="s">
        <v>178</v>
      </c>
      <c r="E11" s="87" t="n">
        <v>2026</v>
      </c>
      <c r="F11" s="88" t="s">
        <v>179</v>
      </c>
      <c r="G11" s="88" t="s">
        <v>188</v>
      </c>
      <c r="H11" s="87" t="s">
        <v>189</v>
      </c>
      <c r="I11" s="87" t="s">
        <v>204</v>
      </c>
      <c r="J11" s="88" t="s">
        <v>205</v>
      </c>
      <c r="K11" s="89" t="n">
        <v>80</v>
      </c>
      <c r="L11" s="89" t="n">
        <v>15120000</v>
      </c>
      <c r="M11" s="89" t="n">
        <v>5805920</v>
      </c>
      <c r="N11" s="90" t="n">
        <f aca="false">IF(A11="제외",0,IF(OR(N(L11)&lt;=0,N(M11)&gt;N(L11)),N(M11)/가정!$B$4,N(L11)))</f>
        <v>15120000</v>
      </c>
      <c r="O11" s="67" t="str">
        <f aca="false">IF(A11="제외","",IF(OR(N(L11)&lt;=0,N(M11)&gt;N(L11)),"택가보정(판매금액÷공급율)",""))</f>
        <v/>
      </c>
    </row>
    <row r="12" customFormat="false" ht="15" hidden="false" customHeight="true" outlineLevel="0" collapsed="false">
      <c r="A12" s="67" t="str">
        <f aca="false">IF(OR(TRIM(C12)="",SUBSTITUTE(C12," ","")="소계"),"제외",IF(ISNUMBER(SEARCH("홍콩",C12)),"HK",IF(ISNUMBER(SEARCH("상해",C12)),"CN",IF(ISNUMBER(SEARCH("대만",C12)),"TW","홀세일"))))</f>
        <v>TW</v>
      </c>
      <c r="B12" s="87" t="s">
        <v>176</v>
      </c>
      <c r="C12" s="87" t="s">
        <v>177</v>
      </c>
      <c r="D12" s="88" t="s">
        <v>178</v>
      </c>
      <c r="E12" s="87" t="n">
        <v>2026</v>
      </c>
      <c r="F12" s="88" t="s">
        <v>179</v>
      </c>
      <c r="G12" s="88" t="s">
        <v>188</v>
      </c>
      <c r="H12" s="87" t="s">
        <v>189</v>
      </c>
      <c r="I12" s="87" t="s">
        <v>206</v>
      </c>
      <c r="J12" s="88" t="s">
        <v>207</v>
      </c>
      <c r="K12" s="89" t="n">
        <v>80</v>
      </c>
      <c r="L12" s="89" t="n">
        <v>14320000</v>
      </c>
      <c r="M12" s="89" t="n">
        <v>5505200</v>
      </c>
      <c r="N12" s="90" t="n">
        <f aca="false">IF(A12="제외",0,IF(OR(N(L12)&lt;=0,N(M12)&gt;N(L12)),N(M12)/가정!$B$4,N(L12)))</f>
        <v>14320000</v>
      </c>
      <c r="O12" s="67" t="str">
        <f aca="false">IF(A12="제외","",IF(OR(N(L12)&lt;=0,N(M12)&gt;N(L12)),"택가보정(판매금액÷공급율)",""))</f>
        <v/>
      </c>
    </row>
    <row r="13" customFormat="false" ht="15" hidden="false" customHeight="true" outlineLevel="0" collapsed="false">
      <c r="A13" s="67" t="str">
        <f aca="false">IF(OR(TRIM(C13)="",SUBSTITUTE(C13," ","")="소계"),"제외",IF(ISNUMBER(SEARCH("홍콩",C13)),"HK",IF(ISNUMBER(SEARCH("상해",C13)),"CN",IF(ISNUMBER(SEARCH("대만",C13)),"TW","홀세일"))))</f>
        <v>TW</v>
      </c>
      <c r="B13" s="87" t="s">
        <v>176</v>
      </c>
      <c r="C13" s="87" t="s">
        <v>177</v>
      </c>
      <c r="D13" s="88" t="s">
        <v>178</v>
      </c>
      <c r="E13" s="87" t="n">
        <v>2026</v>
      </c>
      <c r="F13" s="88" t="s">
        <v>179</v>
      </c>
      <c r="G13" s="88" t="s">
        <v>188</v>
      </c>
      <c r="H13" s="87" t="s">
        <v>189</v>
      </c>
      <c r="I13" s="87" t="s">
        <v>208</v>
      </c>
      <c r="J13" s="88" t="s">
        <v>209</v>
      </c>
      <c r="K13" s="89" t="n">
        <v>80</v>
      </c>
      <c r="L13" s="89" t="n">
        <v>15120000</v>
      </c>
      <c r="M13" s="89" t="n">
        <v>5805920</v>
      </c>
      <c r="N13" s="90" t="n">
        <f aca="false">IF(A13="제외",0,IF(OR(N(L13)&lt;=0,N(M13)&gt;N(L13)),N(M13)/가정!$B$4,N(L13)))</f>
        <v>15120000</v>
      </c>
      <c r="O13" s="67" t="str">
        <f aca="false">IF(A13="제외","",IF(OR(N(L13)&lt;=0,N(M13)&gt;N(L13)),"택가보정(판매금액÷공급율)",""))</f>
        <v/>
      </c>
    </row>
    <row r="14" customFormat="false" ht="15" hidden="false" customHeight="true" outlineLevel="0" collapsed="false">
      <c r="A14" s="67" t="str">
        <f aca="false">IF(OR(TRIM(C14)="",SUBSTITUTE(C14," ","")="소계"),"제외",IF(ISNUMBER(SEARCH("홍콩",C14)),"HK",IF(ISNUMBER(SEARCH("상해",C14)),"CN",IF(ISNUMBER(SEARCH("대만",C14)),"TW","홀세일"))))</f>
        <v>TW</v>
      </c>
      <c r="B14" s="87" t="s">
        <v>176</v>
      </c>
      <c r="C14" s="87" t="s">
        <v>177</v>
      </c>
      <c r="D14" s="88" t="s">
        <v>178</v>
      </c>
      <c r="E14" s="87" t="n">
        <v>2026</v>
      </c>
      <c r="F14" s="88" t="s">
        <v>179</v>
      </c>
      <c r="G14" s="88" t="s">
        <v>188</v>
      </c>
      <c r="H14" s="88" t="s">
        <v>185</v>
      </c>
      <c r="I14" s="87" t="s">
        <v>210</v>
      </c>
      <c r="J14" s="87" t="s">
        <v>211</v>
      </c>
      <c r="K14" s="89" t="n">
        <v>200</v>
      </c>
      <c r="L14" s="89" t="n">
        <v>35800000</v>
      </c>
      <c r="M14" s="89" t="n">
        <v>13711000</v>
      </c>
      <c r="N14" s="90" t="n">
        <f aca="false">IF(A14="제외",0,IF(OR(N(L14)&lt;=0,N(M14)&gt;N(L14)),N(M14)/가정!$B$4,N(L14)))</f>
        <v>35800000</v>
      </c>
      <c r="O14" s="67" t="str">
        <f aca="false">IF(A14="제외","",IF(OR(N(L14)&lt;=0,N(M14)&gt;N(L14)),"택가보정(판매금액÷공급율)",""))</f>
        <v/>
      </c>
    </row>
    <row r="15" customFormat="false" ht="15" hidden="false" customHeight="true" outlineLevel="0" collapsed="false">
      <c r="A15" s="67" t="str">
        <f aca="false">IF(OR(TRIM(C15)="",SUBSTITUTE(C15," ","")="소계"),"제외",IF(ISNUMBER(SEARCH("홍콩",C15)),"HK",IF(ISNUMBER(SEARCH("상해",C15)),"CN",IF(ISNUMBER(SEARCH("대만",C15)),"TW","홀세일"))))</f>
        <v>TW</v>
      </c>
      <c r="B15" s="87" t="s">
        <v>176</v>
      </c>
      <c r="C15" s="87" t="s">
        <v>177</v>
      </c>
      <c r="D15" s="88" t="s">
        <v>178</v>
      </c>
      <c r="E15" s="87" t="n">
        <v>2026</v>
      </c>
      <c r="F15" s="88" t="s">
        <v>179</v>
      </c>
      <c r="G15" s="88" t="s">
        <v>188</v>
      </c>
      <c r="H15" s="88" t="s">
        <v>185</v>
      </c>
      <c r="I15" s="87" t="s">
        <v>212</v>
      </c>
      <c r="J15" s="87" t="s">
        <v>213</v>
      </c>
      <c r="K15" s="89" t="n">
        <v>50</v>
      </c>
      <c r="L15" s="89" t="n">
        <v>8450000</v>
      </c>
      <c r="M15" s="89" t="n">
        <v>3155500</v>
      </c>
      <c r="N15" s="90" t="n">
        <f aca="false">IF(A15="제외",0,IF(OR(N(L15)&lt;=0,N(M15)&gt;N(L15)),N(M15)/가정!$B$4,N(L15)))</f>
        <v>8450000</v>
      </c>
      <c r="O15" s="67" t="str">
        <f aca="false">IF(A15="제외","",IF(OR(N(L15)&lt;=0,N(M15)&gt;N(L15)),"택가보정(판매금액÷공급율)",""))</f>
        <v/>
      </c>
    </row>
    <row r="16" customFormat="false" ht="15" hidden="false" customHeight="true" outlineLevel="0" collapsed="false">
      <c r="A16" s="67" t="str">
        <f aca="false">IF(OR(TRIM(C16)="",SUBSTITUTE(C16," ","")="소계"),"제외",IF(ISNUMBER(SEARCH("홍콩",C16)),"HK",IF(ISNUMBER(SEARCH("상해",C16)),"CN",IF(ISNUMBER(SEARCH("대만",C16)),"TW","홀세일"))))</f>
        <v>TW</v>
      </c>
      <c r="B16" s="87" t="s">
        <v>176</v>
      </c>
      <c r="C16" s="87" t="s">
        <v>177</v>
      </c>
      <c r="D16" s="88" t="s">
        <v>178</v>
      </c>
      <c r="E16" s="87" t="n">
        <v>2026</v>
      </c>
      <c r="F16" s="88" t="s">
        <v>179</v>
      </c>
      <c r="G16" s="88" t="s">
        <v>180</v>
      </c>
      <c r="H16" s="87" t="s">
        <v>189</v>
      </c>
      <c r="I16" s="87" t="s">
        <v>214</v>
      </c>
      <c r="J16" s="88" t="s">
        <v>215</v>
      </c>
      <c r="K16" s="89" t="n">
        <v>150</v>
      </c>
      <c r="L16" s="89" t="n">
        <v>25350000</v>
      </c>
      <c r="M16" s="89" t="n">
        <v>9325200</v>
      </c>
      <c r="N16" s="90" t="n">
        <f aca="false">IF(A16="제외",0,IF(OR(N(L16)&lt;=0,N(M16)&gt;N(L16)),N(M16)/가정!$B$4,N(L16)))</f>
        <v>25350000</v>
      </c>
      <c r="O16" s="67" t="str">
        <f aca="false">IF(A16="제외","",IF(OR(N(L16)&lt;=0,N(M16)&gt;N(L16)),"택가보정(판매금액÷공급율)",""))</f>
        <v/>
      </c>
    </row>
    <row r="17" customFormat="false" ht="15" hidden="false" customHeight="true" outlineLevel="0" collapsed="false">
      <c r="A17" s="67" t="str">
        <f aca="false">IF(OR(TRIM(C17)="",SUBSTITUTE(C17," ","")="소계"),"제외",IF(ISNUMBER(SEARCH("홍콩",C17)),"HK",IF(ISNUMBER(SEARCH("상해",C17)),"CN",IF(ISNUMBER(SEARCH("대만",C17)),"TW","홀세일"))))</f>
        <v>TW</v>
      </c>
      <c r="B17" s="87" t="s">
        <v>176</v>
      </c>
      <c r="C17" s="87" t="s">
        <v>177</v>
      </c>
      <c r="D17" s="88" t="s">
        <v>178</v>
      </c>
      <c r="E17" s="87" t="n">
        <v>2026</v>
      </c>
      <c r="F17" s="88" t="s">
        <v>179</v>
      </c>
      <c r="G17" s="88" t="s">
        <v>180</v>
      </c>
      <c r="H17" s="87" t="s">
        <v>189</v>
      </c>
      <c r="I17" s="87" t="s">
        <v>216</v>
      </c>
      <c r="J17" s="88" t="s">
        <v>217</v>
      </c>
      <c r="K17" s="89" t="n">
        <v>200</v>
      </c>
      <c r="L17" s="89" t="n">
        <v>47800000</v>
      </c>
      <c r="M17" s="89" t="n">
        <v>18374400</v>
      </c>
      <c r="N17" s="90" t="n">
        <f aca="false">IF(A17="제외",0,IF(OR(N(L17)&lt;=0,N(M17)&gt;N(L17)),N(M17)/가정!$B$4,N(L17)))</f>
        <v>47800000</v>
      </c>
      <c r="O17" s="67" t="str">
        <f aca="false">IF(A17="제외","",IF(OR(N(L17)&lt;=0,N(M17)&gt;N(L17)),"택가보정(판매금액÷공급율)",""))</f>
        <v/>
      </c>
    </row>
    <row r="18" customFormat="false" ht="15" hidden="false" customHeight="true" outlineLevel="0" collapsed="false">
      <c r="A18" s="67" t="str">
        <f aca="false">IF(OR(TRIM(C18)="",SUBSTITUTE(C18," ","")="소계"),"제외",IF(ISNUMBER(SEARCH("홍콩",C18)),"HK",IF(ISNUMBER(SEARCH("상해",C18)),"CN",IF(ISNUMBER(SEARCH("대만",C18)),"TW","홀세일"))))</f>
        <v>TW</v>
      </c>
      <c r="B18" s="87" t="s">
        <v>176</v>
      </c>
      <c r="C18" s="87" t="s">
        <v>177</v>
      </c>
      <c r="D18" s="88" t="s">
        <v>178</v>
      </c>
      <c r="E18" s="87" t="n">
        <v>2026</v>
      </c>
      <c r="F18" s="88" t="s">
        <v>179</v>
      </c>
      <c r="G18" s="88" t="s">
        <v>180</v>
      </c>
      <c r="H18" s="87" t="s">
        <v>189</v>
      </c>
      <c r="I18" s="87" t="s">
        <v>218</v>
      </c>
      <c r="J18" s="88" t="s">
        <v>219</v>
      </c>
      <c r="K18" s="89" t="n">
        <v>30</v>
      </c>
      <c r="L18" s="89" t="n">
        <v>3270000</v>
      </c>
      <c r="M18" s="89" t="n">
        <v>1186170</v>
      </c>
      <c r="N18" s="90" t="n">
        <f aca="false">IF(A18="제외",0,IF(OR(N(L18)&lt;=0,N(M18)&gt;N(L18)),N(M18)/가정!$B$4,N(L18)))</f>
        <v>3270000</v>
      </c>
      <c r="O18" s="67" t="str">
        <f aca="false">IF(A18="제외","",IF(OR(N(L18)&lt;=0,N(M18)&gt;N(L18)),"택가보정(판매금액÷공급율)",""))</f>
        <v/>
      </c>
    </row>
    <row r="19" customFormat="false" ht="15" hidden="false" customHeight="true" outlineLevel="0" collapsed="false">
      <c r="A19" s="67" t="str">
        <f aca="false">IF(OR(TRIM(C19)="",SUBSTITUTE(C19," ","")="소계"),"제외",IF(ISNUMBER(SEARCH("홍콩",C19)),"HK",IF(ISNUMBER(SEARCH("상해",C19)),"CN",IF(ISNUMBER(SEARCH("대만",C19)),"TW","홀세일"))))</f>
        <v>TW</v>
      </c>
      <c r="B19" s="87" t="s">
        <v>176</v>
      </c>
      <c r="C19" s="87" t="s">
        <v>177</v>
      </c>
      <c r="D19" s="88" t="s">
        <v>178</v>
      </c>
      <c r="E19" s="87" t="n">
        <v>2026</v>
      </c>
      <c r="F19" s="88" t="s">
        <v>179</v>
      </c>
      <c r="G19" s="88" t="s">
        <v>180</v>
      </c>
      <c r="H19" s="87" t="s">
        <v>189</v>
      </c>
      <c r="I19" s="87" t="s">
        <v>220</v>
      </c>
      <c r="J19" s="88" t="s">
        <v>221</v>
      </c>
      <c r="K19" s="89" t="n">
        <v>80</v>
      </c>
      <c r="L19" s="89" t="n">
        <v>15920000</v>
      </c>
      <c r="M19" s="89" t="n">
        <v>6219760</v>
      </c>
      <c r="N19" s="90" t="n">
        <f aca="false">IF(A19="제외",0,IF(OR(N(L19)&lt;=0,N(M19)&gt;N(L19)),N(M19)/가정!$B$4,N(L19)))</f>
        <v>15920000</v>
      </c>
      <c r="O19" s="67" t="str">
        <f aca="false">IF(A19="제외","",IF(OR(N(L19)&lt;=0,N(M19)&gt;N(L19)),"택가보정(판매금액÷공급율)",""))</f>
        <v/>
      </c>
    </row>
    <row r="20" customFormat="false" ht="15" hidden="false" customHeight="true" outlineLevel="0" collapsed="false">
      <c r="A20" s="67" t="str">
        <f aca="false">IF(OR(TRIM(C20)="",SUBSTITUTE(C20," ","")="소계"),"제외",IF(ISNUMBER(SEARCH("홍콩",C20)),"HK",IF(ISNUMBER(SEARCH("상해",C20)),"CN",IF(ISNUMBER(SEARCH("대만",C20)),"TW","홀세일"))))</f>
        <v>TW</v>
      </c>
      <c r="B20" s="87" t="s">
        <v>176</v>
      </c>
      <c r="C20" s="87" t="s">
        <v>177</v>
      </c>
      <c r="D20" s="88" t="s">
        <v>178</v>
      </c>
      <c r="E20" s="87" t="n">
        <v>2026</v>
      </c>
      <c r="F20" s="88" t="s">
        <v>179</v>
      </c>
      <c r="G20" s="88" t="s">
        <v>180</v>
      </c>
      <c r="H20" s="87" t="s">
        <v>189</v>
      </c>
      <c r="I20" s="87" t="s">
        <v>222</v>
      </c>
      <c r="J20" s="88" t="s">
        <v>223</v>
      </c>
      <c r="K20" s="89" t="n">
        <v>60</v>
      </c>
      <c r="L20" s="89" t="n">
        <v>11340000</v>
      </c>
      <c r="M20" s="89" t="n">
        <v>4426740</v>
      </c>
      <c r="N20" s="90" t="n">
        <f aca="false">IF(A20="제외",0,IF(OR(N(L20)&lt;=0,N(M20)&gt;N(L20)),N(M20)/가정!$B$4,N(L20)))</f>
        <v>11340000</v>
      </c>
      <c r="O20" s="67" t="str">
        <f aca="false">IF(A20="제외","",IF(OR(N(L20)&lt;=0,N(M20)&gt;N(L20)),"택가보정(판매금액÷공급율)",""))</f>
        <v/>
      </c>
    </row>
    <row r="21" customFormat="false" ht="15" hidden="false" customHeight="true" outlineLevel="0" collapsed="false">
      <c r="A21" s="67" t="str">
        <f aca="false">IF(OR(TRIM(C21)="",SUBSTITUTE(C21," ","")="소계"),"제외",IF(ISNUMBER(SEARCH("홍콩",C21)),"HK",IF(ISNUMBER(SEARCH("상해",C21)),"CN",IF(ISNUMBER(SEARCH("대만",C21)),"TW","홀세일"))))</f>
        <v>TW</v>
      </c>
      <c r="B21" s="87" t="s">
        <v>176</v>
      </c>
      <c r="C21" s="87" t="s">
        <v>177</v>
      </c>
      <c r="D21" s="88" t="s">
        <v>178</v>
      </c>
      <c r="E21" s="87" t="n">
        <v>2026</v>
      </c>
      <c r="F21" s="88" t="s">
        <v>179</v>
      </c>
      <c r="G21" s="88" t="s">
        <v>180</v>
      </c>
      <c r="H21" s="87" t="s">
        <v>189</v>
      </c>
      <c r="I21" s="87" t="s">
        <v>224</v>
      </c>
      <c r="J21" s="88" t="s">
        <v>225</v>
      </c>
      <c r="K21" s="89" t="n">
        <v>80</v>
      </c>
      <c r="L21" s="89" t="n">
        <v>14320000</v>
      </c>
      <c r="M21" s="89" t="n">
        <v>5596640</v>
      </c>
      <c r="N21" s="90" t="n">
        <f aca="false">IF(A21="제외",0,IF(OR(N(L21)&lt;=0,N(M21)&gt;N(L21)),N(M21)/가정!$B$4,N(L21)))</f>
        <v>14320000</v>
      </c>
      <c r="O21" s="67" t="str">
        <f aca="false">IF(A21="제외","",IF(OR(N(L21)&lt;=0,N(M21)&gt;N(L21)),"택가보정(판매금액÷공급율)",""))</f>
        <v/>
      </c>
    </row>
    <row r="22" customFormat="false" ht="15" hidden="false" customHeight="true" outlineLevel="0" collapsed="false">
      <c r="A22" s="67" t="str">
        <f aca="false">IF(OR(TRIM(C22)="",SUBSTITUTE(C22," ","")="소계"),"제외",IF(ISNUMBER(SEARCH("홍콩",C22)),"HK",IF(ISNUMBER(SEARCH("상해",C22)),"CN",IF(ISNUMBER(SEARCH("대만",C22)),"TW","홀세일"))))</f>
        <v>TW</v>
      </c>
      <c r="B22" s="87" t="s">
        <v>176</v>
      </c>
      <c r="C22" s="87" t="s">
        <v>177</v>
      </c>
      <c r="D22" s="88" t="s">
        <v>178</v>
      </c>
      <c r="E22" s="87" t="n">
        <v>2026</v>
      </c>
      <c r="F22" s="88" t="s">
        <v>179</v>
      </c>
      <c r="G22" s="88" t="s">
        <v>180</v>
      </c>
      <c r="H22" s="88" t="s">
        <v>185</v>
      </c>
      <c r="I22" s="87" t="s">
        <v>226</v>
      </c>
      <c r="J22" s="87" t="s">
        <v>227</v>
      </c>
      <c r="K22" s="89" t="n">
        <v>160</v>
      </c>
      <c r="L22" s="89" t="n">
        <v>23840000</v>
      </c>
      <c r="M22" s="89" t="n">
        <v>9166880</v>
      </c>
      <c r="N22" s="90" t="n">
        <f aca="false">IF(A22="제외",0,IF(OR(N(L22)&lt;=0,N(M22)&gt;N(L22)),N(M22)/가정!$B$4,N(L22)))</f>
        <v>23840000</v>
      </c>
      <c r="O22" s="67" t="str">
        <f aca="false">IF(A22="제외","",IF(OR(N(L22)&lt;=0,N(M22)&gt;N(L22)),"택가보정(판매금액÷공급율)",""))</f>
        <v/>
      </c>
    </row>
    <row r="23" customFormat="false" ht="15" hidden="false" customHeight="true" outlineLevel="0" collapsed="false">
      <c r="A23" s="67" t="str">
        <f aca="false">IF(OR(TRIM(C23)="",SUBSTITUTE(C23," ","")="소계"),"제외",IF(ISNUMBER(SEARCH("홍콩",C23)),"HK",IF(ISNUMBER(SEARCH("상해",C23)),"CN",IF(ISNUMBER(SEARCH("대만",C23)),"TW","홀세일"))))</f>
        <v>TW</v>
      </c>
      <c r="B23" s="87" t="s">
        <v>176</v>
      </c>
      <c r="C23" s="87" t="s">
        <v>177</v>
      </c>
      <c r="D23" s="88" t="s">
        <v>178</v>
      </c>
      <c r="E23" s="87" t="n">
        <v>2026</v>
      </c>
      <c r="F23" s="88" t="s">
        <v>179</v>
      </c>
      <c r="G23" s="88" t="s">
        <v>180</v>
      </c>
      <c r="H23" s="87" t="s">
        <v>189</v>
      </c>
      <c r="I23" s="87" t="s">
        <v>228</v>
      </c>
      <c r="J23" s="88" t="s">
        <v>229</v>
      </c>
      <c r="K23" s="89" t="n">
        <v>350</v>
      </c>
      <c r="L23" s="89" t="n">
        <v>38150000</v>
      </c>
      <c r="M23" s="89" t="n">
        <v>13838650</v>
      </c>
      <c r="N23" s="90" t="n">
        <f aca="false">IF(A23="제외",0,IF(OR(N(L23)&lt;=0,N(M23)&gt;N(L23)),N(M23)/가정!$B$4,N(L23)))</f>
        <v>38150000</v>
      </c>
      <c r="O23" s="67" t="str">
        <f aca="false">IF(A23="제외","",IF(OR(N(L23)&lt;=0,N(M23)&gt;N(L23)),"택가보정(판매금액÷공급율)",""))</f>
        <v/>
      </c>
    </row>
    <row r="24" customFormat="false" ht="15" hidden="false" customHeight="true" outlineLevel="0" collapsed="false">
      <c r="A24" s="67" t="str">
        <f aca="false">IF(OR(TRIM(C24)="",SUBSTITUTE(C24," ","")="소계"),"제외",IF(ISNUMBER(SEARCH("홍콩",C24)),"HK",IF(ISNUMBER(SEARCH("상해",C24)),"CN",IF(ISNUMBER(SEARCH("대만",C24)),"TW","홀세일"))))</f>
        <v>TW</v>
      </c>
      <c r="B24" s="87" t="s">
        <v>176</v>
      </c>
      <c r="C24" s="87" t="s">
        <v>177</v>
      </c>
      <c r="D24" s="88" t="s">
        <v>178</v>
      </c>
      <c r="E24" s="87" t="n">
        <v>2026</v>
      </c>
      <c r="F24" s="88" t="s">
        <v>179</v>
      </c>
      <c r="G24" s="88" t="s">
        <v>180</v>
      </c>
      <c r="H24" s="87" t="s">
        <v>189</v>
      </c>
      <c r="I24" s="87" t="s">
        <v>230</v>
      </c>
      <c r="J24" s="88" t="s">
        <v>231</v>
      </c>
      <c r="K24" s="89" t="n">
        <v>165</v>
      </c>
      <c r="L24" s="89" t="n">
        <v>19635000</v>
      </c>
      <c r="M24" s="89" t="n">
        <v>7121235</v>
      </c>
      <c r="N24" s="90" t="n">
        <f aca="false">IF(A24="제외",0,IF(OR(N(L24)&lt;=0,N(M24)&gt;N(L24)),N(M24)/가정!$B$4,N(L24)))</f>
        <v>19635000</v>
      </c>
      <c r="O24" s="67" t="str">
        <f aca="false">IF(A24="제외","",IF(OR(N(L24)&lt;=0,N(M24)&gt;N(L24)),"택가보정(판매금액÷공급율)",""))</f>
        <v/>
      </c>
    </row>
    <row r="25" customFormat="false" ht="15" hidden="false" customHeight="true" outlineLevel="0" collapsed="false">
      <c r="A25" s="67" t="str">
        <f aca="false">IF(OR(TRIM(C25)="",SUBSTITUTE(C25," ","")="소계"),"제외",IF(ISNUMBER(SEARCH("홍콩",C25)),"HK",IF(ISNUMBER(SEARCH("상해",C25)),"CN",IF(ISNUMBER(SEARCH("대만",C25)),"TW","홀세일"))))</f>
        <v>TW</v>
      </c>
      <c r="B25" s="87" t="s">
        <v>176</v>
      </c>
      <c r="C25" s="87" t="s">
        <v>177</v>
      </c>
      <c r="D25" s="88" t="s">
        <v>178</v>
      </c>
      <c r="E25" s="87" t="n">
        <v>2026</v>
      </c>
      <c r="F25" s="88" t="s">
        <v>179</v>
      </c>
      <c r="G25" s="88" t="s">
        <v>180</v>
      </c>
      <c r="H25" s="88" t="s">
        <v>185</v>
      </c>
      <c r="I25" s="87" t="s">
        <v>232</v>
      </c>
      <c r="J25" s="87" t="s">
        <v>233</v>
      </c>
      <c r="K25" s="89" t="n">
        <v>180</v>
      </c>
      <c r="L25" s="89" t="n">
        <v>19620000</v>
      </c>
      <c r="M25" s="89" t="n">
        <v>7117020</v>
      </c>
      <c r="N25" s="90" t="n">
        <f aca="false">IF(A25="제외",0,IF(OR(N(L25)&lt;=0,N(M25)&gt;N(L25)),N(M25)/가정!$B$4,N(L25)))</f>
        <v>19620000</v>
      </c>
      <c r="O25" s="67" t="str">
        <f aca="false">IF(A25="제외","",IF(OR(N(L25)&lt;=0,N(M25)&gt;N(L25)),"택가보정(판매금액÷공급율)",""))</f>
        <v/>
      </c>
    </row>
    <row r="26" customFormat="false" ht="15" hidden="false" customHeight="true" outlineLevel="0" collapsed="false">
      <c r="A26" s="67" t="str">
        <f aca="false">IF(OR(TRIM(C26)="",SUBSTITUTE(C26," ","")="소계"),"제외",IF(ISNUMBER(SEARCH("홍콩",C26)),"HK",IF(ISNUMBER(SEARCH("상해",C26)),"CN",IF(ISNUMBER(SEARCH("대만",C26)),"TW","홀세일"))))</f>
        <v>TW</v>
      </c>
      <c r="B26" s="87" t="s">
        <v>176</v>
      </c>
      <c r="C26" s="87" t="s">
        <v>177</v>
      </c>
      <c r="D26" s="88" t="s">
        <v>178</v>
      </c>
      <c r="E26" s="87" t="n">
        <v>2026</v>
      </c>
      <c r="F26" s="88" t="s">
        <v>179</v>
      </c>
      <c r="G26" s="88" t="s">
        <v>180</v>
      </c>
      <c r="H26" s="87" t="s">
        <v>189</v>
      </c>
      <c r="I26" s="87" t="s">
        <v>234</v>
      </c>
      <c r="J26" s="88" t="s">
        <v>235</v>
      </c>
      <c r="K26" s="89" t="n">
        <v>280</v>
      </c>
      <c r="L26" s="89" t="n">
        <v>22120000</v>
      </c>
      <c r="M26" s="89" t="n">
        <v>8029280</v>
      </c>
      <c r="N26" s="90" t="n">
        <f aca="false">IF(A26="제외",0,IF(OR(N(L26)&lt;=0,N(M26)&gt;N(L26)),N(M26)/가정!$B$4,N(L26)))</f>
        <v>22120000</v>
      </c>
      <c r="O26" s="67" t="str">
        <f aca="false">IF(A26="제외","",IF(OR(N(L26)&lt;=0,N(M26)&gt;N(L26)),"택가보정(판매금액÷공급율)",""))</f>
        <v/>
      </c>
    </row>
    <row r="27" customFormat="false" ht="15" hidden="false" customHeight="true" outlineLevel="0" collapsed="false">
      <c r="A27" s="67" t="str">
        <f aca="false">IF(OR(TRIM(C27)="",SUBSTITUTE(C27," ","")="소계"),"제외",IF(ISNUMBER(SEARCH("홍콩",C27)),"HK",IF(ISNUMBER(SEARCH("상해",C27)),"CN",IF(ISNUMBER(SEARCH("대만",C27)),"TW","홀세일"))))</f>
        <v>TW</v>
      </c>
      <c r="B27" s="87" t="s">
        <v>176</v>
      </c>
      <c r="C27" s="87" t="s">
        <v>177</v>
      </c>
      <c r="D27" s="88" t="s">
        <v>178</v>
      </c>
      <c r="E27" s="87" t="n">
        <v>2026</v>
      </c>
      <c r="F27" s="88" t="s">
        <v>179</v>
      </c>
      <c r="G27" s="88" t="s">
        <v>180</v>
      </c>
      <c r="H27" s="87" t="s">
        <v>189</v>
      </c>
      <c r="I27" s="87" t="s">
        <v>236</v>
      </c>
      <c r="J27" s="88" t="s">
        <v>237</v>
      </c>
      <c r="K27" s="89" t="n">
        <v>330</v>
      </c>
      <c r="L27" s="89" t="n">
        <v>29370000</v>
      </c>
      <c r="M27" s="89" t="n">
        <v>10658010</v>
      </c>
      <c r="N27" s="90" t="n">
        <f aca="false">IF(A27="제외",0,IF(OR(N(L27)&lt;=0,N(M27)&gt;N(L27)),N(M27)/가정!$B$4,N(L27)))</f>
        <v>29370000</v>
      </c>
      <c r="O27" s="67" t="str">
        <f aca="false">IF(A27="제외","",IF(OR(N(L27)&lt;=0,N(M27)&gt;N(L27)),"택가보정(판매금액÷공급율)",""))</f>
        <v/>
      </c>
    </row>
    <row r="28" customFormat="false" ht="15" hidden="false" customHeight="true" outlineLevel="0" collapsed="false">
      <c r="A28" s="67" t="str">
        <f aca="false">IF(OR(TRIM(C28)="",SUBSTITUTE(C28," ","")="소계"),"제외",IF(ISNUMBER(SEARCH("홍콩",C28)),"HK",IF(ISNUMBER(SEARCH("상해",C28)),"CN",IF(ISNUMBER(SEARCH("대만",C28)),"TW","홀세일"))))</f>
        <v>TW</v>
      </c>
      <c r="B28" s="87" t="s">
        <v>176</v>
      </c>
      <c r="C28" s="87" t="s">
        <v>177</v>
      </c>
      <c r="D28" s="88" t="s">
        <v>178</v>
      </c>
      <c r="E28" s="87" t="n">
        <v>2026</v>
      </c>
      <c r="F28" s="88" t="s">
        <v>179</v>
      </c>
      <c r="G28" s="88" t="s">
        <v>180</v>
      </c>
      <c r="H28" s="87" t="s">
        <v>189</v>
      </c>
      <c r="I28" s="87" t="s">
        <v>238</v>
      </c>
      <c r="J28" s="88" t="s">
        <v>239</v>
      </c>
      <c r="K28" s="89" t="n">
        <v>150</v>
      </c>
      <c r="L28" s="89" t="n">
        <v>13350000</v>
      </c>
      <c r="M28" s="89" t="n">
        <v>4844550</v>
      </c>
      <c r="N28" s="90" t="n">
        <f aca="false">IF(A28="제외",0,IF(OR(N(L28)&lt;=0,N(M28)&gt;N(L28)),N(M28)/가정!$B$4,N(L28)))</f>
        <v>13350000</v>
      </c>
      <c r="O28" s="67" t="str">
        <f aca="false">IF(A28="제외","",IF(OR(N(L28)&lt;=0,N(M28)&gt;N(L28)),"택가보정(판매금액÷공급율)",""))</f>
        <v/>
      </c>
    </row>
    <row r="29" customFormat="false" ht="15" hidden="false" customHeight="true" outlineLevel="0" collapsed="false">
      <c r="A29" s="67" t="str">
        <f aca="false">IF(OR(TRIM(C29)="",SUBSTITUTE(C29," ","")="소계"),"제외",IF(ISNUMBER(SEARCH("홍콩",C29)),"HK",IF(ISNUMBER(SEARCH("상해",C29)),"CN",IF(ISNUMBER(SEARCH("대만",C29)),"TW","홀세일"))))</f>
        <v>TW</v>
      </c>
      <c r="B29" s="87" t="s">
        <v>176</v>
      </c>
      <c r="C29" s="87" t="s">
        <v>177</v>
      </c>
      <c r="D29" s="88" t="s">
        <v>178</v>
      </c>
      <c r="E29" s="87" t="n">
        <v>2026</v>
      </c>
      <c r="F29" s="88" t="s">
        <v>179</v>
      </c>
      <c r="G29" s="88" t="s">
        <v>180</v>
      </c>
      <c r="H29" s="87" t="s">
        <v>189</v>
      </c>
      <c r="I29" s="87" t="s">
        <v>240</v>
      </c>
      <c r="J29" s="88" t="s">
        <v>241</v>
      </c>
      <c r="K29" s="89" t="n">
        <v>125</v>
      </c>
      <c r="L29" s="89" t="n">
        <v>14875000</v>
      </c>
      <c r="M29" s="89" t="n">
        <v>5394875</v>
      </c>
      <c r="N29" s="90" t="n">
        <f aca="false">IF(A29="제외",0,IF(OR(N(L29)&lt;=0,N(M29)&gt;N(L29)),N(M29)/가정!$B$4,N(L29)))</f>
        <v>14875000</v>
      </c>
      <c r="O29" s="67" t="str">
        <f aca="false">IF(A29="제외","",IF(OR(N(L29)&lt;=0,N(M29)&gt;N(L29)),"택가보정(판매금액÷공급율)",""))</f>
        <v/>
      </c>
    </row>
    <row r="30" customFormat="false" ht="15" hidden="false" customHeight="true" outlineLevel="0" collapsed="false">
      <c r="A30" s="67" t="str">
        <f aca="false">IF(OR(TRIM(C30)="",SUBSTITUTE(C30," ","")="소계"),"제외",IF(ISNUMBER(SEARCH("홍콩",C30)),"HK",IF(ISNUMBER(SEARCH("상해",C30)),"CN",IF(ISNUMBER(SEARCH("대만",C30)),"TW","홀세일"))))</f>
        <v>TW</v>
      </c>
      <c r="B30" s="87" t="s">
        <v>176</v>
      </c>
      <c r="C30" s="87" t="s">
        <v>177</v>
      </c>
      <c r="D30" s="88" t="s">
        <v>178</v>
      </c>
      <c r="E30" s="87" t="n">
        <v>2026</v>
      </c>
      <c r="F30" s="88" t="s">
        <v>179</v>
      </c>
      <c r="G30" s="88" t="s">
        <v>180</v>
      </c>
      <c r="H30" s="87" t="s">
        <v>189</v>
      </c>
      <c r="I30" s="87" t="s">
        <v>242</v>
      </c>
      <c r="J30" s="88" t="s">
        <v>243</v>
      </c>
      <c r="K30" s="89" t="n">
        <v>150</v>
      </c>
      <c r="L30" s="89" t="n">
        <v>11850000</v>
      </c>
      <c r="M30" s="89" t="n">
        <v>4238250</v>
      </c>
      <c r="N30" s="90" t="n">
        <f aca="false">IF(A30="제외",0,IF(OR(N(L30)&lt;=0,N(M30)&gt;N(L30)),N(M30)/가정!$B$4,N(L30)))</f>
        <v>11850000</v>
      </c>
      <c r="O30" s="67" t="str">
        <f aca="false">IF(A30="제외","",IF(OR(N(L30)&lt;=0,N(M30)&gt;N(L30)),"택가보정(판매금액÷공급율)",""))</f>
        <v/>
      </c>
    </row>
    <row r="31" customFormat="false" ht="15" hidden="false" customHeight="true" outlineLevel="0" collapsed="false">
      <c r="A31" s="67" t="str">
        <f aca="false">IF(OR(TRIM(C31)="",SUBSTITUTE(C31," ","")="소계"),"제외",IF(ISNUMBER(SEARCH("홍콩",C31)),"HK",IF(ISNUMBER(SEARCH("상해",C31)),"CN",IF(ISNUMBER(SEARCH("대만",C31)),"TW","홀세일"))))</f>
        <v>TW</v>
      </c>
      <c r="B31" s="87" t="s">
        <v>176</v>
      </c>
      <c r="C31" s="87" t="s">
        <v>177</v>
      </c>
      <c r="D31" s="88" t="s">
        <v>178</v>
      </c>
      <c r="E31" s="87" t="n">
        <v>2026</v>
      </c>
      <c r="F31" s="88" t="s">
        <v>179</v>
      </c>
      <c r="G31" s="88" t="s">
        <v>180</v>
      </c>
      <c r="H31" s="87" t="s">
        <v>189</v>
      </c>
      <c r="I31" s="87" t="s">
        <v>244</v>
      </c>
      <c r="J31" s="88" t="s">
        <v>245</v>
      </c>
      <c r="K31" s="89" t="n">
        <v>300</v>
      </c>
      <c r="L31" s="89" t="n">
        <v>17700000</v>
      </c>
      <c r="M31" s="89" t="n">
        <v>6430500</v>
      </c>
      <c r="N31" s="90" t="n">
        <f aca="false">IF(A31="제외",0,IF(OR(N(L31)&lt;=0,N(M31)&gt;N(L31)),N(M31)/가정!$B$4,N(L31)))</f>
        <v>17700000</v>
      </c>
      <c r="O31" s="67" t="str">
        <f aca="false">IF(A31="제외","",IF(OR(N(L31)&lt;=0,N(M31)&gt;N(L31)),"택가보정(판매금액÷공급율)",""))</f>
        <v/>
      </c>
    </row>
    <row r="32" customFormat="false" ht="15" hidden="false" customHeight="true" outlineLevel="0" collapsed="false">
      <c r="A32" s="67" t="str">
        <f aca="false">IF(OR(TRIM(C32)="",SUBSTITUTE(C32," ","")="소계"),"제외",IF(ISNUMBER(SEARCH("홍콩",C32)),"HK",IF(ISNUMBER(SEARCH("상해",C32)),"CN",IF(ISNUMBER(SEARCH("대만",C32)),"TW","홀세일"))))</f>
        <v>TW</v>
      </c>
      <c r="B32" s="87" t="s">
        <v>176</v>
      </c>
      <c r="C32" s="87" t="s">
        <v>177</v>
      </c>
      <c r="D32" s="88" t="s">
        <v>178</v>
      </c>
      <c r="E32" s="87" t="n">
        <v>2026</v>
      </c>
      <c r="F32" s="88" t="s">
        <v>179</v>
      </c>
      <c r="G32" s="88" t="s">
        <v>180</v>
      </c>
      <c r="H32" s="87" t="s">
        <v>246</v>
      </c>
      <c r="I32" s="87" t="s">
        <v>247</v>
      </c>
      <c r="J32" s="87" t="s">
        <v>248</v>
      </c>
      <c r="K32" s="89" t="n">
        <v>150</v>
      </c>
      <c r="L32" s="89" t="n">
        <v>16350000</v>
      </c>
      <c r="M32" s="89" t="n">
        <v>5930850</v>
      </c>
      <c r="N32" s="90" t="n">
        <f aca="false">IF(A32="제외",0,IF(OR(N(L32)&lt;=0,N(M32)&gt;N(L32)),N(M32)/가정!$B$4,N(L32)))</f>
        <v>16350000</v>
      </c>
      <c r="O32" s="67" t="str">
        <f aca="false">IF(A32="제외","",IF(OR(N(L32)&lt;=0,N(M32)&gt;N(L32)),"택가보정(판매금액÷공급율)",""))</f>
        <v/>
      </c>
    </row>
    <row r="33" customFormat="false" ht="15" hidden="false" customHeight="true" outlineLevel="0" collapsed="false">
      <c r="A33" s="67" t="str">
        <f aca="false">IF(OR(TRIM(C33)="",SUBSTITUTE(C33," ","")="소계"),"제외",IF(ISNUMBER(SEARCH("홍콩",C33)),"HK",IF(ISNUMBER(SEARCH("상해",C33)),"CN",IF(ISNUMBER(SEARCH("대만",C33)),"TW","홀세일"))))</f>
        <v>TW</v>
      </c>
      <c r="B33" s="87" t="s">
        <v>176</v>
      </c>
      <c r="C33" s="87" t="s">
        <v>177</v>
      </c>
      <c r="D33" s="88" t="s">
        <v>178</v>
      </c>
      <c r="E33" s="87" t="n">
        <v>2026</v>
      </c>
      <c r="F33" s="88" t="s">
        <v>179</v>
      </c>
      <c r="G33" s="88" t="s">
        <v>180</v>
      </c>
      <c r="H33" s="87" t="s">
        <v>246</v>
      </c>
      <c r="I33" s="87" t="s">
        <v>249</v>
      </c>
      <c r="J33" s="87" t="s">
        <v>250</v>
      </c>
      <c r="K33" s="89" t="n">
        <v>230</v>
      </c>
      <c r="L33" s="89" t="n">
        <v>29670000</v>
      </c>
      <c r="M33" s="89" t="n">
        <v>10748360</v>
      </c>
      <c r="N33" s="90" t="n">
        <f aca="false">IF(A33="제외",0,IF(OR(N(L33)&lt;=0,N(M33)&gt;N(L33)),N(M33)/가정!$B$4,N(L33)))</f>
        <v>29670000</v>
      </c>
      <c r="O33" s="67" t="str">
        <f aca="false">IF(A33="제외","",IF(OR(N(L33)&lt;=0,N(M33)&gt;N(L33)),"택가보정(판매금액÷공급율)",""))</f>
        <v/>
      </c>
    </row>
    <row r="34" customFormat="false" ht="15" hidden="false" customHeight="true" outlineLevel="0" collapsed="false">
      <c r="A34" s="67" t="str">
        <f aca="false">IF(OR(TRIM(C34)="",SUBSTITUTE(C34," ","")="소계"),"제외",IF(ISNUMBER(SEARCH("홍콩",C34)),"HK",IF(ISNUMBER(SEARCH("상해",C34)),"CN",IF(ISNUMBER(SEARCH("대만",C34)),"TW","홀세일"))))</f>
        <v>TW</v>
      </c>
      <c r="B34" s="87" t="s">
        <v>176</v>
      </c>
      <c r="C34" s="87" t="s">
        <v>177</v>
      </c>
      <c r="D34" s="88" t="s">
        <v>178</v>
      </c>
      <c r="E34" s="87" t="n">
        <v>2026</v>
      </c>
      <c r="F34" s="88" t="s">
        <v>179</v>
      </c>
      <c r="G34" s="88" t="s">
        <v>180</v>
      </c>
      <c r="H34" s="87" t="s">
        <v>246</v>
      </c>
      <c r="I34" s="87" t="s">
        <v>251</v>
      </c>
      <c r="J34" s="87" t="s">
        <v>252</v>
      </c>
      <c r="K34" s="89" t="n">
        <v>80</v>
      </c>
      <c r="L34" s="89" t="n">
        <v>8720000</v>
      </c>
      <c r="M34" s="89" t="n">
        <v>3163120</v>
      </c>
      <c r="N34" s="90" t="n">
        <f aca="false">IF(A34="제외",0,IF(OR(N(L34)&lt;=0,N(M34)&gt;N(L34)),N(M34)/가정!$B$4,N(L34)))</f>
        <v>8720000</v>
      </c>
      <c r="O34" s="67" t="str">
        <f aca="false">IF(A34="제외","",IF(OR(N(L34)&lt;=0,N(M34)&gt;N(L34)),"택가보정(판매금액÷공급율)",""))</f>
        <v/>
      </c>
    </row>
    <row r="35" customFormat="false" ht="15" hidden="false" customHeight="true" outlineLevel="0" collapsed="false">
      <c r="A35" s="67" t="str">
        <f aca="false">IF(OR(TRIM(C35)="",SUBSTITUTE(C35," ","")="소계"),"제외",IF(ISNUMBER(SEARCH("홍콩",C35)),"HK",IF(ISNUMBER(SEARCH("상해",C35)),"CN",IF(ISNUMBER(SEARCH("대만",C35)),"TW","홀세일"))))</f>
        <v>TW</v>
      </c>
      <c r="B35" s="87" t="s">
        <v>176</v>
      </c>
      <c r="C35" s="87" t="s">
        <v>177</v>
      </c>
      <c r="D35" s="88" t="s">
        <v>178</v>
      </c>
      <c r="E35" s="87" t="n">
        <v>2026</v>
      </c>
      <c r="F35" s="88" t="s">
        <v>179</v>
      </c>
      <c r="G35" s="88" t="s">
        <v>180</v>
      </c>
      <c r="H35" s="87" t="s">
        <v>246</v>
      </c>
      <c r="I35" s="87" t="s">
        <v>253</v>
      </c>
      <c r="J35" s="87" t="s">
        <v>254</v>
      </c>
      <c r="K35" s="89" t="n">
        <v>230</v>
      </c>
      <c r="L35" s="89" t="n">
        <v>31970000</v>
      </c>
      <c r="M35" s="89" t="n">
        <v>11580270</v>
      </c>
      <c r="N35" s="90" t="n">
        <f aca="false">IF(A35="제외",0,IF(OR(N(L35)&lt;=0,N(M35)&gt;N(L35)),N(M35)/가정!$B$4,N(L35)))</f>
        <v>31970000</v>
      </c>
      <c r="O35" s="67" t="str">
        <f aca="false">IF(A35="제외","",IF(OR(N(L35)&lt;=0,N(M35)&gt;N(L35)),"택가보정(판매금액÷공급율)",""))</f>
        <v/>
      </c>
    </row>
    <row r="36" customFormat="false" ht="15" hidden="false" customHeight="true" outlineLevel="0" collapsed="false">
      <c r="A36" s="67" t="str">
        <f aca="false">IF(OR(TRIM(C36)="",SUBSTITUTE(C36," ","")="소계"),"제외",IF(ISNUMBER(SEARCH("홍콩",C36)),"HK",IF(ISNUMBER(SEARCH("상해",C36)),"CN",IF(ISNUMBER(SEARCH("대만",C36)),"TW","홀세일"))))</f>
        <v>TW</v>
      </c>
      <c r="B36" s="87" t="s">
        <v>176</v>
      </c>
      <c r="C36" s="87" t="s">
        <v>177</v>
      </c>
      <c r="D36" s="88" t="s">
        <v>178</v>
      </c>
      <c r="E36" s="87" t="n">
        <v>2026</v>
      </c>
      <c r="F36" s="88" t="s">
        <v>179</v>
      </c>
      <c r="G36" s="88" t="s">
        <v>180</v>
      </c>
      <c r="H36" s="87" t="s">
        <v>246</v>
      </c>
      <c r="I36" s="87" t="s">
        <v>255</v>
      </c>
      <c r="J36" s="87" t="s">
        <v>256</v>
      </c>
      <c r="K36" s="89" t="n">
        <v>280</v>
      </c>
      <c r="L36" s="89" t="n">
        <v>41720000</v>
      </c>
      <c r="M36" s="89" t="n">
        <v>15349600</v>
      </c>
      <c r="N36" s="90" t="n">
        <f aca="false">IF(A36="제외",0,IF(OR(N(L36)&lt;=0,N(M36)&gt;N(L36)),N(M36)/가정!$B$4,N(L36)))</f>
        <v>41720000</v>
      </c>
      <c r="O36" s="67" t="str">
        <f aca="false">IF(A36="제외","",IF(OR(N(L36)&lt;=0,N(M36)&gt;N(L36)),"택가보정(판매금액÷공급율)",""))</f>
        <v/>
      </c>
    </row>
    <row r="37" customFormat="false" ht="15" hidden="false" customHeight="true" outlineLevel="0" collapsed="false">
      <c r="A37" s="67" t="str">
        <f aca="false">IF(OR(TRIM(C37)="",SUBSTITUTE(C37," ","")="소계"),"제외",IF(ISNUMBER(SEARCH("홍콩",C37)),"HK",IF(ISNUMBER(SEARCH("상해",C37)),"CN",IF(ISNUMBER(SEARCH("대만",C37)),"TW","홀세일"))))</f>
        <v>TW</v>
      </c>
      <c r="B37" s="87" t="s">
        <v>176</v>
      </c>
      <c r="C37" s="87" t="s">
        <v>177</v>
      </c>
      <c r="D37" s="88" t="s">
        <v>178</v>
      </c>
      <c r="E37" s="87" t="n">
        <v>2026</v>
      </c>
      <c r="F37" s="88" t="s">
        <v>179</v>
      </c>
      <c r="G37" s="88" t="s">
        <v>180</v>
      </c>
      <c r="H37" s="87" t="s">
        <v>246</v>
      </c>
      <c r="I37" s="87" t="s">
        <v>257</v>
      </c>
      <c r="J37" s="87" t="s">
        <v>258</v>
      </c>
      <c r="K37" s="89" t="n">
        <v>280</v>
      </c>
      <c r="L37" s="89" t="n">
        <v>44520000</v>
      </c>
      <c r="M37" s="89" t="n">
        <v>16378320</v>
      </c>
      <c r="N37" s="90" t="n">
        <f aca="false">IF(A37="제외",0,IF(OR(N(L37)&lt;=0,N(M37)&gt;N(L37)),N(M37)/가정!$B$4,N(L37)))</f>
        <v>44520000</v>
      </c>
      <c r="O37" s="67" t="str">
        <f aca="false">IF(A37="제외","",IF(OR(N(L37)&lt;=0,N(M37)&gt;N(L37)),"택가보정(판매금액÷공급율)",""))</f>
        <v/>
      </c>
    </row>
    <row r="38" customFormat="false" ht="15" hidden="false" customHeight="true" outlineLevel="0" collapsed="false">
      <c r="A38" s="67" t="str">
        <f aca="false">IF(OR(TRIM(C38)="",SUBSTITUTE(C38," ","")="소계"),"제외",IF(ISNUMBER(SEARCH("홍콩",C38)),"HK",IF(ISNUMBER(SEARCH("상해",C38)),"CN",IF(ISNUMBER(SEARCH("대만",C38)),"TW","홀세일"))))</f>
        <v>TW</v>
      </c>
      <c r="B38" s="87" t="s">
        <v>176</v>
      </c>
      <c r="C38" s="87" t="s">
        <v>177</v>
      </c>
      <c r="D38" s="88" t="s">
        <v>178</v>
      </c>
      <c r="E38" s="87" t="n">
        <v>2026</v>
      </c>
      <c r="F38" s="88" t="s">
        <v>179</v>
      </c>
      <c r="G38" s="88" t="s">
        <v>180</v>
      </c>
      <c r="H38" s="87" t="s">
        <v>246</v>
      </c>
      <c r="I38" s="87" t="s">
        <v>259</v>
      </c>
      <c r="J38" s="87" t="s">
        <v>260</v>
      </c>
      <c r="K38" s="89" t="n">
        <v>80</v>
      </c>
      <c r="L38" s="89" t="n">
        <v>19120000</v>
      </c>
      <c r="M38" s="89" t="n">
        <v>7349760</v>
      </c>
      <c r="N38" s="90" t="n">
        <f aca="false">IF(A38="제외",0,IF(OR(N(L38)&lt;=0,N(M38)&gt;N(L38)),N(M38)/가정!$B$4,N(L38)))</f>
        <v>19120000</v>
      </c>
      <c r="O38" s="67" t="str">
        <f aca="false">IF(A38="제외","",IF(OR(N(L38)&lt;=0,N(M38)&gt;N(L38)),"택가보정(판매금액÷공급율)",""))</f>
        <v/>
      </c>
    </row>
    <row r="39" customFormat="false" ht="15" hidden="false" customHeight="true" outlineLevel="0" collapsed="false">
      <c r="A39" s="67" t="str">
        <f aca="false">IF(OR(TRIM(C39)="",SUBSTITUTE(C39," ","")="소계"),"제외",IF(ISNUMBER(SEARCH("홍콩",C39)),"HK",IF(ISNUMBER(SEARCH("상해",C39)),"CN",IF(ISNUMBER(SEARCH("대만",C39)),"TW","홀세일"))))</f>
        <v>TW</v>
      </c>
      <c r="B39" s="87" t="s">
        <v>176</v>
      </c>
      <c r="C39" s="87" t="s">
        <v>177</v>
      </c>
      <c r="D39" s="88" t="s">
        <v>178</v>
      </c>
      <c r="E39" s="87" t="n">
        <v>2026</v>
      </c>
      <c r="F39" s="88" t="s">
        <v>179</v>
      </c>
      <c r="G39" s="88" t="s">
        <v>180</v>
      </c>
      <c r="H39" s="87" t="s">
        <v>246</v>
      </c>
      <c r="I39" s="87" t="s">
        <v>261</v>
      </c>
      <c r="J39" s="87" t="s">
        <v>262</v>
      </c>
      <c r="K39" s="89" t="n">
        <v>120</v>
      </c>
      <c r="L39" s="89" t="n">
        <v>23880000</v>
      </c>
      <c r="M39" s="89" t="n">
        <v>9329640</v>
      </c>
      <c r="N39" s="90" t="n">
        <f aca="false">IF(A39="제외",0,IF(OR(N(L39)&lt;=0,N(M39)&gt;N(L39)),N(M39)/가정!$B$4,N(L39)))</f>
        <v>23880000</v>
      </c>
      <c r="O39" s="67" t="str">
        <f aca="false">IF(A39="제외","",IF(OR(N(L39)&lt;=0,N(M39)&gt;N(L39)),"택가보정(판매금액÷공급율)",""))</f>
        <v/>
      </c>
    </row>
    <row r="40" customFormat="false" ht="15" hidden="false" customHeight="true" outlineLevel="0" collapsed="false">
      <c r="A40" s="67" t="str">
        <f aca="false">IF(OR(TRIM(C40)="",SUBSTITUTE(C40," ","")="소계"),"제외",IF(ISNUMBER(SEARCH("홍콩",C40)),"HK",IF(ISNUMBER(SEARCH("상해",C40)),"CN",IF(ISNUMBER(SEARCH("대만",C40)),"TW","홀세일"))))</f>
        <v>TW</v>
      </c>
      <c r="B40" s="87" t="s">
        <v>176</v>
      </c>
      <c r="C40" s="87" t="s">
        <v>177</v>
      </c>
      <c r="D40" s="88" t="s">
        <v>178</v>
      </c>
      <c r="E40" s="87" t="n">
        <v>2026</v>
      </c>
      <c r="F40" s="88" t="s">
        <v>179</v>
      </c>
      <c r="G40" s="88" t="s">
        <v>180</v>
      </c>
      <c r="H40" s="87" t="s">
        <v>246</v>
      </c>
      <c r="I40" s="87" t="s">
        <v>263</v>
      </c>
      <c r="J40" s="87" t="s">
        <v>264</v>
      </c>
      <c r="K40" s="89" t="n">
        <v>80</v>
      </c>
      <c r="L40" s="89" t="n">
        <v>11920000</v>
      </c>
      <c r="M40" s="89" t="n">
        <v>4321760</v>
      </c>
      <c r="N40" s="90" t="n">
        <f aca="false">IF(A40="제외",0,IF(OR(N(L40)&lt;=0,N(M40)&gt;N(L40)),N(M40)/가정!$B$4,N(L40)))</f>
        <v>11920000</v>
      </c>
      <c r="O40" s="67" t="str">
        <f aca="false">IF(A40="제외","",IF(OR(N(L40)&lt;=0,N(M40)&gt;N(L40)),"택가보정(판매금액÷공급율)",""))</f>
        <v/>
      </c>
    </row>
    <row r="41" customFormat="false" ht="15" hidden="false" customHeight="true" outlineLevel="0" collapsed="false">
      <c r="A41" s="67" t="str">
        <f aca="false">IF(OR(TRIM(C41)="",SUBSTITUTE(C41," ","")="소계"),"제외",IF(ISNUMBER(SEARCH("홍콩",C41)),"HK",IF(ISNUMBER(SEARCH("상해",C41)),"CN",IF(ISNUMBER(SEARCH("대만",C41)),"TW","홀세일"))))</f>
        <v>TW</v>
      </c>
      <c r="B41" s="87" t="s">
        <v>176</v>
      </c>
      <c r="C41" s="87" t="s">
        <v>177</v>
      </c>
      <c r="D41" s="88" t="s">
        <v>178</v>
      </c>
      <c r="E41" s="87" t="n">
        <v>2026</v>
      </c>
      <c r="F41" s="88" t="s">
        <v>179</v>
      </c>
      <c r="G41" s="88" t="s">
        <v>180</v>
      </c>
      <c r="H41" s="87" t="s">
        <v>246</v>
      </c>
      <c r="I41" s="87" t="s">
        <v>265</v>
      </c>
      <c r="J41" s="87" t="s">
        <v>266</v>
      </c>
      <c r="K41" s="89" t="n">
        <v>150</v>
      </c>
      <c r="L41" s="89" t="n">
        <v>28350000</v>
      </c>
      <c r="M41" s="89" t="n">
        <v>10265100</v>
      </c>
      <c r="N41" s="90" t="n">
        <f aca="false">IF(A41="제외",0,IF(OR(N(L41)&lt;=0,N(M41)&gt;N(L41)),N(M41)/가정!$B$4,N(L41)))</f>
        <v>28350000</v>
      </c>
      <c r="O41" s="67" t="str">
        <f aca="false">IF(A41="제외","",IF(OR(N(L41)&lt;=0,N(M41)&gt;N(L41)),"택가보정(판매금액÷공급율)",""))</f>
        <v/>
      </c>
    </row>
    <row r="42" customFormat="false" ht="15" hidden="false" customHeight="true" outlineLevel="0" collapsed="false">
      <c r="A42" s="67" t="str">
        <f aca="false">IF(OR(TRIM(C42)="",SUBSTITUTE(C42," ","")="소계"),"제외",IF(ISNUMBER(SEARCH("홍콩",C42)),"HK",IF(ISNUMBER(SEARCH("상해",C42)),"CN",IF(ISNUMBER(SEARCH("대만",C42)),"TW","홀세일"))))</f>
        <v>TW</v>
      </c>
      <c r="B42" s="87" t="s">
        <v>176</v>
      </c>
      <c r="C42" s="87" t="s">
        <v>177</v>
      </c>
      <c r="D42" s="88" t="s">
        <v>178</v>
      </c>
      <c r="E42" s="87" t="n">
        <v>2026</v>
      </c>
      <c r="F42" s="88" t="s">
        <v>179</v>
      </c>
      <c r="G42" s="88" t="s">
        <v>180</v>
      </c>
      <c r="H42" s="87" t="s">
        <v>246</v>
      </c>
      <c r="I42" s="87" t="s">
        <v>267</v>
      </c>
      <c r="J42" s="87" t="s">
        <v>268</v>
      </c>
      <c r="K42" s="89" t="n">
        <v>80</v>
      </c>
      <c r="L42" s="89" t="n">
        <v>9520000</v>
      </c>
      <c r="M42" s="89" t="n">
        <v>3452720</v>
      </c>
      <c r="N42" s="90" t="n">
        <f aca="false">IF(A42="제외",0,IF(OR(N(L42)&lt;=0,N(M42)&gt;N(L42)),N(M42)/가정!$B$4,N(L42)))</f>
        <v>9520000</v>
      </c>
      <c r="O42" s="67" t="str">
        <f aca="false">IF(A42="제외","",IF(OR(N(L42)&lt;=0,N(M42)&gt;N(L42)),"택가보정(판매금액÷공급율)",""))</f>
        <v/>
      </c>
    </row>
    <row r="43" customFormat="false" ht="15" hidden="false" customHeight="true" outlineLevel="0" collapsed="false">
      <c r="A43" s="67" t="str">
        <f aca="false">IF(OR(TRIM(C43)="",SUBSTITUTE(C43," ","")="소계"),"제외",IF(ISNUMBER(SEARCH("홍콩",C43)),"HK",IF(ISNUMBER(SEARCH("상해",C43)),"CN",IF(ISNUMBER(SEARCH("대만",C43)),"TW","홀세일"))))</f>
        <v>TW</v>
      </c>
      <c r="B43" s="87" t="s">
        <v>176</v>
      </c>
      <c r="C43" s="87" t="s">
        <v>177</v>
      </c>
      <c r="D43" s="88" t="s">
        <v>178</v>
      </c>
      <c r="E43" s="87" t="n">
        <v>2026</v>
      </c>
      <c r="F43" s="88" t="s">
        <v>179</v>
      </c>
      <c r="G43" s="88" t="s">
        <v>180</v>
      </c>
      <c r="H43" s="87" t="s">
        <v>246</v>
      </c>
      <c r="I43" s="87" t="s">
        <v>269</v>
      </c>
      <c r="J43" s="87" t="s">
        <v>270</v>
      </c>
      <c r="K43" s="89" t="n">
        <v>100</v>
      </c>
      <c r="L43" s="89" t="n">
        <v>9900000</v>
      </c>
      <c r="M43" s="89" t="n">
        <v>3591800</v>
      </c>
      <c r="N43" s="90" t="n">
        <f aca="false">IF(A43="제외",0,IF(OR(N(L43)&lt;=0,N(M43)&gt;N(L43)),N(M43)/가정!$B$4,N(L43)))</f>
        <v>9900000</v>
      </c>
      <c r="O43" s="67" t="str">
        <f aca="false">IF(A43="제외","",IF(OR(N(L43)&lt;=0,N(M43)&gt;N(L43)),"택가보정(판매금액÷공급율)",""))</f>
        <v/>
      </c>
    </row>
    <row r="44" customFormat="false" ht="15" hidden="false" customHeight="true" outlineLevel="0" collapsed="false">
      <c r="A44" s="67" t="str">
        <f aca="false">IF(OR(TRIM(C44)="",SUBSTITUTE(C44," ","")="소계"),"제외",IF(ISNUMBER(SEARCH("홍콩",C44)),"HK",IF(ISNUMBER(SEARCH("상해",C44)),"CN",IF(ISNUMBER(SEARCH("대만",C44)),"TW","홀세일"))))</f>
        <v>TW</v>
      </c>
      <c r="B44" s="87" t="s">
        <v>176</v>
      </c>
      <c r="C44" s="87" t="s">
        <v>177</v>
      </c>
      <c r="D44" s="88" t="s">
        <v>178</v>
      </c>
      <c r="E44" s="87" t="n">
        <v>2026</v>
      </c>
      <c r="F44" s="88" t="s">
        <v>179</v>
      </c>
      <c r="G44" s="88" t="s">
        <v>180</v>
      </c>
      <c r="H44" s="87" t="s">
        <v>246</v>
      </c>
      <c r="I44" s="87" t="s">
        <v>271</v>
      </c>
      <c r="J44" s="87" t="s">
        <v>272</v>
      </c>
      <c r="K44" s="89" t="n">
        <v>100</v>
      </c>
      <c r="L44" s="89" t="n">
        <v>8900000</v>
      </c>
      <c r="M44" s="89" t="n">
        <v>3229700</v>
      </c>
      <c r="N44" s="90" t="n">
        <f aca="false">IF(A44="제외",0,IF(OR(N(L44)&lt;=0,N(M44)&gt;N(L44)),N(M44)/가정!$B$4,N(L44)))</f>
        <v>8900000</v>
      </c>
      <c r="O44" s="67" t="str">
        <f aca="false">IF(A44="제외","",IF(OR(N(L44)&lt;=0,N(M44)&gt;N(L44)),"택가보정(판매금액÷공급율)",""))</f>
        <v/>
      </c>
    </row>
    <row r="45" customFormat="false" ht="15" hidden="false" customHeight="true" outlineLevel="0" collapsed="false">
      <c r="A45" s="67" t="str">
        <f aca="false">IF(OR(TRIM(C45)="",SUBSTITUTE(C45," ","")="소계"),"제외",IF(ISNUMBER(SEARCH("홍콩",C45)),"HK",IF(ISNUMBER(SEARCH("상해",C45)),"CN",IF(ISNUMBER(SEARCH("대만",C45)),"TW","홀세일"))))</f>
        <v>TW</v>
      </c>
      <c r="B45" s="87" t="s">
        <v>176</v>
      </c>
      <c r="C45" s="87" t="s">
        <v>177</v>
      </c>
      <c r="D45" s="88" t="s">
        <v>178</v>
      </c>
      <c r="E45" s="87" t="n">
        <v>2026</v>
      </c>
      <c r="F45" s="88" t="s">
        <v>179</v>
      </c>
      <c r="G45" s="88" t="s">
        <v>180</v>
      </c>
      <c r="H45" s="87" t="s">
        <v>246</v>
      </c>
      <c r="I45" s="87" t="s">
        <v>273</v>
      </c>
      <c r="J45" s="87" t="s">
        <v>274</v>
      </c>
      <c r="K45" s="89" t="n">
        <v>80</v>
      </c>
      <c r="L45" s="89" t="n">
        <v>7920000</v>
      </c>
      <c r="M45" s="89" t="n">
        <v>2873440</v>
      </c>
      <c r="N45" s="90" t="n">
        <f aca="false">IF(A45="제외",0,IF(OR(N(L45)&lt;=0,N(M45)&gt;N(L45)),N(M45)/가정!$B$4,N(L45)))</f>
        <v>7920000</v>
      </c>
      <c r="O45" s="67" t="str">
        <f aca="false">IF(A45="제외","",IF(OR(N(L45)&lt;=0,N(M45)&gt;N(L45)),"택가보정(판매금액÷공급율)",""))</f>
        <v/>
      </c>
    </row>
    <row r="46" customFormat="false" ht="15" hidden="false" customHeight="true" outlineLevel="0" collapsed="false">
      <c r="A46" s="67" t="str">
        <f aca="false">IF(OR(TRIM(C46)="",SUBSTITUTE(C46," ","")="소계"),"제외",IF(ISNUMBER(SEARCH("홍콩",C46)),"HK",IF(ISNUMBER(SEARCH("상해",C46)),"CN",IF(ISNUMBER(SEARCH("대만",C46)),"TW","홀세일"))))</f>
        <v>TW</v>
      </c>
      <c r="B46" s="87" t="s">
        <v>176</v>
      </c>
      <c r="C46" s="87" t="s">
        <v>177</v>
      </c>
      <c r="D46" s="88" t="s">
        <v>178</v>
      </c>
      <c r="E46" s="87" t="n">
        <v>2026</v>
      </c>
      <c r="F46" s="88" t="s">
        <v>179</v>
      </c>
      <c r="G46" s="88" t="s">
        <v>180</v>
      </c>
      <c r="H46" s="87" t="s">
        <v>246</v>
      </c>
      <c r="I46" s="87" t="s">
        <v>275</v>
      </c>
      <c r="J46" s="87" t="s">
        <v>276</v>
      </c>
      <c r="K46" s="89" t="n">
        <v>80</v>
      </c>
      <c r="L46" s="89" t="n">
        <v>5520000</v>
      </c>
      <c r="M46" s="89" t="n">
        <v>2034080</v>
      </c>
      <c r="N46" s="90" t="n">
        <f aca="false">IF(A46="제외",0,IF(OR(N(L46)&lt;=0,N(M46)&gt;N(L46)),N(M46)/가정!$B$4,N(L46)))</f>
        <v>5520000</v>
      </c>
      <c r="O46" s="67" t="str">
        <f aca="false">IF(A46="제외","",IF(OR(N(L46)&lt;=0,N(M46)&gt;N(L46)),"택가보정(판매금액÷공급율)",""))</f>
        <v/>
      </c>
    </row>
    <row r="47" customFormat="false" ht="15" hidden="false" customHeight="true" outlineLevel="0" collapsed="false">
      <c r="A47" s="67" t="str">
        <f aca="false">IF(OR(TRIM(C47)="",SUBSTITUTE(C47," ","")="소계"),"제외",IF(ISNUMBER(SEARCH("홍콩",C47)),"HK",IF(ISNUMBER(SEARCH("상해",C47)),"CN",IF(ISNUMBER(SEARCH("대만",C47)),"TW","홀세일"))))</f>
        <v>TW</v>
      </c>
      <c r="B47" s="87" t="s">
        <v>176</v>
      </c>
      <c r="C47" s="87" t="s">
        <v>177</v>
      </c>
      <c r="D47" s="88" t="s">
        <v>178</v>
      </c>
      <c r="E47" s="87" t="n">
        <v>2026</v>
      </c>
      <c r="F47" s="88" t="s">
        <v>277</v>
      </c>
      <c r="G47" s="88" t="s">
        <v>180</v>
      </c>
      <c r="H47" s="87" t="s">
        <v>189</v>
      </c>
      <c r="I47" s="87" t="s">
        <v>278</v>
      </c>
      <c r="J47" s="88" t="s">
        <v>279</v>
      </c>
      <c r="K47" s="89" t="n">
        <v>300</v>
      </c>
      <c r="L47" s="89" t="n">
        <v>26700000</v>
      </c>
      <c r="M47" s="89" t="n">
        <v>9966900</v>
      </c>
      <c r="N47" s="90" t="n">
        <f aca="false">IF(A47="제외",0,IF(OR(N(L47)&lt;=0,N(M47)&gt;N(L47)),N(M47)/가정!$B$4,N(L47)))</f>
        <v>26700000</v>
      </c>
      <c r="O47" s="67" t="str">
        <f aca="false">IF(A47="제외","",IF(OR(N(L47)&lt;=0,N(M47)&gt;N(L47)),"택가보정(판매금액÷공급율)",""))</f>
        <v/>
      </c>
    </row>
    <row r="48" customFormat="false" ht="15" hidden="false" customHeight="true" outlineLevel="0" collapsed="false">
      <c r="A48" s="67" t="str">
        <f aca="false">IF(OR(TRIM(C48)="",SUBSTITUTE(C48," ","")="소계"),"제외",IF(ISNUMBER(SEARCH("홍콩",C48)),"HK",IF(ISNUMBER(SEARCH("상해",C48)),"CN",IF(ISNUMBER(SEARCH("대만",C48)),"TW","홀세일"))))</f>
        <v>TW</v>
      </c>
      <c r="B48" s="87" t="s">
        <v>176</v>
      </c>
      <c r="C48" s="87" t="s">
        <v>177</v>
      </c>
      <c r="D48" s="88" t="s">
        <v>178</v>
      </c>
      <c r="E48" s="87" t="n">
        <v>2026</v>
      </c>
      <c r="F48" s="88" t="s">
        <v>277</v>
      </c>
      <c r="G48" s="88" t="s">
        <v>180</v>
      </c>
      <c r="H48" s="87" t="s">
        <v>189</v>
      </c>
      <c r="I48" s="87" t="s">
        <v>280</v>
      </c>
      <c r="J48" s="87" t="s">
        <v>281</v>
      </c>
      <c r="K48" s="89" t="n">
        <v>200</v>
      </c>
      <c r="L48" s="89" t="n">
        <v>25800000</v>
      </c>
      <c r="M48" s="89" t="n">
        <v>9324400</v>
      </c>
      <c r="N48" s="90" t="n">
        <f aca="false">IF(A48="제외",0,IF(OR(N(L48)&lt;=0,N(M48)&gt;N(L48)),N(M48)/가정!$B$4,N(L48)))</f>
        <v>25800000</v>
      </c>
      <c r="O48" s="67" t="str">
        <f aca="false">IF(A48="제외","",IF(OR(N(L48)&lt;=0,N(M48)&gt;N(L48)),"택가보정(판매금액÷공급율)",""))</f>
        <v/>
      </c>
    </row>
    <row r="49" customFormat="false" ht="15" hidden="false" customHeight="true" outlineLevel="0" collapsed="false">
      <c r="A49" s="67" t="str">
        <f aca="false">IF(OR(TRIM(C49)="",SUBSTITUTE(C49," ","")="소계"),"제외",IF(ISNUMBER(SEARCH("홍콩",C49)),"HK",IF(ISNUMBER(SEARCH("상해",C49)),"CN",IF(ISNUMBER(SEARCH("대만",C49)),"TW","홀세일"))))</f>
        <v>TW</v>
      </c>
      <c r="B49" s="87" t="s">
        <v>176</v>
      </c>
      <c r="C49" s="87" t="s">
        <v>177</v>
      </c>
      <c r="D49" s="88" t="s">
        <v>178</v>
      </c>
      <c r="E49" s="87" t="n">
        <v>2026</v>
      </c>
      <c r="F49" s="88" t="s">
        <v>277</v>
      </c>
      <c r="G49" s="88" t="s">
        <v>180</v>
      </c>
      <c r="H49" s="87" t="s">
        <v>189</v>
      </c>
      <c r="I49" s="87" t="s">
        <v>282</v>
      </c>
      <c r="J49" s="87" t="s">
        <v>283</v>
      </c>
      <c r="K49" s="89" t="n">
        <v>400</v>
      </c>
      <c r="L49" s="89" t="n">
        <v>43600000</v>
      </c>
      <c r="M49" s="89" t="n">
        <v>16022800</v>
      </c>
      <c r="N49" s="90" t="n">
        <f aca="false">IF(A49="제외",0,IF(OR(N(L49)&lt;=0,N(M49)&gt;N(L49)),N(M49)/가정!$B$4,N(L49)))</f>
        <v>43600000</v>
      </c>
      <c r="O49" s="67" t="str">
        <f aca="false">IF(A49="제외","",IF(OR(N(L49)&lt;=0,N(M49)&gt;N(L49)),"택가보정(판매금액÷공급율)",""))</f>
        <v/>
      </c>
    </row>
    <row r="50" customFormat="false" ht="15" hidden="false" customHeight="true" outlineLevel="0" collapsed="false">
      <c r="A50" s="67" t="str">
        <f aca="false">IF(OR(TRIM(C50)="",SUBSTITUTE(C50," ","")="소계"),"제외",IF(ISNUMBER(SEARCH("홍콩",C50)),"HK",IF(ISNUMBER(SEARCH("상해",C50)),"CN",IF(ISNUMBER(SEARCH("대만",C50)),"TW","홀세일"))))</f>
        <v>TW</v>
      </c>
      <c r="B50" s="87" t="s">
        <v>176</v>
      </c>
      <c r="C50" s="87" t="s">
        <v>177</v>
      </c>
      <c r="D50" s="88" t="s">
        <v>178</v>
      </c>
      <c r="E50" s="87" t="n">
        <v>2026</v>
      </c>
      <c r="F50" s="88" t="s">
        <v>277</v>
      </c>
      <c r="G50" s="88" t="s">
        <v>180</v>
      </c>
      <c r="H50" s="87" t="s">
        <v>181</v>
      </c>
      <c r="I50" s="87" t="s">
        <v>284</v>
      </c>
      <c r="J50" s="88" t="s">
        <v>285</v>
      </c>
      <c r="K50" s="89" t="n">
        <v>350</v>
      </c>
      <c r="L50" s="89" t="n">
        <v>31150000</v>
      </c>
      <c r="M50" s="89" t="n">
        <v>11550000</v>
      </c>
      <c r="N50" s="90" t="n">
        <f aca="false">IF(A50="제외",0,IF(OR(N(L50)&lt;=0,N(M50)&gt;N(L50)),N(M50)/가정!$B$4,N(L50)))</f>
        <v>31150000</v>
      </c>
      <c r="O50" s="67" t="str">
        <f aca="false">IF(A50="제외","",IF(OR(N(L50)&lt;=0,N(M50)&gt;N(L50)),"택가보정(판매금액÷공급율)",""))</f>
        <v/>
      </c>
    </row>
    <row r="51" customFormat="false" ht="15" hidden="false" customHeight="true" outlineLevel="0" collapsed="false">
      <c r="A51" s="67" t="str">
        <f aca="false">IF(OR(TRIM(C51)="",SUBSTITUTE(C51," ","")="소계"),"제외",IF(ISNUMBER(SEARCH("홍콩",C51)),"HK",IF(ISNUMBER(SEARCH("상해",C51)),"CN",IF(ISNUMBER(SEARCH("대만",C51)),"TW","홀세일"))))</f>
        <v>TW</v>
      </c>
      <c r="B51" s="87" t="s">
        <v>176</v>
      </c>
      <c r="C51" s="87" t="s">
        <v>177</v>
      </c>
      <c r="D51" s="88" t="s">
        <v>178</v>
      </c>
      <c r="E51" s="87" t="n">
        <v>2026</v>
      </c>
      <c r="F51" s="88" t="s">
        <v>277</v>
      </c>
      <c r="G51" s="88" t="s">
        <v>180</v>
      </c>
      <c r="H51" s="87" t="s">
        <v>181</v>
      </c>
      <c r="I51" s="87" t="s">
        <v>286</v>
      </c>
      <c r="J51" s="88" t="s">
        <v>287</v>
      </c>
      <c r="K51" s="89" t="n">
        <v>230</v>
      </c>
      <c r="L51" s="89" t="n">
        <v>20470000</v>
      </c>
      <c r="M51" s="89" t="n">
        <v>7351610</v>
      </c>
      <c r="N51" s="90" t="n">
        <f aca="false">IF(A51="제외",0,IF(OR(N(L51)&lt;=0,N(M51)&gt;N(L51)),N(M51)/가정!$B$4,N(L51)))</f>
        <v>20470000</v>
      </c>
      <c r="O51" s="67" t="str">
        <f aca="false">IF(A51="제외","",IF(OR(N(L51)&lt;=0,N(M51)&gt;N(L51)),"택가보정(판매금액÷공급율)",""))</f>
        <v/>
      </c>
    </row>
    <row r="52" customFormat="false" ht="15" hidden="false" customHeight="true" outlineLevel="0" collapsed="false">
      <c r="A52" s="67" t="str">
        <f aca="false">IF(OR(TRIM(C52)="",SUBSTITUTE(C52," ","")="소계"),"제외",IF(ISNUMBER(SEARCH("홍콩",C52)),"HK",IF(ISNUMBER(SEARCH("상해",C52)),"CN",IF(ISNUMBER(SEARCH("대만",C52)),"TW","홀세일"))))</f>
        <v>TW</v>
      </c>
      <c r="B52" s="87" t="s">
        <v>176</v>
      </c>
      <c r="C52" s="87" t="s">
        <v>177</v>
      </c>
      <c r="D52" s="88" t="s">
        <v>178</v>
      </c>
      <c r="E52" s="87" t="n">
        <v>2026</v>
      </c>
      <c r="F52" s="88" t="s">
        <v>277</v>
      </c>
      <c r="G52" s="88" t="s">
        <v>180</v>
      </c>
      <c r="H52" s="87" t="s">
        <v>181</v>
      </c>
      <c r="I52" s="87" t="s">
        <v>288</v>
      </c>
      <c r="J52" s="88" t="s">
        <v>289</v>
      </c>
      <c r="K52" s="89" t="n">
        <v>300</v>
      </c>
      <c r="L52" s="89" t="n">
        <v>32700000</v>
      </c>
      <c r="M52" s="89" t="n">
        <v>12017100</v>
      </c>
      <c r="N52" s="90" t="n">
        <f aca="false">IF(A52="제외",0,IF(OR(N(L52)&lt;=0,N(M52)&gt;N(L52)),N(M52)/가정!$B$4,N(L52)))</f>
        <v>32700000</v>
      </c>
      <c r="O52" s="67" t="str">
        <f aca="false">IF(A52="제외","",IF(OR(N(L52)&lt;=0,N(M52)&gt;N(L52)),"택가보정(판매금액÷공급율)",""))</f>
        <v/>
      </c>
    </row>
    <row r="53" customFormat="false" ht="15" hidden="false" customHeight="true" outlineLevel="0" collapsed="false">
      <c r="A53" s="67" t="str">
        <f aca="false">IF(OR(TRIM(C53)="",SUBSTITUTE(C53," ","")="소계"),"제외",IF(ISNUMBER(SEARCH("홍콩",C53)),"HK",IF(ISNUMBER(SEARCH("상해",C53)),"CN",IF(ISNUMBER(SEARCH("대만",C53)),"TW","홀세일"))))</f>
        <v>TW</v>
      </c>
      <c r="B53" s="87" t="s">
        <v>176</v>
      </c>
      <c r="C53" s="87" t="s">
        <v>177</v>
      </c>
      <c r="D53" s="88" t="s">
        <v>178</v>
      </c>
      <c r="E53" s="87" t="n">
        <v>2026</v>
      </c>
      <c r="F53" s="88" t="s">
        <v>277</v>
      </c>
      <c r="G53" s="88" t="s">
        <v>180</v>
      </c>
      <c r="H53" s="87" t="s">
        <v>181</v>
      </c>
      <c r="I53" s="87" t="s">
        <v>290</v>
      </c>
      <c r="J53" s="88" t="s">
        <v>291</v>
      </c>
      <c r="K53" s="89" t="n">
        <v>200</v>
      </c>
      <c r="L53" s="89" t="n">
        <v>29800000</v>
      </c>
      <c r="M53" s="89" t="n">
        <v>10946000</v>
      </c>
      <c r="N53" s="90" t="n">
        <f aca="false">IF(A53="제외",0,IF(OR(N(L53)&lt;=0,N(M53)&gt;N(L53)),N(M53)/가정!$B$4,N(L53)))</f>
        <v>29800000</v>
      </c>
      <c r="O53" s="67" t="str">
        <f aca="false">IF(A53="제외","",IF(OR(N(L53)&lt;=0,N(M53)&gt;N(L53)),"택가보정(판매금액÷공급율)",""))</f>
        <v/>
      </c>
    </row>
    <row r="54" customFormat="false" ht="15" hidden="false" customHeight="true" outlineLevel="0" collapsed="false">
      <c r="A54" s="67" t="str">
        <f aca="false">IF(OR(TRIM(C54)="",SUBSTITUTE(C54," ","")="소계"),"제외",IF(ISNUMBER(SEARCH("홍콩",C54)),"HK",IF(ISNUMBER(SEARCH("상해",C54)),"CN",IF(ISNUMBER(SEARCH("대만",C54)),"TW","홀세일"))))</f>
        <v>TW</v>
      </c>
      <c r="B54" s="87" t="s">
        <v>176</v>
      </c>
      <c r="C54" s="87" t="s">
        <v>177</v>
      </c>
      <c r="D54" s="88" t="s">
        <v>178</v>
      </c>
      <c r="E54" s="87" t="n">
        <v>2026</v>
      </c>
      <c r="F54" s="88" t="s">
        <v>277</v>
      </c>
      <c r="G54" s="88" t="s">
        <v>180</v>
      </c>
      <c r="H54" s="87" t="s">
        <v>189</v>
      </c>
      <c r="I54" s="87" t="s">
        <v>292</v>
      </c>
      <c r="J54" s="88" t="s">
        <v>293</v>
      </c>
      <c r="K54" s="89" t="n">
        <v>370</v>
      </c>
      <c r="L54" s="89" t="n">
        <v>21830000</v>
      </c>
      <c r="M54" s="89" t="n">
        <v>8316860</v>
      </c>
      <c r="N54" s="90" t="n">
        <f aca="false">IF(A54="제외",0,IF(OR(N(L54)&lt;=0,N(M54)&gt;N(L54)),N(M54)/가정!$B$4,N(L54)))</f>
        <v>21830000</v>
      </c>
      <c r="O54" s="67" t="str">
        <f aca="false">IF(A54="제외","",IF(OR(N(L54)&lt;=0,N(M54)&gt;N(L54)),"택가보정(판매금액÷공급율)",""))</f>
        <v/>
      </c>
    </row>
    <row r="55" customFormat="false" ht="15" hidden="false" customHeight="true" outlineLevel="0" collapsed="false">
      <c r="A55" s="67" t="str">
        <f aca="false">IF(OR(TRIM(C55)="",SUBSTITUTE(C55," ","")="소계"),"제외",IF(ISNUMBER(SEARCH("홍콩",C55)),"HK",IF(ISNUMBER(SEARCH("상해",C55)),"CN",IF(ISNUMBER(SEARCH("대만",C55)),"TW","홀세일"))))</f>
        <v>TW</v>
      </c>
      <c r="B55" s="87" t="s">
        <v>176</v>
      </c>
      <c r="C55" s="87" t="s">
        <v>177</v>
      </c>
      <c r="D55" s="88" t="s">
        <v>178</v>
      </c>
      <c r="E55" s="87" t="n">
        <v>2026</v>
      </c>
      <c r="F55" s="88" t="s">
        <v>277</v>
      </c>
      <c r="G55" s="88" t="s">
        <v>180</v>
      </c>
      <c r="H55" s="87" t="s">
        <v>189</v>
      </c>
      <c r="I55" s="87" t="s">
        <v>294</v>
      </c>
      <c r="J55" s="87" t="s">
        <v>295</v>
      </c>
      <c r="K55" s="89" t="n">
        <v>350</v>
      </c>
      <c r="L55" s="89" t="n">
        <v>27650000</v>
      </c>
      <c r="M55" s="89" t="n">
        <v>10002650</v>
      </c>
      <c r="N55" s="90" t="n">
        <f aca="false">IF(A55="제외",0,IF(OR(N(L55)&lt;=0,N(M55)&gt;N(L55)),N(M55)/가정!$B$4,N(L55)))</f>
        <v>27650000</v>
      </c>
      <c r="O55" s="67" t="str">
        <f aca="false">IF(A55="제외","",IF(OR(N(L55)&lt;=0,N(M55)&gt;N(L55)),"택가보정(판매금액÷공급율)",""))</f>
        <v/>
      </c>
    </row>
    <row r="56" customFormat="false" ht="15" hidden="false" customHeight="true" outlineLevel="0" collapsed="false">
      <c r="A56" s="67" t="str">
        <f aca="false">IF(OR(TRIM(C56)="",SUBSTITUTE(C56," ","")="소계"),"제외",IF(ISNUMBER(SEARCH("홍콩",C56)),"HK",IF(ISNUMBER(SEARCH("상해",C56)),"CN",IF(ISNUMBER(SEARCH("대만",C56)),"TW","홀세일"))))</f>
        <v>TW</v>
      </c>
      <c r="B56" s="87" t="s">
        <v>176</v>
      </c>
      <c r="C56" s="87" t="s">
        <v>177</v>
      </c>
      <c r="D56" s="88" t="s">
        <v>178</v>
      </c>
      <c r="E56" s="87" t="n">
        <v>2026</v>
      </c>
      <c r="F56" s="88" t="s">
        <v>277</v>
      </c>
      <c r="G56" s="88" t="s">
        <v>180</v>
      </c>
      <c r="H56" s="87" t="s">
        <v>189</v>
      </c>
      <c r="I56" s="87" t="s">
        <v>296</v>
      </c>
      <c r="J56" s="87" t="s">
        <v>297</v>
      </c>
      <c r="K56" s="89" t="n">
        <v>150</v>
      </c>
      <c r="L56" s="89" t="n">
        <v>11850000</v>
      </c>
      <c r="M56" s="89" t="n">
        <v>4286850</v>
      </c>
      <c r="N56" s="90" t="n">
        <f aca="false">IF(A56="제외",0,IF(OR(N(L56)&lt;=0,N(M56)&gt;N(L56)),N(M56)/가정!$B$4,N(L56)))</f>
        <v>11850000</v>
      </c>
      <c r="O56" s="67" t="str">
        <f aca="false">IF(A56="제외","",IF(OR(N(L56)&lt;=0,N(M56)&gt;N(L56)),"택가보정(판매금액÷공급율)",""))</f>
        <v/>
      </c>
    </row>
    <row r="57" customFormat="false" ht="15" hidden="false" customHeight="true" outlineLevel="0" collapsed="false">
      <c r="A57" s="67" t="str">
        <f aca="false">IF(OR(TRIM(C57)="",SUBSTITUTE(C57," ","")="소계"),"제외",IF(ISNUMBER(SEARCH("홍콩",C57)),"HK",IF(ISNUMBER(SEARCH("상해",C57)),"CN",IF(ISNUMBER(SEARCH("대만",C57)),"TW","홀세일"))))</f>
        <v>TW</v>
      </c>
      <c r="B57" s="87" t="s">
        <v>176</v>
      </c>
      <c r="C57" s="87" t="s">
        <v>177</v>
      </c>
      <c r="D57" s="88" t="s">
        <v>178</v>
      </c>
      <c r="E57" s="87" t="n">
        <v>2026</v>
      </c>
      <c r="F57" s="88" t="s">
        <v>277</v>
      </c>
      <c r="G57" s="88" t="s">
        <v>180</v>
      </c>
      <c r="H57" s="87" t="s">
        <v>189</v>
      </c>
      <c r="I57" s="87" t="s">
        <v>298</v>
      </c>
      <c r="J57" s="87" t="s">
        <v>299</v>
      </c>
      <c r="K57" s="89" t="n">
        <v>400</v>
      </c>
      <c r="L57" s="89" t="n">
        <v>27600000</v>
      </c>
      <c r="M57" s="89" t="n">
        <v>9988400</v>
      </c>
      <c r="N57" s="90" t="n">
        <f aca="false">IF(A57="제외",0,IF(OR(N(L57)&lt;=0,N(M57)&gt;N(L57)),N(M57)/가정!$B$4,N(L57)))</f>
        <v>27600000</v>
      </c>
      <c r="O57" s="67" t="str">
        <f aca="false">IF(A57="제외","",IF(OR(N(L57)&lt;=0,N(M57)&gt;N(L57)),"택가보정(판매금액÷공급율)",""))</f>
        <v/>
      </c>
    </row>
    <row r="58" customFormat="false" ht="15" hidden="false" customHeight="true" outlineLevel="0" collapsed="false">
      <c r="A58" s="67" t="str">
        <f aca="false">IF(OR(TRIM(C58)="",SUBSTITUTE(C58," ","")="소계"),"제외",IF(ISNUMBER(SEARCH("홍콩",C58)),"HK",IF(ISNUMBER(SEARCH("상해",C58)),"CN",IF(ISNUMBER(SEARCH("대만",C58)),"TW","홀세일"))))</f>
        <v>TW</v>
      </c>
      <c r="B58" s="87" t="s">
        <v>176</v>
      </c>
      <c r="C58" s="87" t="s">
        <v>177</v>
      </c>
      <c r="D58" s="88" t="s">
        <v>178</v>
      </c>
      <c r="E58" s="87" t="n">
        <v>2026</v>
      </c>
      <c r="F58" s="88" t="s">
        <v>277</v>
      </c>
      <c r="G58" s="88" t="s">
        <v>180</v>
      </c>
      <c r="H58" s="87" t="s">
        <v>189</v>
      </c>
      <c r="I58" s="87" t="s">
        <v>300</v>
      </c>
      <c r="J58" s="87" t="s">
        <v>301</v>
      </c>
      <c r="K58" s="89" t="n">
        <v>350</v>
      </c>
      <c r="L58" s="89" t="n">
        <v>27650000</v>
      </c>
      <c r="M58" s="89" t="n">
        <v>10168550</v>
      </c>
      <c r="N58" s="90" t="n">
        <f aca="false">IF(A58="제외",0,IF(OR(N(L58)&lt;=0,N(M58)&gt;N(L58)),N(M58)/가정!$B$4,N(L58)))</f>
        <v>27650000</v>
      </c>
      <c r="O58" s="67" t="str">
        <f aca="false">IF(A58="제외","",IF(OR(N(L58)&lt;=0,N(M58)&gt;N(L58)),"택가보정(판매금액÷공급율)",""))</f>
        <v/>
      </c>
    </row>
    <row r="59" customFormat="false" ht="15" hidden="false" customHeight="true" outlineLevel="0" collapsed="false">
      <c r="A59" s="67" t="str">
        <f aca="false">IF(OR(TRIM(C59)="",SUBSTITUTE(C59," ","")="소계"),"제외",IF(ISNUMBER(SEARCH("홍콩",C59)),"HK",IF(ISNUMBER(SEARCH("상해",C59)),"CN",IF(ISNUMBER(SEARCH("대만",C59)),"TW","홀세일"))))</f>
        <v>TW</v>
      </c>
      <c r="B59" s="87" t="s">
        <v>176</v>
      </c>
      <c r="C59" s="87" t="s">
        <v>177</v>
      </c>
      <c r="D59" s="88" t="s">
        <v>178</v>
      </c>
      <c r="E59" s="87" t="n">
        <v>2026</v>
      </c>
      <c r="F59" s="88" t="s">
        <v>277</v>
      </c>
      <c r="G59" s="88" t="s">
        <v>180</v>
      </c>
      <c r="H59" s="87" t="s">
        <v>181</v>
      </c>
      <c r="I59" s="87" t="s">
        <v>302</v>
      </c>
      <c r="J59" s="88" t="s">
        <v>303</v>
      </c>
      <c r="K59" s="89" t="n">
        <v>450</v>
      </c>
      <c r="L59" s="89" t="n">
        <v>35550000</v>
      </c>
      <c r="M59" s="89" t="n">
        <v>13073850</v>
      </c>
      <c r="N59" s="90" t="n">
        <f aca="false">IF(A59="제외",0,IF(OR(N(L59)&lt;=0,N(M59)&gt;N(L59)),N(M59)/가정!$B$4,N(L59)))</f>
        <v>35550000</v>
      </c>
      <c r="O59" s="67" t="str">
        <f aca="false">IF(A59="제외","",IF(OR(N(L59)&lt;=0,N(M59)&gt;N(L59)),"택가보정(판매금액÷공급율)",""))</f>
        <v/>
      </c>
    </row>
    <row r="60" customFormat="false" ht="15" hidden="false" customHeight="true" outlineLevel="0" collapsed="false">
      <c r="A60" s="67" t="str">
        <f aca="false">IF(OR(TRIM(C60)="",SUBSTITUTE(C60," ","")="소계"),"제외",IF(ISNUMBER(SEARCH("홍콩",C60)),"HK",IF(ISNUMBER(SEARCH("상해",C60)),"CN",IF(ISNUMBER(SEARCH("대만",C60)),"TW","홀세일"))))</f>
        <v>TW</v>
      </c>
      <c r="B60" s="87" t="s">
        <v>176</v>
      </c>
      <c r="C60" s="87" t="s">
        <v>177</v>
      </c>
      <c r="D60" s="88" t="s">
        <v>178</v>
      </c>
      <c r="E60" s="87" t="n">
        <v>2026</v>
      </c>
      <c r="F60" s="88" t="s">
        <v>277</v>
      </c>
      <c r="G60" s="88" t="s">
        <v>180</v>
      </c>
      <c r="H60" s="87" t="s">
        <v>189</v>
      </c>
      <c r="I60" s="87" t="s">
        <v>304</v>
      </c>
      <c r="J60" s="88" t="s">
        <v>305</v>
      </c>
      <c r="K60" s="89" t="n">
        <v>350</v>
      </c>
      <c r="L60" s="89" t="n">
        <v>27650000</v>
      </c>
      <c r="M60" s="89" t="n">
        <v>10002650</v>
      </c>
      <c r="N60" s="90" t="n">
        <f aca="false">IF(A60="제외",0,IF(OR(N(L60)&lt;=0,N(M60)&gt;N(L60)),N(M60)/가정!$B$4,N(L60)))</f>
        <v>27650000</v>
      </c>
      <c r="O60" s="67" t="str">
        <f aca="false">IF(A60="제외","",IF(OR(N(L60)&lt;=0,N(M60)&gt;N(L60)),"택가보정(판매금액÷공급율)",""))</f>
        <v/>
      </c>
    </row>
    <row r="61" customFormat="false" ht="15" hidden="false" customHeight="true" outlineLevel="0" collapsed="false">
      <c r="A61" s="67" t="str">
        <f aca="false">IF(OR(TRIM(C61)="",SUBSTITUTE(C61," ","")="소계"),"제외",IF(ISNUMBER(SEARCH("홍콩",C61)),"HK",IF(ISNUMBER(SEARCH("상해",C61)),"CN",IF(ISNUMBER(SEARCH("대만",C61)),"TW","홀세일"))))</f>
        <v>TW</v>
      </c>
      <c r="B61" s="87" t="s">
        <v>176</v>
      </c>
      <c r="C61" s="87" t="s">
        <v>177</v>
      </c>
      <c r="D61" s="88" t="s">
        <v>178</v>
      </c>
      <c r="E61" s="87" t="n">
        <v>2026</v>
      </c>
      <c r="F61" s="88" t="s">
        <v>277</v>
      </c>
      <c r="G61" s="88" t="s">
        <v>180</v>
      </c>
      <c r="H61" s="87" t="s">
        <v>189</v>
      </c>
      <c r="I61" s="87" t="s">
        <v>306</v>
      </c>
      <c r="J61" s="88" t="s">
        <v>307</v>
      </c>
      <c r="K61" s="89" t="n">
        <v>320</v>
      </c>
      <c r="L61" s="89" t="n">
        <v>31680000</v>
      </c>
      <c r="M61" s="89" t="n">
        <v>11622400</v>
      </c>
      <c r="N61" s="90" t="n">
        <f aca="false">IF(A61="제외",0,IF(OR(N(L61)&lt;=0,N(M61)&gt;N(L61)),N(M61)/가정!$B$4,N(L61)))</f>
        <v>31680000</v>
      </c>
      <c r="O61" s="67" t="str">
        <f aca="false">IF(A61="제외","",IF(OR(N(L61)&lt;=0,N(M61)&gt;N(L61)),"택가보정(판매금액÷공급율)",""))</f>
        <v/>
      </c>
    </row>
    <row r="62" customFormat="false" ht="15" hidden="false" customHeight="true" outlineLevel="0" collapsed="false">
      <c r="A62" s="67" t="str">
        <f aca="false">IF(OR(TRIM(C62)="",SUBSTITUTE(C62," ","")="소계"),"제외",IF(ISNUMBER(SEARCH("홍콩",C62)),"HK",IF(ISNUMBER(SEARCH("상해",C62)),"CN",IF(ISNUMBER(SEARCH("대만",C62)),"TW","홀세일"))))</f>
        <v>TW</v>
      </c>
      <c r="B62" s="87" t="s">
        <v>176</v>
      </c>
      <c r="C62" s="87" t="s">
        <v>177</v>
      </c>
      <c r="D62" s="88" t="s">
        <v>178</v>
      </c>
      <c r="E62" s="87" t="n">
        <v>2026</v>
      </c>
      <c r="F62" s="88" t="s">
        <v>277</v>
      </c>
      <c r="G62" s="88" t="s">
        <v>180</v>
      </c>
      <c r="H62" s="87" t="s">
        <v>189</v>
      </c>
      <c r="I62" s="87" t="s">
        <v>308</v>
      </c>
      <c r="J62" s="88" t="s">
        <v>309</v>
      </c>
      <c r="K62" s="89" t="n">
        <v>1540</v>
      </c>
      <c r="L62" s="89" t="n">
        <v>137060000</v>
      </c>
      <c r="M62" s="89" t="n">
        <v>50266020</v>
      </c>
      <c r="N62" s="90" t="n">
        <f aca="false">IF(A62="제외",0,IF(OR(N(L62)&lt;=0,N(M62)&gt;N(L62)),N(M62)/가정!$B$4,N(L62)))</f>
        <v>137060000</v>
      </c>
      <c r="O62" s="67" t="str">
        <f aca="false">IF(A62="제외","",IF(OR(N(L62)&lt;=0,N(M62)&gt;N(L62)),"택가보정(판매금액÷공급율)",""))</f>
        <v/>
      </c>
    </row>
    <row r="63" customFormat="false" ht="15" hidden="false" customHeight="true" outlineLevel="0" collapsed="false">
      <c r="A63" s="67" t="str">
        <f aca="false">IF(OR(TRIM(C63)="",SUBSTITUTE(C63," ","")="소계"),"제외",IF(ISNUMBER(SEARCH("홍콩",C63)),"HK",IF(ISNUMBER(SEARCH("상해",C63)),"CN",IF(ISNUMBER(SEARCH("대만",C63)),"TW","홀세일"))))</f>
        <v>TW</v>
      </c>
      <c r="B63" s="87" t="s">
        <v>176</v>
      </c>
      <c r="C63" s="87" t="s">
        <v>177</v>
      </c>
      <c r="D63" s="88" t="s">
        <v>178</v>
      </c>
      <c r="E63" s="87" t="n">
        <v>2026</v>
      </c>
      <c r="F63" s="88" t="s">
        <v>277</v>
      </c>
      <c r="G63" s="88" t="s">
        <v>180</v>
      </c>
      <c r="H63" s="87" t="s">
        <v>189</v>
      </c>
      <c r="I63" s="87" t="s">
        <v>310</v>
      </c>
      <c r="J63" s="88" t="s">
        <v>311</v>
      </c>
      <c r="K63" s="89" t="n">
        <v>350</v>
      </c>
      <c r="L63" s="89" t="n">
        <v>27650000</v>
      </c>
      <c r="M63" s="89" t="n">
        <v>10148950</v>
      </c>
      <c r="N63" s="90" t="n">
        <f aca="false">IF(A63="제외",0,IF(OR(N(L63)&lt;=0,N(M63)&gt;N(L63)),N(M63)/가정!$B$4,N(L63)))</f>
        <v>27650000</v>
      </c>
      <c r="O63" s="67" t="str">
        <f aca="false">IF(A63="제외","",IF(OR(N(L63)&lt;=0,N(M63)&gt;N(L63)),"택가보정(판매금액÷공급율)",""))</f>
        <v/>
      </c>
    </row>
    <row r="64" customFormat="false" ht="15" hidden="false" customHeight="true" outlineLevel="0" collapsed="false">
      <c r="A64" s="67" t="str">
        <f aca="false">IF(OR(TRIM(C64)="",SUBSTITUTE(C64," ","")="소계"),"제외",IF(ISNUMBER(SEARCH("홍콩",C64)),"HK",IF(ISNUMBER(SEARCH("상해",C64)),"CN",IF(ISNUMBER(SEARCH("대만",C64)),"TW","홀세일"))))</f>
        <v>TW</v>
      </c>
      <c r="B64" s="87" t="s">
        <v>176</v>
      </c>
      <c r="C64" s="87" t="s">
        <v>177</v>
      </c>
      <c r="D64" s="88" t="s">
        <v>178</v>
      </c>
      <c r="E64" s="87" t="n">
        <v>2026</v>
      </c>
      <c r="F64" s="88" t="s">
        <v>277</v>
      </c>
      <c r="G64" s="88" t="s">
        <v>180</v>
      </c>
      <c r="H64" s="87" t="s">
        <v>189</v>
      </c>
      <c r="I64" s="87" t="s">
        <v>312</v>
      </c>
      <c r="J64" s="88" t="s">
        <v>313</v>
      </c>
      <c r="K64" s="89" t="n">
        <v>400</v>
      </c>
      <c r="L64" s="89" t="n">
        <v>31600000</v>
      </c>
      <c r="M64" s="89" t="n">
        <v>11282000</v>
      </c>
      <c r="N64" s="90" t="n">
        <f aca="false">IF(A64="제외",0,IF(OR(N(L64)&lt;=0,N(M64)&gt;N(L64)),N(M64)/가정!$B$4,N(L64)))</f>
        <v>31600000</v>
      </c>
      <c r="O64" s="67" t="str">
        <f aca="false">IF(A64="제외","",IF(OR(N(L64)&lt;=0,N(M64)&gt;N(L64)),"택가보정(판매금액÷공급율)",""))</f>
        <v/>
      </c>
    </row>
    <row r="65" customFormat="false" ht="15" hidden="false" customHeight="true" outlineLevel="0" collapsed="false">
      <c r="A65" s="67" t="str">
        <f aca="false">IF(OR(TRIM(C65)="",SUBSTITUTE(C65," ","")="소계"),"제외",IF(ISNUMBER(SEARCH("홍콩",C65)),"HK",IF(ISNUMBER(SEARCH("상해",C65)),"CN",IF(ISNUMBER(SEARCH("대만",C65)),"TW","홀세일"))))</f>
        <v>TW</v>
      </c>
      <c r="B65" s="87" t="s">
        <v>176</v>
      </c>
      <c r="C65" s="87" t="s">
        <v>177</v>
      </c>
      <c r="D65" s="88" t="s">
        <v>178</v>
      </c>
      <c r="E65" s="87" t="n">
        <v>2026</v>
      </c>
      <c r="F65" s="88" t="s">
        <v>277</v>
      </c>
      <c r="G65" s="88" t="s">
        <v>180</v>
      </c>
      <c r="H65" s="88" t="s">
        <v>185</v>
      </c>
      <c r="I65" s="87" t="s">
        <v>314</v>
      </c>
      <c r="J65" s="87" t="s">
        <v>315</v>
      </c>
      <c r="K65" s="89" t="n">
        <v>400</v>
      </c>
      <c r="L65" s="89" t="n">
        <v>35600000</v>
      </c>
      <c r="M65" s="89" t="n">
        <v>12905600</v>
      </c>
      <c r="N65" s="90" t="n">
        <f aca="false">IF(A65="제외",0,IF(OR(N(L65)&lt;=0,N(M65)&gt;N(L65)),N(M65)/가정!$B$4,N(L65)))</f>
        <v>35600000</v>
      </c>
      <c r="O65" s="67" t="str">
        <f aca="false">IF(A65="제외","",IF(OR(N(L65)&lt;=0,N(M65)&gt;N(L65)),"택가보정(판매금액÷공급율)",""))</f>
        <v/>
      </c>
    </row>
    <row r="66" customFormat="false" ht="15" hidden="false" customHeight="true" outlineLevel="0" collapsed="false">
      <c r="A66" s="67" t="str">
        <f aca="false">IF(OR(TRIM(C66)="",SUBSTITUTE(C66," ","")="소계"),"제외",IF(ISNUMBER(SEARCH("홍콩",C66)),"HK",IF(ISNUMBER(SEARCH("상해",C66)),"CN",IF(ISNUMBER(SEARCH("대만",C66)),"TW","홀세일"))))</f>
        <v>TW</v>
      </c>
      <c r="B66" s="87" t="s">
        <v>176</v>
      </c>
      <c r="C66" s="87" t="s">
        <v>177</v>
      </c>
      <c r="D66" s="88" t="s">
        <v>178</v>
      </c>
      <c r="E66" s="87" t="n">
        <v>2026</v>
      </c>
      <c r="F66" s="88" t="s">
        <v>277</v>
      </c>
      <c r="G66" s="88" t="s">
        <v>180</v>
      </c>
      <c r="H66" s="87" t="s">
        <v>189</v>
      </c>
      <c r="I66" s="87" t="s">
        <v>316</v>
      </c>
      <c r="J66" s="88" t="s">
        <v>317</v>
      </c>
      <c r="K66" s="89" t="n">
        <v>300</v>
      </c>
      <c r="L66" s="89" t="n">
        <v>38700000</v>
      </c>
      <c r="M66" s="89" t="n">
        <v>13986600</v>
      </c>
      <c r="N66" s="90" t="n">
        <f aca="false">IF(A66="제외",0,IF(OR(N(L66)&lt;=0,N(M66)&gt;N(L66)),N(M66)/가정!$B$4,N(L66)))</f>
        <v>38700000</v>
      </c>
      <c r="O66" s="67" t="str">
        <f aca="false">IF(A66="제외","",IF(OR(N(L66)&lt;=0,N(M66)&gt;N(L66)),"택가보정(판매금액÷공급율)",""))</f>
        <v/>
      </c>
    </row>
    <row r="67" customFormat="false" ht="15" hidden="false" customHeight="true" outlineLevel="0" collapsed="false">
      <c r="A67" s="67" t="str">
        <f aca="false">IF(OR(TRIM(C67)="",SUBSTITUTE(C67," ","")="소계"),"제외",IF(ISNUMBER(SEARCH("홍콩",C67)),"HK",IF(ISNUMBER(SEARCH("상해",C67)),"CN",IF(ISNUMBER(SEARCH("대만",C67)),"TW","홀세일"))))</f>
        <v>TW</v>
      </c>
      <c r="B67" s="87" t="s">
        <v>176</v>
      </c>
      <c r="C67" s="87" t="s">
        <v>177</v>
      </c>
      <c r="D67" s="88" t="s">
        <v>178</v>
      </c>
      <c r="E67" s="87" t="n">
        <v>2026</v>
      </c>
      <c r="F67" s="88" t="s">
        <v>277</v>
      </c>
      <c r="G67" s="88" t="s">
        <v>180</v>
      </c>
      <c r="H67" s="87" t="s">
        <v>189</v>
      </c>
      <c r="I67" s="87" t="s">
        <v>318</v>
      </c>
      <c r="J67" s="88" t="s">
        <v>319</v>
      </c>
      <c r="K67" s="89" t="n">
        <v>650</v>
      </c>
      <c r="L67" s="89" t="n">
        <v>90350000</v>
      </c>
      <c r="M67" s="89" t="n">
        <v>32649500</v>
      </c>
      <c r="N67" s="90" t="n">
        <f aca="false">IF(A67="제외",0,IF(OR(N(L67)&lt;=0,N(M67)&gt;N(L67)),N(M67)/가정!$B$4,N(L67)))</f>
        <v>90350000</v>
      </c>
      <c r="O67" s="67" t="str">
        <f aca="false">IF(A67="제외","",IF(OR(N(L67)&lt;=0,N(M67)&gt;N(L67)),"택가보정(판매금액÷공급율)",""))</f>
        <v/>
      </c>
    </row>
    <row r="68" customFormat="false" ht="15" hidden="false" customHeight="true" outlineLevel="0" collapsed="false">
      <c r="A68" s="67" t="str">
        <f aca="false">IF(OR(TRIM(C68)="",SUBSTITUTE(C68," ","")="소계"),"제외",IF(ISNUMBER(SEARCH("홍콩",C68)),"HK",IF(ISNUMBER(SEARCH("상해",C68)),"CN",IF(ISNUMBER(SEARCH("대만",C68)),"TW","홀세일"))))</f>
        <v>TW</v>
      </c>
      <c r="B68" s="87" t="s">
        <v>176</v>
      </c>
      <c r="C68" s="87" t="s">
        <v>177</v>
      </c>
      <c r="D68" s="88" t="s">
        <v>178</v>
      </c>
      <c r="E68" s="87" t="n">
        <v>2026</v>
      </c>
      <c r="F68" s="88" t="s">
        <v>277</v>
      </c>
      <c r="G68" s="88" t="s">
        <v>180</v>
      </c>
      <c r="H68" s="87" t="s">
        <v>189</v>
      </c>
      <c r="I68" s="87" t="s">
        <v>320</v>
      </c>
      <c r="J68" s="88" t="s">
        <v>321</v>
      </c>
      <c r="K68" s="89" t="n">
        <v>650</v>
      </c>
      <c r="L68" s="89" t="n">
        <v>83850000</v>
      </c>
      <c r="M68" s="89" t="n">
        <v>32649500</v>
      </c>
      <c r="N68" s="90" t="n">
        <f aca="false">IF(A68="제외",0,IF(OR(N(L68)&lt;=0,N(M68)&gt;N(L68)),N(M68)/가정!$B$4,N(L68)))</f>
        <v>83850000</v>
      </c>
      <c r="O68" s="67" t="str">
        <f aca="false">IF(A68="제외","",IF(OR(N(L68)&lt;=0,N(M68)&gt;N(L68)),"택가보정(판매금액÷공급율)",""))</f>
        <v/>
      </c>
    </row>
    <row r="69" customFormat="false" ht="15" hidden="false" customHeight="true" outlineLevel="0" collapsed="false">
      <c r="A69" s="67" t="str">
        <f aca="false">IF(OR(TRIM(C69)="",SUBSTITUTE(C69," ","")="소계"),"제외",IF(ISNUMBER(SEARCH("홍콩",C69)),"HK",IF(ISNUMBER(SEARCH("상해",C69)),"CN",IF(ISNUMBER(SEARCH("대만",C69)),"TW","홀세일"))))</f>
        <v>TW</v>
      </c>
      <c r="B69" s="87" t="s">
        <v>176</v>
      </c>
      <c r="C69" s="87" t="s">
        <v>177</v>
      </c>
      <c r="D69" s="88" t="s">
        <v>178</v>
      </c>
      <c r="E69" s="87" t="n">
        <v>2026</v>
      </c>
      <c r="F69" s="88" t="s">
        <v>277</v>
      </c>
      <c r="G69" s="88" t="s">
        <v>180</v>
      </c>
      <c r="H69" s="87" t="s">
        <v>189</v>
      </c>
      <c r="I69" s="87" t="s">
        <v>322</v>
      </c>
      <c r="J69" s="88" t="s">
        <v>323</v>
      </c>
      <c r="K69" s="89" t="n">
        <v>80</v>
      </c>
      <c r="L69" s="89" t="n">
        <v>8720000</v>
      </c>
      <c r="M69" s="89" t="n">
        <v>3111120</v>
      </c>
      <c r="N69" s="90" t="n">
        <f aca="false">IF(A69="제외",0,IF(OR(N(L69)&lt;=0,N(M69)&gt;N(L69)),N(M69)/가정!$B$4,N(L69)))</f>
        <v>8720000</v>
      </c>
      <c r="O69" s="67" t="str">
        <f aca="false">IF(A69="제외","",IF(OR(N(L69)&lt;=0,N(M69)&gt;N(L69)),"택가보정(판매금액÷공급율)",""))</f>
        <v/>
      </c>
    </row>
    <row r="70" customFormat="false" ht="15" hidden="false" customHeight="true" outlineLevel="0" collapsed="false">
      <c r="A70" s="67" t="str">
        <f aca="false">IF(OR(TRIM(C70)="",SUBSTITUTE(C70," ","")="소계"),"제외",IF(ISNUMBER(SEARCH("홍콩",C70)),"HK",IF(ISNUMBER(SEARCH("상해",C70)),"CN",IF(ISNUMBER(SEARCH("대만",C70)),"TW","홀세일"))))</f>
        <v>TW</v>
      </c>
      <c r="B70" s="87" t="s">
        <v>176</v>
      </c>
      <c r="C70" s="87" t="s">
        <v>177</v>
      </c>
      <c r="D70" s="88" t="s">
        <v>178</v>
      </c>
      <c r="E70" s="87" t="n">
        <v>2026</v>
      </c>
      <c r="F70" s="88" t="s">
        <v>277</v>
      </c>
      <c r="G70" s="88" t="s">
        <v>180</v>
      </c>
      <c r="H70" s="87" t="s">
        <v>189</v>
      </c>
      <c r="I70" s="87" t="s">
        <v>324</v>
      </c>
      <c r="J70" s="88" t="s">
        <v>325</v>
      </c>
      <c r="K70" s="89" t="n">
        <v>120</v>
      </c>
      <c r="L70" s="89" t="n">
        <v>11880000</v>
      </c>
      <c r="M70" s="89" t="n">
        <v>4239360</v>
      </c>
      <c r="N70" s="90" t="n">
        <f aca="false">IF(A70="제외",0,IF(OR(N(L70)&lt;=0,N(M70)&gt;N(L70)),N(M70)/가정!$B$4,N(L70)))</f>
        <v>11880000</v>
      </c>
      <c r="O70" s="67" t="str">
        <f aca="false">IF(A70="제외","",IF(OR(N(L70)&lt;=0,N(M70)&gt;N(L70)),"택가보정(판매금액÷공급율)",""))</f>
        <v/>
      </c>
    </row>
    <row r="71" customFormat="false" ht="15" hidden="false" customHeight="true" outlineLevel="0" collapsed="false">
      <c r="A71" s="67" t="str">
        <f aca="false">IF(OR(TRIM(C71)="",SUBSTITUTE(C71," ","")="소계"),"제외",IF(ISNUMBER(SEARCH("홍콩",C71)),"HK",IF(ISNUMBER(SEARCH("상해",C71)),"CN",IF(ISNUMBER(SEARCH("대만",C71)),"TW","홀세일"))))</f>
        <v>TW</v>
      </c>
      <c r="B71" s="87" t="s">
        <v>176</v>
      </c>
      <c r="C71" s="87" t="s">
        <v>177</v>
      </c>
      <c r="D71" s="88" t="s">
        <v>178</v>
      </c>
      <c r="E71" s="87" t="n">
        <v>2026</v>
      </c>
      <c r="F71" s="88" t="s">
        <v>277</v>
      </c>
      <c r="G71" s="88" t="s">
        <v>180</v>
      </c>
      <c r="H71" s="87" t="s">
        <v>189</v>
      </c>
      <c r="I71" s="87" t="s">
        <v>326</v>
      </c>
      <c r="J71" s="88" t="s">
        <v>327</v>
      </c>
      <c r="K71" s="89" t="n">
        <v>400</v>
      </c>
      <c r="L71" s="89" t="n">
        <v>67600000</v>
      </c>
      <c r="M71" s="89" t="n">
        <v>25923600</v>
      </c>
      <c r="N71" s="90" t="n">
        <f aca="false">IF(A71="제외",0,IF(OR(N(L71)&lt;=0,N(M71)&gt;N(L71)),N(M71)/가정!$B$4,N(L71)))</f>
        <v>67600000</v>
      </c>
      <c r="O71" s="67" t="str">
        <f aca="false">IF(A71="제외","",IF(OR(N(L71)&lt;=0,N(M71)&gt;N(L71)),"택가보정(판매금액÷공급율)",""))</f>
        <v/>
      </c>
    </row>
    <row r="72" customFormat="false" ht="15" hidden="false" customHeight="true" outlineLevel="0" collapsed="false">
      <c r="A72" s="67" t="str">
        <f aca="false">IF(OR(TRIM(C72)="",SUBSTITUTE(C72," ","")="소계"),"제외",IF(ISNUMBER(SEARCH("홍콩",C72)),"HK",IF(ISNUMBER(SEARCH("상해",C72)),"CN",IF(ISNUMBER(SEARCH("대만",C72)),"TW","홀세일"))))</f>
        <v>TW</v>
      </c>
      <c r="B72" s="87" t="s">
        <v>176</v>
      </c>
      <c r="C72" s="87" t="s">
        <v>177</v>
      </c>
      <c r="D72" s="88" t="s">
        <v>178</v>
      </c>
      <c r="E72" s="87" t="n">
        <v>2026</v>
      </c>
      <c r="F72" s="88" t="s">
        <v>277</v>
      </c>
      <c r="G72" s="88" t="s">
        <v>180</v>
      </c>
      <c r="H72" s="87" t="s">
        <v>189</v>
      </c>
      <c r="I72" s="87" t="s">
        <v>328</v>
      </c>
      <c r="J72" s="88" t="s">
        <v>329</v>
      </c>
      <c r="K72" s="89" t="n">
        <v>80</v>
      </c>
      <c r="L72" s="89" t="n">
        <v>12720000</v>
      </c>
      <c r="M72" s="89" t="n">
        <v>4872880</v>
      </c>
      <c r="N72" s="90" t="n">
        <f aca="false">IF(A72="제외",0,IF(OR(N(L72)&lt;=0,N(M72)&gt;N(L72)),N(M72)/가정!$B$4,N(L72)))</f>
        <v>12720000</v>
      </c>
      <c r="O72" s="67" t="str">
        <f aca="false">IF(A72="제외","",IF(OR(N(L72)&lt;=0,N(M72)&gt;N(L72)),"택가보정(판매금액÷공급율)",""))</f>
        <v/>
      </c>
    </row>
    <row r="73" customFormat="false" ht="15" hidden="false" customHeight="true" outlineLevel="0" collapsed="false">
      <c r="A73" s="67" t="str">
        <f aca="false">IF(OR(TRIM(C73)="",SUBSTITUTE(C73," ","")="소계"),"제외",IF(ISNUMBER(SEARCH("홍콩",C73)),"HK",IF(ISNUMBER(SEARCH("상해",C73)),"CN",IF(ISNUMBER(SEARCH("대만",C73)),"TW","홀세일"))))</f>
        <v>TW</v>
      </c>
      <c r="B73" s="87" t="s">
        <v>176</v>
      </c>
      <c r="C73" s="87" t="s">
        <v>177</v>
      </c>
      <c r="D73" s="88" t="s">
        <v>178</v>
      </c>
      <c r="E73" s="87" t="n">
        <v>2026</v>
      </c>
      <c r="F73" s="88" t="s">
        <v>277</v>
      </c>
      <c r="G73" s="88" t="s">
        <v>180</v>
      </c>
      <c r="H73" s="87" t="s">
        <v>189</v>
      </c>
      <c r="I73" s="87" t="s">
        <v>330</v>
      </c>
      <c r="J73" s="88" t="s">
        <v>331</v>
      </c>
      <c r="K73" s="89" t="n">
        <v>930</v>
      </c>
      <c r="L73" s="89" t="n">
        <v>175770000</v>
      </c>
      <c r="M73" s="89" t="n">
        <v>63493890</v>
      </c>
      <c r="N73" s="90" t="n">
        <f aca="false">IF(A73="제외",0,IF(OR(N(L73)&lt;=0,N(M73)&gt;N(L73)),N(M73)/가정!$B$4,N(L73)))</f>
        <v>175770000</v>
      </c>
      <c r="O73" s="67" t="str">
        <f aca="false">IF(A73="제외","",IF(OR(N(L73)&lt;=0,N(M73)&gt;N(L73)),"택가보정(판매금액÷공급율)",""))</f>
        <v/>
      </c>
    </row>
    <row r="74" customFormat="false" ht="15" hidden="false" customHeight="true" outlineLevel="0" collapsed="false">
      <c r="A74" s="67" t="str">
        <f aca="false">IF(OR(TRIM(C74)="",SUBSTITUTE(C74," ","")="소계"),"제외",IF(ISNUMBER(SEARCH("홍콩",C74)),"HK",IF(ISNUMBER(SEARCH("상해",C74)),"CN",IF(ISNUMBER(SEARCH("대만",C74)),"TW","홀세일"))))</f>
        <v>TW</v>
      </c>
      <c r="B74" s="87" t="s">
        <v>176</v>
      </c>
      <c r="C74" s="87" t="s">
        <v>177</v>
      </c>
      <c r="D74" s="88" t="s">
        <v>178</v>
      </c>
      <c r="E74" s="87" t="n">
        <v>2026</v>
      </c>
      <c r="F74" s="88" t="s">
        <v>277</v>
      </c>
      <c r="G74" s="88" t="s">
        <v>180</v>
      </c>
      <c r="H74" s="87" t="s">
        <v>189</v>
      </c>
      <c r="I74" s="87" t="s">
        <v>332</v>
      </c>
      <c r="J74" s="88" t="s">
        <v>333</v>
      </c>
      <c r="K74" s="89" t="n">
        <v>420</v>
      </c>
      <c r="L74" s="89" t="n">
        <v>75180000</v>
      </c>
      <c r="M74" s="89" t="n">
        <v>27158880</v>
      </c>
      <c r="N74" s="90" t="n">
        <f aca="false">IF(A74="제외",0,IF(OR(N(L74)&lt;=0,N(M74)&gt;N(L74)),N(M74)/가정!$B$4,N(L74)))</f>
        <v>75180000</v>
      </c>
      <c r="O74" s="67" t="str">
        <f aca="false">IF(A74="제외","",IF(OR(N(L74)&lt;=0,N(M74)&gt;N(L74)),"택가보정(판매금액÷공급율)",""))</f>
        <v/>
      </c>
    </row>
    <row r="75" customFormat="false" ht="15" hidden="false" customHeight="true" outlineLevel="0" collapsed="false">
      <c r="A75" s="67" t="str">
        <f aca="false">IF(OR(TRIM(C75)="",SUBSTITUTE(C75," ","")="소계"),"제외",IF(ISNUMBER(SEARCH("홍콩",C75)),"HK",IF(ISNUMBER(SEARCH("상해",C75)),"CN",IF(ISNUMBER(SEARCH("대만",C75)),"TW","홀세일"))))</f>
        <v>TW</v>
      </c>
      <c r="B75" s="87" t="s">
        <v>176</v>
      </c>
      <c r="C75" s="87" t="s">
        <v>177</v>
      </c>
      <c r="D75" s="88" t="s">
        <v>178</v>
      </c>
      <c r="E75" s="87" t="n">
        <v>2026</v>
      </c>
      <c r="F75" s="88" t="s">
        <v>277</v>
      </c>
      <c r="G75" s="88" t="s">
        <v>180</v>
      </c>
      <c r="H75" s="87" t="s">
        <v>189</v>
      </c>
      <c r="I75" s="87" t="s">
        <v>334</v>
      </c>
      <c r="J75" s="88" t="s">
        <v>335</v>
      </c>
      <c r="K75" s="89" t="n">
        <v>470</v>
      </c>
      <c r="L75" s="89" t="n">
        <v>70030000</v>
      </c>
      <c r="M75" s="89" t="n">
        <v>25674220</v>
      </c>
      <c r="N75" s="90" t="n">
        <f aca="false">IF(A75="제외",0,IF(OR(N(L75)&lt;=0,N(M75)&gt;N(L75)),N(M75)/가정!$B$4,N(L75)))</f>
        <v>70030000</v>
      </c>
      <c r="O75" s="67" t="str">
        <f aca="false">IF(A75="제외","",IF(OR(N(L75)&lt;=0,N(M75)&gt;N(L75)),"택가보정(판매금액÷공급율)",""))</f>
        <v/>
      </c>
    </row>
    <row r="76" customFormat="false" ht="15" hidden="false" customHeight="true" outlineLevel="0" collapsed="false">
      <c r="A76" s="67" t="str">
        <f aca="false">IF(OR(TRIM(C76)="",SUBSTITUTE(C76," ","")="소계"),"제외",IF(ISNUMBER(SEARCH("홍콩",C76)),"HK",IF(ISNUMBER(SEARCH("상해",C76)),"CN",IF(ISNUMBER(SEARCH("대만",C76)),"TW","홀세일"))))</f>
        <v>TW</v>
      </c>
      <c r="B76" s="87" t="s">
        <v>176</v>
      </c>
      <c r="C76" s="87" t="s">
        <v>177</v>
      </c>
      <c r="D76" s="88" t="s">
        <v>178</v>
      </c>
      <c r="E76" s="87" t="n">
        <v>2026</v>
      </c>
      <c r="F76" s="88" t="s">
        <v>277</v>
      </c>
      <c r="G76" s="88" t="s">
        <v>180</v>
      </c>
      <c r="H76" s="87" t="s">
        <v>189</v>
      </c>
      <c r="I76" s="87" t="s">
        <v>336</v>
      </c>
      <c r="J76" s="88" t="s">
        <v>337</v>
      </c>
      <c r="K76" s="89" t="n">
        <v>880</v>
      </c>
      <c r="L76" s="89" t="n">
        <v>87120000</v>
      </c>
      <c r="M76" s="89" t="n">
        <v>31961600</v>
      </c>
      <c r="N76" s="90" t="n">
        <f aca="false">IF(A76="제외",0,IF(OR(N(L76)&lt;=0,N(M76)&gt;N(L76)),N(M76)/가정!$B$4,N(L76)))</f>
        <v>87120000</v>
      </c>
      <c r="O76" s="67" t="str">
        <f aca="false">IF(A76="제외","",IF(OR(N(L76)&lt;=0,N(M76)&gt;N(L76)),"택가보정(판매금액÷공급율)",""))</f>
        <v/>
      </c>
    </row>
    <row r="77" customFormat="false" ht="15" hidden="false" customHeight="true" outlineLevel="0" collapsed="false">
      <c r="A77" s="67" t="str">
        <f aca="false">IF(OR(TRIM(C77)="",SUBSTITUTE(C77," ","")="소계"),"제외",IF(ISNUMBER(SEARCH("홍콩",C77)),"HK",IF(ISNUMBER(SEARCH("상해",C77)),"CN",IF(ISNUMBER(SEARCH("대만",C77)),"TW","홀세일"))))</f>
        <v>TW</v>
      </c>
      <c r="B77" s="87" t="s">
        <v>176</v>
      </c>
      <c r="C77" s="87" t="s">
        <v>177</v>
      </c>
      <c r="D77" s="88" t="s">
        <v>178</v>
      </c>
      <c r="E77" s="87" t="n">
        <v>2026</v>
      </c>
      <c r="F77" s="88" t="s">
        <v>277</v>
      </c>
      <c r="G77" s="88" t="s">
        <v>180</v>
      </c>
      <c r="H77" s="87" t="s">
        <v>181</v>
      </c>
      <c r="I77" s="87" t="s">
        <v>338</v>
      </c>
      <c r="J77" s="88" t="s">
        <v>339</v>
      </c>
      <c r="K77" s="89" t="n">
        <v>150</v>
      </c>
      <c r="L77" s="89" t="n">
        <v>14850000</v>
      </c>
      <c r="M77" s="89" t="n">
        <v>5369400</v>
      </c>
      <c r="N77" s="90" t="n">
        <f aca="false">IF(A77="제외",0,IF(OR(N(L77)&lt;=0,N(M77)&gt;N(L77)),N(M77)/가정!$B$4,N(L77)))</f>
        <v>14850000</v>
      </c>
      <c r="O77" s="67" t="str">
        <f aca="false">IF(A77="제외","",IF(OR(N(L77)&lt;=0,N(M77)&gt;N(L77)),"택가보정(판매금액÷공급율)",""))</f>
        <v/>
      </c>
    </row>
    <row r="78" customFormat="false" ht="15" hidden="false" customHeight="true" outlineLevel="0" collapsed="false">
      <c r="A78" s="67" t="str">
        <f aca="false">IF(OR(TRIM(C78)="",SUBSTITUTE(C78," ","")="소계"),"제외",IF(ISNUMBER(SEARCH("홍콩",C78)),"HK",IF(ISNUMBER(SEARCH("상해",C78)),"CN",IF(ISNUMBER(SEARCH("대만",C78)),"TW","홀세일"))))</f>
        <v>TW</v>
      </c>
      <c r="B78" s="87" t="s">
        <v>176</v>
      </c>
      <c r="C78" s="87" t="s">
        <v>177</v>
      </c>
      <c r="D78" s="88" t="s">
        <v>178</v>
      </c>
      <c r="E78" s="87" t="n">
        <v>2026</v>
      </c>
      <c r="F78" s="88" t="s">
        <v>277</v>
      </c>
      <c r="G78" s="88" t="s">
        <v>180</v>
      </c>
      <c r="H78" s="87" t="s">
        <v>189</v>
      </c>
      <c r="I78" s="87" t="s">
        <v>340</v>
      </c>
      <c r="J78" s="88" t="s">
        <v>341</v>
      </c>
      <c r="K78" s="89" t="n">
        <v>550</v>
      </c>
      <c r="L78" s="89" t="n">
        <v>70950000</v>
      </c>
      <c r="M78" s="89" t="n">
        <v>26016650</v>
      </c>
      <c r="N78" s="90" t="n">
        <f aca="false">IF(A78="제외",0,IF(OR(N(L78)&lt;=0,N(M78)&gt;N(L78)),N(M78)/가정!$B$4,N(L78)))</f>
        <v>70950000</v>
      </c>
      <c r="O78" s="67" t="str">
        <f aca="false">IF(A78="제외","",IF(OR(N(L78)&lt;=0,N(M78)&gt;N(L78)),"택가보정(판매금액÷공급율)",""))</f>
        <v/>
      </c>
    </row>
    <row r="79" customFormat="false" ht="15" hidden="false" customHeight="true" outlineLevel="0" collapsed="false">
      <c r="A79" s="67" t="str">
        <f aca="false">IF(OR(TRIM(C79)="",SUBSTITUTE(C79," ","")="소계"),"제외",IF(ISNUMBER(SEARCH("홍콩",C79)),"HK",IF(ISNUMBER(SEARCH("상해",C79)),"CN",IF(ISNUMBER(SEARCH("대만",C79)),"TW","홀세일"))))</f>
        <v>TW</v>
      </c>
      <c r="B79" s="87" t="s">
        <v>176</v>
      </c>
      <c r="C79" s="87" t="s">
        <v>177</v>
      </c>
      <c r="D79" s="88" t="s">
        <v>178</v>
      </c>
      <c r="E79" s="87" t="n">
        <v>2026</v>
      </c>
      <c r="F79" s="88" t="s">
        <v>277</v>
      </c>
      <c r="G79" s="88" t="s">
        <v>180</v>
      </c>
      <c r="H79" s="87" t="s">
        <v>189</v>
      </c>
      <c r="I79" s="87" t="s">
        <v>342</v>
      </c>
      <c r="J79" s="88" t="s">
        <v>343</v>
      </c>
      <c r="K79" s="89" t="n">
        <v>330</v>
      </c>
      <c r="L79" s="89" t="n">
        <v>22770000</v>
      </c>
      <c r="M79" s="89" t="n">
        <v>8240430</v>
      </c>
      <c r="N79" s="90" t="n">
        <f aca="false">IF(A79="제외",0,IF(OR(N(L79)&lt;=0,N(M79)&gt;N(L79)),N(M79)/가정!$B$4,N(L79)))</f>
        <v>22770000</v>
      </c>
      <c r="O79" s="67" t="str">
        <f aca="false">IF(A79="제외","",IF(OR(N(L79)&lt;=0,N(M79)&gt;N(L79)),"택가보정(판매금액÷공급율)",""))</f>
        <v/>
      </c>
    </row>
    <row r="80" customFormat="false" ht="15" hidden="false" customHeight="true" outlineLevel="0" collapsed="false">
      <c r="A80" s="67" t="str">
        <f aca="false">IF(OR(TRIM(C80)="",SUBSTITUTE(C80," ","")="소계"),"제외",IF(ISNUMBER(SEARCH("홍콩",C80)),"HK",IF(ISNUMBER(SEARCH("상해",C80)),"CN",IF(ISNUMBER(SEARCH("대만",C80)),"TW","홀세일"))))</f>
        <v>TW</v>
      </c>
      <c r="B80" s="87" t="s">
        <v>176</v>
      </c>
      <c r="C80" s="87" t="s">
        <v>177</v>
      </c>
      <c r="D80" s="88" t="s">
        <v>178</v>
      </c>
      <c r="E80" s="87" t="n">
        <v>2026</v>
      </c>
      <c r="F80" s="88" t="s">
        <v>277</v>
      </c>
      <c r="G80" s="88" t="s">
        <v>180</v>
      </c>
      <c r="H80" s="87" t="s">
        <v>189</v>
      </c>
      <c r="I80" s="87" t="s">
        <v>344</v>
      </c>
      <c r="J80" s="88" t="s">
        <v>345</v>
      </c>
      <c r="K80" s="89" t="n">
        <v>680</v>
      </c>
      <c r="L80" s="89" t="n">
        <v>40120000</v>
      </c>
      <c r="M80" s="89" t="n">
        <v>14526160</v>
      </c>
      <c r="N80" s="90" t="n">
        <f aca="false">IF(A80="제외",0,IF(OR(N(L80)&lt;=0,N(M80)&gt;N(L80)),N(M80)/가정!$B$4,N(L80)))</f>
        <v>40120000</v>
      </c>
      <c r="O80" s="67" t="str">
        <f aca="false">IF(A80="제외","",IF(OR(N(L80)&lt;=0,N(M80)&gt;N(L80)),"택가보정(판매금액÷공급율)",""))</f>
        <v/>
      </c>
    </row>
    <row r="81" customFormat="false" ht="15" hidden="false" customHeight="true" outlineLevel="0" collapsed="false">
      <c r="A81" s="67" t="str">
        <f aca="false">IF(OR(TRIM(C81)="",SUBSTITUTE(C81," ","")="소계"),"제외",IF(ISNUMBER(SEARCH("홍콩",C81)),"HK",IF(ISNUMBER(SEARCH("상해",C81)),"CN",IF(ISNUMBER(SEARCH("대만",C81)),"TW","홀세일"))))</f>
        <v>TW</v>
      </c>
      <c r="B81" s="87" t="s">
        <v>176</v>
      </c>
      <c r="C81" s="87" t="s">
        <v>177</v>
      </c>
      <c r="D81" s="88" t="s">
        <v>178</v>
      </c>
      <c r="E81" s="87" t="n">
        <v>2026</v>
      </c>
      <c r="F81" s="88" t="s">
        <v>277</v>
      </c>
      <c r="G81" s="88" t="s">
        <v>180</v>
      </c>
      <c r="H81" s="87" t="s">
        <v>189</v>
      </c>
      <c r="I81" s="87" t="s">
        <v>346</v>
      </c>
      <c r="J81" s="88" t="s">
        <v>347</v>
      </c>
      <c r="K81" s="89" t="n">
        <v>850</v>
      </c>
      <c r="L81" s="89" t="n">
        <v>50150000</v>
      </c>
      <c r="M81" s="89" t="n">
        <v>18157700</v>
      </c>
      <c r="N81" s="90" t="n">
        <f aca="false">IF(A81="제외",0,IF(OR(N(L81)&lt;=0,N(M81)&gt;N(L81)),N(M81)/가정!$B$4,N(L81)))</f>
        <v>50150000</v>
      </c>
      <c r="O81" s="67" t="str">
        <f aca="false">IF(A81="제외","",IF(OR(N(L81)&lt;=0,N(M81)&gt;N(L81)),"택가보정(판매금액÷공급율)",""))</f>
        <v/>
      </c>
    </row>
    <row r="82" customFormat="false" ht="15" hidden="false" customHeight="true" outlineLevel="0" collapsed="false">
      <c r="A82" s="67" t="str">
        <f aca="false">IF(OR(TRIM(C82)="",SUBSTITUTE(C82," ","")="소계"),"제외",IF(ISNUMBER(SEARCH("홍콩",C82)),"HK",IF(ISNUMBER(SEARCH("상해",C82)),"CN",IF(ISNUMBER(SEARCH("대만",C82)),"TW","홀세일"))))</f>
        <v>TW</v>
      </c>
      <c r="B82" s="87" t="s">
        <v>176</v>
      </c>
      <c r="C82" s="87" t="s">
        <v>177</v>
      </c>
      <c r="D82" s="88" t="s">
        <v>178</v>
      </c>
      <c r="E82" s="87" t="n">
        <v>2026</v>
      </c>
      <c r="F82" s="88" t="s">
        <v>277</v>
      </c>
      <c r="G82" s="88" t="s">
        <v>180</v>
      </c>
      <c r="H82" s="87" t="s">
        <v>189</v>
      </c>
      <c r="I82" s="87" t="s">
        <v>348</v>
      </c>
      <c r="J82" s="88" t="s">
        <v>349</v>
      </c>
      <c r="K82" s="89" t="n">
        <v>900</v>
      </c>
      <c r="L82" s="89" t="n">
        <v>62100000</v>
      </c>
      <c r="M82" s="89" t="n">
        <v>22473900</v>
      </c>
      <c r="N82" s="90" t="n">
        <f aca="false">IF(A82="제외",0,IF(OR(N(L82)&lt;=0,N(M82)&gt;N(L82)),N(M82)/가정!$B$4,N(L82)))</f>
        <v>62100000</v>
      </c>
      <c r="O82" s="67" t="str">
        <f aca="false">IF(A82="제외","",IF(OR(N(L82)&lt;=0,N(M82)&gt;N(L82)),"택가보정(판매금액÷공급율)",""))</f>
        <v/>
      </c>
    </row>
    <row r="83" customFormat="false" ht="15" hidden="false" customHeight="true" outlineLevel="0" collapsed="false">
      <c r="A83" s="67" t="str">
        <f aca="false">IF(OR(TRIM(C83)="",SUBSTITUTE(C83," ","")="소계"),"제외",IF(ISNUMBER(SEARCH("홍콩",C83)),"HK",IF(ISNUMBER(SEARCH("상해",C83)),"CN",IF(ISNUMBER(SEARCH("대만",C83)),"TW","홀세일"))))</f>
        <v>TW</v>
      </c>
      <c r="B83" s="87" t="s">
        <v>176</v>
      </c>
      <c r="C83" s="87" t="s">
        <v>177</v>
      </c>
      <c r="D83" s="88" t="s">
        <v>178</v>
      </c>
      <c r="E83" s="87" t="n">
        <v>2026</v>
      </c>
      <c r="F83" s="88" t="s">
        <v>277</v>
      </c>
      <c r="G83" s="88" t="s">
        <v>180</v>
      </c>
      <c r="H83" s="87" t="s">
        <v>189</v>
      </c>
      <c r="I83" s="87" t="s">
        <v>350</v>
      </c>
      <c r="J83" s="88" t="s">
        <v>351</v>
      </c>
      <c r="K83" s="89" t="n">
        <v>550</v>
      </c>
      <c r="L83" s="89" t="n">
        <v>32450000</v>
      </c>
      <c r="M83" s="89" t="n">
        <v>11749100</v>
      </c>
      <c r="N83" s="90" t="n">
        <f aca="false">IF(A83="제외",0,IF(OR(N(L83)&lt;=0,N(M83)&gt;N(L83)),N(M83)/가정!$B$4,N(L83)))</f>
        <v>32450000</v>
      </c>
      <c r="O83" s="67" t="str">
        <f aca="false">IF(A83="제외","",IF(OR(N(L83)&lt;=0,N(M83)&gt;N(L83)),"택가보정(판매금액÷공급율)",""))</f>
        <v/>
      </c>
    </row>
    <row r="84" customFormat="false" ht="15" hidden="false" customHeight="true" outlineLevel="0" collapsed="false">
      <c r="A84" s="67" t="str">
        <f aca="false">IF(OR(TRIM(C84)="",SUBSTITUTE(C84," ","")="소계"),"제외",IF(ISNUMBER(SEARCH("홍콩",C84)),"HK",IF(ISNUMBER(SEARCH("상해",C84)),"CN",IF(ISNUMBER(SEARCH("대만",C84)),"TW","홀세일"))))</f>
        <v>TW</v>
      </c>
      <c r="B84" s="87" t="s">
        <v>176</v>
      </c>
      <c r="C84" s="87" t="s">
        <v>177</v>
      </c>
      <c r="D84" s="88" t="s">
        <v>178</v>
      </c>
      <c r="E84" s="87" t="n">
        <v>2026</v>
      </c>
      <c r="F84" s="88" t="s">
        <v>277</v>
      </c>
      <c r="G84" s="88" t="s">
        <v>180</v>
      </c>
      <c r="H84" s="87" t="s">
        <v>189</v>
      </c>
      <c r="I84" s="87" t="s">
        <v>352</v>
      </c>
      <c r="J84" s="88" t="s">
        <v>353</v>
      </c>
      <c r="K84" s="89" t="n">
        <v>400</v>
      </c>
      <c r="L84" s="89" t="n">
        <v>23600000</v>
      </c>
      <c r="M84" s="89" t="n">
        <v>8544800</v>
      </c>
      <c r="N84" s="90" t="n">
        <f aca="false">IF(A84="제외",0,IF(OR(N(L84)&lt;=0,N(M84)&gt;N(L84)),N(M84)/가정!$B$4,N(L84)))</f>
        <v>23600000</v>
      </c>
      <c r="O84" s="67" t="str">
        <f aca="false">IF(A84="제외","",IF(OR(N(L84)&lt;=0,N(M84)&gt;N(L84)),"택가보정(판매금액÷공급율)",""))</f>
        <v/>
      </c>
    </row>
    <row r="85" customFormat="false" ht="15" hidden="false" customHeight="true" outlineLevel="0" collapsed="false">
      <c r="A85" s="67" t="str">
        <f aca="false">IF(OR(TRIM(C85)="",SUBSTITUTE(C85," ","")="소계"),"제외",IF(ISNUMBER(SEARCH("홍콩",C85)),"HK",IF(ISNUMBER(SEARCH("상해",C85)),"CN",IF(ISNUMBER(SEARCH("대만",C85)),"TW","홀세일"))))</f>
        <v>TW</v>
      </c>
      <c r="B85" s="87" t="s">
        <v>176</v>
      </c>
      <c r="C85" s="87" t="s">
        <v>177</v>
      </c>
      <c r="D85" s="88" t="s">
        <v>178</v>
      </c>
      <c r="E85" s="87" t="n">
        <v>2026</v>
      </c>
      <c r="F85" s="88" t="s">
        <v>277</v>
      </c>
      <c r="G85" s="88" t="s">
        <v>180</v>
      </c>
      <c r="H85" s="87" t="s">
        <v>189</v>
      </c>
      <c r="I85" s="87" t="s">
        <v>354</v>
      </c>
      <c r="J85" s="88" t="s">
        <v>355</v>
      </c>
      <c r="K85" s="89" t="n">
        <v>450</v>
      </c>
      <c r="L85" s="89" t="n">
        <v>31050000</v>
      </c>
      <c r="M85" s="89" t="n">
        <v>11236950</v>
      </c>
      <c r="N85" s="90" t="n">
        <f aca="false">IF(A85="제외",0,IF(OR(N(L85)&lt;=0,N(M85)&gt;N(L85)),N(M85)/가정!$B$4,N(L85)))</f>
        <v>31050000</v>
      </c>
      <c r="O85" s="67" t="str">
        <f aca="false">IF(A85="제외","",IF(OR(N(L85)&lt;=0,N(M85)&gt;N(L85)),"택가보정(판매금액÷공급율)",""))</f>
        <v/>
      </c>
    </row>
    <row r="86" customFormat="false" ht="15" hidden="false" customHeight="true" outlineLevel="0" collapsed="false">
      <c r="A86" s="67" t="str">
        <f aca="false">IF(OR(TRIM(C86)="",SUBSTITUTE(C86," ","")="소계"),"제외",IF(ISNUMBER(SEARCH("홍콩",C86)),"HK",IF(ISNUMBER(SEARCH("상해",C86)),"CN",IF(ISNUMBER(SEARCH("대만",C86)),"TW","홀세일"))))</f>
        <v>TW</v>
      </c>
      <c r="B86" s="87" t="s">
        <v>176</v>
      </c>
      <c r="C86" s="87" t="s">
        <v>177</v>
      </c>
      <c r="D86" s="88" t="s">
        <v>178</v>
      </c>
      <c r="E86" s="87" t="n">
        <v>2026</v>
      </c>
      <c r="F86" s="88" t="s">
        <v>277</v>
      </c>
      <c r="G86" s="88" t="s">
        <v>180</v>
      </c>
      <c r="H86" s="87" t="s">
        <v>189</v>
      </c>
      <c r="I86" s="87" t="s">
        <v>356</v>
      </c>
      <c r="J86" s="88" t="s">
        <v>357</v>
      </c>
      <c r="K86" s="89" t="n">
        <v>580</v>
      </c>
      <c r="L86" s="89" t="n">
        <v>34220000</v>
      </c>
      <c r="M86" s="89" t="n">
        <v>12702580</v>
      </c>
      <c r="N86" s="90" t="n">
        <f aca="false">IF(A86="제외",0,IF(OR(N(L86)&lt;=0,N(M86)&gt;N(L86)),N(M86)/가정!$B$4,N(L86)))</f>
        <v>34220000</v>
      </c>
      <c r="O86" s="67" t="str">
        <f aca="false">IF(A86="제외","",IF(OR(N(L86)&lt;=0,N(M86)&gt;N(L86)),"택가보정(판매금액÷공급율)",""))</f>
        <v/>
      </c>
    </row>
    <row r="87" customFormat="false" ht="15" hidden="false" customHeight="true" outlineLevel="0" collapsed="false">
      <c r="A87" s="67" t="str">
        <f aca="false">IF(OR(TRIM(C87)="",SUBSTITUTE(C87," ","")="소계"),"제외",IF(ISNUMBER(SEARCH("홍콩",C87)),"HK",IF(ISNUMBER(SEARCH("상해",C87)),"CN",IF(ISNUMBER(SEARCH("대만",C87)),"TW","홀세일"))))</f>
        <v>TW</v>
      </c>
      <c r="B87" s="87" t="s">
        <v>176</v>
      </c>
      <c r="C87" s="87" t="s">
        <v>177</v>
      </c>
      <c r="D87" s="88" t="s">
        <v>178</v>
      </c>
      <c r="E87" s="87" t="n">
        <v>2026</v>
      </c>
      <c r="F87" s="88" t="s">
        <v>277</v>
      </c>
      <c r="G87" s="88" t="s">
        <v>180</v>
      </c>
      <c r="H87" s="87" t="s">
        <v>189</v>
      </c>
      <c r="I87" s="87" t="s">
        <v>358</v>
      </c>
      <c r="J87" s="88" t="s">
        <v>359</v>
      </c>
      <c r="K87" s="89" t="n">
        <v>700</v>
      </c>
      <c r="L87" s="89" t="n">
        <v>48300000</v>
      </c>
      <c r="M87" s="89" t="n">
        <v>17920700</v>
      </c>
      <c r="N87" s="90" t="n">
        <f aca="false">IF(A87="제외",0,IF(OR(N(L87)&lt;=0,N(M87)&gt;N(L87)),N(M87)/가정!$B$4,N(L87)))</f>
        <v>48300000</v>
      </c>
      <c r="O87" s="67" t="str">
        <f aca="false">IF(A87="제외","",IF(OR(N(L87)&lt;=0,N(M87)&gt;N(L87)),"택가보정(판매금액÷공급율)",""))</f>
        <v/>
      </c>
    </row>
    <row r="88" customFormat="false" ht="15" hidden="false" customHeight="true" outlineLevel="0" collapsed="false">
      <c r="A88" s="67" t="str">
        <f aca="false">IF(OR(TRIM(C88)="",SUBSTITUTE(C88," ","")="소계"),"제외",IF(ISNUMBER(SEARCH("홍콩",C88)),"HK",IF(ISNUMBER(SEARCH("상해",C88)),"CN",IF(ISNUMBER(SEARCH("대만",C88)),"TW","홀세일"))))</f>
        <v>TW</v>
      </c>
      <c r="B88" s="87" t="s">
        <v>176</v>
      </c>
      <c r="C88" s="87" t="s">
        <v>177</v>
      </c>
      <c r="D88" s="88" t="s">
        <v>178</v>
      </c>
      <c r="E88" s="87" t="n">
        <v>2026</v>
      </c>
      <c r="F88" s="88" t="s">
        <v>277</v>
      </c>
      <c r="G88" s="88" t="s">
        <v>180</v>
      </c>
      <c r="H88" s="87" t="s">
        <v>189</v>
      </c>
      <c r="I88" s="87" t="s">
        <v>360</v>
      </c>
      <c r="J88" s="88" t="s">
        <v>361</v>
      </c>
      <c r="K88" s="89" t="n">
        <v>600</v>
      </c>
      <c r="L88" s="89" t="n">
        <v>41400000</v>
      </c>
      <c r="M88" s="89" t="n">
        <v>15360600</v>
      </c>
      <c r="N88" s="90" t="n">
        <f aca="false">IF(A88="제외",0,IF(OR(N(L88)&lt;=0,N(M88)&gt;N(L88)),N(M88)/가정!$B$4,N(L88)))</f>
        <v>41400000</v>
      </c>
      <c r="O88" s="67" t="str">
        <f aca="false">IF(A88="제외","",IF(OR(N(L88)&lt;=0,N(M88)&gt;N(L88)),"택가보정(판매금액÷공급율)",""))</f>
        <v/>
      </c>
    </row>
    <row r="89" customFormat="false" ht="15" hidden="false" customHeight="true" outlineLevel="0" collapsed="false">
      <c r="A89" s="67" t="str">
        <f aca="false">IF(OR(TRIM(C89)="",SUBSTITUTE(C89," ","")="소계"),"제외",IF(ISNUMBER(SEARCH("홍콩",C89)),"HK",IF(ISNUMBER(SEARCH("상해",C89)),"CN",IF(ISNUMBER(SEARCH("대만",C89)),"TW","홀세일"))))</f>
        <v>TW</v>
      </c>
      <c r="B89" s="87" t="s">
        <v>176</v>
      </c>
      <c r="C89" s="87" t="s">
        <v>177</v>
      </c>
      <c r="D89" s="88" t="s">
        <v>178</v>
      </c>
      <c r="E89" s="87" t="n">
        <v>2026</v>
      </c>
      <c r="F89" s="88" t="s">
        <v>277</v>
      </c>
      <c r="G89" s="88" t="s">
        <v>180</v>
      </c>
      <c r="H89" s="87" t="s">
        <v>189</v>
      </c>
      <c r="I89" s="87" t="s">
        <v>362</v>
      </c>
      <c r="J89" s="88" t="s">
        <v>363</v>
      </c>
      <c r="K89" s="89" t="n">
        <v>400</v>
      </c>
      <c r="L89" s="89" t="n">
        <v>23600000</v>
      </c>
      <c r="M89" s="89" t="n">
        <v>8760400</v>
      </c>
      <c r="N89" s="90" t="n">
        <f aca="false">IF(A89="제외",0,IF(OR(N(L89)&lt;=0,N(M89)&gt;N(L89)),N(M89)/가정!$B$4,N(L89)))</f>
        <v>23600000</v>
      </c>
      <c r="O89" s="67" t="str">
        <f aca="false">IF(A89="제외","",IF(OR(N(L89)&lt;=0,N(M89)&gt;N(L89)),"택가보정(판매금액÷공급율)",""))</f>
        <v/>
      </c>
    </row>
    <row r="90" customFormat="false" ht="15" hidden="false" customHeight="true" outlineLevel="0" collapsed="false">
      <c r="A90" s="67" t="str">
        <f aca="false">IF(OR(TRIM(C90)="",SUBSTITUTE(C90," ","")="소계"),"제외",IF(ISNUMBER(SEARCH("홍콩",C90)),"HK",IF(ISNUMBER(SEARCH("상해",C90)),"CN",IF(ISNUMBER(SEARCH("대만",C90)),"TW","홀세일"))))</f>
        <v>TW</v>
      </c>
      <c r="B90" s="87" t="s">
        <v>176</v>
      </c>
      <c r="C90" s="87" t="s">
        <v>177</v>
      </c>
      <c r="D90" s="88" t="s">
        <v>178</v>
      </c>
      <c r="E90" s="87" t="n">
        <v>2026</v>
      </c>
      <c r="F90" s="88" t="s">
        <v>277</v>
      </c>
      <c r="G90" s="88" t="s">
        <v>180</v>
      </c>
      <c r="H90" s="87" t="s">
        <v>189</v>
      </c>
      <c r="I90" s="87" t="s">
        <v>364</v>
      </c>
      <c r="J90" s="88" t="s">
        <v>365</v>
      </c>
      <c r="K90" s="89" t="n">
        <v>240</v>
      </c>
      <c r="L90" s="89" t="n">
        <v>16560000</v>
      </c>
      <c r="M90" s="89" t="n">
        <v>6144240</v>
      </c>
      <c r="N90" s="90" t="n">
        <f aca="false">IF(A90="제외",0,IF(OR(N(L90)&lt;=0,N(M90)&gt;N(L90)),N(M90)/가정!$B$4,N(L90)))</f>
        <v>16560000</v>
      </c>
      <c r="O90" s="67" t="str">
        <f aca="false">IF(A90="제외","",IF(OR(N(L90)&lt;=0,N(M90)&gt;N(L90)),"택가보정(판매금액÷공급율)",""))</f>
        <v/>
      </c>
    </row>
    <row r="91" customFormat="false" ht="15" hidden="false" customHeight="true" outlineLevel="0" collapsed="false">
      <c r="A91" s="67" t="str">
        <f aca="false">IF(OR(TRIM(C91)="",SUBSTITUTE(C91," ","")="소계"),"제외",IF(ISNUMBER(SEARCH("홍콩",C91)),"HK",IF(ISNUMBER(SEARCH("상해",C91)),"CN",IF(ISNUMBER(SEARCH("대만",C91)),"TW","홀세일"))))</f>
        <v>TW</v>
      </c>
      <c r="B91" s="87" t="s">
        <v>176</v>
      </c>
      <c r="C91" s="87" t="s">
        <v>177</v>
      </c>
      <c r="D91" s="88" t="s">
        <v>178</v>
      </c>
      <c r="E91" s="87" t="n">
        <v>2026</v>
      </c>
      <c r="F91" s="88" t="s">
        <v>277</v>
      </c>
      <c r="G91" s="88" t="s">
        <v>180</v>
      </c>
      <c r="H91" s="87" t="s">
        <v>189</v>
      </c>
      <c r="I91" s="87" t="s">
        <v>366</v>
      </c>
      <c r="J91" s="88" t="s">
        <v>367</v>
      </c>
      <c r="K91" s="89" t="n">
        <v>1100</v>
      </c>
      <c r="L91" s="89" t="n">
        <v>97900000</v>
      </c>
      <c r="M91" s="89" t="n">
        <v>35923800</v>
      </c>
      <c r="N91" s="90" t="n">
        <f aca="false">IF(A91="제외",0,IF(OR(N(L91)&lt;=0,N(M91)&gt;N(L91)),N(M91)/가정!$B$4,N(L91)))</f>
        <v>97900000</v>
      </c>
      <c r="O91" s="67" t="str">
        <f aca="false">IF(A91="제외","",IF(OR(N(L91)&lt;=0,N(M91)&gt;N(L91)),"택가보정(판매금액÷공급율)",""))</f>
        <v/>
      </c>
    </row>
    <row r="92" customFormat="false" ht="15" hidden="false" customHeight="true" outlineLevel="0" collapsed="false">
      <c r="A92" s="67" t="str">
        <f aca="false">IF(OR(TRIM(C92)="",SUBSTITUTE(C92," ","")="소계"),"제외",IF(ISNUMBER(SEARCH("홍콩",C92)),"HK",IF(ISNUMBER(SEARCH("상해",C92)),"CN",IF(ISNUMBER(SEARCH("대만",C92)),"TW","홀세일"))))</f>
        <v>TW</v>
      </c>
      <c r="B92" s="87" t="s">
        <v>176</v>
      </c>
      <c r="C92" s="87" t="s">
        <v>177</v>
      </c>
      <c r="D92" s="88" t="s">
        <v>178</v>
      </c>
      <c r="E92" s="87" t="n">
        <v>2026</v>
      </c>
      <c r="F92" s="88" t="s">
        <v>277</v>
      </c>
      <c r="G92" s="88" t="s">
        <v>180</v>
      </c>
      <c r="H92" s="87" t="s">
        <v>189</v>
      </c>
      <c r="I92" s="87" t="s">
        <v>368</v>
      </c>
      <c r="J92" s="88" t="s">
        <v>369</v>
      </c>
      <c r="K92" s="89" t="n">
        <v>555</v>
      </c>
      <c r="L92" s="89" t="n">
        <v>49395000</v>
      </c>
      <c r="M92" s="89" t="n">
        <v>18111540</v>
      </c>
      <c r="N92" s="90" t="n">
        <f aca="false">IF(A92="제외",0,IF(OR(N(L92)&lt;=0,N(M92)&gt;N(L92)),N(M92)/가정!$B$4,N(L92)))</f>
        <v>49395000</v>
      </c>
      <c r="O92" s="67" t="str">
        <f aca="false">IF(A92="제외","",IF(OR(N(L92)&lt;=0,N(M92)&gt;N(L92)),"택가보정(판매금액÷공급율)",""))</f>
        <v/>
      </c>
    </row>
    <row r="93" customFormat="false" ht="15" hidden="false" customHeight="true" outlineLevel="0" collapsed="false">
      <c r="A93" s="67" t="str">
        <f aca="false">IF(OR(TRIM(C93)="",SUBSTITUTE(C93," ","")="소계"),"제외",IF(ISNUMBER(SEARCH("홍콩",C93)),"HK",IF(ISNUMBER(SEARCH("상해",C93)),"CN",IF(ISNUMBER(SEARCH("대만",C93)),"TW","홀세일"))))</f>
        <v>TW</v>
      </c>
      <c r="B93" s="87" t="s">
        <v>176</v>
      </c>
      <c r="C93" s="87" t="s">
        <v>177</v>
      </c>
      <c r="D93" s="88" t="s">
        <v>178</v>
      </c>
      <c r="E93" s="87" t="n">
        <v>2026</v>
      </c>
      <c r="F93" s="88" t="s">
        <v>277</v>
      </c>
      <c r="G93" s="88" t="s">
        <v>180</v>
      </c>
      <c r="H93" s="87" t="s">
        <v>189</v>
      </c>
      <c r="I93" s="87" t="s">
        <v>370</v>
      </c>
      <c r="J93" s="88" t="s">
        <v>371</v>
      </c>
      <c r="K93" s="89" t="n">
        <v>900</v>
      </c>
      <c r="L93" s="89" t="n">
        <v>80100000</v>
      </c>
      <c r="M93" s="89" t="n">
        <v>28589400</v>
      </c>
      <c r="N93" s="90" t="n">
        <f aca="false">IF(A93="제외",0,IF(OR(N(L93)&lt;=0,N(M93)&gt;N(L93)),N(M93)/가정!$B$4,N(L93)))</f>
        <v>80100000</v>
      </c>
      <c r="O93" s="67" t="str">
        <f aca="false">IF(A93="제외","",IF(OR(N(L93)&lt;=0,N(M93)&gt;N(L93)),"택가보정(판매금액÷공급율)",""))</f>
        <v/>
      </c>
    </row>
    <row r="94" customFormat="false" ht="15" hidden="false" customHeight="true" outlineLevel="0" collapsed="false">
      <c r="A94" s="67" t="str">
        <f aca="false">IF(OR(TRIM(C94)="",SUBSTITUTE(C94," ","")="소계"),"제외",IF(ISNUMBER(SEARCH("홍콩",C94)),"HK",IF(ISNUMBER(SEARCH("상해",C94)),"CN",IF(ISNUMBER(SEARCH("대만",C94)),"TW","홀세일"))))</f>
        <v>TW</v>
      </c>
      <c r="B94" s="87" t="s">
        <v>176</v>
      </c>
      <c r="C94" s="87" t="s">
        <v>177</v>
      </c>
      <c r="D94" s="88" t="s">
        <v>178</v>
      </c>
      <c r="E94" s="87" t="n">
        <v>2026</v>
      </c>
      <c r="F94" s="88" t="s">
        <v>277</v>
      </c>
      <c r="G94" s="88" t="s">
        <v>180</v>
      </c>
      <c r="H94" s="87" t="s">
        <v>181</v>
      </c>
      <c r="I94" s="87" t="s">
        <v>372</v>
      </c>
      <c r="J94" s="88" t="s">
        <v>373</v>
      </c>
      <c r="K94" s="89" t="n">
        <v>400</v>
      </c>
      <c r="L94" s="89" t="n">
        <v>23600000</v>
      </c>
      <c r="M94" s="89" t="n">
        <v>8558600</v>
      </c>
      <c r="N94" s="90" t="n">
        <f aca="false">IF(A94="제외",0,IF(OR(N(L94)&lt;=0,N(M94)&gt;N(L94)),N(M94)/가정!$B$4,N(L94)))</f>
        <v>23600000</v>
      </c>
      <c r="O94" s="67" t="str">
        <f aca="false">IF(A94="제외","",IF(OR(N(L94)&lt;=0,N(M94)&gt;N(L94)),"택가보정(판매금액÷공급율)",""))</f>
        <v/>
      </c>
    </row>
    <row r="95" customFormat="false" ht="15" hidden="false" customHeight="true" outlineLevel="0" collapsed="false">
      <c r="A95" s="67" t="str">
        <f aca="false">IF(OR(TRIM(C95)="",SUBSTITUTE(C95," ","")="소계"),"제외",IF(ISNUMBER(SEARCH("홍콩",C95)),"HK",IF(ISNUMBER(SEARCH("상해",C95)),"CN",IF(ISNUMBER(SEARCH("대만",C95)),"TW","홀세일"))))</f>
        <v>TW</v>
      </c>
      <c r="B95" s="87" t="s">
        <v>176</v>
      </c>
      <c r="C95" s="87" t="s">
        <v>177</v>
      </c>
      <c r="D95" s="88" t="s">
        <v>178</v>
      </c>
      <c r="E95" s="87" t="n">
        <v>2026</v>
      </c>
      <c r="F95" s="88" t="s">
        <v>277</v>
      </c>
      <c r="G95" s="88" t="s">
        <v>180</v>
      </c>
      <c r="H95" s="87" t="s">
        <v>181</v>
      </c>
      <c r="I95" s="87" t="s">
        <v>374</v>
      </c>
      <c r="J95" s="88" t="s">
        <v>375</v>
      </c>
      <c r="K95" s="89" t="n">
        <v>150</v>
      </c>
      <c r="L95" s="89" t="n">
        <v>8850000</v>
      </c>
      <c r="M95" s="89" t="n">
        <v>3204300</v>
      </c>
      <c r="N95" s="90" t="n">
        <f aca="false">IF(A95="제외",0,IF(OR(N(L95)&lt;=0,N(M95)&gt;N(L95)),N(M95)/가정!$B$4,N(L95)))</f>
        <v>8850000</v>
      </c>
      <c r="O95" s="67" t="str">
        <f aca="false">IF(A95="제외","",IF(OR(N(L95)&lt;=0,N(M95)&gt;N(L95)),"택가보정(판매금액÷공급율)",""))</f>
        <v/>
      </c>
    </row>
    <row r="96" customFormat="false" ht="15" hidden="false" customHeight="true" outlineLevel="0" collapsed="false">
      <c r="A96" s="67" t="str">
        <f aca="false">IF(OR(TRIM(C96)="",SUBSTITUTE(C96," ","")="소계"),"제외",IF(ISNUMBER(SEARCH("홍콩",C96)),"HK",IF(ISNUMBER(SEARCH("상해",C96)),"CN",IF(ISNUMBER(SEARCH("대만",C96)),"TW","홀세일"))))</f>
        <v>TW</v>
      </c>
      <c r="B96" s="87" t="s">
        <v>176</v>
      </c>
      <c r="C96" s="87" t="s">
        <v>177</v>
      </c>
      <c r="D96" s="88" t="s">
        <v>178</v>
      </c>
      <c r="E96" s="87" t="n">
        <v>2026</v>
      </c>
      <c r="F96" s="88" t="s">
        <v>277</v>
      </c>
      <c r="G96" s="88" t="s">
        <v>180</v>
      </c>
      <c r="H96" s="87" t="s">
        <v>181</v>
      </c>
      <c r="I96" s="87" t="s">
        <v>376</v>
      </c>
      <c r="J96" s="88" t="s">
        <v>377</v>
      </c>
      <c r="K96" s="89" t="n">
        <v>500</v>
      </c>
      <c r="L96" s="89" t="n">
        <v>29500000</v>
      </c>
      <c r="M96" s="89" t="n">
        <v>10560000</v>
      </c>
      <c r="N96" s="90" t="n">
        <f aca="false">IF(A96="제외",0,IF(OR(N(L96)&lt;=0,N(M96)&gt;N(L96)),N(M96)/가정!$B$4,N(L96)))</f>
        <v>29500000</v>
      </c>
      <c r="O96" s="67" t="str">
        <f aca="false">IF(A96="제외","",IF(OR(N(L96)&lt;=0,N(M96)&gt;N(L96)),"택가보정(판매금액÷공급율)",""))</f>
        <v/>
      </c>
    </row>
    <row r="97" customFormat="false" ht="15" hidden="false" customHeight="true" outlineLevel="0" collapsed="false">
      <c r="A97" s="67" t="str">
        <f aca="false">IF(OR(TRIM(C97)="",SUBSTITUTE(C97," ","")="소계"),"제외",IF(ISNUMBER(SEARCH("홍콩",C97)),"HK",IF(ISNUMBER(SEARCH("상해",C97)),"CN",IF(ISNUMBER(SEARCH("대만",C97)),"TW","홀세일"))))</f>
        <v>TW</v>
      </c>
      <c r="B97" s="87" t="s">
        <v>176</v>
      </c>
      <c r="C97" s="87" t="s">
        <v>177</v>
      </c>
      <c r="D97" s="88" t="s">
        <v>178</v>
      </c>
      <c r="E97" s="87" t="n">
        <v>2026</v>
      </c>
      <c r="F97" s="88" t="s">
        <v>277</v>
      </c>
      <c r="G97" s="88" t="s">
        <v>180</v>
      </c>
      <c r="H97" s="87" t="s">
        <v>181</v>
      </c>
      <c r="I97" s="87" t="s">
        <v>378</v>
      </c>
      <c r="J97" s="88" t="s">
        <v>379</v>
      </c>
      <c r="K97" s="89" t="n">
        <v>200</v>
      </c>
      <c r="L97" s="89" t="n">
        <v>13800000</v>
      </c>
      <c r="M97" s="89" t="n">
        <v>4937400</v>
      </c>
      <c r="N97" s="90" t="n">
        <f aca="false">IF(A97="제외",0,IF(OR(N(L97)&lt;=0,N(M97)&gt;N(L97)),N(M97)/가정!$B$4,N(L97)))</f>
        <v>13800000</v>
      </c>
      <c r="O97" s="67" t="str">
        <f aca="false">IF(A97="제외","",IF(OR(N(L97)&lt;=0,N(M97)&gt;N(L97)),"택가보정(판매금액÷공급율)",""))</f>
        <v/>
      </c>
    </row>
    <row r="98" customFormat="false" ht="15" hidden="false" customHeight="true" outlineLevel="0" collapsed="false">
      <c r="A98" s="67" t="str">
        <f aca="false">IF(OR(TRIM(C98)="",SUBSTITUTE(C98," ","")="소계"),"제외",IF(ISNUMBER(SEARCH("홍콩",C98)),"HK",IF(ISNUMBER(SEARCH("상해",C98)),"CN",IF(ISNUMBER(SEARCH("대만",C98)),"TW","홀세일"))))</f>
        <v>TW</v>
      </c>
      <c r="B98" s="87" t="s">
        <v>176</v>
      </c>
      <c r="C98" s="87" t="s">
        <v>177</v>
      </c>
      <c r="D98" s="88" t="s">
        <v>178</v>
      </c>
      <c r="E98" s="87" t="n">
        <v>2026</v>
      </c>
      <c r="F98" s="88" t="s">
        <v>277</v>
      </c>
      <c r="G98" s="88" t="s">
        <v>180</v>
      </c>
      <c r="H98" s="87" t="s">
        <v>246</v>
      </c>
      <c r="I98" s="87" t="s">
        <v>380</v>
      </c>
      <c r="J98" s="87" t="s">
        <v>381</v>
      </c>
      <c r="K98" s="89" t="n">
        <v>300</v>
      </c>
      <c r="L98" s="89" t="n">
        <v>23700000</v>
      </c>
      <c r="M98" s="89" t="n">
        <v>8573700</v>
      </c>
      <c r="N98" s="90" t="n">
        <f aca="false">IF(A98="제외",0,IF(OR(N(L98)&lt;=0,N(M98)&gt;N(L98)),N(M98)/가정!$B$4,N(L98)))</f>
        <v>23700000</v>
      </c>
      <c r="O98" s="67" t="str">
        <f aca="false">IF(A98="제외","",IF(OR(N(L98)&lt;=0,N(M98)&gt;N(L98)),"택가보정(판매금액÷공급율)",""))</f>
        <v/>
      </c>
    </row>
    <row r="99" customFormat="false" ht="15" hidden="false" customHeight="true" outlineLevel="0" collapsed="false">
      <c r="A99" s="67" t="str">
        <f aca="false">IF(OR(TRIM(C99)="",SUBSTITUTE(C99," ","")="소계"),"제외",IF(ISNUMBER(SEARCH("홍콩",C99)),"HK",IF(ISNUMBER(SEARCH("상해",C99)),"CN",IF(ISNUMBER(SEARCH("대만",C99)),"TW","홀세일"))))</f>
        <v>TW</v>
      </c>
      <c r="B99" s="87" t="s">
        <v>176</v>
      </c>
      <c r="C99" s="87" t="s">
        <v>177</v>
      </c>
      <c r="D99" s="88" t="s">
        <v>178</v>
      </c>
      <c r="E99" s="87" t="n">
        <v>2026</v>
      </c>
      <c r="F99" s="88" t="s">
        <v>277</v>
      </c>
      <c r="G99" s="88" t="s">
        <v>180</v>
      </c>
      <c r="H99" s="87" t="s">
        <v>246</v>
      </c>
      <c r="I99" s="87" t="s">
        <v>382</v>
      </c>
      <c r="J99" s="87" t="s">
        <v>383</v>
      </c>
      <c r="K99" s="89" t="n">
        <v>150</v>
      </c>
      <c r="L99" s="89" t="n">
        <v>17850000</v>
      </c>
      <c r="M99" s="89" t="n">
        <v>6546300</v>
      </c>
      <c r="N99" s="90" t="n">
        <f aca="false">IF(A99="제외",0,IF(OR(N(L99)&lt;=0,N(M99)&gt;N(L99)),N(M99)/가정!$B$4,N(L99)))</f>
        <v>17850000</v>
      </c>
      <c r="O99" s="67" t="str">
        <f aca="false">IF(A99="제외","",IF(OR(N(L99)&lt;=0,N(M99)&gt;N(L99)),"택가보정(판매금액÷공급율)",""))</f>
        <v/>
      </c>
    </row>
    <row r="100" customFormat="false" ht="15" hidden="false" customHeight="true" outlineLevel="0" collapsed="false">
      <c r="A100" s="67" t="str">
        <f aca="false">IF(OR(TRIM(C100)="",SUBSTITUTE(C100," ","")="소계"),"제외",IF(ISNUMBER(SEARCH("홍콩",C100)),"HK",IF(ISNUMBER(SEARCH("상해",C100)),"CN",IF(ISNUMBER(SEARCH("대만",C100)),"TW","홀세일"))))</f>
        <v>TW</v>
      </c>
      <c r="B100" s="87" t="s">
        <v>176</v>
      </c>
      <c r="C100" s="87" t="s">
        <v>177</v>
      </c>
      <c r="D100" s="88" t="s">
        <v>178</v>
      </c>
      <c r="E100" s="87" t="n">
        <v>2026</v>
      </c>
      <c r="F100" s="88" t="s">
        <v>277</v>
      </c>
      <c r="G100" s="88" t="s">
        <v>180</v>
      </c>
      <c r="H100" s="87" t="s">
        <v>246</v>
      </c>
      <c r="I100" s="87" t="s">
        <v>384</v>
      </c>
      <c r="J100" s="87" t="s">
        <v>385</v>
      </c>
      <c r="K100" s="89" t="n">
        <v>150</v>
      </c>
      <c r="L100" s="89" t="n">
        <v>11850000</v>
      </c>
      <c r="M100" s="89" t="n">
        <v>4349550</v>
      </c>
      <c r="N100" s="90" t="n">
        <f aca="false">IF(A100="제외",0,IF(OR(N(L100)&lt;=0,N(M100)&gt;N(L100)),N(M100)/가정!$B$4,N(L100)))</f>
        <v>11850000</v>
      </c>
      <c r="O100" s="67" t="str">
        <f aca="false">IF(A100="제외","",IF(OR(N(L100)&lt;=0,N(M100)&gt;N(L100)),"택가보정(판매금액÷공급율)",""))</f>
        <v/>
      </c>
    </row>
    <row r="101" customFormat="false" ht="15" hidden="false" customHeight="true" outlineLevel="0" collapsed="false">
      <c r="A101" s="67" t="str">
        <f aca="false">IF(OR(TRIM(C101)="",SUBSTITUTE(C101," ","")="소계"),"제외",IF(ISNUMBER(SEARCH("홍콩",C101)),"HK",IF(ISNUMBER(SEARCH("상해",C101)),"CN",IF(ISNUMBER(SEARCH("대만",C101)),"TW","홀세일"))))</f>
        <v>TW</v>
      </c>
      <c r="B101" s="87" t="s">
        <v>176</v>
      </c>
      <c r="C101" s="87" t="s">
        <v>177</v>
      </c>
      <c r="D101" s="88" t="s">
        <v>178</v>
      </c>
      <c r="E101" s="87" t="n">
        <v>2026</v>
      </c>
      <c r="F101" s="88" t="s">
        <v>277</v>
      </c>
      <c r="G101" s="88" t="s">
        <v>180</v>
      </c>
      <c r="H101" s="87" t="s">
        <v>246</v>
      </c>
      <c r="I101" s="87" t="s">
        <v>386</v>
      </c>
      <c r="J101" s="87" t="s">
        <v>387</v>
      </c>
      <c r="K101" s="89" t="n">
        <v>200</v>
      </c>
      <c r="L101" s="89" t="n">
        <v>17800000</v>
      </c>
      <c r="M101" s="89" t="n">
        <v>6644600</v>
      </c>
      <c r="N101" s="90" t="n">
        <f aca="false">IF(A101="제외",0,IF(OR(N(L101)&lt;=0,N(M101)&gt;N(L101)),N(M101)/가정!$B$4,N(L101)))</f>
        <v>17800000</v>
      </c>
      <c r="O101" s="67" t="str">
        <f aca="false">IF(A101="제외","",IF(OR(N(L101)&lt;=0,N(M101)&gt;N(L101)),"택가보정(판매금액÷공급율)",""))</f>
        <v/>
      </c>
    </row>
    <row r="102" customFormat="false" ht="15" hidden="false" customHeight="true" outlineLevel="0" collapsed="false">
      <c r="A102" s="67" t="str">
        <f aca="false">IF(OR(TRIM(C102)="",SUBSTITUTE(C102," ","")="소계"),"제외",IF(ISNUMBER(SEARCH("홍콩",C102)),"HK",IF(ISNUMBER(SEARCH("상해",C102)),"CN",IF(ISNUMBER(SEARCH("대만",C102)),"TW","홀세일"))))</f>
        <v>TW</v>
      </c>
      <c r="B102" s="87" t="s">
        <v>176</v>
      </c>
      <c r="C102" s="87" t="s">
        <v>177</v>
      </c>
      <c r="D102" s="88" t="s">
        <v>178</v>
      </c>
      <c r="E102" s="87" t="n">
        <v>2026</v>
      </c>
      <c r="F102" s="88" t="s">
        <v>277</v>
      </c>
      <c r="G102" s="88" t="s">
        <v>180</v>
      </c>
      <c r="H102" s="87" t="s">
        <v>246</v>
      </c>
      <c r="I102" s="87" t="s">
        <v>388</v>
      </c>
      <c r="J102" s="87" t="s">
        <v>389</v>
      </c>
      <c r="K102" s="89" t="n">
        <v>380</v>
      </c>
      <c r="L102" s="89" t="n">
        <v>52820000</v>
      </c>
      <c r="M102" s="89" t="n">
        <v>19087400</v>
      </c>
      <c r="N102" s="90" t="n">
        <f aca="false">IF(A102="제외",0,IF(OR(N(L102)&lt;=0,N(M102)&gt;N(L102)),N(M102)/가정!$B$4,N(L102)))</f>
        <v>52820000</v>
      </c>
      <c r="O102" s="67" t="str">
        <f aca="false">IF(A102="제외","",IF(OR(N(L102)&lt;=0,N(M102)&gt;N(L102)),"택가보정(판매금액÷공급율)",""))</f>
        <v/>
      </c>
    </row>
    <row r="103" customFormat="false" ht="15" hidden="false" customHeight="true" outlineLevel="0" collapsed="false">
      <c r="A103" s="67" t="str">
        <f aca="false">IF(OR(TRIM(C103)="",SUBSTITUTE(C103," ","")="소계"),"제외",IF(ISNUMBER(SEARCH("홍콩",C103)),"HK",IF(ISNUMBER(SEARCH("상해",C103)),"CN",IF(ISNUMBER(SEARCH("대만",C103)),"TW","홀세일"))))</f>
        <v>TW</v>
      </c>
      <c r="B103" s="87" t="s">
        <v>176</v>
      </c>
      <c r="C103" s="87" t="s">
        <v>177</v>
      </c>
      <c r="D103" s="88" t="s">
        <v>178</v>
      </c>
      <c r="E103" s="87" t="n">
        <v>2026</v>
      </c>
      <c r="F103" s="88" t="s">
        <v>277</v>
      </c>
      <c r="G103" s="88" t="s">
        <v>180</v>
      </c>
      <c r="H103" s="87" t="s">
        <v>246</v>
      </c>
      <c r="I103" s="87" t="s">
        <v>390</v>
      </c>
      <c r="J103" s="87" t="s">
        <v>391</v>
      </c>
      <c r="K103" s="89" t="n">
        <v>300</v>
      </c>
      <c r="L103" s="89" t="n">
        <v>38700000</v>
      </c>
      <c r="M103" s="89" t="n">
        <v>13986600</v>
      </c>
      <c r="N103" s="90" t="n">
        <f aca="false">IF(A103="제외",0,IF(OR(N(L103)&lt;=0,N(M103)&gt;N(L103)),N(M103)/가정!$B$4,N(L103)))</f>
        <v>38700000</v>
      </c>
      <c r="O103" s="67" t="str">
        <f aca="false">IF(A103="제외","",IF(OR(N(L103)&lt;=0,N(M103)&gt;N(L103)),"택가보정(판매금액÷공급율)",""))</f>
        <v/>
      </c>
    </row>
    <row r="104" customFormat="false" ht="15" hidden="false" customHeight="true" outlineLevel="0" collapsed="false">
      <c r="A104" s="67" t="str">
        <f aca="false">IF(OR(TRIM(C104)="",SUBSTITUTE(C104," ","")="소계"),"제외",IF(ISNUMBER(SEARCH("홍콩",C104)),"HK",IF(ISNUMBER(SEARCH("상해",C104)),"CN",IF(ISNUMBER(SEARCH("대만",C104)),"TW","홀세일"))))</f>
        <v>TW</v>
      </c>
      <c r="B104" s="87" t="s">
        <v>176</v>
      </c>
      <c r="C104" s="87" t="s">
        <v>177</v>
      </c>
      <c r="D104" s="88" t="s">
        <v>178</v>
      </c>
      <c r="E104" s="87" t="n">
        <v>2026</v>
      </c>
      <c r="F104" s="88" t="s">
        <v>277</v>
      </c>
      <c r="G104" s="88" t="s">
        <v>180</v>
      </c>
      <c r="H104" s="87" t="s">
        <v>246</v>
      </c>
      <c r="I104" s="87" t="s">
        <v>392</v>
      </c>
      <c r="J104" s="87" t="s">
        <v>393</v>
      </c>
      <c r="K104" s="89" t="n">
        <v>300</v>
      </c>
      <c r="L104" s="89" t="n">
        <v>44700000</v>
      </c>
      <c r="M104" s="89" t="n">
        <v>16387800</v>
      </c>
      <c r="N104" s="90" t="n">
        <f aca="false">IF(A104="제외",0,IF(OR(N(L104)&lt;=0,N(M104)&gt;N(L104)),N(M104)/가정!$B$4,N(L104)))</f>
        <v>44700000</v>
      </c>
      <c r="O104" s="67" t="str">
        <f aca="false">IF(A104="제외","",IF(OR(N(L104)&lt;=0,N(M104)&gt;N(L104)),"택가보정(판매금액÷공급율)",""))</f>
        <v/>
      </c>
    </row>
    <row r="105" customFormat="false" ht="15" hidden="false" customHeight="true" outlineLevel="0" collapsed="false">
      <c r="A105" s="67" t="str">
        <f aca="false">IF(OR(TRIM(C105)="",SUBSTITUTE(C105," ","")="소계"),"제외",IF(ISNUMBER(SEARCH("홍콩",C105)),"HK",IF(ISNUMBER(SEARCH("상해",C105)),"CN",IF(ISNUMBER(SEARCH("대만",C105)),"TW","홀세일"))))</f>
        <v>TW</v>
      </c>
      <c r="B105" s="87" t="s">
        <v>176</v>
      </c>
      <c r="C105" s="87" t="s">
        <v>177</v>
      </c>
      <c r="D105" s="88" t="s">
        <v>178</v>
      </c>
      <c r="E105" s="87" t="n">
        <v>2026</v>
      </c>
      <c r="F105" s="88" t="s">
        <v>277</v>
      </c>
      <c r="G105" s="88" t="s">
        <v>180</v>
      </c>
      <c r="H105" s="87" t="s">
        <v>246</v>
      </c>
      <c r="I105" s="87" t="s">
        <v>394</v>
      </c>
      <c r="J105" s="87" t="s">
        <v>395</v>
      </c>
      <c r="K105" s="89" t="n">
        <v>80</v>
      </c>
      <c r="L105" s="89" t="n">
        <v>8720000</v>
      </c>
      <c r="M105" s="89" t="n">
        <v>3198480</v>
      </c>
      <c r="N105" s="90" t="n">
        <f aca="false">IF(A105="제외",0,IF(OR(N(L105)&lt;=0,N(M105)&gt;N(L105)),N(M105)/가정!$B$4,N(L105)))</f>
        <v>8720000</v>
      </c>
      <c r="O105" s="67" t="str">
        <f aca="false">IF(A105="제외","",IF(OR(N(L105)&lt;=0,N(M105)&gt;N(L105)),"택가보정(판매금액÷공급율)",""))</f>
        <v/>
      </c>
    </row>
    <row r="106" customFormat="false" ht="15" hidden="false" customHeight="true" outlineLevel="0" collapsed="false">
      <c r="A106" s="67" t="str">
        <f aca="false">IF(OR(TRIM(C106)="",SUBSTITUTE(C106," ","")="소계"),"제외",IF(ISNUMBER(SEARCH("홍콩",C106)),"HK",IF(ISNUMBER(SEARCH("상해",C106)),"CN",IF(ISNUMBER(SEARCH("대만",C106)),"TW","홀세일"))))</f>
        <v>TW</v>
      </c>
      <c r="B106" s="87" t="s">
        <v>176</v>
      </c>
      <c r="C106" s="87" t="s">
        <v>177</v>
      </c>
      <c r="D106" s="88" t="s">
        <v>178</v>
      </c>
      <c r="E106" s="87" t="n">
        <v>2026</v>
      </c>
      <c r="F106" s="88" t="s">
        <v>277</v>
      </c>
      <c r="G106" s="88" t="s">
        <v>180</v>
      </c>
      <c r="H106" s="87" t="s">
        <v>246</v>
      </c>
      <c r="I106" s="87" t="s">
        <v>396</v>
      </c>
      <c r="J106" s="87" t="s">
        <v>397</v>
      </c>
      <c r="K106" s="89" t="n">
        <v>550</v>
      </c>
      <c r="L106" s="89" t="n">
        <v>70950000</v>
      </c>
      <c r="M106" s="89" t="n">
        <v>25642100</v>
      </c>
      <c r="N106" s="90" t="n">
        <f aca="false">IF(A106="제외",0,IF(OR(N(L106)&lt;=0,N(M106)&gt;N(L106)),N(M106)/가정!$B$4,N(L106)))</f>
        <v>70950000</v>
      </c>
      <c r="O106" s="67" t="str">
        <f aca="false">IF(A106="제외","",IF(OR(N(L106)&lt;=0,N(M106)&gt;N(L106)),"택가보정(판매금액÷공급율)",""))</f>
        <v/>
      </c>
    </row>
    <row r="107" customFormat="false" ht="15" hidden="false" customHeight="true" outlineLevel="0" collapsed="false">
      <c r="A107" s="67" t="str">
        <f aca="false">IF(OR(TRIM(C107)="",SUBSTITUTE(C107," ","")="소계"),"제외",IF(ISNUMBER(SEARCH("홍콩",C107)),"HK",IF(ISNUMBER(SEARCH("상해",C107)),"CN",IF(ISNUMBER(SEARCH("대만",C107)),"TW","홀세일"))))</f>
        <v>TW</v>
      </c>
      <c r="B107" s="87" t="s">
        <v>176</v>
      </c>
      <c r="C107" s="87" t="s">
        <v>177</v>
      </c>
      <c r="D107" s="88" t="s">
        <v>178</v>
      </c>
      <c r="E107" s="87" t="n">
        <v>2026</v>
      </c>
      <c r="F107" s="88" t="s">
        <v>277</v>
      </c>
      <c r="G107" s="88" t="s">
        <v>180</v>
      </c>
      <c r="H107" s="87" t="s">
        <v>246</v>
      </c>
      <c r="I107" s="87" t="s">
        <v>398</v>
      </c>
      <c r="J107" s="87" t="s">
        <v>399</v>
      </c>
      <c r="K107" s="89" t="n">
        <v>200</v>
      </c>
      <c r="L107" s="89" t="n">
        <v>23800000</v>
      </c>
      <c r="M107" s="89" t="n">
        <v>8728400</v>
      </c>
      <c r="N107" s="90" t="n">
        <f aca="false">IF(A107="제외",0,IF(OR(N(L107)&lt;=0,N(M107)&gt;N(L107)),N(M107)/가정!$B$4,N(L107)))</f>
        <v>23800000</v>
      </c>
      <c r="O107" s="67" t="str">
        <f aca="false">IF(A107="제외","",IF(OR(N(L107)&lt;=0,N(M107)&gt;N(L107)),"택가보정(판매금액÷공급율)",""))</f>
        <v/>
      </c>
    </row>
    <row r="108" customFormat="false" ht="15" hidden="false" customHeight="true" outlineLevel="0" collapsed="false">
      <c r="A108" s="67" t="str">
        <f aca="false">IF(OR(TRIM(C108)="",SUBSTITUTE(C108," ","")="소계"),"제외",IF(ISNUMBER(SEARCH("홍콩",C108)),"HK",IF(ISNUMBER(SEARCH("상해",C108)),"CN",IF(ISNUMBER(SEARCH("대만",C108)),"TW","홀세일"))))</f>
        <v>TW</v>
      </c>
      <c r="B108" s="87" t="s">
        <v>176</v>
      </c>
      <c r="C108" s="87" t="s">
        <v>177</v>
      </c>
      <c r="D108" s="88" t="s">
        <v>178</v>
      </c>
      <c r="E108" s="87" t="n">
        <v>2026</v>
      </c>
      <c r="F108" s="88" t="s">
        <v>277</v>
      </c>
      <c r="G108" s="88" t="s">
        <v>180</v>
      </c>
      <c r="H108" s="87" t="s">
        <v>246</v>
      </c>
      <c r="I108" s="87" t="s">
        <v>400</v>
      </c>
      <c r="J108" s="87" t="s">
        <v>401</v>
      </c>
      <c r="K108" s="89" t="n">
        <v>300</v>
      </c>
      <c r="L108" s="89" t="n">
        <v>50700000</v>
      </c>
      <c r="M108" s="89" t="n">
        <v>19442700</v>
      </c>
      <c r="N108" s="90" t="n">
        <f aca="false">IF(A108="제외",0,IF(OR(N(L108)&lt;=0,N(M108)&gt;N(L108)),N(M108)/가정!$B$4,N(L108)))</f>
        <v>50700000</v>
      </c>
      <c r="O108" s="67" t="str">
        <f aca="false">IF(A108="제외","",IF(OR(N(L108)&lt;=0,N(M108)&gt;N(L108)),"택가보정(판매금액÷공급율)",""))</f>
        <v/>
      </c>
    </row>
    <row r="109" customFormat="false" ht="15" hidden="false" customHeight="true" outlineLevel="0" collapsed="false">
      <c r="A109" s="67" t="str">
        <f aca="false">IF(OR(TRIM(C109)="",SUBSTITUTE(C109," ","")="소계"),"제외",IF(ISNUMBER(SEARCH("홍콩",C109)),"HK",IF(ISNUMBER(SEARCH("상해",C109)),"CN",IF(ISNUMBER(SEARCH("대만",C109)),"TW","홀세일"))))</f>
        <v>TW</v>
      </c>
      <c r="B109" s="87" t="s">
        <v>176</v>
      </c>
      <c r="C109" s="87" t="s">
        <v>177</v>
      </c>
      <c r="D109" s="88" t="s">
        <v>178</v>
      </c>
      <c r="E109" s="87" t="n">
        <v>2026</v>
      </c>
      <c r="F109" s="88" t="s">
        <v>277</v>
      </c>
      <c r="G109" s="88" t="s">
        <v>180</v>
      </c>
      <c r="H109" s="87" t="s">
        <v>246</v>
      </c>
      <c r="I109" s="87" t="s">
        <v>402</v>
      </c>
      <c r="J109" s="87" t="s">
        <v>403</v>
      </c>
      <c r="K109" s="89" t="n">
        <v>160</v>
      </c>
      <c r="L109" s="89" t="n">
        <v>25440000</v>
      </c>
      <c r="M109" s="89" t="n">
        <v>9745760</v>
      </c>
      <c r="N109" s="90" t="n">
        <f aca="false">IF(A109="제외",0,IF(OR(N(L109)&lt;=0,N(M109)&gt;N(L109)),N(M109)/가정!$B$4,N(L109)))</f>
        <v>25440000</v>
      </c>
      <c r="O109" s="67" t="str">
        <f aca="false">IF(A109="제외","",IF(OR(N(L109)&lt;=0,N(M109)&gt;N(L109)),"택가보정(판매금액÷공급율)",""))</f>
        <v/>
      </c>
    </row>
    <row r="110" customFormat="false" ht="15" hidden="false" customHeight="true" outlineLevel="0" collapsed="false">
      <c r="A110" s="67" t="str">
        <f aca="false">IF(OR(TRIM(C110)="",SUBSTITUTE(C110," ","")="소계"),"제외",IF(ISNUMBER(SEARCH("홍콩",C110)),"HK",IF(ISNUMBER(SEARCH("상해",C110)),"CN",IF(ISNUMBER(SEARCH("대만",C110)),"TW","홀세일"))))</f>
        <v>TW</v>
      </c>
      <c r="B110" s="87" t="s">
        <v>176</v>
      </c>
      <c r="C110" s="87" t="s">
        <v>177</v>
      </c>
      <c r="D110" s="88" t="s">
        <v>178</v>
      </c>
      <c r="E110" s="87" t="n">
        <v>2026</v>
      </c>
      <c r="F110" s="88" t="s">
        <v>277</v>
      </c>
      <c r="G110" s="88" t="s">
        <v>180</v>
      </c>
      <c r="H110" s="87" t="s">
        <v>246</v>
      </c>
      <c r="I110" s="87" t="s">
        <v>404</v>
      </c>
      <c r="J110" s="87" t="s">
        <v>405</v>
      </c>
      <c r="K110" s="89" t="n">
        <v>530</v>
      </c>
      <c r="L110" s="89" t="n">
        <v>100170000</v>
      </c>
      <c r="M110" s="89" t="n">
        <v>36184690</v>
      </c>
      <c r="N110" s="90" t="n">
        <f aca="false">IF(A110="제외",0,IF(OR(N(L110)&lt;=0,N(M110)&gt;N(L110)),N(M110)/가정!$B$4,N(L110)))</f>
        <v>100170000</v>
      </c>
      <c r="O110" s="67" t="str">
        <f aca="false">IF(A110="제외","",IF(OR(N(L110)&lt;=0,N(M110)&gt;N(L110)),"택가보정(판매금액÷공급율)",""))</f>
        <v/>
      </c>
    </row>
    <row r="111" customFormat="false" ht="15" hidden="false" customHeight="true" outlineLevel="0" collapsed="false">
      <c r="A111" s="67" t="str">
        <f aca="false">IF(OR(TRIM(C111)="",SUBSTITUTE(C111," ","")="소계"),"제외",IF(ISNUMBER(SEARCH("홍콩",C111)),"HK",IF(ISNUMBER(SEARCH("상해",C111)),"CN",IF(ISNUMBER(SEARCH("대만",C111)),"TW","홀세일"))))</f>
        <v>TW</v>
      </c>
      <c r="B111" s="87" t="s">
        <v>176</v>
      </c>
      <c r="C111" s="87" t="s">
        <v>177</v>
      </c>
      <c r="D111" s="88" t="s">
        <v>178</v>
      </c>
      <c r="E111" s="87" t="n">
        <v>2026</v>
      </c>
      <c r="F111" s="88" t="s">
        <v>277</v>
      </c>
      <c r="G111" s="88" t="s">
        <v>180</v>
      </c>
      <c r="H111" s="87" t="s">
        <v>246</v>
      </c>
      <c r="I111" s="87" t="s">
        <v>406</v>
      </c>
      <c r="J111" s="87" t="s">
        <v>407</v>
      </c>
      <c r="K111" s="89" t="n">
        <v>150</v>
      </c>
      <c r="L111" s="89" t="n">
        <v>22350000</v>
      </c>
      <c r="M111" s="89" t="n">
        <v>8209500</v>
      </c>
      <c r="N111" s="90" t="n">
        <f aca="false">IF(A111="제외",0,IF(OR(N(L111)&lt;=0,N(M111)&gt;N(L111)),N(M111)/가정!$B$4,N(L111)))</f>
        <v>22350000</v>
      </c>
      <c r="O111" s="67" t="str">
        <f aca="false">IF(A111="제외","",IF(OR(N(L111)&lt;=0,N(M111)&gt;N(L111)),"택가보정(판매금액÷공급율)",""))</f>
        <v/>
      </c>
    </row>
    <row r="112" customFormat="false" ht="15" hidden="false" customHeight="true" outlineLevel="0" collapsed="false">
      <c r="A112" s="67" t="str">
        <f aca="false">IF(OR(TRIM(C112)="",SUBSTITUTE(C112," ","")="소계"),"제외",IF(ISNUMBER(SEARCH("홍콩",C112)),"HK",IF(ISNUMBER(SEARCH("상해",C112)),"CN",IF(ISNUMBER(SEARCH("대만",C112)),"TW","홀세일"))))</f>
        <v>TW</v>
      </c>
      <c r="B112" s="87" t="s">
        <v>176</v>
      </c>
      <c r="C112" s="87" t="s">
        <v>177</v>
      </c>
      <c r="D112" s="88" t="s">
        <v>178</v>
      </c>
      <c r="E112" s="87" t="n">
        <v>2026</v>
      </c>
      <c r="F112" s="88" t="s">
        <v>277</v>
      </c>
      <c r="G112" s="88" t="s">
        <v>180</v>
      </c>
      <c r="H112" s="87" t="s">
        <v>246</v>
      </c>
      <c r="I112" s="87" t="s">
        <v>408</v>
      </c>
      <c r="J112" s="87" t="s">
        <v>409</v>
      </c>
      <c r="K112" s="89" t="n">
        <v>120</v>
      </c>
      <c r="L112" s="89" t="n">
        <v>19080000</v>
      </c>
      <c r="M112" s="89" t="n">
        <v>7007880</v>
      </c>
      <c r="N112" s="90" t="n">
        <f aca="false">IF(A112="제외",0,IF(OR(N(L112)&lt;=0,N(M112)&gt;N(L112)),N(M112)/가정!$B$4,N(L112)))</f>
        <v>19080000</v>
      </c>
      <c r="O112" s="67" t="str">
        <f aca="false">IF(A112="제외","",IF(OR(N(L112)&lt;=0,N(M112)&gt;N(L112)),"택가보정(판매금액÷공급율)",""))</f>
        <v/>
      </c>
    </row>
    <row r="113" customFormat="false" ht="15" hidden="false" customHeight="true" outlineLevel="0" collapsed="false">
      <c r="A113" s="67" t="str">
        <f aca="false">IF(OR(TRIM(C113)="",SUBSTITUTE(C113," ","")="소계"),"제외",IF(ISNUMBER(SEARCH("홍콩",C113)),"HK",IF(ISNUMBER(SEARCH("상해",C113)),"CN",IF(ISNUMBER(SEARCH("대만",C113)),"TW","홀세일"))))</f>
        <v>TW</v>
      </c>
      <c r="B113" s="87" t="s">
        <v>176</v>
      </c>
      <c r="C113" s="87" t="s">
        <v>177</v>
      </c>
      <c r="D113" s="88" t="s">
        <v>178</v>
      </c>
      <c r="E113" s="87" t="n">
        <v>2026</v>
      </c>
      <c r="F113" s="88" t="s">
        <v>277</v>
      </c>
      <c r="G113" s="88" t="s">
        <v>180</v>
      </c>
      <c r="H113" s="87" t="s">
        <v>246</v>
      </c>
      <c r="I113" s="87" t="s">
        <v>410</v>
      </c>
      <c r="J113" s="87" t="s">
        <v>411</v>
      </c>
      <c r="K113" s="89" t="n">
        <v>80</v>
      </c>
      <c r="L113" s="89" t="n">
        <v>7920000</v>
      </c>
      <c r="M113" s="89" t="n">
        <v>2863680</v>
      </c>
      <c r="N113" s="90" t="n">
        <f aca="false">IF(A113="제외",0,IF(OR(N(L113)&lt;=0,N(M113)&gt;N(L113)),N(M113)/가정!$B$4,N(L113)))</f>
        <v>7920000</v>
      </c>
      <c r="O113" s="67" t="str">
        <f aca="false">IF(A113="제외","",IF(OR(N(L113)&lt;=0,N(M113)&gt;N(L113)),"택가보정(판매금액÷공급율)",""))</f>
        <v/>
      </c>
    </row>
    <row r="114" customFormat="false" ht="15" hidden="false" customHeight="true" outlineLevel="0" collapsed="false">
      <c r="A114" s="67" t="str">
        <f aca="false">IF(OR(TRIM(C114)="",SUBSTITUTE(C114," ","")="소계"),"제외",IF(ISNUMBER(SEARCH("홍콩",C114)),"HK",IF(ISNUMBER(SEARCH("상해",C114)),"CN",IF(ISNUMBER(SEARCH("대만",C114)),"TW","홀세일"))))</f>
        <v>TW</v>
      </c>
      <c r="B114" s="87" t="s">
        <v>176</v>
      </c>
      <c r="C114" s="87" t="s">
        <v>177</v>
      </c>
      <c r="D114" s="88" t="s">
        <v>178</v>
      </c>
      <c r="E114" s="87" t="n">
        <v>2026</v>
      </c>
      <c r="F114" s="88" t="s">
        <v>277</v>
      </c>
      <c r="G114" s="88" t="s">
        <v>180</v>
      </c>
      <c r="H114" s="87" t="s">
        <v>246</v>
      </c>
      <c r="I114" s="87" t="s">
        <v>412</v>
      </c>
      <c r="J114" s="87" t="s">
        <v>413</v>
      </c>
      <c r="K114" s="89" t="n">
        <v>160</v>
      </c>
      <c r="L114" s="89" t="n">
        <v>17440000</v>
      </c>
      <c r="M114" s="89" t="n">
        <v>6396960</v>
      </c>
      <c r="N114" s="90" t="n">
        <f aca="false">IF(A114="제외",0,IF(OR(N(L114)&lt;=0,N(M114)&gt;N(L114)),N(M114)/가정!$B$4,N(L114)))</f>
        <v>17440000</v>
      </c>
      <c r="O114" s="67" t="str">
        <f aca="false">IF(A114="제외","",IF(OR(N(L114)&lt;=0,N(M114)&gt;N(L114)),"택가보정(판매금액÷공급율)",""))</f>
        <v/>
      </c>
    </row>
    <row r="115" customFormat="false" ht="15" hidden="false" customHeight="true" outlineLevel="0" collapsed="false">
      <c r="A115" s="67" t="str">
        <f aca="false">IF(OR(TRIM(C115)="",SUBSTITUTE(C115," ","")="소계"),"제외",IF(ISNUMBER(SEARCH("홍콩",C115)),"HK",IF(ISNUMBER(SEARCH("상해",C115)),"CN",IF(ISNUMBER(SEARCH("대만",C115)),"TW","홀세일"))))</f>
        <v>TW</v>
      </c>
      <c r="B115" s="87" t="s">
        <v>176</v>
      </c>
      <c r="C115" s="87" t="s">
        <v>177</v>
      </c>
      <c r="D115" s="88" t="s">
        <v>178</v>
      </c>
      <c r="E115" s="87" t="n">
        <v>2026</v>
      </c>
      <c r="F115" s="88" t="s">
        <v>277</v>
      </c>
      <c r="G115" s="88" t="s">
        <v>180</v>
      </c>
      <c r="H115" s="87" t="s">
        <v>246</v>
      </c>
      <c r="I115" s="87" t="s">
        <v>414</v>
      </c>
      <c r="J115" s="87" t="s">
        <v>415</v>
      </c>
      <c r="K115" s="89" t="n">
        <v>80</v>
      </c>
      <c r="L115" s="89" t="n">
        <v>5520000</v>
      </c>
      <c r="M115" s="89" t="n">
        <v>2102000</v>
      </c>
      <c r="N115" s="90" t="n">
        <f aca="false">IF(A115="제외",0,IF(OR(N(L115)&lt;=0,N(M115)&gt;N(L115)),N(M115)/가정!$B$4,N(L115)))</f>
        <v>5520000</v>
      </c>
      <c r="O115" s="67" t="str">
        <f aca="false">IF(A115="제외","",IF(OR(N(L115)&lt;=0,N(M115)&gt;N(L115)),"택가보정(판매금액÷공급율)",""))</f>
        <v/>
      </c>
    </row>
    <row r="116" customFormat="false" ht="15" hidden="false" customHeight="true" outlineLevel="0" collapsed="false">
      <c r="A116" s="67" t="str">
        <f aca="false">IF(OR(TRIM(C116)="",SUBSTITUTE(C116," ","")="소계"),"제외",IF(ISNUMBER(SEARCH("홍콩",C116)),"HK",IF(ISNUMBER(SEARCH("상해",C116)),"CN",IF(ISNUMBER(SEARCH("대만",C116)),"TW","홀세일"))))</f>
        <v>TW</v>
      </c>
      <c r="B116" s="87" t="s">
        <v>176</v>
      </c>
      <c r="C116" s="87" t="s">
        <v>177</v>
      </c>
      <c r="D116" s="88" t="s">
        <v>178</v>
      </c>
      <c r="E116" s="87" t="n">
        <v>2026</v>
      </c>
      <c r="F116" s="88" t="s">
        <v>277</v>
      </c>
      <c r="G116" s="88" t="s">
        <v>180</v>
      </c>
      <c r="H116" s="87" t="s">
        <v>246</v>
      </c>
      <c r="I116" s="87" t="s">
        <v>416</v>
      </c>
      <c r="J116" s="87" t="s">
        <v>417</v>
      </c>
      <c r="K116" s="89" t="n">
        <v>190</v>
      </c>
      <c r="L116" s="89" t="n">
        <v>15010000</v>
      </c>
      <c r="M116" s="89" t="n">
        <v>5509430</v>
      </c>
      <c r="N116" s="90" t="n">
        <f aca="false">IF(A116="제외",0,IF(OR(N(L116)&lt;=0,N(M116)&gt;N(L116)),N(M116)/가정!$B$4,N(L116)))</f>
        <v>15010000</v>
      </c>
      <c r="O116" s="67" t="str">
        <f aca="false">IF(A116="제외","",IF(OR(N(L116)&lt;=0,N(M116)&gt;N(L116)),"택가보정(판매금액÷공급율)",""))</f>
        <v/>
      </c>
    </row>
    <row r="117" customFormat="false" ht="15" hidden="false" customHeight="true" outlineLevel="0" collapsed="false">
      <c r="A117" s="67" t="str">
        <f aca="false">IF(OR(TRIM(C117)="",SUBSTITUTE(C117," ","")="소계"),"제외",IF(ISNUMBER(SEARCH("홍콩",C117)),"HK",IF(ISNUMBER(SEARCH("상해",C117)),"CN",IF(ISNUMBER(SEARCH("대만",C117)),"TW","홀세일"))))</f>
        <v>TW</v>
      </c>
      <c r="B117" s="87" t="s">
        <v>176</v>
      </c>
      <c r="C117" s="87" t="s">
        <v>177</v>
      </c>
      <c r="D117" s="88" t="s">
        <v>178</v>
      </c>
      <c r="E117" s="87" t="n">
        <v>2026</v>
      </c>
      <c r="F117" s="88" t="s">
        <v>277</v>
      </c>
      <c r="G117" s="88" t="s">
        <v>418</v>
      </c>
      <c r="H117" s="87" t="s">
        <v>189</v>
      </c>
      <c r="I117" s="87" t="s">
        <v>419</v>
      </c>
      <c r="J117" s="88" t="s">
        <v>420</v>
      </c>
      <c r="K117" s="89" t="n">
        <v>220</v>
      </c>
      <c r="L117" s="89" t="n">
        <v>23980000</v>
      </c>
      <c r="M117" s="89" t="n">
        <v>10167740</v>
      </c>
      <c r="N117" s="90" t="n">
        <f aca="false">IF(A117="제외",0,IF(OR(N(L117)&lt;=0,N(M117)&gt;N(L117)),N(M117)/가정!$B$4,N(L117)))</f>
        <v>23980000</v>
      </c>
      <c r="O117" s="67" t="str">
        <f aca="false">IF(A117="제외","",IF(OR(N(L117)&lt;=0,N(M117)&gt;N(L117)),"택가보정(판매금액÷공급율)",""))</f>
        <v/>
      </c>
    </row>
    <row r="118" customFormat="false" ht="15" hidden="false" customHeight="true" outlineLevel="0" collapsed="false">
      <c r="A118" s="67" t="str">
        <f aca="false">IF(OR(TRIM(C118)="",SUBSTITUTE(C118," ","")="소계"),"제외",IF(ISNUMBER(SEARCH("홍콩",C118)),"HK",IF(ISNUMBER(SEARCH("상해",C118)),"CN",IF(ISNUMBER(SEARCH("대만",C118)),"TW","홀세일"))))</f>
        <v>TW</v>
      </c>
      <c r="B118" s="87" t="s">
        <v>176</v>
      </c>
      <c r="C118" s="87" t="s">
        <v>177</v>
      </c>
      <c r="D118" s="88" t="s">
        <v>178</v>
      </c>
      <c r="E118" s="87" t="n">
        <v>2026</v>
      </c>
      <c r="F118" s="88" t="s">
        <v>421</v>
      </c>
      <c r="G118" s="88" t="s">
        <v>188</v>
      </c>
      <c r="H118" s="87" t="s">
        <v>189</v>
      </c>
      <c r="I118" s="87" t="s">
        <v>422</v>
      </c>
      <c r="J118" s="88" t="s">
        <v>423</v>
      </c>
      <c r="K118" s="89" t="n">
        <v>300</v>
      </c>
      <c r="L118" s="89" t="n">
        <v>11700000</v>
      </c>
      <c r="M118" s="89" t="n">
        <v>3998400</v>
      </c>
      <c r="N118" s="90" t="n">
        <f aca="false">IF(A118="제외",0,IF(OR(N(L118)&lt;=0,N(M118)&gt;N(L118)),N(M118)/가정!$B$4,N(L118)))</f>
        <v>11700000</v>
      </c>
      <c r="O118" s="67" t="str">
        <f aca="false">IF(A118="제외","",IF(OR(N(L118)&lt;=0,N(M118)&gt;N(L118)),"택가보정(판매금액÷공급율)",""))</f>
        <v/>
      </c>
    </row>
    <row r="119" customFormat="false" ht="15" hidden="false" customHeight="true" outlineLevel="0" collapsed="false">
      <c r="A119" s="67" t="str">
        <f aca="false">IF(OR(TRIM(C119)="",SUBSTITUTE(C119," ","")="소계"),"제외",IF(ISNUMBER(SEARCH("홍콩",C119)),"HK",IF(ISNUMBER(SEARCH("상해",C119)),"CN",IF(ISNUMBER(SEARCH("대만",C119)),"TW","홀세일"))))</f>
        <v>TW</v>
      </c>
      <c r="B119" s="87" t="s">
        <v>176</v>
      </c>
      <c r="C119" s="87" t="s">
        <v>177</v>
      </c>
      <c r="D119" s="88" t="s">
        <v>178</v>
      </c>
      <c r="E119" s="87" t="n">
        <v>2026</v>
      </c>
      <c r="F119" s="88" t="s">
        <v>421</v>
      </c>
      <c r="G119" s="88" t="s">
        <v>188</v>
      </c>
      <c r="H119" s="87" t="s">
        <v>189</v>
      </c>
      <c r="I119" s="87" t="s">
        <v>424</v>
      </c>
      <c r="J119" s="88" t="s">
        <v>425</v>
      </c>
      <c r="K119" s="89" t="n">
        <v>100</v>
      </c>
      <c r="L119" s="89" t="n">
        <v>15900000</v>
      </c>
      <c r="M119" s="89" t="n">
        <v>6150300</v>
      </c>
      <c r="N119" s="90" t="n">
        <f aca="false">IF(A119="제외",0,IF(OR(N(L119)&lt;=0,N(M119)&gt;N(L119)),N(M119)/가정!$B$4,N(L119)))</f>
        <v>15900000</v>
      </c>
      <c r="O119" s="67" t="str">
        <f aca="false">IF(A119="제외","",IF(OR(N(L119)&lt;=0,N(M119)&gt;N(L119)),"택가보정(판매금액÷공급율)",""))</f>
        <v/>
      </c>
    </row>
    <row r="120" customFormat="false" ht="15" hidden="false" customHeight="true" outlineLevel="0" collapsed="false">
      <c r="A120" s="67" t="str">
        <f aca="false">IF(OR(TRIM(C120)="",SUBSTITUTE(C120," ","")="소계"),"제외",IF(ISNUMBER(SEARCH("홍콩",C120)),"HK",IF(ISNUMBER(SEARCH("상해",C120)),"CN",IF(ISNUMBER(SEARCH("대만",C120)),"TW","홀세일"))))</f>
        <v>TW</v>
      </c>
      <c r="B120" s="87" t="s">
        <v>176</v>
      </c>
      <c r="C120" s="87" t="s">
        <v>177</v>
      </c>
      <c r="D120" s="88" t="s">
        <v>178</v>
      </c>
      <c r="E120" s="87" t="n">
        <v>2026</v>
      </c>
      <c r="F120" s="88" t="s">
        <v>421</v>
      </c>
      <c r="G120" s="88" t="s">
        <v>188</v>
      </c>
      <c r="H120" s="87" t="s">
        <v>189</v>
      </c>
      <c r="I120" s="87" t="s">
        <v>426</v>
      </c>
      <c r="J120" s="88" t="s">
        <v>427</v>
      </c>
      <c r="K120" s="89" t="n">
        <v>500</v>
      </c>
      <c r="L120" s="89" t="n">
        <v>44500000</v>
      </c>
      <c r="M120" s="89" t="n">
        <v>17230000</v>
      </c>
      <c r="N120" s="90" t="n">
        <f aca="false">IF(A120="제외",0,IF(OR(N(L120)&lt;=0,N(M120)&gt;N(L120)),N(M120)/가정!$B$4,N(L120)))</f>
        <v>44500000</v>
      </c>
      <c r="O120" s="67" t="str">
        <f aca="false">IF(A120="제외","",IF(OR(N(L120)&lt;=0,N(M120)&gt;N(L120)),"택가보정(판매금액÷공급율)",""))</f>
        <v/>
      </c>
    </row>
    <row r="121" customFormat="false" ht="15" hidden="false" customHeight="true" outlineLevel="0" collapsed="false">
      <c r="A121" s="67" t="str">
        <f aca="false">IF(OR(TRIM(C121)="",SUBSTITUTE(C121," ","")="소계"),"제외",IF(ISNUMBER(SEARCH("홍콩",C121)),"HK",IF(ISNUMBER(SEARCH("상해",C121)),"CN",IF(ISNUMBER(SEARCH("대만",C121)),"TW","홀세일"))))</f>
        <v>TW</v>
      </c>
      <c r="B121" s="87" t="s">
        <v>176</v>
      </c>
      <c r="C121" s="87" t="s">
        <v>177</v>
      </c>
      <c r="D121" s="88" t="s">
        <v>178</v>
      </c>
      <c r="E121" s="87" t="n">
        <v>2026</v>
      </c>
      <c r="F121" s="88" t="s">
        <v>421</v>
      </c>
      <c r="G121" s="88" t="s">
        <v>188</v>
      </c>
      <c r="H121" s="87" t="s">
        <v>189</v>
      </c>
      <c r="I121" s="87" t="s">
        <v>428</v>
      </c>
      <c r="J121" s="88" t="s">
        <v>429</v>
      </c>
      <c r="K121" s="89" t="n">
        <v>200</v>
      </c>
      <c r="L121" s="89" t="n">
        <v>13800000</v>
      </c>
      <c r="M121" s="89" t="n">
        <v>5346800</v>
      </c>
      <c r="N121" s="90" t="n">
        <f aca="false">IF(A121="제외",0,IF(OR(N(L121)&lt;=0,N(M121)&gt;N(L121)),N(M121)/가정!$B$4,N(L121)))</f>
        <v>13800000</v>
      </c>
      <c r="O121" s="67" t="str">
        <f aca="false">IF(A121="제외","",IF(OR(N(L121)&lt;=0,N(M121)&gt;N(L121)),"택가보정(판매금액÷공급율)",""))</f>
        <v/>
      </c>
    </row>
    <row r="122" customFormat="false" ht="15" hidden="false" customHeight="true" outlineLevel="0" collapsed="false">
      <c r="A122" s="67" t="str">
        <f aca="false">IF(OR(TRIM(C122)="",SUBSTITUTE(C122," ","")="소계"),"제외",IF(ISNUMBER(SEARCH("홍콩",C122)),"HK",IF(ISNUMBER(SEARCH("상해",C122)),"CN",IF(ISNUMBER(SEARCH("대만",C122)),"TW","홀세일"))))</f>
        <v>TW</v>
      </c>
      <c r="B122" s="87" t="s">
        <v>176</v>
      </c>
      <c r="C122" s="87" t="s">
        <v>177</v>
      </c>
      <c r="D122" s="88" t="s">
        <v>178</v>
      </c>
      <c r="E122" s="87" t="n">
        <v>2026</v>
      </c>
      <c r="F122" s="88" t="s">
        <v>421</v>
      </c>
      <c r="G122" s="88" t="s">
        <v>188</v>
      </c>
      <c r="H122" s="87" t="s">
        <v>189</v>
      </c>
      <c r="I122" s="87" t="s">
        <v>430</v>
      </c>
      <c r="J122" s="87" t="s">
        <v>431</v>
      </c>
      <c r="K122" s="89" t="n">
        <v>400</v>
      </c>
      <c r="L122" s="89" t="n">
        <v>39600000</v>
      </c>
      <c r="M122" s="89" t="n">
        <v>13997200</v>
      </c>
      <c r="N122" s="90" t="n">
        <f aca="false">IF(A122="제외",0,IF(OR(N(L122)&lt;=0,N(M122)&gt;N(L122)),N(M122)/가정!$B$4,N(L122)))</f>
        <v>39600000</v>
      </c>
      <c r="O122" s="67" t="str">
        <f aca="false">IF(A122="제외","",IF(OR(N(L122)&lt;=0,N(M122)&gt;N(L122)),"택가보정(판매금액÷공급율)",""))</f>
        <v/>
      </c>
    </row>
    <row r="123" customFormat="false" ht="15" hidden="false" customHeight="true" outlineLevel="0" collapsed="false">
      <c r="A123" s="67" t="str">
        <f aca="false">IF(OR(TRIM(C123)="",SUBSTITUTE(C123," ","")="소계"),"제외",IF(ISNUMBER(SEARCH("홍콩",C123)),"HK",IF(ISNUMBER(SEARCH("상해",C123)),"CN",IF(ISNUMBER(SEARCH("대만",C123)),"TW","홀세일"))))</f>
        <v>TW</v>
      </c>
      <c r="B123" s="87" t="s">
        <v>176</v>
      </c>
      <c r="C123" s="87" t="s">
        <v>177</v>
      </c>
      <c r="D123" s="88" t="s">
        <v>178</v>
      </c>
      <c r="E123" s="87" t="n">
        <v>2026</v>
      </c>
      <c r="F123" s="88" t="s">
        <v>421</v>
      </c>
      <c r="G123" s="88" t="s">
        <v>188</v>
      </c>
      <c r="H123" s="87" t="s">
        <v>189</v>
      </c>
      <c r="I123" s="87" t="s">
        <v>432</v>
      </c>
      <c r="J123" s="87" t="s">
        <v>433</v>
      </c>
      <c r="K123" s="89" t="n">
        <v>500</v>
      </c>
      <c r="L123" s="89" t="n">
        <v>34500000</v>
      </c>
      <c r="M123" s="89" t="n">
        <v>12205000</v>
      </c>
      <c r="N123" s="90" t="n">
        <f aca="false">IF(A123="제외",0,IF(OR(N(L123)&lt;=0,N(M123)&gt;N(L123)),N(M123)/가정!$B$4,N(L123)))</f>
        <v>34500000</v>
      </c>
      <c r="O123" s="67" t="str">
        <f aca="false">IF(A123="제외","",IF(OR(N(L123)&lt;=0,N(M123)&gt;N(L123)),"택가보정(판매금액÷공급율)",""))</f>
        <v/>
      </c>
    </row>
    <row r="124" customFormat="false" ht="15" hidden="false" customHeight="true" outlineLevel="0" collapsed="false">
      <c r="A124" s="67" t="str">
        <f aca="false">IF(OR(TRIM(C124)="",SUBSTITUTE(C124," ","")="소계"),"제외",IF(ISNUMBER(SEARCH("홍콩",C124)),"HK",IF(ISNUMBER(SEARCH("상해",C124)),"CN",IF(ISNUMBER(SEARCH("대만",C124)),"TW","홀세일"))))</f>
        <v>TW</v>
      </c>
      <c r="B124" s="87" t="s">
        <v>176</v>
      </c>
      <c r="C124" s="87" t="s">
        <v>177</v>
      </c>
      <c r="D124" s="88" t="s">
        <v>178</v>
      </c>
      <c r="E124" s="87" t="n">
        <v>2026</v>
      </c>
      <c r="F124" s="88" t="s">
        <v>421</v>
      </c>
      <c r="G124" s="88" t="s">
        <v>188</v>
      </c>
      <c r="H124" s="87" t="s">
        <v>189</v>
      </c>
      <c r="I124" s="87" t="s">
        <v>434</v>
      </c>
      <c r="J124" s="87" t="s">
        <v>435</v>
      </c>
      <c r="K124" s="89" t="n">
        <v>150</v>
      </c>
      <c r="L124" s="89" t="n">
        <v>13350000</v>
      </c>
      <c r="M124" s="89" t="n">
        <v>4719750</v>
      </c>
      <c r="N124" s="90" t="n">
        <f aca="false">IF(A124="제외",0,IF(OR(N(L124)&lt;=0,N(M124)&gt;N(L124)),N(M124)/가정!$B$4,N(L124)))</f>
        <v>13350000</v>
      </c>
      <c r="O124" s="67" t="str">
        <f aca="false">IF(A124="제외","",IF(OR(N(L124)&lt;=0,N(M124)&gt;N(L124)),"택가보정(판매금액÷공급율)",""))</f>
        <v/>
      </c>
    </row>
    <row r="125" customFormat="false" ht="15" hidden="false" customHeight="true" outlineLevel="0" collapsed="false">
      <c r="A125" s="67" t="str">
        <f aca="false">IF(OR(TRIM(C125)="",SUBSTITUTE(C125," ","")="소계"),"제외",IF(ISNUMBER(SEARCH("홍콩",C125)),"HK",IF(ISNUMBER(SEARCH("상해",C125)),"CN",IF(ISNUMBER(SEARCH("대만",C125)),"TW","홀세일"))))</f>
        <v>TW</v>
      </c>
      <c r="B125" s="87" t="s">
        <v>176</v>
      </c>
      <c r="C125" s="87" t="s">
        <v>177</v>
      </c>
      <c r="D125" s="88" t="s">
        <v>178</v>
      </c>
      <c r="E125" s="87" t="n">
        <v>2026</v>
      </c>
      <c r="F125" s="88" t="s">
        <v>421</v>
      </c>
      <c r="G125" s="88" t="s">
        <v>188</v>
      </c>
      <c r="H125" s="87" t="s">
        <v>189</v>
      </c>
      <c r="I125" s="87" t="s">
        <v>436</v>
      </c>
      <c r="J125" s="87" t="s">
        <v>437</v>
      </c>
      <c r="K125" s="89" t="n">
        <v>250</v>
      </c>
      <c r="L125" s="89" t="n">
        <v>19750000</v>
      </c>
      <c r="M125" s="89" t="n">
        <v>6984500</v>
      </c>
      <c r="N125" s="90" t="n">
        <f aca="false">IF(A125="제외",0,IF(OR(N(L125)&lt;=0,N(M125)&gt;N(L125)),N(M125)/가정!$B$4,N(L125)))</f>
        <v>19750000</v>
      </c>
      <c r="O125" s="67" t="str">
        <f aca="false">IF(A125="제외","",IF(OR(N(L125)&lt;=0,N(M125)&gt;N(L125)),"택가보정(판매금액÷공급율)",""))</f>
        <v/>
      </c>
    </row>
    <row r="126" customFormat="false" ht="15" hidden="false" customHeight="true" outlineLevel="0" collapsed="false">
      <c r="A126" s="67" t="str">
        <f aca="false">IF(OR(TRIM(C126)="",SUBSTITUTE(C126," ","")="소계"),"제외",IF(ISNUMBER(SEARCH("홍콩",C126)),"HK",IF(ISNUMBER(SEARCH("상해",C126)),"CN",IF(ISNUMBER(SEARCH("대만",C126)),"TW","홀세일"))))</f>
        <v>TW</v>
      </c>
      <c r="B126" s="87" t="s">
        <v>176</v>
      </c>
      <c r="C126" s="87" t="s">
        <v>177</v>
      </c>
      <c r="D126" s="88" t="s">
        <v>178</v>
      </c>
      <c r="E126" s="87" t="n">
        <v>2026</v>
      </c>
      <c r="F126" s="88" t="s">
        <v>421</v>
      </c>
      <c r="G126" s="88" t="s">
        <v>188</v>
      </c>
      <c r="H126" s="87" t="s">
        <v>189</v>
      </c>
      <c r="I126" s="87" t="s">
        <v>438</v>
      </c>
      <c r="J126" s="88" t="s">
        <v>439</v>
      </c>
      <c r="K126" s="89" t="n">
        <v>100</v>
      </c>
      <c r="L126" s="89" t="n">
        <v>5900000</v>
      </c>
      <c r="M126" s="89" t="n">
        <v>1980500</v>
      </c>
      <c r="N126" s="90" t="n">
        <f aca="false">IF(A126="제외",0,IF(OR(N(L126)&lt;=0,N(M126)&gt;N(L126)),N(M126)/가정!$B$4,N(L126)))</f>
        <v>5900000</v>
      </c>
      <c r="O126" s="67" t="str">
        <f aca="false">IF(A126="제외","",IF(OR(N(L126)&lt;=0,N(M126)&gt;N(L126)),"택가보정(판매금액÷공급율)",""))</f>
        <v/>
      </c>
    </row>
    <row r="127" customFormat="false" ht="15" hidden="false" customHeight="true" outlineLevel="0" collapsed="false">
      <c r="A127" s="67" t="str">
        <f aca="false">IF(OR(TRIM(C127)="",SUBSTITUTE(C127," ","")="소계"),"제외",IF(ISNUMBER(SEARCH("홍콩",C127)),"HK",IF(ISNUMBER(SEARCH("상해",C127)),"CN",IF(ISNUMBER(SEARCH("대만",C127)),"TW","홀세일"))))</f>
        <v>TW</v>
      </c>
      <c r="B127" s="87" t="s">
        <v>176</v>
      </c>
      <c r="C127" s="87" t="s">
        <v>177</v>
      </c>
      <c r="D127" s="88" t="s">
        <v>178</v>
      </c>
      <c r="E127" s="87" t="n">
        <v>2026</v>
      </c>
      <c r="F127" s="88" t="s">
        <v>421</v>
      </c>
      <c r="G127" s="88" t="s">
        <v>188</v>
      </c>
      <c r="H127" s="87" t="s">
        <v>189</v>
      </c>
      <c r="I127" s="87" t="s">
        <v>440</v>
      </c>
      <c r="J127" s="88" t="s">
        <v>441</v>
      </c>
      <c r="K127" s="89" t="n">
        <v>100</v>
      </c>
      <c r="L127" s="89" t="n">
        <v>6900000</v>
      </c>
      <c r="M127" s="89" t="n">
        <v>2315100</v>
      </c>
      <c r="N127" s="90" t="n">
        <f aca="false">IF(A127="제외",0,IF(OR(N(L127)&lt;=0,N(M127)&gt;N(L127)),N(M127)/가정!$B$4,N(L127)))</f>
        <v>6900000</v>
      </c>
      <c r="O127" s="67" t="str">
        <f aca="false">IF(A127="제외","",IF(OR(N(L127)&lt;=0,N(M127)&gt;N(L127)),"택가보정(판매금액÷공급율)",""))</f>
        <v/>
      </c>
    </row>
    <row r="128" customFormat="false" ht="15" hidden="false" customHeight="true" outlineLevel="0" collapsed="false">
      <c r="A128" s="67" t="str">
        <f aca="false">IF(OR(TRIM(C128)="",SUBSTITUTE(C128," ","")="소계"),"제외",IF(ISNUMBER(SEARCH("홍콩",C128)),"HK",IF(ISNUMBER(SEARCH("상해",C128)),"CN",IF(ISNUMBER(SEARCH("대만",C128)),"TW","홀세일"))))</f>
        <v>TW</v>
      </c>
      <c r="B128" s="87" t="s">
        <v>176</v>
      </c>
      <c r="C128" s="87" t="s">
        <v>177</v>
      </c>
      <c r="D128" s="88" t="s">
        <v>178</v>
      </c>
      <c r="E128" s="87" t="n">
        <v>2026</v>
      </c>
      <c r="F128" s="88" t="s">
        <v>421</v>
      </c>
      <c r="G128" s="88" t="s">
        <v>188</v>
      </c>
      <c r="H128" s="87" t="s">
        <v>189</v>
      </c>
      <c r="I128" s="87" t="s">
        <v>442</v>
      </c>
      <c r="J128" s="87" t="s">
        <v>443</v>
      </c>
      <c r="K128" s="89" t="n">
        <v>100</v>
      </c>
      <c r="L128" s="89" t="n">
        <v>7900000</v>
      </c>
      <c r="M128" s="89" t="n">
        <v>2649600</v>
      </c>
      <c r="N128" s="90" t="n">
        <f aca="false">IF(A128="제외",0,IF(OR(N(L128)&lt;=0,N(M128)&gt;N(L128)),N(M128)/가정!$B$4,N(L128)))</f>
        <v>7900000</v>
      </c>
      <c r="O128" s="67" t="str">
        <f aca="false">IF(A128="제외","",IF(OR(N(L128)&lt;=0,N(M128)&gt;N(L128)),"택가보정(판매금액÷공급율)",""))</f>
        <v/>
      </c>
    </row>
    <row r="129" customFormat="false" ht="15" hidden="false" customHeight="true" outlineLevel="0" collapsed="false">
      <c r="A129" s="67" t="str">
        <f aca="false">IF(OR(TRIM(C129)="",SUBSTITUTE(C129," ","")="소계"),"제외",IF(ISNUMBER(SEARCH("홍콩",C129)),"HK",IF(ISNUMBER(SEARCH("상해",C129)),"CN",IF(ISNUMBER(SEARCH("대만",C129)),"TW","홀세일"))))</f>
        <v>TW</v>
      </c>
      <c r="B129" s="87" t="s">
        <v>176</v>
      </c>
      <c r="C129" s="87" t="s">
        <v>177</v>
      </c>
      <c r="D129" s="88" t="s">
        <v>178</v>
      </c>
      <c r="E129" s="87" t="n">
        <v>2026</v>
      </c>
      <c r="F129" s="88" t="s">
        <v>421</v>
      </c>
      <c r="G129" s="88" t="s">
        <v>188</v>
      </c>
      <c r="H129" s="87" t="s">
        <v>189</v>
      </c>
      <c r="I129" s="87" t="s">
        <v>444</v>
      </c>
      <c r="J129" s="88" t="s">
        <v>445</v>
      </c>
      <c r="K129" s="89" t="n">
        <v>300</v>
      </c>
      <c r="L129" s="89" t="n">
        <v>14700000</v>
      </c>
      <c r="M129" s="89" t="n">
        <v>5018400</v>
      </c>
      <c r="N129" s="90" t="n">
        <f aca="false">IF(A129="제외",0,IF(OR(N(L129)&lt;=0,N(M129)&gt;N(L129)),N(M129)/가정!$B$4,N(L129)))</f>
        <v>14700000</v>
      </c>
      <c r="O129" s="67" t="str">
        <f aca="false">IF(A129="제외","",IF(OR(N(L129)&lt;=0,N(M129)&gt;N(L129)),"택가보정(판매금액÷공급율)",""))</f>
        <v/>
      </c>
    </row>
    <row r="130" customFormat="false" ht="15" hidden="false" customHeight="true" outlineLevel="0" collapsed="false">
      <c r="A130" s="67" t="str">
        <f aca="false">IF(OR(TRIM(C130)="",SUBSTITUTE(C130," ","")="소계"),"제외",IF(ISNUMBER(SEARCH("홍콩",C130)),"HK",IF(ISNUMBER(SEARCH("상해",C130)),"CN",IF(ISNUMBER(SEARCH("대만",C130)),"TW","홀세일"))))</f>
        <v>TW</v>
      </c>
      <c r="B130" s="87" t="s">
        <v>176</v>
      </c>
      <c r="C130" s="87" t="s">
        <v>177</v>
      </c>
      <c r="D130" s="88" t="s">
        <v>178</v>
      </c>
      <c r="E130" s="87" t="n">
        <v>2026</v>
      </c>
      <c r="F130" s="88" t="s">
        <v>421</v>
      </c>
      <c r="G130" s="88" t="s">
        <v>188</v>
      </c>
      <c r="H130" s="87" t="s">
        <v>189</v>
      </c>
      <c r="I130" s="87" t="s">
        <v>446</v>
      </c>
      <c r="J130" s="87" t="s">
        <v>447</v>
      </c>
      <c r="K130" s="89" t="n">
        <v>330</v>
      </c>
      <c r="L130" s="89" t="n">
        <v>19470000</v>
      </c>
      <c r="M130" s="89" t="n">
        <v>6535650</v>
      </c>
      <c r="N130" s="90" t="n">
        <f aca="false">IF(A130="제외",0,IF(OR(N(L130)&lt;=0,N(M130)&gt;N(L130)),N(M130)/가정!$B$4,N(L130)))</f>
        <v>19470000</v>
      </c>
      <c r="O130" s="67" t="str">
        <f aca="false">IF(A130="제외","",IF(OR(N(L130)&lt;=0,N(M130)&gt;N(L130)),"택가보정(판매금액÷공급율)",""))</f>
        <v/>
      </c>
    </row>
    <row r="131" customFormat="false" ht="15" hidden="false" customHeight="true" outlineLevel="0" collapsed="false">
      <c r="A131" s="67" t="str">
        <f aca="false">IF(OR(TRIM(C131)="",SUBSTITUTE(C131," ","")="소계"),"제외",IF(ISNUMBER(SEARCH("홍콩",C131)),"HK",IF(ISNUMBER(SEARCH("상해",C131)),"CN",IF(ISNUMBER(SEARCH("대만",C131)),"TW","홀세일"))))</f>
        <v>TW</v>
      </c>
      <c r="B131" s="87" t="s">
        <v>176</v>
      </c>
      <c r="C131" s="87" t="s">
        <v>177</v>
      </c>
      <c r="D131" s="88" t="s">
        <v>178</v>
      </c>
      <c r="E131" s="87" t="n">
        <v>2026</v>
      </c>
      <c r="F131" s="88" t="s">
        <v>421</v>
      </c>
      <c r="G131" s="88" t="s">
        <v>188</v>
      </c>
      <c r="H131" s="87" t="s">
        <v>189</v>
      </c>
      <c r="I131" s="87" t="s">
        <v>448</v>
      </c>
      <c r="J131" s="87" t="s">
        <v>449</v>
      </c>
      <c r="K131" s="89" t="n">
        <v>270</v>
      </c>
      <c r="L131" s="89" t="n">
        <v>13230000</v>
      </c>
      <c r="M131" s="89" t="n">
        <v>4444200</v>
      </c>
      <c r="N131" s="90" t="n">
        <f aca="false">IF(A131="제외",0,IF(OR(N(L131)&lt;=0,N(M131)&gt;N(L131)),N(M131)/가정!$B$4,N(L131)))</f>
        <v>13230000</v>
      </c>
      <c r="O131" s="67" t="str">
        <f aca="false">IF(A131="제외","",IF(OR(N(L131)&lt;=0,N(M131)&gt;N(L131)),"택가보정(판매금액÷공급율)",""))</f>
        <v/>
      </c>
    </row>
    <row r="132" customFormat="false" ht="15" hidden="false" customHeight="true" outlineLevel="0" collapsed="false">
      <c r="A132" s="67" t="str">
        <f aca="false">IF(OR(TRIM(C132)="",SUBSTITUTE(C132," ","")="소계"),"제외",IF(ISNUMBER(SEARCH("홍콩",C132)),"HK",IF(ISNUMBER(SEARCH("상해",C132)),"CN",IF(ISNUMBER(SEARCH("대만",C132)),"TW","홀세일"))))</f>
        <v>TW</v>
      </c>
      <c r="B132" s="87" t="s">
        <v>176</v>
      </c>
      <c r="C132" s="87" t="s">
        <v>177</v>
      </c>
      <c r="D132" s="88" t="s">
        <v>178</v>
      </c>
      <c r="E132" s="87" t="n">
        <v>2026</v>
      </c>
      <c r="F132" s="88" t="s">
        <v>421</v>
      </c>
      <c r="G132" s="88" t="s">
        <v>188</v>
      </c>
      <c r="H132" s="87" t="s">
        <v>189</v>
      </c>
      <c r="I132" s="87" t="s">
        <v>450</v>
      </c>
      <c r="J132" s="87" t="s">
        <v>451</v>
      </c>
      <c r="K132" s="89" t="n">
        <v>200</v>
      </c>
      <c r="L132" s="89" t="n">
        <v>9800000</v>
      </c>
      <c r="M132" s="89" t="n">
        <v>3292000</v>
      </c>
      <c r="N132" s="90" t="n">
        <f aca="false">IF(A132="제외",0,IF(OR(N(L132)&lt;=0,N(M132)&gt;N(L132)),N(M132)/가정!$B$4,N(L132)))</f>
        <v>9800000</v>
      </c>
      <c r="O132" s="67" t="str">
        <f aca="false">IF(A132="제외","",IF(OR(N(L132)&lt;=0,N(M132)&gt;N(L132)),"택가보정(판매금액÷공급율)",""))</f>
        <v/>
      </c>
    </row>
    <row r="133" customFormat="false" ht="15" hidden="false" customHeight="true" outlineLevel="0" collapsed="false">
      <c r="A133" s="67" t="str">
        <f aca="false">IF(OR(TRIM(C133)="",SUBSTITUTE(C133," ","")="소계"),"제외",IF(ISNUMBER(SEARCH("홍콩",C133)),"HK",IF(ISNUMBER(SEARCH("상해",C133)),"CN",IF(ISNUMBER(SEARCH("대만",C133)),"TW","홀세일"))))</f>
        <v>TW</v>
      </c>
      <c r="B133" s="87" t="s">
        <v>176</v>
      </c>
      <c r="C133" s="87" t="s">
        <v>177</v>
      </c>
      <c r="D133" s="88" t="s">
        <v>178</v>
      </c>
      <c r="E133" s="87" t="n">
        <v>2026</v>
      </c>
      <c r="F133" s="88" t="s">
        <v>421</v>
      </c>
      <c r="G133" s="88" t="s">
        <v>188</v>
      </c>
      <c r="H133" s="87" t="s">
        <v>189</v>
      </c>
      <c r="I133" s="87" t="s">
        <v>452</v>
      </c>
      <c r="J133" s="88" t="s">
        <v>453</v>
      </c>
      <c r="K133" s="89" t="n">
        <v>120</v>
      </c>
      <c r="L133" s="89" t="n">
        <v>7080000</v>
      </c>
      <c r="M133" s="89" t="n">
        <v>2376600</v>
      </c>
      <c r="N133" s="90" t="n">
        <f aca="false">IF(A133="제외",0,IF(OR(N(L133)&lt;=0,N(M133)&gt;N(L133)),N(M133)/가정!$B$4,N(L133)))</f>
        <v>7080000</v>
      </c>
      <c r="O133" s="67" t="str">
        <f aca="false">IF(A133="제외","",IF(OR(N(L133)&lt;=0,N(M133)&gt;N(L133)),"택가보정(판매금액÷공급율)",""))</f>
        <v/>
      </c>
    </row>
    <row r="134" customFormat="false" ht="15" hidden="false" customHeight="true" outlineLevel="0" collapsed="false">
      <c r="A134" s="67" t="str">
        <f aca="false">IF(OR(TRIM(C134)="",SUBSTITUTE(C134," ","")="소계"),"제외",IF(ISNUMBER(SEARCH("홍콩",C134)),"HK",IF(ISNUMBER(SEARCH("상해",C134)),"CN",IF(ISNUMBER(SEARCH("대만",C134)),"TW","홀세일"))))</f>
        <v>TW</v>
      </c>
      <c r="B134" s="87" t="s">
        <v>176</v>
      </c>
      <c r="C134" s="87" t="s">
        <v>177</v>
      </c>
      <c r="D134" s="88" t="s">
        <v>178</v>
      </c>
      <c r="E134" s="87" t="n">
        <v>2026</v>
      </c>
      <c r="F134" s="88" t="s">
        <v>421</v>
      </c>
      <c r="G134" s="88" t="s">
        <v>188</v>
      </c>
      <c r="H134" s="87" t="s">
        <v>189</v>
      </c>
      <c r="I134" s="87" t="s">
        <v>454</v>
      </c>
      <c r="J134" s="88" t="s">
        <v>455</v>
      </c>
      <c r="K134" s="89" t="n">
        <v>120</v>
      </c>
      <c r="L134" s="89" t="n">
        <v>17880000</v>
      </c>
      <c r="M134" s="89" t="n">
        <v>7380360</v>
      </c>
      <c r="N134" s="90" t="n">
        <f aca="false">IF(A134="제외",0,IF(OR(N(L134)&lt;=0,N(M134)&gt;N(L134)),N(M134)/가정!$B$4,N(L134)))</f>
        <v>17880000</v>
      </c>
      <c r="O134" s="67" t="str">
        <f aca="false">IF(A134="제외","",IF(OR(N(L134)&lt;=0,N(M134)&gt;N(L134)),"택가보정(판매금액÷공급율)",""))</f>
        <v/>
      </c>
    </row>
    <row r="135" customFormat="false" ht="15" hidden="false" customHeight="true" outlineLevel="0" collapsed="false">
      <c r="A135" s="67" t="str">
        <f aca="false">IF(OR(TRIM(C135)="",SUBSTITUTE(C135," ","")="소계"),"제외",IF(ISNUMBER(SEARCH("홍콩",C135)),"HK",IF(ISNUMBER(SEARCH("상해",C135)),"CN",IF(ISNUMBER(SEARCH("대만",C135)),"TW","홀세일"))))</f>
        <v>TW</v>
      </c>
      <c r="B135" s="87" t="s">
        <v>176</v>
      </c>
      <c r="C135" s="87" t="s">
        <v>177</v>
      </c>
      <c r="D135" s="88" t="s">
        <v>178</v>
      </c>
      <c r="E135" s="87" t="n">
        <v>2026</v>
      </c>
      <c r="F135" s="88" t="s">
        <v>421</v>
      </c>
      <c r="G135" s="88" t="s">
        <v>180</v>
      </c>
      <c r="H135" s="87" t="s">
        <v>189</v>
      </c>
      <c r="I135" s="87" t="s">
        <v>456</v>
      </c>
      <c r="J135" s="88" t="s">
        <v>457</v>
      </c>
      <c r="K135" s="89" t="n">
        <v>180</v>
      </c>
      <c r="L135" s="89" t="n">
        <v>25020000</v>
      </c>
      <c r="M135" s="89" t="n">
        <v>8386380</v>
      </c>
      <c r="N135" s="90" t="n">
        <f aca="false">IF(A135="제외",0,IF(OR(N(L135)&lt;=0,N(M135)&gt;N(L135)),N(M135)/가정!$B$4,N(L135)))</f>
        <v>25020000</v>
      </c>
      <c r="O135" s="67" t="str">
        <f aca="false">IF(A135="제외","",IF(OR(N(L135)&lt;=0,N(M135)&gt;N(L135)),"택가보정(판매금액÷공급율)",""))</f>
        <v/>
      </c>
    </row>
    <row r="136" customFormat="false" ht="15" hidden="false" customHeight="true" outlineLevel="0" collapsed="false">
      <c r="A136" s="67" t="str">
        <f aca="false">IF(OR(TRIM(C136)="",SUBSTITUTE(C136," ","")="소계"),"제외",IF(ISNUMBER(SEARCH("홍콩",C136)),"HK",IF(ISNUMBER(SEARCH("상해",C136)),"CN",IF(ISNUMBER(SEARCH("대만",C136)),"TW","홀세일"))))</f>
        <v>TW</v>
      </c>
      <c r="B136" s="87" t="s">
        <v>176</v>
      </c>
      <c r="C136" s="87" t="s">
        <v>177</v>
      </c>
      <c r="D136" s="88" t="s">
        <v>178</v>
      </c>
      <c r="E136" s="87" t="n">
        <v>2026</v>
      </c>
      <c r="F136" s="88" t="s">
        <v>421</v>
      </c>
      <c r="G136" s="88" t="s">
        <v>180</v>
      </c>
      <c r="H136" s="87" t="s">
        <v>189</v>
      </c>
      <c r="I136" s="87" t="s">
        <v>458</v>
      </c>
      <c r="J136" s="87" t="s">
        <v>459</v>
      </c>
      <c r="K136" s="89" t="n">
        <v>130</v>
      </c>
      <c r="L136" s="89" t="n">
        <v>21970000</v>
      </c>
      <c r="M136" s="89" t="n">
        <v>7246200</v>
      </c>
      <c r="N136" s="90" t="n">
        <f aca="false">IF(A136="제외",0,IF(OR(N(L136)&lt;=0,N(M136)&gt;N(L136)),N(M136)/가정!$B$4,N(L136)))</f>
        <v>21970000</v>
      </c>
      <c r="O136" s="67" t="str">
        <f aca="false">IF(A136="제외","",IF(OR(N(L136)&lt;=0,N(M136)&gt;N(L136)),"택가보정(판매금액÷공급율)",""))</f>
        <v/>
      </c>
    </row>
    <row r="137" customFormat="false" ht="15" hidden="false" customHeight="true" outlineLevel="0" collapsed="false">
      <c r="A137" s="67" t="str">
        <f aca="false">IF(OR(TRIM(C137)="",SUBSTITUTE(C137," ","")="소계"),"제외",IF(ISNUMBER(SEARCH("홍콩",C137)),"HK",IF(ISNUMBER(SEARCH("상해",C137)),"CN",IF(ISNUMBER(SEARCH("대만",C137)),"TW","홀세일"))))</f>
        <v>TW</v>
      </c>
      <c r="B137" s="87" t="s">
        <v>176</v>
      </c>
      <c r="C137" s="87" t="s">
        <v>177</v>
      </c>
      <c r="D137" s="88" t="s">
        <v>178</v>
      </c>
      <c r="E137" s="87" t="n">
        <v>2026</v>
      </c>
      <c r="F137" s="88" t="s">
        <v>421</v>
      </c>
      <c r="G137" s="88" t="s">
        <v>180</v>
      </c>
      <c r="H137" s="87" t="s">
        <v>189</v>
      </c>
      <c r="I137" s="87" t="s">
        <v>460</v>
      </c>
      <c r="J137" s="88" t="s">
        <v>461</v>
      </c>
      <c r="K137" s="89" t="n">
        <v>180</v>
      </c>
      <c r="L137" s="89" t="n">
        <v>28620000</v>
      </c>
      <c r="M137" s="89" t="n">
        <v>9701460</v>
      </c>
      <c r="N137" s="90" t="n">
        <f aca="false">IF(A137="제외",0,IF(OR(N(L137)&lt;=0,N(M137)&gt;N(L137)),N(M137)/가정!$B$4,N(L137)))</f>
        <v>28620000</v>
      </c>
      <c r="O137" s="67" t="str">
        <f aca="false">IF(A137="제외","",IF(OR(N(L137)&lt;=0,N(M137)&gt;N(L137)),"택가보정(판매금액÷공급율)",""))</f>
        <v/>
      </c>
    </row>
    <row r="138" customFormat="false" ht="15" hidden="false" customHeight="true" outlineLevel="0" collapsed="false">
      <c r="A138" s="67" t="str">
        <f aca="false">IF(OR(TRIM(C138)="",SUBSTITUTE(C138," ","")="소계"),"제외",IF(ISNUMBER(SEARCH("홍콩",C138)),"HK",IF(ISNUMBER(SEARCH("상해",C138)),"CN",IF(ISNUMBER(SEARCH("대만",C138)),"TW","홀세일"))))</f>
        <v>TW</v>
      </c>
      <c r="B138" s="87" t="s">
        <v>176</v>
      </c>
      <c r="C138" s="87" t="s">
        <v>177</v>
      </c>
      <c r="D138" s="88" t="s">
        <v>178</v>
      </c>
      <c r="E138" s="87" t="n">
        <v>2026</v>
      </c>
      <c r="F138" s="88" t="s">
        <v>421</v>
      </c>
      <c r="G138" s="88" t="s">
        <v>180</v>
      </c>
      <c r="H138" s="87" t="s">
        <v>189</v>
      </c>
      <c r="I138" s="87" t="s">
        <v>462</v>
      </c>
      <c r="J138" s="88" t="s">
        <v>463</v>
      </c>
      <c r="K138" s="89" t="n">
        <v>180</v>
      </c>
      <c r="L138" s="89" t="n">
        <v>30420000</v>
      </c>
      <c r="M138" s="89" t="n">
        <v>10207260</v>
      </c>
      <c r="N138" s="90" t="n">
        <f aca="false">IF(A138="제외",0,IF(OR(N(L138)&lt;=0,N(M138)&gt;N(L138)),N(M138)/가정!$B$4,N(L138)))</f>
        <v>30420000</v>
      </c>
      <c r="O138" s="67" t="str">
        <f aca="false">IF(A138="제외","",IF(OR(N(L138)&lt;=0,N(M138)&gt;N(L138)),"택가보정(판매금액÷공급율)",""))</f>
        <v/>
      </c>
    </row>
    <row r="139" customFormat="false" ht="15" hidden="false" customHeight="true" outlineLevel="0" collapsed="false">
      <c r="A139" s="67" t="str">
        <f aca="false">IF(OR(TRIM(C139)="",SUBSTITUTE(C139," ","")="소계"),"제외",IF(ISNUMBER(SEARCH("홍콩",C139)),"HK",IF(ISNUMBER(SEARCH("상해",C139)),"CN",IF(ISNUMBER(SEARCH("대만",C139)),"TW","홀세일"))))</f>
        <v>TW</v>
      </c>
      <c r="B139" s="87" t="s">
        <v>176</v>
      </c>
      <c r="C139" s="87" t="s">
        <v>177</v>
      </c>
      <c r="D139" s="88" t="s">
        <v>178</v>
      </c>
      <c r="E139" s="87" t="n">
        <v>2026</v>
      </c>
      <c r="F139" s="88" t="s">
        <v>421</v>
      </c>
      <c r="G139" s="88" t="s">
        <v>180</v>
      </c>
      <c r="H139" s="87" t="s">
        <v>181</v>
      </c>
      <c r="I139" s="87" t="s">
        <v>464</v>
      </c>
      <c r="J139" s="88" t="s">
        <v>465</v>
      </c>
      <c r="K139" s="89" t="n">
        <v>150</v>
      </c>
      <c r="L139" s="89" t="n">
        <v>23850000</v>
      </c>
      <c r="M139" s="89" t="n">
        <v>7851150</v>
      </c>
      <c r="N139" s="90" t="n">
        <f aca="false">IF(A139="제외",0,IF(OR(N(L139)&lt;=0,N(M139)&gt;N(L139)),N(M139)/가정!$B$4,N(L139)))</f>
        <v>23850000</v>
      </c>
      <c r="O139" s="67" t="str">
        <f aca="false">IF(A139="제외","",IF(OR(N(L139)&lt;=0,N(M139)&gt;N(L139)),"택가보정(판매금액÷공급율)",""))</f>
        <v/>
      </c>
    </row>
    <row r="140" customFormat="false" ht="15" hidden="false" customHeight="true" outlineLevel="0" collapsed="false">
      <c r="A140" s="67" t="str">
        <f aca="false">IF(OR(TRIM(C140)="",SUBSTITUTE(C140," ","")="소계"),"제외",IF(ISNUMBER(SEARCH("홍콩",C140)),"HK",IF(ISNUMBER(SEARCH("상해",C140)),"CN",IF(ISNUMBER(SEARCH("대만",C140)),"TW","홀세일"))))</f>
        <v>TW</v>
      </c>
      <c r="B140" s="87" t="s">
        <v>176</v>
      </c>
      <c r="C140" s="87" t="s">
        <v>177</v>
      </c>
      <c r="D140" s="88" t="s">
        <v>178</v>
      </c>
      <c r="E140" s="87" t="n">
        <v>2026</v>
      </c>
      <c r="F140" s="88" t="s">
        <v>421</v>
      </c>
      <c r="G140" s="88" t="s">
        <v>180</v>
      </c>
      <c r="H140" s="87" t="s">
        <v>189</v>
      </c>
      <c r="I140" s="87" t="s">
        <v>466</v>
      </c>
      <c r="J140" s="87" t="s">
        <v>467</v>
      </c>
      <c r="K140" s="89" t="n">
        <v>360</v>
      </c>
      <c r="L140" s="89" t="n">
        <v>212400000</v>
      </c>
      <c r="M140" s="89" t="n">
        <v>73605960</v>
      </c>
      <c r="N140" s="90" t="n">
        <f aca="false">IF(A140="제외",0,IF(OR(N(L140)&lt;=0,N(M140)&gt;N(L140)),N(M140)/가정!$B$4,N(L140)))</f>
        <v>212400000</v>
      </c>
      <c r="O140" s="67" t="str">
        <f aca="false">IF(A140="제외","",IF(OR(N(L140)&lt;=0,N(M140)&gt;N(L140)),"택가보정(판매금액÷공급율)",""))</f>
        <v/>
      </c>
    </row>
    <row r="141" customFormat="false" ht="15" hidden="false" customHeight="true" outlineLevel="0" collapsed="false">
      <c r="A141" s="67" t="str">
        <f aca="false">IF(OR(TRIM(C141)="",SUBSTITUTE(C141," ","")="소계"),"제외",IF(ISNUMBER(SEARCH("홍콩",C141)),"HK",IF(ISNUMBER(SEARCH("상해",C141)),"CN",IF(ISNUMBER(SEARCH("대만",C141)),"TW","홀세일"))))</f>
        <v>TW</v>
      </c>
      <c r="B141" s="87" t="s">
        <v>176</v>
      </c>
      <c r="C141" s="87" t="s">
        <v>177</v>
      </c>
      <c r="D141" s="88" t="s">
        <v>178</v>
      </c>
      <c r="E141" s="87" t="n">
        <v>2026</v>
      </c>
      <c r="F141" s="88" t="s">
        <v>421</v>
      </c>
      <c r="G141" s="88" t="s">
        <v>180</v>
      </c>
      <c r="H141" s="87" t="s">
        <v>189</v>
      </c>
      <c r="I141" s="87" t="s">
        <v>468</v>
      </c>
      <c r="J141" s="87" t="s">
        <v>469</v>
      </c>
      <c r="K141" s="89" t="n">
        <v>260</v>
      </c>
      <c r="L141" s="89" t="n">
        <v>28340000</v>
      </c>
      <c r="M141" s="89" t="n">
        <v>10051080</v>
      </c>
      <c r="N141" s="90" t="n">
        <f aca="false">IF(A141="제외",0,IF(OR(N(L141)&lt;=0,N(M141)&gt;N(L141)),N(M141)/가정!$B$4,N(L141)))</f>
        <v>28340000</v>
      </c>
      <c r="O141" s="67" t="str">
        <f aca="false">IF(A141="제외","",IF(OR(N(L141)&lt;=0,N(M141)&gt;N(L141)),"택가보정(판매금액÷공급율)",""))</f>
        <v/>
      </c>
    </row>
    <row r="142" customFormat="false" ht="15" hidden="false" customHeight="true" outlineLevel="0" collapsed="false">
      <c r="A142" s="67" t="str">
        <f aca="false">IF(OR(TRIM(C142)="",SUBSTITUTE(C142," ","")="소계"),"제외",IF(ISNUMBER(SEARCH("홍콩",C142)),"HK",IF(ISNUMBER(SEARCH("상해",C142)),"CN",IF(ISNUMBER(SEARCH("대만",C142)),"TW","홀세일"))))</f>
        <v>TW</v>
      </c>
      <c r="B142" s="87" t="s">
        <v>176</v>
      </c>
      <c r="C142" s="87" t="s">
        <v>177</v>
      </c>
      <c r="D142" s="88" t="s">
        <v>178</v>
      </c>
      <c r="E142" s="87" t="n">
        <v>2026</v>
      </c>
      <c r="F142" s="88" t="s">
        <v>421</v>
      </c>
      <c r="G142" s="88" t="s">
        <v>180</v>
      </c>
      <c r="H142" s="87" t="s">
        <v>189</v>
      </c>
      <c r="I142" s="87" t="s">
        <v>470</v>
      </c>
      <c r="J142" s="87" t="s">
        <v>471</v>
      </c>
      <c r="K142" s="89" t="n">
        <v>150</v>
      </c>
      <c r="L142" s="89" t="n">
        <v>13350000</v>
      </c>
      <c r="M142" s="89" t="n">
        <v>4664850</v>
      </c>
      <c r="N142" s="90" t="n">
        <f aca="false">IF(A142="제외",0,IF(OR(N(L142)&lt;=0,N(M142)&gt;N(L142)),N(M142)/가정!$B$4,N(L142)))</f>
        <v>13350000</v>
      </c>
      <c r="O142" s="67" t="str">
        <f aca="false">IF(A142="제외","",IF(OR(N(L142)&lt;=0,N(M142)&gt;N(L142)),"택가보정(판매금액÷공급율)",""))</f>
        <v/>
      </c>
    </row>
    <row r="143" customFormat="false" ht="15" hidden="false" customHeight="true" outlineLevel="0" collapsed="false">
      <c r="A143" s="67" t="str">
        <f aca="false">IF(OR(TRIM(C143)="",SUBSTITUTE(C143," ","")="소계"),"제외",IF(ISNUMBER(SEARCH("홍콩",C143)),"HK",IF(ISNUMBER(SEARCH("상해",C143)),"CN",IF(ISNUMBER(SEARCH("대만",C143)),"TW","홀세일"))))</f>
        <v>TW</v>
      </c>
      <c r="B143" s="87" t="s">
        <v>176</v>
      </c>
      <c r="C143" s="87" t="s">
        <v>177</v>
      </c>
      <c r="D143" s="88" t="s">
        <v>178</v>
      </c>
      <c r="E143" s="87" t="n">
        <v>2026</v>
      </c>
      <c r="F143" s="88" t="s">
        <v>421</v>
      </c>
      <c r="G143" s="88" t="s">
        <v>180</v>
      </c>
      <c r="H143" s="87" t="s">
        <v>189</v>
      </c>
      <c r="I143" s="87" t="s">
        <v>472</v>
      </c>
      <c r="J143" s="88" t="s">
        <v>473</v>
      </c>
      <c r="K143" s="89" t="n">
        <v>430</v>
      </c>
      <c r="L143" s="89" t="n">
        <v>64070000</v>
      </c>
      <c r="M143" s="89" t="n">
        <v>22271420</v>
      </c>
      <c r="N143" s="90" t="n">
        <f aca="false">IF(A143="제외",0,IF(OR(N(L143)&lt;=0,N(M143)&gt;N(L143)),N(M143)/가정!$B$4,N(L143)))</f>
        <v>64070000</v>
      </c>
      <c r="O143" s="67" t="str">
        <f aca="false">IF(A143="제외","",IF(OR(N(L143)&lt;=0,N(M143)&gt;N(L143)),"택가보정(판매금액÷공급율)",""))</f>
        <v/>
      </c>
    </row>
    <row r="144" customFormat="false" ht="15" hidden="false" customHeight="true" outlineLevel="0" collapsed="false">
      <c r="A144" s="67" t="str">
        <f aca="false">IF(OR(TRIM(C144)="",SUBSTITUTE(C144," ","")="소계"),"제외",IF(ISNUMBER(SEARCH("홍콩",C144)),"HK",IF(ISNUMBER(SEARCH("상해",C144)),"CN",IF(ISNUMBER(SEARCH("대만",C144)),"TW","홀세일"))))</f>
        <v>TW</v>
      </c>
      <c r="B144" s="87" t="s">
        <v>176</v>
      </c>
      <c r="C144" s="87" t="s">
        <v>177</v>
      </c>
      <c r="D144" s="88" t="s">
        <v>178</v>
      </c>
      <c r="E144" s="87" t="n">
        <v>2026</v>
      </c>
      <c r="F144" s="88" t="s">
        <v>421</v>
      </c>
      <c r="G144" s="88" t="s">
        <v>180</v>
      </c>
      <c r="H144" s="87" t="s">
        <v>189</v>
      </c>
      <c r="I144" s="87" t="s">
        <v>474</v>
      </c>
      <c r="J144" s="88" t="s">
        <v>475</v>
      </c>
      <c r="K144" s="89" t="n">
        <v>430</v>
      </c>
      <c r="L144" s="89" t="n">
        <v>64070000</v>
      </c>
      <c r="M144" s="89" t="n">
        <v>22271420</v>
      </c>
      <c r="N144" s="90" t="n">
        <f aca="false">IF(A144="제외",0,IF(OR(N(L144)&lt;=0,N(M144)&gt;N(L144)),N(M144)/가정!$B$4,N(L144)))</f>
        <v>64070000</v>
      </c>
      <c r="O144" s="67" t="str">
        <f aca="false">IF(A144="제외","",IF(OR(N(L144)&lt;=0,N(M144)&gt;N(L144)),"택가보정(판매금액÷공급율)",""))</f>
        <v/>
      </c>
    </row>
    <row r="145" customFormat="false" ht="15" hidden="false" customHeight="true" outlineLevel="0" collapsed="false">
      <c r="A145" s="67" t="str">
        <f aca="false">IF(OR(TRIM(C145)="",SUBSTITUTE(C145," ","")="소계"),"제외",IF(ISNUMBER(SEARCH("홍콩",C145)),"HK",IF(ISNUMBER(SEARCH("상해",C145)),"CN",IF(ISNUMBER(SEARCH("대만",C145)),"TW","홀세일"))))</f>
        <v>TW</v>
      </c>
      <c r="B145" s="87" t="s">
        <v>176</v>
      </c>
      <c r="C145" s="87" t="s">
        <v>177</v>
      </c>
      <c r="D145" s="88" t="s">
        <v>178</v>
      </c>
      <c r="E145" s="87" t="n">
        <v>2026</v>
      </c>
      <c r="F145" s="88" t="s">
        <v>421</v>
      </c>
      <c r="G145" s="88" t="s">
        <v>180</v>
      </c>
      <c r="H145" s="87" t="s">
        <v>181</v>
      </c>
      <c r="I145" s="87" t="s">
        <v>476</v>
      </c>
      <c r="J145" s="88" t="s">
        <v>477</v>
      </c>
      <c r="K145" s="89" t="n">
        <v>100</v>
      </c>
      <c r="L145" s="89" t="n">
        <v>13900000</v>
      </c>
      <c r="M145" s="89" t="n">
        <v>4804900</v>
      </c>
      <c r="N145" s="90" t="n">
        <f aca="false">IF(A145="제외",0,IF(OR(N(L145)&lt;=0,N(M145)&gt;N(L145)),N(M145)/가정!$B$4,N(L145)))</f>
        <v>13900000</v>
      </c>
      <c r="O145" s="67" t="str">
        <f aca="false">IF(A145="제외","",IF(OR(N(L145)&lt;=0,N(M145)&gt;N(L145)),"택가보정(판매금액÷공급율)",""))</f>
        <v/>
      </c>
    </row>
    <row r="146" customFormat="false" ht="15" hidden="false" customHeight="true" outlineLevel="0" collapsed="false">
      <c r="A146" s="67" t="str">
        <f aca="false">IF(OR(TRIM(C146)="",SUBSTITUTE(C146," ","")="소계"),"제외",IF(ISNUMBER(SEARCH("홍콩",C146)),"HK",IF(ISNUMBER(SEARCH("상해",C146)),"CN",IF(ISNUMBER(SEARCH("대만",C146)),"TW","홀세일"))))</f>
        <v>TW</v>
      </c>
      <c r="B146" s="87" t="s">
        <v>176</v>
      </c>
      <c r="C146" s="87" t="s">
        <v>177</v>
      </c>
      <c r="D146" s="88" t="s">
        <v>178</v>
      </c>
      <c r="E146" s="87" t="n">
        <v>2026</v>
      </c>
      <c r="F146" s="88" t="s">
        <v>421</v>
      </c>
      <c r="G146" s="88" t="s">
        <v>180</v>
      </c>
      <c r="H146" s="87" t="s">
        <v>189</v>
      </c>
      <c r="I146" s="87" t="s">
        <v>478</v>
      </c>
      <c r="J146" s="88" t="s">
        <v>479</v>
      </c>
      <c r="K146" s="89" t="n">
        <v>70</v>
      </c>
      <c r="L146" s="89" t="n">
        <v>18130000</v>
      </c>
      <c r="M146" s="89" t="n">
        <v>5143950</v>
      </c>
      <c r="N146" s="90" t="n">
        <f aca="false">IF(A146="제외",0,IF(OR(N(L146)&lt;=0,N(M146)&gt;N(L146)),N(M146)/가정!$B$4,N(L146)))</f>
        <v>18130000</v>
      </c>
      <c r="O146" s="67" t="str">
        <f aca="false">IF(A146="제외","",IF(OR(N(L146)&lt;=0,N(M146)&gt;N(L146)),"택가보정(판매금액÷공급율)",""))</f>
        <v/>
      </c>
    </row>
    <row r="147" customFormat="false" ht="15" hidden="false" customHeight="true" outlineLevel="0" collapsed="false">
      <c r="A147" s="67" t="str">
        <f aca="false">IF(OR(TRIM(C147)="",SUBSTITUTE(C147," ","")="소계"),"제외",IF(ISNUMBER(SEARCH("홍콩",C147)),"HK",IF(ISNUMBER(SEARCH("상해",C147)),"CN",IF(ISNUMBER(SEARCH("대만",C147)),"TW","홀세일"))))</f>
        <v>TW</v>
      </c>
      <c r="B147" s="87" t="s">
        <v>176</v>
      </c>
      <c r="C147" s="87" t="s">
        <v>177</v>
      </c>
      <c r="D147" s="88" t="s">
        <v>178</v>
      </c>
      <c r="E147" s="87" t="n">
        <v>2026</v>
      </c>
      <c r="F147" s="88" t="s">
        <v>421</v>
      </c>
      <c r="G147" s="88" t="s">
        <v>180</v>
      </c>
      <c r="H147" s="87" t="s">
        <v>181</v>
      </c>
      <c r="I147" s="87" t="s">
        <v>480</v>
      </c>
      <c r="J147" s="88" t="s">
        <v>481</v>
      </c>
      <c r="K147" s="89" t="n">
        <v>395</v>
      </c>
      <c r="L147" s="89" t="n">
        <v>137855000</v>
      </c>
      <c r="M147" s="89" t="n">
        <v>46933900</v>
      </c>
      <c r="N147" s="90" t="n">
        <f aca="false">IF(A147="제외",0,IF(OR(N(L147)&lt;=0,N(M147)&gt;N(L147)),N(M147)/가정!$B$4,N(L147)))</f>
        <v>137855000</v>
      </c>
      <c r="O147" s="67" t="str">
        <f aca="false">IF(A147="제외","",IF(OR(N(L147)&lt;=0,N(M147)&gt;N(L147)),"택가보정(판매금액÷공급율)",""))</f>
        <v/>
      </c>
    </row>
    <row r="148" customFormat="false" ht="15" hidden="false" customHeight="true" outlineLevel="0" collapsed="false">
      <c r="A148" s="67" t="str">
        <f aca="false">IF(OR(TRIM(C148)="",SUBSTITUTE(C148," ","")="소계"),"제외",IF(ISNUMBER(SEARCH("홍콩",C148)),"HK",IF(ISNUMBER(SEARCH("상해",C148)),"CN",IF(ISNUMBER(SEARCH("대만",C148)),"TW","홀세일"))))</f>
        <v>TW</v>
      </c>
      <c r="B148" s="87" t="s">
        <v>176</v>
      </c>
      <c r="C148" s="87" t="s">
        <v>177</v>
      </c>
      <c r="D148" s="88" t="s">
        <v>178</v>
      </c>
      <c r="E148" s="87" t="n">
        <v>2026</v>
      </c>
      <c r="F148" s="88" t="s">
        <v>421</v>
      </c>
      <c r="G148" s="88" t="s">
        <v>180</v>
      </c>
      <c r="H148" s="87" t="s">
        <v>181</v>
      </c>
      <c r="I148" s="87" t="s">
        <v>482</v>
      </c>
      <c r="J148" s="88" t="s">
        <v>483</v>
      </c>
      <c r="K148" s="89" t="n">
        <v>100</v>
      </c>
      <c r="L148" s="89" t="n">
        <v>17900000</v>
      </c>
      <c r="M148" s="89" t="n">
        <v>6340100</v>
      </c>
      <c r="N148" s="90" t="n">
        <f aca="false">IF(A148="제외",0,IF(OR(N(L148)&lt;=0,N(M148)&gt;N(L148)),N(M148)/가정!$B$4,N(L148)))</f>
        <v>17900000</v>
      </c>
      <c r="O148" s="67" t="str">
        <f aca="false">IF(A148="제외","",IF(OR(N(L148)&lt;=0,N(M148)&gt;N(L148)),"택가보정(판매금액÷공급율)",""))</f>
        <v/>
      </c>
    </row>
    <row r="149" customFormat="false" ht="15" hidden="false" customHeight="true" outlineLevel="0" collapsed="false">
      <c r="A149" s="67" t="str">
        <f aca="false">IF(OR(TRIM(C149)="",SUBSTITUTE(C149," ","")="소계"),"제외",IF(ISNUMBER(SEARCH("홍콩",C149)),"HK",IF(ISNUMBER(SEARCH("상해",C149)),"CN",IF(ISNUMBER(SEARCH("대만",C149)),"TW","홀세일"))))</f>
        <v>TW</v>
      </c>
      <c r="B149" s="87" t="s">
        <v>176</v>
      </c>
      <c r="C149" s="87" t="s">
        <v>177</v>
      </c>
      <c r="D149" s="88" t="s">
        <v>178</v>
      </c>
      <c r="E149" s="87" t="n">
        <v>2026</v>
      </c>
      <c r="F149" s="88" t="s">
        <v>421</v>
      </c>
      <c r="G149" s="88" t="s">
        <v>180</v>
      </c>
      <c r="H149" s="87" t="s">
        <v>181</v>
      </c>
      <c r="I149" s="87" t="s">
        <v>484</v>
      </c>
      <c r="J149" s="88" t="s">
        <v>485</v>
      </c>
      <c r="K149" s="89" t="n">
        <v>200</v>
      </c>
      <c r="L149" s="89" t="n">
        <v>43800000</v>
      </c>
      <c r="M149" s="89" t="n">
        <v>16202000</v>
      </c>
      <c r="N149" s="90" t="n">
        <f aca="false">IF(A149="제외",0,IF(OR(N(L149)&lt;=0,N(M149)&gt;N(L149)),N(M149)/가정!$B$4,N(L149)))</f>
        <v>43800000</v>
      </c>
      <c r="O149" s="67" t="str">
        <f aca="false">IF(A149="제외","",IF(OR(N(L149)&lt;=0,N(M149)&gt;N(L149)),"택가보정(판매금액÷공급율)",""))</f>
        <v/>
      </c>
    </row>
    <row r="150" customFormat="false" ht="15" hidden="false" customHeight="true" outlineLevel="0" collapsed="false">
      <c r="A150" s="67" t="str">
        <f aca="false">IF(OR(TRIM(C150)="",SUBSTITUTE(C150," ","")="소계"),"제외",IF(ISNUMBER(SEARCH("홍콩",C150)),"HK",IF(ISNUMBER(SEARCH("상해",C150)),"CN",IF(ISNUMBER(SEARCH("대만",C150)),"TW","홀세일"))))</f>
        <v>TW</v>
      </c>
      <c r="B150" s="87" t="s">
        <v>176</v>
      </c>
      <c r="C150" s="87" t="s">
        <v>177</v>
      </c>
      <c r="D150" s="88" t="s">
        <v>178</v>
      </c>
      <c r="E150" s="87" t="n">
        <v>2026</v>
      </c>
      <c r="F150" s="88" t="s">
        <v>421</v>
      </c>
      <c r="G150" s="88" t="s">
        <v>180</v>
      </c>
      <c r="H150" s="87" t="s">
        <v>189</v>
      </c>
      <c r="I150" s="87" t="s">
        <v>486</v>
      </c>
      <c r="J150" s="88" t="s">
        <v>487</v>
      </c>
      <c r="K150" s="89" t="n">
        <v>560</v>
      </c>
      <c r="L150" s="89" t="n">
        <v>105840000</v>
      </c>
      <c r="M150" s="89" t="n">
        <v>36771840</v>
      </c>
      <c r="N150" s="90" t="n">
        <f aca="false">IF(A150="제외",0,IF(OR(N(L150)&lt;=0,N(M150)&gt;N(L150)),N(M150)/가정!$B$4,N(L150)))</f>
        <v>105840000</v>
      </c>
      <c r="O150" s="67" t="str">
        <f aca="false">IF(A150="제외","",IF(OR(N(L150)&lt;=0,N(M150)&gt;N(L150)),"택가보정(판매금액÷공급율)",""))</f>
        <v/>
      </c>
    </row>
    <row r="151" customFormat="false" ht="15" hidden="false" customHeight="true" outlineLevel="0" collapsed="false">
      <c r="A151" s="67" t="str">
        <f aca="false">IF(OR(TRIM(C151)="",SUBSTITUTE(C151," ","")="소계"),"제외",IF(ISNUMBER(SEARCH("홍콩",C151)),"HK",IF(ISNUMBER(SEARCH("상해",C151)),"CN",IF(ISNUMBER(SEARCH("대만",C151)),"TW","홀세일"))))</f>
        <v>TW</v>
      </c>
      <c r="B151" s="87" t="s">
        <v>176</v>
      </c>
      <c r="C151" s="87" t="s">
        <v>177</v>
      </c>
      <c r="D151" s="88" t="s">
        <v>178</v>
      </c>
      <c r="E151" s="87" t="n">
        <v>2026</v>
      </c>
      <c r="F151" s="88" t="s">
        <v>421</v>
      </c>
      <c r="G151" s="88" t="s">
        <v>180</v>
      </c>
      <c r="H151" s="87" t="s">
        <v>189</v>
      </c>
      <c r="I151" s="87" t="s">
        <v>488</v>
      </c>
      <c r="J151" s="88" t="s">
        <v>489</v>
      </c>
      <c r="K151" s="89" t="n">
        <v>550</v>
      </c>
      <c r="L151" s="89" t="n">
        <v>59950000</v>
      </c>
      <c r="M151" s="89" t="n">
        <v>20369800</v>
      </c>
      <c r="N151" s="90" t="n">
        <f aca="false">IF(A151="제외",0,IF(OR(N(L151)&lt;=0,N(M151)&gt;N(L151)),N(M151)/가정!$B$4,N(L151)))</f>
        <v>59950000</v>
      </c>
      <c r="O151" s="67" t="str">
        <f aca="false">IF(A151="제외","",IF(OR(N(L151)&lt;=0,N(M151)&gt;N(L151)),"택가보정(판매금액÷공급율)",""))</f>
        <v/>
      </c>
    </row>
    <row r="152" customFormat="false" ht="15" hidden="false" customHeight="true" outlineLevel="0" collapsed="false">
      <c r="A152" s="67" t="str">
        <f aca="false">IF(OR(TRIM(C152)="",SUBSTITUTE(C152," ","")="소계"),"제외",IF(ISNUMBER(SEARCH("홍콩",C152)),"HK",IF(ISNUMBER(SEARCH("상해",C152)),"CN",IF(ISNUMBER(SEARCH("대만",C152)),"TW","홀세일"))))</f>
        <v>TW</v>
      </c>
      <c r="B152" s="87" t="s">
        <v>176</v>
      </c>
      <c r="C152" s="87" t="s">
        <v>177</v>
      </c>
      <c r="D152" s="88" t="s">
        <v>178</v>
      </c>
      <c r="E152" s="87" t="n">
        <v>2026</v>
      </c>
      <c r="F152" s="88" t="s">
        <v>421</v>
      </c>
      <c r="G152" s="88" t="s">
        <v>180</v>
      </c>
      <c r="H152" s="87" t="s">
        <v>189</v>
      </c>
      <c r="I152" s="87" t="s">
        <v>490</v>
      </c>
      <c r="J152" s="88" t="s">
        <v>491</v>
      </c>
      <c r="K152" s="89" t="n">
        <v>700</v>
      </c>
      <c r="L152" s="89" t="n">
        <v>55300000</v>
      </c>
      <c r="M152" s="89" t="n">
        <v>18762800</v>
      </c>
      <c r="N152" s="90" t="n">
        <f aca="false">IF(A152="제외",0,IF(OR(N(L152)&lt;=0,N(M152)&gt;N(L152)),N(M152)/가정!$B$4,N(L152)))</f>
        <v>55300000</v>
      </c>
      <c r="O152" s="67" t="str">
        <f aca="false">IF(A152="제외","",IF(OR(N(L152)&lt;=0,N(M152)&gt;N(L152)),"택가보정(판매금액÷공급율)",""))</f>
        <v/>
      </c>
    </row>
    <row r="153" customFormat="false" ht="15" hidden="false" customHeight="true" outlineLevel="0" collapsed="false">
      <c r="A153" s="67" t="str">
        <f aca="false">IF(OR(TRIM(C153)="",SUBSTITUTE(C153," ","")="소계"),"제외",IF(ISNUMBER(SEARCH("홍콩",C153)),"HK",IF(ISNUMBER(SEARCH("상해",C153)),"CN",IF(ISNUMBER(SEARCH("대만",C153)),"TW","홀세일"))))</f>
        <v>TW</v>
      </c>
      <c r="B153" s="87" t="s">
        <v>176</v>
      </c>
      <c r="C153" s="87" t="s">
        <v>177</v>
      </c>
      <c r="D153" s="88" t="s">
        <v>178</v>
      </c>
      <c r="E153" s="87" t="n">
        <v>2026</v>
      </c>
      <c r="F153" s="88" t="s">
        <v>421</v>
      </c>
      <c r="G153" s="88" t="s">
        <v>180</v>
      </c>
      <c r="H153" s="87" t="s">
        <v>189</v>
      </c>
      <c r="I153" s="87" t="s">
        <v>492</v>
      </c>
      <c r="J153" s="88" t="s">
        <v>493</v>
      </c>
      <c r="K153" s="89" t="n">
        <v>580</v>
      </c>
      <c r="L153" s="89" t="n">
        <v>63220000</v>
      </c>
      <c r="M153" s="89" t="n">
        <v>20012900</v>
      </c>
      <c r="N153" s="90" t="n">
        <f aca="false">IF(A153="제외",0,IF(OR(N(L153)&lt;=0,N(M153)&gt;N(L153)),N(M153)/가정!$B$4,N(L153)))</f>
        <v>63220000</v>
      </c>
      <c r="O153" s="67" t="str">
        <f aca="false">IF(A153="제외","",IF(OR(N(L153)&lt;=0,N(M153)&gt;N(L153)),"택가보정(판매금액÷공급율)",""))</f>
        <v/>
      </c>
    </row>
    <row r="154" customFormat="false" ht="15" hidden="false" customHeight="true" outlineLevel="0" collapsed="false">
      <c r="A154" s="67" t="str">
        <f aca="false">IF(OR(TRIM(C154)="",SUBSTITUTE(C154," ","")="소계"),"제외",IF(ISNUMBER(SEARCH("홍콩",C154)),"HK",IF(ISNUMBER(SEARCH("상해",C154)),"CN",IF(ISNUMBER(SEARCH("대만",C154)),"TW","홀세일"))))</f>
        <v>TW</v>
      </c>
      <c r="B154" s="87" t="s">
        <v>176</v>
      </c>
      <c r="C154" s="87" t="s">
        <v>177</v>
      </c>
      <c r="D154" s="88" t="s">
        <v>178</v>
      </c>
      <c r="E154" s="87" t="n">
        <v>2026</v>
      </c>
      <c r="F154" s="88" t="s">
        <v>421</v>
      </c>
      <c r="G154" s="88" t="s">
        <v>180</v>
      </c>
      <c r="H154" s="87" t="s">
        <v>189</v>
      </c>
      <c r="I154" s="87" t="s">
        <v>494</v>
      </c>
      <c r="J154" s="88" t="s">
        <v>495</v>
      </c>
      <c r="K154" s="89" t="n">
        <v>450</v>
      </c>
      <c r="L154" s="89" t="n">
        <v>26550000</v>
      </c>
      <c r="M154" s="89" t="n">
        <v>9013950</v>
      </c>
      <c r="N154" s="90" t="n">
        <f aca="false">IF(A154="제외",0,IF(OR(N(L154)&lt;=0,N(M154)&gt;N(L154)),N(M154)/가정!$B$4,N(L154)))</f>
        <v>26550000</v>
      </c>
      <c r="O154" s="67" t="str">
        <f aca="false">IF(A154="제외","",IF(OR(N(L154)&lt;=0,N(M154)&gt;N(L154)),"택가보정(판매금액÷공급율)",""))</f>
        <v/>
      </c>
    </row>
    <row r="155" customFormat="false" ht="15" hidden="false" customHeight="true" outlineLevel="0" collapsed="false">
      <c r="A155" s="67" t="str">
        <f aca="false">IF(OR(TRIM(C155)="",SUBSTITUTE(C155," ","")="소계"),"제외",IF(ISNUMBER(SEARCH("홍콩",C155)),"HK",IF(ISNUMBER(SEARCH("상해",C155)),"CN",IF(ISNUMBER(SEARCH("대만",C155)),"TW","홀세일"))))</f>
        <v>TW</v>
      </c>
      <c r="B155" s="87" t="s">
        <v>176</v>
      </c>
      <c r="C155" s="87" t="s">
        <v>177</v>
      </c>
      <c r="D155" s="88" t="s">
        <v>178</v>
      </c>
      <c r="E155" s="87" t="n">
        <v>2026</v>
      </c>
      <c r="F155" s="88" t="s">
        <v>421</v>
      </c>
      <c r="G155" s="88" t="s">
        <v>180</v>
      </c>
      <c r="H155" s="87" t="s">
        <v>189</v>
      </c>
      <c r="I155" s="87" t="s">
        <v>496</v>
      </c>
      <c r="J155" s="88" t="s">
        <v>497</v>
      </c>
      <c r="K155" s="89" t="n">
        <v>550</v>
      </c>
      <c r="L155" s="89" t="n">
        <v>43450000</v>
      </c>
      <c r="M155" s="89" t="n">
        <v>13484900</v>
      </c>
      <c r="N155" s="90" t="n">
        <f aca="false">IF(A155="제외",0,IF(OR(N(L155)&lt;=0,N(M155)&gt;N(L155)),N(M155)/가정!$B$4,N(L155)))</f>
        <v>43450000</v>
      </c>
      <c r="O155" s="67" t="str">
        <f aca="false">IF(A155="제외","",IF(OR(N(L155)&lt;=0,N(M155)&gt;N(L155)),"택가보정(판매금액÷공급율)",""))</f>
        <v/>
      </c>
    </row>
    <row r="156" customFormat="false" ht="15" hidden="false" customHeight="true" outlineLevel="0" collapsed="false">
      <c r="A156" s="67" t="str">
        <f aca="false">IF(OR(TRIM(C156)="",SUBSTITUTE(C156," ","")="소계"),"제외",IF(ISNUMBER(SEARCH("홍콩",C156)),"HK",IF(ISNUMBER(SEARCH("상해",C156)),"CN",IF(ISNUMBER(SEARCH("대만",C156)),"TW","홀세일"))))</f>
        <v>TW</v>
      </c>
      <c r="B156" s="87" t="s">
        <v>176</v>
      </c>
      <c r="C156" s="87" t="s">
        <v>177</v>
      </c>
      <c r="D156" s="88" t="s">
        <v>178</v>
      </c>
      <c r="E156" s="87" t="n">
        <v>2026</v>
      </c>
      <c r="F156" s="88" t="s">
        <v>421</v>
      </c>
      <c r="G156" s="88" t="s">
        <v>180</v>
      </c>
      <c r="H156" s="87" t="s">
        <v>189</v>
      </c>
      <c r="I156" s="87" t="s">
        <v>498</v>
      </c>
      <c r="J156" s="88" t="s">
        <v>499</v>
      </c>
      <c r="K156" s="89" t="n">
        <v>390</v>
      </c>
      <c r="L156" s="89" t="n">
        <v>26910000</v>
      </c>
      <c r="M156" s="89" t="n">
        <v>8154120</v>
      </c>
      <c r="N156" s="90" t="n">
        <f aca="false">IF(A156="제외",0,IF(OR(N(L156)&lt;=0,N(M156)&gt;N(L156)),N(M156)/가정!$B$4,N(L156)))</f>
        <v>26910000</v>
      </c>
      <c r="O156" s="67" t="str">
        <f aca="false">IF(A156="제외","",IF(OR(N(L156)&lt;=0,N(M156)&gt;N(L156)),"택가보정(판매금액÷공급율)",""))</f>
        <v/>
      </c>
    </row>
    <row r="157" customFormat="false" ht="15" hidden="false" customHeight="true" outlineLevel="0" collapsed="false">
      <c r="A157" s="67" t="str">
        <f aca="false">IF(OR(TRIM(C157)="",SUBSTITUTE(C157," ","")="소계"),"제외",IF(ISNUMBER(SEARCH("홍콩",C157)),"HK",IF(ISNUMBER(SEARCH("상해",C157)),"CN",IF(ISNUMBER(SEARCH("대만",C157)),"TW","홀세일"))))</f>
        <v>TW</v>
      </c>
      <c r="B157" s="87" t="s">
        <v>176</v>
      </c>
      <c r="C157" s="87" t="s">
        <v>177</v>
      </c>
      <c r="D157" s="88" t="s">
        <v>178</v>
      </c>
      <c r="E157" s="87" t="n">
        <v>2026</v>
      </c>
      <c r="F157" s="88" t="s">
        <v>421</v>
      </c>
      <c r="G157" s="88" t="s">
        <v>180</v>
      </c>
      <c r="H157" s="87" t="s">
        <v>189</v>
      </c>
      <c r="I157" s="87" t="s">
        <v>500</v>
      </c>
      <c r="J157" s="88" t="s">
        <v>501</v>
      </c>
      <c r="K157" s="89" t="n">
        <v>120</v>
      </c>
      <c r="L157" s="89" t="n">
        <v>9480000</v>
      </c>
      <c r="M157" s="89" t="n">
        <v>2759880</v>
      </c>
      <c r="N157" s="90" t="n">
        <f aca="false">IF(A157="제외",0,IF(OR(N(L157)&lt;=0,N(M157)&gt;N(L157)),N(M157)/가정!$B$4,N(L157)))</f>
        <v>9480000</v>
      </c>
      <c r="O157" s="67" t="str">
        <f aca="false">IF(A157="제외","",IF(OR(N(L157)&lt;=0,N(M157)&gt;N(L157)),"택가보정(판매금액÷공급율)",""))</f>
        <v/>
      </c>
    </row>
    <row r="158" customFormat="false" ht="15" hidden="false" customHeight="true" outlineLevel="0" collapsed="false">
      <c r="A158" s="67" t="str">
        <f aca="false">IF(OR(TRIM(C158)="",SUBSTITUTE(C158," ","")="소계"),"제외",IF(ISNUMBER(SEARCH("홍콩",C158)),"HK",IF(ISNUMBER(SEARCH("상해",C158)),"CN",IF(ISNUMBER(SEARCH("대만",C158)),"TW","홀세일"))))</f>
        <v>TW</v>
      </c>
      <c r="B158" s="87" t="s">
        <v>176</v>
      </c>
      <c r="C158" s="87" t="s">
        <v>177</v>
      </c>
      <c r="D158" s="88" t="s">
        <v>178</v>
      </c>
      <c r="E158" s="87" t="n">
        <v>2026</v>
      </c>
      <c r="F158" s="88" t="s">
        <v>421</v>
      </c>
      <c r="G158" s="88" t="s">
        <v>180</v>
      </c>
      <c r="H158" s="87" t="s">
        <v>189</v>
      </c>
      <c r="I158" s="87" t="s">
        <v>502</v>
      </c>
      <c r="J158" s="87" t="s">
        <v>503</v>
      </c>
      <c r="K158" s="89" t="n">
        <v>300</v>
      </c>
      <c r="L158" s="89" t="n">
        <v>29700000</v>
      </c>
      <c r="M158" s="89" t="n">
        <v>10189500</v>
      </c>
      <c r="N158" s="90" t="n">
        <f aca="false">IF(A158="제외",0,IF(OR(N(L158)&lt;=0,N(M158)&gt;N(L158)),N(M158)/가정!$B$4,N(L158)))</f>
        <v>29700000</v>
      </c>
      <c r="O158" s="67" t="str">
        <f aca="false">IF(A158="제외","",IF(OR(N(L158)&lt;=0,N(M158)&gt;N(L158)),"택가보정(판매금액÷공급율)",""))</f>
        <v/>
      </c>
    </row>
    <row r="159" customFormat="false" ht="15" hidden="false" customHeight="true" outlineLevel="0" collapsed="false">
      <c r="A159" s="67" t="str">
        <f aca="false">IF(OR(TRIM(C159)="",SUBSTITUTE(C159," ","")="소계"),"제외",IF(ISNUMBER(SEARCH("홍콩",C159)),"HK",IF(ISNUMBER(SEARCH("상해",C159)),"CN",IF(ISNUMBER(SEARCH("대만",C159)),"TW","홀세일"))))</f>
        <v>TW</v>
      </c>
      <c r="B159" s="87" t="s">
        <v>176</v>
      </c>
      <c r="C159" s="87" t="s">
        <v>177</v>
      </c>
      <c r="D159" s="88" t="s">
        <v>178</v>
      </c>
      <c r="E159" s="87" t="n">
        <v>2026</v>
      </c>
      <c r="F159" s="88" t="s">
        <v>421</v>
      </c>
      <c r="G159" s="88" t="s">
        <v>180</v>
      </c>
      <c r="H159" s="87" t="s">
        <v>181</v>
      </c>
      <c r="I159" s="87" t="s">
        <v>504</v>
      </c>
      <c r="J159" s="88" t="s">
        <v>505</v>
      </c>
      <c r="K159" s="89" t="n">
        <v>100</v>
      </c>
      <c r="L159" s="89" t="n">
        <v>6900000</v>
      </c>
      <c r="M159" s="89" t="n">
        <v>2312600</v>
      </c>
      <c r="N159" s="90" t="n">
        <f aca="false">IF(A159="제외",0,IF(OR(N(L159)&lt;=0,N(M159)&gt;N(L159)),N(M159)/가정!$B$4,N(L159)))</f>
        <v>6900000</v>
      </c>
      <c r="O159" s="67" t="str">
        <f aca="false">IF(A159="제외","",IF(OR(N(L159)&lt;=0,N(M159)&gt;N(L159)),"택가보정(판매금액÷공급율)",""))</f>
        <v/>
      </c>
    </row>
    <row r="160" customFormat="false" ht="15" hidden="false" customHeight="true" outlineLevel="0" collapsed="false">
      <c r="A160" s="67" t="str">
        <f aca="false">IF(OR(TRIM(C160)="",SUBSTITUTE(C160," ","")="소계"),"제외",IF(ISNUMBER(SEARCH("홍콩",C160)),"HK",IF(ISNUMBER(SEARCH("상해",C160)),"CN",IF(ISNUMBER(SEARCH("대만",C160)),"TW","홀세일"))))</f>
        <v>TW</v>
      </c>
      <c r="B160" s="87" t="s">
        <v>176</v>
      </c>
      <c r="C160" s="87" t="s">
        <v>177</v>
      </c>
      <c r="D160" s="88" t="s">
        <v>178</v>
      </c>
      <c r="E160" s="87" t="n">
        <v>2026</v>
      </c>
      <c r="F160" s="88" t="s">
        <v>421</v>
      </c>
      <c r="G160" s="88" t="s">
        <v>180</v>
      </c>
      <c r="H160" s="87" t="s">
        <v>181</v>
      </c>
      <c r="I160" s="87" t="s">
        <v>506</v>
      </c>
      <c r="J160" s="88" t="s">
        <v>507</v>
      </c>
      <c r="K160" s="89" t="n">
        <v>100</v>
      </c>
      <c r="L160" s="89" t="n">
        <v>7900000</v>
      </c>
      <c r="M160" s="89" t="n">
        <v>2639000</v>
      </c>
      <c r="N160" s="90" t="n">
        <f aca="false">IF(A160="제외",0,IF(OR(N(L160)&lt;=0,N(M160)&gt;N(L160)),N(M160)/가정!$B$4,N(L160)))</f>
        <v>7900000</v>
      </c>
      <c r="O160" s="67" t="str">
        <f aca="false">IF(A160="제외","",IF(OR(N(L160)&lt;=0,N(M160)&gt;N(L160)),"택가보정(판매금액÷공급율)",""))</f>
        <v/>
      </c>
    </row>
    <row r="161" customFormat="false" ht="15" hidden="false" customHeight="true" outlineLevel="0" collapsed="false">
      <c r="A161" s="67" t="str">
        <f aca="false">IF(OR(TRIM(C161)="",SUBSTITUTE(C161," ","")="소계"),"제외",IF(ISNUMBER(SEARCH("홍콩",C161)),"HK",IF(ISNUMBER(SEARCH("상해",C161)),"CN",IF(ISNUMBER(SEARCH("대만",C161)),"TW","홀세일"))))</f>
        <v>TW</v>
      </c>
      <c r="B161" s="87" t="s">
        <v>176</v>
      </c>
      <c r="C161" s="87" t="s">
        <v>177</v>
      </c>
      <c r="D161" s="88" t="s">
        <v>178</v>
      </c>
      <c r="E161" s="87" t="n">
        <v>2026</v>
      </c>
      <c r="F161" s="88" t="s">
        <v>421</v>
      </c>
      <c r="G161" s="88" t="s">
        <v>180</v>
      </c>
      <c r="H161" s="87" t="s">
        <v>181</v>
      </c>
      <c r="I161" s="87" t="s">
        <v>508</v>
      </c>
      <c r="J161" s="88" t="s">
        <v>509</v>
      </c>
      <c r="K161" s="89" t="n">
        <v>270</v>
      </c>
      <c r="L161" s="89" t="n">
        <v>18630000</v>
      </c>
      <c r="M161" s="89" t="n">
        <v>6342300</v>
      </c>
      <c r="N161" s="90" t="n">
        <f aca="false">IF(A161="제외",0,IF(OR(N(L161)&lt;=0,N(M161)&gt;N(L161)),N(M161)/가정!$B$4,N(L161)))</f>
        <v>18630000</v>
      </c>
      <c r="O161" s="67" t="str">
        <f aca="false">IF(A161="제외","",IF(OR(N(L161)&lt;=0,N(M161)&gt;N(L161)),"택가보정(판매금액÷공급율)",""))</f>
        <v/>
      </c>
    </row>
    <row r="162" customFormat="false" ht="15" hidden="false" customHeight="true" outlineLevel="0" collapsed="false">
      <c r="A162" s="67" t="str">
        <f aca="false">IF(OR(TRIM(C162)="",SUBSTITUTE(C162," ","")="소계"),"제외",IF(ISNUMBER(SEARCH("홍콩",C162)),"HK",IF(ISNUMBER(SEARCH("상해",C162)),"CN",IF(ISNUMBER(SEARCH("대만",C162)),"TW","홀세일"))))</f>
        <v>TW</v>
      </c>
      <c r="B162" s="87" t="s">
        <v>176</v>
      </c>
      <c r="C162" s="87" t="s">
        <v>177</v>
      </c>
      <c r="D162" s="88" t="s">
        <v>178</v>
      </c>
      <c r="E162" s="87" t="n">
        <v>2026</v>
      </c>
      <c r="F162" s="88" t="s">
        <v>421</v>
      </c>
      <c r="G162" s="88" t="s">
        <v>180</v>
      </c>
      <c r="H162" s="88" t="s">
        <v>185</v>
      </c>
      <c r="I162" s="87" t="s">
        <v>510</v>
      </c>
      <c r="J162" s="87" t="s">
        <v>511</v>
      </c>
      <c r="K162" s="89" t="n">
        <v>1600</v>
      </c>
      <c r="L162" s="89" t="n">
        <v>94400000</v>
      </c>
      <c r="M162" s="89" t="n">
        <v>34416000</v>
      </c>
      <c r="N162" s="90" t="n">
        <f aca="false">IF(A162="제외",0,IF(OR(N(L162)&lt;=0,N(M162)&gt;N(L162)),N(M162)/가정!$B$4,N(L162)))</f>
        <v>94400000</v>
      </c>
      <c r="O162" s="67" t="str">
        <f aca="false">IF(A162="제외","",IF(OR(N(L162)&lt;=0,N(M162)&gt;N(L162)),"택가보정(판매금액÷공급율)",""))</f>
        <v/>
      </c>
    </row>
    <row r="163" customFormat="false" ht="15" hidden="false" customHeight="true" outlineLevel="0" collapsed="false">
      <c r="A163" s="67" t="str">
        <f aca="false">IF(OR(TRIM(C163)="",SUBSTITUTE(C163," ","")="소계"),"제외",IF(ISNUMBER(SEARCH("홍콩",C163)),"HK",IF(ISNUMBER(SEARCH("상해",C163)),"CN",IF(ISNUMBER(SEARCH("대만",C163)),"TW","홀세일"))))</f>
        <v>TW</v>
      </c>
      <c r="B163" s="87" t="s">
        <v>176</v>
      </c>
      <c r="C163" s="87" t="s">
        <v>177</v>
      </c>
      <c r="D163" s="88" t="s">
        <v>178</v>
      </c>
      <c r="E163" s="87" t="n">
        <v>2026</v>
      </c>
      <c r="F163" s="88" t="s">
        <v>421</v>
      </c>
      <c r="G163" s="88" t="s">
        <v>180</v>
      </c>
      <c r="H163" s="87" t="s">
        <v>246</v>
      </c>
      <c r="I163" s="87" t="s">
        <v>512</v>
      </c>
      <c r="J163" s="87" t="s">
        <v>513</v>
      </c>
      <c r="K163" s="89" t="n">
        <v>140</v>
      </c>
      <c r="L163" s="89" t="n">
        <v>15260000</v>
      </c>
      <c r="M163" s="89" t="n">
        <v>5328260</v>
      </c>
      <c r="N163" s="90" t="n">
        <f aca="false">IF(A163="제외",0,IF(OR(N(L163)&lt;=0,N(M163)&gt;N(L163)),N(M163)/가정!$B$4,N(L163)))</f>
        <v>15260000</v>
      </c>
      <c r="O163" s="67" t="str">
        <f aca="false">IF(A163="제외","",IF(OR(N(L163)&lt;=0,N(M163)&gt;N(L163)),"택가보정(판매금액÷공급율)",""))</f>
        <v/>
      </c>
    </row>
    <row r="164" customFormat="false" ht="15" hidden="false" customHeight="true" outlineLevel="0" collapsed="false">
      <c r="A164" s="67" t="str">
        <f aca="false">IF(OR(TRIM(C164)="",SUBSTITUTE(C164," ","")="소계"),"제외",IF(ISNUMBER(SEARCH("홍콩",C164)),"HK",IF(ISNUMBER(SEARCH("상해",C164)),"CN",IF(ISNUMBER(SEARCH("대만",C164)),"TW","홀세일"))))</f>
        <v>TW</v>
      </c>
      <c r="B164" s="87" t="s">
        <v>176</v>
      </c>
      <c r="C164" s="87" t="s">
        <v>177</v>
      </c>
      <c r="D164" s="88" t="s">
        <v>178</v>
      </c>
      <c r="E164" s="87" t="n">
        <v>2026</v>
      </c>
      <c r="F164" s="88" t="s">
        <v>421</v>
      </c>
      <c r="G164" s="88" t="s">
        <v>180</v>
      </c>
      <c r="H164" s="87" t="s">
        <v>246</v>
      </c>
      <c r="I164" s="87" t="s">
        <v>514</v>
      </c>
      <c r="J164" s="87" t="s">
        <v>515</v>
      </c>
      <c r="K164" s="89" t="n">
        <v>100</v>
      </c>
      <c r="L164" s="89" t="n">
        <v>14900000</v>
      </c>
      <c r="M164" s="89" t="n">
        <v>5001000</v>
      </c>
      <c r="N164" s="90" t="n">
        <f aca="false">IF(A164="제외",0,IF(OR(N(L164)&lt;=0,N(M164)&gt;N(L164)),N(M164)/가정!$B$4,N(L164)))</f>
        <v>14900000</v>
      </c>
      <c r="O164" s="67" t="str">
        <f aca="false">IF(A164="제외","",IF(OR(N(L164)&lt;=0,N(M164)&gt;N(L164)),"택가보정(판매금액÷공급율)",""))</f>
        <v/>
      </c>
    </row>
    <row r="165" customFormat="false" ht="15" hidden="false" customHeight="true" outlineLevel="0" collapsed="false">
      <c r="A165" s="67" t="str">
        <f aca="false">IF(OR(TRIM(C165)="",SUBSTITUTE(C165," ","")="소계"),"제외",IF(ISNUMBER(SEARCH("홍콩",C165)),"HK",IF(ISNUMBER(SEARCH("상해",C165)),"CN",IF(ISNUMBER(SEARCH("대만",C165)),"TW","홀세일"))))</f>
        <v>TW</v>
      </c>
      <c r="B165" s="87" t="s">
        <v>176</v>
      </c>
      <c r="C165" s="87" t="s">
        <v>177</v>
      </c>
      <c r="D165" s="88" t="s">
        <v>178</v>
      </c>
      <c r="E165" s="87" t="n">
        <v>2026</v>
      </c>
      <c r="F165" s="88" t="s">
        <v>421</v>
      </c>
      <c r="G165" s="88" t="s">
        <v>180</v>
      </c>
      <c r="H165" s="87" t="s">
        <v>246</v>
      </c>
      <c r="I165" s="87" t="s">
        <v>516</v>
      </c>
      <c r="J165" s="87" t="s">
        <v>517</v>
      </c>
      <c r="K165" s="89" t="n">
        <v>255</v>
      </c>
      <c r="L165" s="89" t="n">
        <v>37995000</v>
      </c>
      <c r="M165" s="89" t="n">
        <v>13207470</v>
      </c>
      <c r="N165" s="90" t="n">
        <f aca="false">IF(A165="제외",0,IF(OR(N(L165)&lt;=0,N(M165)&gt;N(L165)),N(M165)/가정!$B$4,N(L165)))</f>
        <v>37995000</v>
      </c>
      <c r="O165" s="67" t="str">
        <f aca="false">IF(A165="제외","",IF(OR(N(L165)&lt;=0,N(M165)&gt;N(L165)),"택가보정(판매금액÷공급율)",""))</f>
        <v/>
      </c>
    </row>
    <row r="166" customFormat="false" ht="15" hidden="false" customHeight="true" outlineLevel="0" collapsed="false">
      <c r="A166" s="67" t="str">
        <f aca="false">IF(OR(TRIM(C166)="",SUBSTITUTE(C166," ","")="소계"),"제외",IF(ISNUMBER(SEARCH("홍콩",C166)),"HK",IF(ISNUMBER(SEARCH("상해",C166)),"CN",IF(ISNUMBER(SEARCH("대만",C166)),"TW","홀세일"))))</f>
        <v>TW</v>
      </c>
      <c r="B166" s="87" t="s">
        <v>176</v>
      </c>
      <c r="C166" s="87" t="s">
        <v>177</v>
      </c>
      <c r="D166" s="88" t="s">
        <v>178</v>
      </c>
      <c r="E166" s="87" t="n">
        <v>2026</v>
      </c>
      <c r="F166" s="88" t="s">
        <v>421</v>
      </c>
      <c r="G166" s="88" t="s">
        <v>180</v>
      </c>
      <c r="H166" s="87" t="s">
        <v>246</v>
      </c>
      <c r="I166" s="87" t="s">
        <v>518</v>
      </c>
      <c r="J166" s="87" t="s">
        <v>519</v>
      </c>
      <c r="K166" s="89" t="n">
        <v>220</v>
      </c>
      <c r="L166" s="89" t="n">
        <v>30580000</v>
      </c>
      <c r="M166" s="89" t="n">
        <v>10083040</v>
      </c>
      <c r="N166" s="90" t="n">
        <f aca="false">IF(A166="제외",0,IF(OR(N(L166)&lt;=0,N(M166)&gt;N(L166)),N(M166)/가정!$B$4,N(L166)))</f>
        <v>30580000</v>
      </c>
      <c r="O166" s="67" t="str">
        <f aca="false">IF(A166="제외","",IF(OR(N(L166)&lt;=0,N(M166)&gt;N(L166)),"택가보정(판매금액÷공급율)",""))</f>
        <v/>
      </c>
    </row>
    <row r="167" customFormat="false" ht="15" hidden="false" customHeight="true" outlineLevel="0" collapsed="false">
      <c r="A167" s="67" t="str">
        <f aca="false">IF(OR(TRIM(C167)="",SUBSTITUTE(C167," ","")="소계"),"제외",IF(ISNUMBER(SEARCH("홍콩",C167)),"HK",IF(ISNUMBER(SEARCH("상해",C167)),"CN",IF(ISNUMBER(SEARCH("대만",C167)),"TW","홀세일"))))</f>
        <v>TW</v>
      </c>
      <c r="B167" s="87" t="s">
        <v>176</v>
      </c>
      <c r="C167" s="87" t="s">
        <v>177</v>
      </c>
      <c r="D167" s="88" t="s">
        <v>178</v>
      </c>
      <c r="E167" s="87" t="n">
        <v>2026</v>
      </c>
      <c r="F167" s="88" t="s">
        <v>421</v>
      </c>
      <c r="G167" s="88" t="s">
        <v>180</v>
      </c>
      <c r="H167" s="87" t="s">
        <v>246</v>
      </c>
      <c r="I167" s="87" t="s">
        <v>520</v>
      </c>
      <c r="J167" s="87" t="s">
        <v>521</v>
      </c>
      <c r="K167" s="89" t="n">
        <v>50</v>
      </c>
      <c r="L167" s="89" t="n">
        <v>7950000</v>
      </c>
      <c r="M167" s="89" t="n">
        <v>2653150</v>
      </c>
      <c r="N167" s="90" t="n">
        <f aca="false">IF(A167="제외",0,IF(OR(N(L167)&lt;=0,N(M167)&gt;N(L167)),N(M167)/가정!$B$4,N(L167)))</f>
        <v>7950000</v>
      </c>
      <c r="O167" s="67" t="str">
        <f aca="false">IF(A167="제외","",IF(OR(N(L167)&lt;=0,N(M167)&gt;N(L167)),"택가보정(판매금액÷공급율)",""))</f>
        <v/>
      </c>
    </row>
    <row r="168" customFormat="false" ht="15" hidden="false" customHeight="true" outlineLevel="0" collapsed="false">
      <c r="A168" s="67" t="str">
        <f aca="false">IF(OR(TRIM(C168)="",SUBSTITUTE(C168," ","")="소계"),"제외",IF(ISNUMBER(SEARCH("홍콩",C168)),"HK",IF(ISNUMBER(SEARCH("상해",C168)),"CN",IF(ISNUMBER(SEARCH("대만",C168)),"TW","홀세일"))))</f>
        <v>TW</v>
      </c>
      <c r="B168" s="87" t="s">
        <v>176</v>
      </c>
      <c r="C168" s="87" t="s">
        <v>177</v>
      </c>
      <c r="D168" s="88" t="s">
        <v>178</v>
      </c>
      <c r="E168" s="87" t="n">
        <v>2026</v>
      </c>
      <c r="F168" s="88" t="s">
        <v>421</v>
      </c>
      <c r="G168" s="88" t="s">
        <v>180</v>
      </c>
      <c r="H168" s="87" t="s">
        <v>246</v>
      </c>
      <c r="I168" s="87" t="s">
        <v>522</v>
      </c>
      <c r="J168" s="87" t="s">
        <v>523</v>
      </c>
      <c r="K168" s="89" t="n">
        <v>270</v>
      </c>
      <c r="L168" s="89" t="n">
        <v>69930000</v>
      </c>
      <c r="M168" s="89" t="n">
        <v>24186870</v>
      </c>
      <c r="N168" s="90" t="n">
        <f aca="false">IF(A168="제외",0,IF(OR(N(L168)&lt;=0,N(M168)&gt;N(L168)),N(M168)/가정!$B$4,N(L168)))</f>
        <v>69930000</v>
      </c>
      <c r="O168" s="67" t="str">
        <f aca="false">IF(A168="제외","",IF(OR(N(L168)&lt;=0,N(M168)&gt;N(L168)),"택가보정(판매금액÷공급율)",""))</f>
        <v/>
      </c>
    </row>
    <row r="169" customFormat="false" ht="15" hidden="false" customHeight="true" outlineLevel="0" collapsed="false">
      <c r="A169" s="67" t="str">
        <f aca="false">IF(OR(TRIM(C169)="",SUBSTITUTE(C169," ","")="소계"),"제외",IF(ISNUMBER(SEARCH("홍콩",C169)),"HK",IF(ISNUMBER(SEARCH("상해",C169)),"CN",IF(ISNUMBER(SEARCH("대만",C169)),"TW","홀세일"))))</f>
        <v>TW</v>
      </c>
      <c r="B169" s="87" t="s">
        <v>176</v>
      </c>
      <c r="C169" s="87" t="s">
        <v>177</v>
      </c>
      <c r="D169" s="88" t="s">
        <v>178</v>
      </c>
      <c r="E169" s="87" t="n">
        <v>2026</v>
      </c>
      <c r="F169" s="88" t="s">
        <v>421</v>
      </c>
      <c r="G169" s="88" t="s">
        <v>180</v>
      </c>
      <c r="H169" s="87" t="s">
        <v>246</v>
      </c>
      <c r="I169" s="87" t="s">
        <v>524</v>
      </c>
      <c r="J169" s="87" t="s">
        <v>525</v>
      </c>
      <c r="K169" s="89" t="n">
        <v>270</v>
      </c>
      <c r="L169" s="89" t="n">
        <v>42930000</v>
      </c>
      <c r="M169" s="89" t="n">
        <v>14034600</v>
      </c>
      <c r="N169" s="90" t="n">
        <f aca="false">IF(A169="제외",0,IF(OR(N(L169)&lt;=0,N(M169)&gt;N(L169)),N(M169)/가정!$B$4,N(L169)))</f>
        <v>42930000</v>
      </c>
      <c r="O169" s="67" t="str">
        <f aca="false">IF(A169="제외","",IF(OR(N(L169)&lt;=0,N(M169)&gt;N(L169)),"택가보정(판매금액÷공급율)",""))</f>
        <v/>
      </c>
    </row>
    <row r="170" customFormat="false" ht="15" hidden="false" customHeight="true" outlineLevel="0" collapsed="false">
      <c r="A170" s="67" t="str">
        <f aca="false">IF(OR(TRIM(C170)="",SUBSTITUTE(C170," ","")="소계"),"제외",IF(ISNUMBER(SEARCH("홍콩",C170)),"HK",IF(ISNUMBER(SEARCH("상해",C170)),"CN",IF(ISNUMBER(SEARCH("대만",C170)),"TW","홀세일"))))</f>
        <v>TW</v>
      </c>
      <c r="B170" s="87" t="s">
        <v>176</v>
      </c>
      <c r="C170" s="87" t="s">
        <v>177</v>
      </c>
      <c r="D170" s="88" t="s">
        <v>178</v>
      </c>
      <c r="E170" s="87" t="n">
        <v>2026</v>
      </c>
      <c r="F170" s="88" t="s">
        <v>421</v>
      </c>
      <c r="G170" s="88" t="s">
        <v>180</v>
      </c>
      <c r="H170" s="87" t="s">
        <v>246</v>
      </c>
      <c r="I170" s="87" t="s">
        <v>526</v>
      </c>
      <c r="J170" s="87" t="s">
        <v>527</v>
      </c>
      <c r="K170" s="89" t="n">
        <v>280</v>
      </c>
      <c r="L170" s="89" t="n">
        <v>52920000</v>
      </c>
      <c r="M170" s="89" t="n">
        <v>18385920</v>
      </c>
      <c r="N170" s="90" t="n">
        <f aca="false">IF(A170="제외",0,IF(OR(N(L170)&lt;=0,N(M170)&gt;N(L170)),N(M170)/가정!$B$4,N(L170)))</f>
        <v>52920000</v>
      </c>
      <c r="O170" s="67" t="str">
        <f aca="false">IF(A170="제외","",IF(OR(N(L170)&lt;=0,N(M170)&gt;N(L170)),"택가보정(판매금액÷공급율)",""))</f>
        <v/>
      </c>
    </row>
    <row r="171" customFormat="false" ht="15" hidden="false" customHeight="true" outlineLevel="0" collapsed="false">
      <c r="A171" s="67" t="str">
        <f aca="false">IF(OR(TRIM(C171)="",SUBSTITUTE(C171," ","")="소계"),"제외",IF(ISNUMBER(SEARCH("홍콩",C171)),"HK",IF(ISNUMBER(SEARCH("상해",C171)),"CN",IF(ISNUMBER(SEARCH("대만",C171)),"TW","홀세일"))))</f>
        <v>TW</v>
      </c>
      <c r="B171" s="87" t="s">
        <v>176</v>
      </c>
      <c r="C171" s="87" t="s">
        <v>177</v>
      </c>
      <c r="D171" s="88" t="s">
        <v>178</v>
      </c>
      <c r="E171" s="87" t="n">
        <v>2026</v>
      </c>
      <c r="F171" s="88" t="s">
        <v>421</v>
      </c>
      <c r="G171" s="88" t="s">
        <v>180</v>
      </c>
      <c r="H171" s="87" t="s">
        <v>246</v>
      </c>
      <c r="I171" s="87" t="s">
        <v>528</v>
      </c>
      <c r="J171" s="87" t="s">
        <v>529</v>
      </c>
      <c r="K171" s="89" t="n">
        <v>290</v>
      </c>
      <c r="L171" s="89" t="n">
        <v>22910000</v>
      </c>
      <c r="M171" s="89" t="n">
        <v>7773160</v>
      </c>
      <c r="N171" s="90" t="n">
        <f aca="false">IF(A171="제외",0,IF(OR(N(L171)&lt;=0,N(M171)&gt;N(L171)),N(M171)/가정!$B$4,N(L171)))</f>
        <v>22910000</v>
      </c>
      <c r="O171" s="67" t="str">
        <f aca="false">IF(A171="제외","",IF(OR(N(L171)&lt;=0,N(M171)&gt;N(L171)),"택가보정(판매금액÷공급율)",""))</f>
        <v/>
      </c>
    </row>
    <row r="172" customFormat="false" ht="15" hidden="false" customHeight="true" outlineLevel="0" collapsed="false">
      <c r="A172" s="67" t="str">
        <f aca="false">IF(OR(TRIM(C172)="",SUBSTITUTE(C172," ","")="소계"),"제외",IF(ISNUMBER(SEARCH("홍콩",C172)),"HK",IF(ISNUMBER(SEARCH("상해",C172)),"CN",IF(ISNUMBER(SEARCH("대만",C172)),"TW","홀세일"))))</f>
        <v>TW</v>
      </c>
      <c r="B172" s="87" t="s">
        <v>176</v>
      </c>
      <c r="C172" s="87" t="s">
        <v>177</v>
      </c>
      <c r="D172" s="88" t="s">
        <v>178</v>
      </c>
      <c r="E172" s="87" t="n">
        <v>2026</v>
      </c>
      <c r="F172" s="88" t="s">
        <v>421</v>
      </c>
      <c r="G172" s="88" t="s">
        <v>180</v>
      </c>
      <c r="H172" s="87" t="s">
        <v>246</v>
      </c>
      <c r="I172" s="87" t="s">
        <v>530</v>
      </c>
      <c r="J172" s="87" t="s">
        <v>531</v>
      </c>
      <c r="K172" s="89" t="n">
        <v>540</v>
      </c>
      <c r="L172" s="89" t="n">
        <v>37260000</v>
      </c>
      <c r="M172" s="89" t="n">
        <v>11290320</v>
      </c>
      <c r="N172" s="90" t="n">
        <f aca="false">IF(A172="제외",0,IF(OR(N(L172)&lt;=0,N(M172)&gt;N(L172)),N(M172)/가정!$B$4,N(L172)))</f>
        <v>37260000</v>
      </c>
      <c r="O172" s="67" t="str">
        <f aca="false">IF(A172="제외","",IF(OR(N(L172)&lt;=0,N(M172)&gt;N(L172)),"택가보정(판매금액÷공급율)",""))</f>
        <v/>
      </c>
    </row>
    <row r="173" customFormat="false" ht="15" hidden="false" customHeight="true" outlineLevel="0" collapsed="false">
      <c r="A173" s="67" t="str">
        <f aca="false">IF(OR(TRIM(C173)="",SUBSTITUTE(C173," ","")="소계"),"제외",IF(ISNUMBER(SEARCH("홍콩",C173)),"HK",IF(ISNUMBER(SEARCH("상해",C173)),"CN",IF(ISNUMBER(SEARCH("대만",C173)),"TW","홀세일"))))</f>
        <v>TW</v>
      </c>
      <c r="B173" s="87" t="s">
        <v>176</v>
      </c>
      <c r="C173" s="87" t="s">
        <v>177</v>
      </c>
      <c r="D173" s="88" t="s">
        <v>178</v>
      </c>
      <c r="E173" s="87" t="n">
        <v>2026</v>
      </c>
      <c r="F173" s="88" t="s">
        <v>532</v>
      </c>
      <c r="G173" s="88" t="s">
        <v>188</v>
      </c>
      <c r="H173" s="87" t="s">
        <v>189</v>
      </c>
      <c r="I173" s="87" t="s">
        <v>533</v>
      </c>
      <c r="J173" s="88" t="s">
        <v>534</v>
      </c>
      <c r="K173" s="89" t="n">
        <v>200</v>
      </c>
      <c r="L173" s="89" t="n">
        <v>15800000</v>
      </c>
      <c r="M173" s="89" t="n">
        <v>5385600</v>
      </c>
      <c r="N173" s="90" t="n">
        <f aca="false">IF(A173="제외",0,IF(OR(N(L173)&lt;=0,N(M173)&gt;N(L173)),N(M173)/가정!$B$4,N(L173)))</f>
        <v>15800000</v>
      </c>
      <c r="O173" s="67" t="str">
        <f aca="false">IF(A173="제외","",IF(OR(N(L173)&lt;=0,N(M173)&gt;N(L173)),"택가보정(판매금액÷공급율)",""))</f>
        <v/>
      </c>
    </row>
    <row r="174" customFormat="false" ht="15" hidden="false" customHeight="true" outlineLevel="0" collapsed="false">
      <c r="A174" s="67" t="str">
        <f aca="false">IF(OR(TRIM(C174)="",SUBSTITUTE(C174," ","")="소계"),"제외",IF(ISNUMBER(SEARCH("홍콩",C174)),"HK",IF(ISNUMBER(SEARCH("상해",C174)),"CN",IF(ISNUMBER(SEARCH("대만",C174)),"TW","홀세일"))))</f>
        <v>TW</v>
      </c>
      <c r="B174" s="87" t="s">
        <v>176</v>
      </c>
      <c r="C174" s="87" t="s">
        <v>177</v>
      </c>
      <c r="D174" s="88" t="s">
        <v>178</v>
      </c>
      <c r="E174" s="87" t="n">
        <v>2026</v>
      </c>
      <c r="F174" s="88" t="s">
        <v>532</v>
      </c>
      <c r="G174" s="88" t="s">
        <v>188</v>
      </c>
      <c r="H174" s="87" t="s">
        <v>189</v>
      </c>
      <c r="I174" s="87" t="s">
        <v>535</v>
      </c>
      <c r="J174" s="87" t="s">
        <v>536</v>
      </c>
      <c r="K174" s="89" t="n">
        <v>200</v>
      </c>
      <c r="L174" s="89" t="n">
        <v>15800000</v>
      </c>
      <c r="M174" s="89" t="n">
        <v>5385600</v>
      </c>
      <c r="N174" s="90" t="n">
        <f aca="false">IF(A174="제외",0,IF(OR(N(L174)&lt;=0,N(M174)&gt;N(L174)),N(M174)/가정!$B$4,N(L174)))</f>
        <v>15800000</v>
      </c>
      <c r="O174" s="67" t="str">
        <f aca="false">IF(A174="제외","",IF(OR(N(L174)&lt;=0,N(M174)&gt;N(L174)),"택가보정(판매금액÷공급율)",""))</f>
        <v/>
      </c>
    </row>
    <row r="175" customFormat="false" ht="15" hidden="false" customHeight="true" outlineLevel="0" collapsed="false">
      <c r="A175" s="67" t="str">
        <f aca="false">IF(OR(TRIM(C175)="",SUBSTITUTE(C175," ","")="소계"),"제외",IF(ISNUMBER(SEARCH("홍콩",C175)),"HK",IF(ISNUMBER(SEARCH("상해",C175)),"CN",IF(ISNUMBER(SEARCH("대만",C175)),"TW","홀세일"))))</f>
        <v>TW</v>
      </c>
      <c r="B175" s="87" t="s">
        <v>176</v>
      </c>
      <c r="C175" s="87" t="s">
        <v>177</v>
      </c>
      <c r="D175" s="88" t="s">
        <v>178</v>
      </c>
      <c r="E175" s="87" t="n">
        <v>2026</v>
      </c>
      <c r="F175" s="88" t="s">
        <v>532</v>
      </c>
      <c r="G175" s="88" t="s">
        <v>180</v>
      </c>
      <c r="H175" s="87" t="s">
        <v>189</v>
      </c>
      <c r="I175" s="87" t="s">
        <v>537</v>
      </c>
      <c r="J175" s="88" t="s">
        <v>538</v>
      </c>
      <c r="K175" s="89" t="n">
        <v>180</v>
      </c>
      <c r="L175" s="89" t="n">
        <v>30420000</v>
      </c>
      <c r="M175" s="89" t="n">
        <v>10138500</v>
      </c>
      <c r="N175" s="90" t="n">
        <f aca="false">IF(A175="제외",0,IF(OR(N(L175)&lt;=0,N(M175)&gt;N(L175)),N(M175)/가정!$B$4,N(L175)))</f>
        <v>30420000</v>
      </c>
      <c r="O175" s="67" t="str">
        <f aca="false">IF(A175="제외","",IF(OR(N(L175)&lt;=0,N(M175)&gt;N(L175)),"택가보정(판매금액÷공급율)",""))</f>
        <v/>
      </c>
    </row>
    <row r="176" customFormat="false" ht="15" hidden="false" customHeight="true" outlineLevel="0" collapsed="false">
      <c r="A176" s="67" t="str">
        <f aca="false">IF(OR(TRIM(C176)="",SUBSTITUTE(C176," ","")="소계"),"제외",IF(ISNUMBER(SEARCH("홍콩",C176)),"HK",IF(ISNUMBER(SEARCH("상해",C176)),"CN",IF(ISNUMBER(SEARCH("대만",C176)),"TW","홀세일"))))</f>
        <v>TW</v>
      </c>
      <c r="B176" s="87" t="s">
        <v>176</v>
      </c>
      <c r="C176" s="87" t="s">
        <v>177</v>
      </c>
      <c r="D176" s="88" t="s">
        <v>178</v>
      </c>
      <c r="E176" s="87" t="n">
        <v>2026</v>
      </c>
      <c r="F176" s="88" t="s">
        <v>532</v>
      </c>
      <c r="G176" s="88" t="s">
        <v>180</v>
      </c>
      <c r="H176" s="87" t="s">
        <v>181</v>
      </c>
      <c r="I176" s="87" t="s">
        <v>539</v>
      </c>
      <c r="J176" s="88" t="s">
        <v>540</v>
      </c>
      <c r="K176" s="89" t="n">
        <v>100</v>
      </c>
      <c r="L176" s="89" t="n">
        <v>19900000</v>
      </c>
      <c r="M176" s="89" t="n">
        <v>6772800</v>
      </c>
      <c r="N176" s="90" t="n">
        <f aca="false">IF(A176="제외",0,IF(OR(N(L176)&lt;=0,N(M176)&gt;N(L176)),N(M176)/가정!$B$4,N(L176)))</f>
        <v>19900000</v>
      </c>
      <c r="O176" s="67" t="str">
        <f aca="false">IF(A176="제외","",IF(OR(N(L176)&lt;=0,N(M176)&gt;N(L176)),"택가보정(판매금액÷공급율)",""))</f>
        <v/>
      </c>
    </row>
    <row r="177" customFormat="false" ht="15" hidden="false" customHeight="true" outlineLevel="0" collapsed="false">
      <c r="A177" s="67" t="str">
        <f aca="false">IF(OR(TRIM(C177)="",SUBSTITUTE(C177," ","")="소계"),"제외",IF(ISNUMBER(SEARCH("홍콩",C177)),"HK",IF(ISNUMBER(SEARCH("상해",C177)),"CN",IF(ISNUMBER(SEARCH("대만",C177)),"TW","홀세일"))))</f>
        <v>TW</v>
      </c>
      <c r="B177" s="87" t="s">
        <v>176</v>
      </c>
      <c r="C177" s="87" t="s">
        <v>177</v>
      </c>
      <c r="D177" s="88" t="s">
        <v>178</v>
      </c>
      <c r="E177" s="87" t="n">
        <v>2026</v>
      </c>
      <c r="F177" s="88" t="s">
        <v>532</v>
      </c>
      <c r="G177" s="88" t="s">
        <v>180</v>
      </c>
      <c r="H177" s="87" t="s">
        <v>189</v>
      </c>
      <c r="I177" s="87" t="s">
        <v>541</v>
      </c>
      <c r="J177" s="87" t="s">
        <v>542</v>
      </c>
      <c r="K177" s="89" t="n">
        <v>50</v>
      </c>
      <c r="L177" s="89" t="n">
        <v>12950000</v>
      </c>
      <c r="M177" s="89" t="n">
        <v>4411600</v>
      </c>
      <c r="N177" s="90" t="n">
        <f aca="false">IF(A177="제외",0,IF(OR(N(L177)&lt;=0,N(M177)&gt;N(L177)),N(M177)/가정!$B$4,N(L177)))</f>
        <v>12950000</v>
      </c>
      <c r="O177" s="67" t="str">
        <f aca="false">IF(A177="제외","",IF(OR(N(L177)&lt;=0,N(M177)&gt;N(L177)),"택가보정(판매금액÷공급율)",""))</f>
        <v/>
      </c>
    </row>
    <row r="178" customFormat="false" ht="15" hidden="false" customHeight="true" outlineLevel="0" collapsed="false">
      <c r="A178" s="67" t="str">
        <f aca="false">IF(OR(TRIM(C178)="",SUBSTITUTE(C178," ","")="소계"),"제외",IF(ISNUMBER(SEARCH("홍콩",C178)),"HK",IF(ISNUMBER(SEARCH("상해",C178)),"CN",IF(ISNUMBER(SEARCH("대만",C178)),"TW","홀세일"))))</f>
        <v>TW</v>
      </c>
      <c r="B178" s="87" t="s">
        <v>176</v>
      </c>
      <c r="C178" s="87" t="s">
        <v>177</v>
      </c>
      <c r="D178" s="88" t="s">
        <v>178</v>
      </c>
      <c r="E178" s="87" t="n">
        <v>2026</v>
      </c>
      <c r="F178" s="88" t="s">
        <v>532</v>
      </c>
      <c r="G178" s="88" t="s">
        <v>180</v>
      </c>
      <c r="H178" s="87" t="s">
        <v>181</v>
      </c>
      <c r="I178" s="87" t="s">
        <v>543</v>
      </c>
      <c r="J178" s="87" t="s">
        <v>544</v>
      </c>
      <c r="K178" s="89" t="n">
        <v>150</v>
      </c>
      <c r="L178" s="89" t="n">
        <v>32850000</v>
      </c>
      <c r="M178" s="89" t="n">
        <v>10506000</v>
      </c>
      <c r="N178" s="90" t="n">
        <f aca="false">IF(A178="제외",0,IF(OR(N(L178)&lt;=0,N(M178)&gt;N(L178)),N(M178)/가정!$B$4,N(L178)))</f>
        <v>32850000</v>
      </c>
      <c r="O178" s="67" t="str">
        <f aca="false">IF(A178="제외","",IF(OR(N(L178)&lt;=0,N(M178)&gt;N(L178)),"택가보정(판매금액÷공급율)",""))</f>
        <v/>
      </c>
    </row>
    <row r="179" customFormat="false" ht="15" hidden="false" customHeight="true" outlineLevel="0" collapsed="false">
      <c r="A179" s="67" t="str">
        <f aca="false">IF(OR(TRIM(C179)="",SUBSTITUTE(C179," ","")="소계"),"제외",IF(ISNUMBER(SEARCH("홍콩",C179)),"HK",IF(ISNUMBER(SEARCH("상해",C179)),"CN",IF(ISNUMBER(SEARCH("대만",C179)),"TW","홀세일"))))</f>
        <v>TW</v>
      </c>
      <c r="B179" s="87" t="s">
        <v>176</v>
      </c>
      <c r="C179" s="87" t="s">
        <v>177</v>
      </c>
      <c r="D179" s="88" t="s">
        <v>178</v>
      </c>
      <c r="E179" s="87" t="n">
        <v>2026</v>
      </c>
      <c r="F179" s="88" t="s">
        <v>532</v>
      </c>
      <c r="G179" s="88" t="s">
        <v>180</v>
      </c>
      <c r="H179" s="87" t="s">
        <v>189</v>
      </c>
      <c r="I179" s="87" t="s">
        <v>545</v>
      </c>
      <c r="J179" s="87" t="s">
        <v>546</v>
      </c>
      <c r="K179" s="89" t="n">
        <v>240</v>
      </c>
      <c r="L179" s="89" t="n">
        <v>23760000</v>
      </c>
      <c r="M179" s="89" t="n">
        <v>7681200</v>
      </c>
      <c r="N179" s="90" t="n">
        <f aca="false">IF(A179="제외",0,IF(OR(N(L179)&lt;=0,N(M179)&gt;N(L179)),N(M179)/가정!$B$4,N(L179)))</f>
        <v>23760000</v>
      </c>
      <c r="O179" s="67" t="str">
        <f aca="false">IF(A179="제외","",IF(OR(N(L179)&lt;=0,N(M179)&gt;N(L179)),"택가보정(판매금액÷공급율)",""))</f>
        <v/>
      </c>
    </row>
    <row r="180" customFormat="false" ht="15" hidden="false" customHeight="true" outlineLevel="0" collapsed="false">
      <c r="A180" s="67" t="str">
        <f aca="false">IF(OR(TRIM(C180)="",SUBSTITUTE(C180," ","")="소계"),"제외",IF(ISNUMBER(SEARCH("홍콩",C180)),"HK",IF(ISNUMBER(SEARCH("상해",C180)),"CN",IF(ISNUMBER(SEARCH("대만",C180)),"TW","홀세일"))))</f>
        <v>TW</v>
      </c>
      <c r="B180" s="87" t="s">
        <v>176</v>
      </c>
      <c r="C180" s="87" t="s">
        <v>177</v>
      </c>
      <c r="D180" s="88" t="s">
        <v>178</v>
      </c>
      <c r="E180" s="87" t="n">
        <v>2026</v>
      </c>
      <c r="F180" s="88" t="s">
        <v>532</v>
      </c>
      <c r="G180" s="88" t="s">
        <v>180</v>
      </c>
      <c r="H180" s="87" t="s">
        <v>189</v>
      </c>
      <c r="I180" s="87" t="s">
        <v>547</v>
      </c>
      <c r="J180" s="88" t="s">
        <v>548</v>
      </c>
      <c r="K180" s="89" t="n">
        <v>420</v>
      </c>
      <c r="L180" s="89" t="n">
        <v>66780000</v>
      </c>
      <c r="M180" s="89" t="n">
        <v>22380960</v>
      </c>
      <c r="N180" s="90" t="n">
        <f aca="false">IF(A180="제외",0,IF(OR(N(L180)&lt;=0,N(M180)&gt;N(L180)),N(M180)/가정!$B$4,N(L180)))</f>
        <v>66780000</v>
      </c>
      <c r="O180" s="67" t="str">
        <f aca="false">IF(A180="제외","",IF(OR(N(L180)&lt;=0,N(M180)&gt;N(L180)),"택가보정(판매금액÷공급율)",""))</f>
        <v/>
      </c>
    </row>
    <row r="181" customFormat="false" ht="15" hidden="false" customHeight="true" outlineLevel="0" collapsed="false">
      <c r="A181" s="67" t="str">
        <f aca="false">IF(OR(TRIM(C181)="",SUBSTITUTE(C181," ","")="소계"),"제외",IF(ISNUMBER(SEARCH("홍콩",C181)),"HK",IF(ISNUMBER(SEARCH("상해",C181)),"CN",IF(ISNUMBER(SEARCH("대만",C181)),"TW","홀세일"))))</f>
        <v>TW</v>
      </c>
      <c r="B181" s="87" t="s">
        <v>176</v>
      </c>
      <c r="C181" s="87" t="s">
        <v>177</v>
      </c>
      <c r="D181" s="88" t="s">
        <v>178</v>
      </c>
      <c r="E181" s="87" t="n">
        <v>2026</v>
      </c>
      <c r="F181" s="88" t="s">
        <v>532</v>
      </c>
      <c r="G181" s="88" t="s">
        <v>180</v>
      </c>
      <c r="H181" s="87" t="s">
        <v>189</v>
      </c>
      <c r="I181" s="87" t="s">
        <v>549</v>
      </c>
      <c r="J181" s="88" t="s">
        <v>550</v>
      </c>
      <c r="K181" s="89" t="n">
        <v>420</v>
      </c>
      <c r="L181" s="89" t="n">
        <v>66780000</v>
      </c>
      <c r="M181" s="89" t="n">
        <v>22225140</v>
      </c>
      <c r="N181" s="90" t="n">
        <f aca="false">IF(A181="제외",0,IF(OR(N(L181)&lt;=0,N(M181)&gt;N(L181)),N(M181)/가정!$B$4,N(L181)))</f>
        <v>66780000</v>
      </c>
      <c r="O181" s="67" t="str">
        <f aca="false">IF(A181="제외","",IF(OR(N(L181)&lt;=0,N(M181)&gt;N(L181)),"택가보정(판매금액÷공급율)",""))</f>
        <v/>
      </c>
    </row>
    <row r="182" customFormat="false" ht="15" hidden="false" customHeight="true" outlineLevel="0" collapsed="false">
      <c r="A182" s="67" t="str">
        <f aca="false">IF(OR(TRIM(C182)="",SUBSTITUTE(C182," ","")="소계"),"제외",IF(ISNUMBER(SEARCH("홍콩",C182)),"HK",IF(ISNUMBER(SEARCH("상해",C182)),"CN",IF(ISNUMBER(SEARCH("대만",C182)),"TW","홀세일"))))</f>
        <v>TW</v>
      </c>
      <c r="B182" s="87" t="s">
        <v>176</v>
      </c>
      <c r="C182" s="87" t="s">
        <v>177</v>
      </c>
      <c r="D182" s="88" t="s">
        <v>178</v>
      </c>
      <c r="E182" s="87" t="n">
        <v>2026</v>
      </c>
      <c r="F182" s="88" t="s">
        <v>532</v>
      </c>
      <c r="G182" s="88" t="s">
        <v>180</v>
      </c>
      <c r="H182" s="87" t="s">
        <v>189</v>
      </c>
      <c r="I182" s="87" t="s">
        <v>551</v>
      </c>
      <c r="J182" s="88" t="s">
        <v>552</v>
      </c>
      <c r="K182" s="89" t="n">
        <v>870</v>
      </c>
      <c r="L182" s="89" t="n">
        <v>129630000</v>
      </c>
      <c r="M182" s="89" t="n">
        <v>45928170</v>
      </c>
      <c r="N182" s="90" t="n">
        <f aca="false">IF(A182="제외",0,IF(OR(N(L182)&lt;=0,N(M182)&gt;N(L182)),N(M182)/가정!$B$4,N(L182)))</f>
        <v>129630000</v>
      </c>
      <c r="O182" s="67" t="str">
        <f aca="false">IF(A182="제외","",IF(OR(N(L182)&lt;=0,N(M182)&gt;N(L182)),"택가보정(판매금액÷공급율)",""))</f>
        <v/>
      </c>
    </row>
    <row r="183" customFormat="false" ht="15" hidden="false" customHeight="true" outlineLevel="0" collapsed="false">
      <c r="A183" s="67" t="str">
        <f aca="false">IF(OR(TRIM(C183)="",SUBSTITUTE(C183," ","")="소계"),"제외",IF(ISNUMBER(SEARCH("홍콩",C183)),"HK",IF(ISNUMBER(SEARCH("상해",C183)),"CN",IF(ISNUMBER(SEARCH("대만",C183)),"TW","홀세일"))))</f>
        <v>TW</v>
      </c>
      <c r="B183" s="87" t="s">
        <v>176</v>
      </c>
      <c r="C183" s="87" t="s">
        <v>177</v>
      </c>
      <c r="D183" s="88" t="s">
        <v>178</v>
      </c>
      <c r="E183" s="87" t="n">
        <v>2026</v>
      </c>
      <c r="F183" s="88" t="s">
        <v>532</v>
      </c>
      <c r="G183" s="88" t="s">
        <v>180</v>
      </c>
      <c r="H183" s="87" t="s">
        <v>189</v>
      </c>
      <c r="I183" s="87" t="s">
        <v>553</v>
      </c>
      <c r="J183" s="88" t="s">
        <v>554</v>
      </c>
      <c r="K183" s="89" t="n">
        <v>188</v>
      </c>
      <c r="L183" s="89" t="n">
        <v>44932000</v>
      </c>
      <c r="M183" s="89" t="n">
        <v>15889572</v>
      </c>
      <c r="N183" s="90" t="n">
        <f aca="false">IF(A183="제외",0,IF(OR(N(L183)&lt;=0,N(M183)&gt;N(L183)),N(M183)/가정!$B$4,N(L183)))</f>
        <v>44932000</v>
      </c>
      <c r="O183" s="67" t="str">
        <f aca="false">IF(A183="제외","",IF(OR(N(L183)&lt;=0,N(M183)&gt;N(L183)),"택가보정(판매금액÷공급율)",""))</f>
        <v/>
      </c>
    </row>
    <row r="184" customFormat="false" ht="15" hidden="false" customHeight="true" outlineLevel="0" collapsed="false">
      <c r="A184" s="67" t="str">
        <f aca="false">IF(OR(TRIM(C184)="",SUBSTITUTE(C184," ","")="소계"),"제외",IF(ISNUMBER(SEARCH("홍콩",C184)),"HK",IF(ISNUMBER(SEARCH("상해",C184)),"CN",IF(ISNUMBER(SEARCH("대만",C184)),"TW","홀세일"))))</f>
        <v>TW</v>
      </c>
      <c r="B184" s="87" t="s">
        <v>176</v>
      </c>
      <c r="C184" s="87" t="s">
        <v>177</v>
      </c>
      <c r="D184" s="88" t="s">
        <v>178</v>
      </c>
      <c r="E184" s="87" t="n">
        <v>2026</v>
      </c>
      <c r="F184" s="88" t="s">
        <v>532</v>
      </c>
      <c r="G184" s="88" t="s">
        <v>180</v>
      </c>
      <c r="H184" s="87" t="s">
        <v>189</v>
      </c>
      <c r="I184" s="87" t="s">
        <v>555</v>
      </c>
      <c r="J184" s="88" t="s">
        <v>556</v>
      </c>
      <c r="K184" s="89" t="n">
        <v>505</v>
      </c>
      <c r="L184" s="89" t="n">
        <v>130795000</v>
      </c>
      <c r="M184" s="89" t="n">
        <v>35832275</v>
      </c>
      <c r="N184" s="90" t="n">
        <f aca="false">IF(A184="제외",0,IF(OR(N(L184)&lt;=0,N(M184)&gt;N(L184)),N(M184)/가정!$B$4,N(L184)))</f>
        <v>130795000</v>
      </c>
      <c r="O184" s="67" t="str">
        <f aca="false">IF(A184="제외","",IF(OR(N(L184)&lt;=0,N(M184)&gt;N(L184)),"택가보정(판매금액÷공급율)",""))</f>
        <v/>
      </c>
    </row>
    <row r="185" customFormat="false" ht="15" hidden="false" customHeight="true" outlineLevel="0" collapsed="false">
      <c r="A185" s="67" t="str">
        <f aca="false">IF(OR(TRIM(C185)="",SUBSTITUTE(C185," ","")="소계"),"제외",IF(ISNUMBER(SEARCH("홍콩",C185)),"HK",IF(ISNUMBER(SEARCH("상해",C185)),"CN",IF(ISNUMBER(SEARCH("대만",C185)),"TW","홀세일"))))</f>
        <v>TW</v>
      </c>
      <c r="B185" s="87" t="s">
        <v>176</v>
      </c>
      <c r="C185" s="87" t="s">
        <v>177</v>
      </c>
      <c r="D185" s="88" t="s">
        <v>178</v>
      </c>
      <c r="E185" s="87" t="n">
        <v>2026</v>
      </c>
      <c r="F185" s="88" t="s">
        <v>532</v>
      </c>
      <c r="G185" s="88" t="s">
        <v>180</v>
      </c>
      <c r="H185" s="87" t="s">
        <v>189</v>
      </c>
      <c r="I185" s="87" t="s">
        <v>557</v>
      </c>
      <c r="J185" s="88" t="s">
        <v>558</v>
      </c>
      <c r="K185" s="89" t="n">
        <v>450</v>
      </c>
      <c r="L185" s="89" t="n">
        <v>76050000</v>
      </c>
      <c r="M185" s="89" t="n">
        <v>27431550</v>
      </c>
      <c r="N185" s="90" t="n">
        <f aca="false">IF(A185="제외",0,IF(OR(N(L185)&lt;=0,N(M185)&gt;N(L185)),N(M185)/가정!$B$4,N(L185)))</f>
        <v>76050000</v>
      </c>
      <c r="O185" s="67" t="str">
        <f aca="false">IF(A185="제외","",IF(OR(N(L185)&lt;=0,N(M185)&gt;N(L185)),"택가보정(판매금액÷공급율)",""))</f>
        <v/>
      </c>
    </row>
    <row r="186" customFormat="false" ht="15" hidden="false" customHeight="true" outlineLevel="0" collapsed="false">
      <c r="A186" s="67" t="str">
        <f aca="false">IF(OR(TRIM(C186)="",SUBSTITUTE(C186," ","")="소계"),"제외",IF(ISNUMBER(SEARCH("홍콩",C186)),"HK",IF(ISNUMBER(SEARCH("상해",C186)),"CN",IF(ISNUMBER(SEARCH("대만",C186)),"TW","홀세일"))))</f>
        <v>TW</v>
      </c>
      <c r="B186" s="87" t="s">
        <v>176</v>
      </c>
      <c r="C186" s="87" t="s">
        <v>177</v>
      </c>
      <c r="D186" s="88" t="s">
        <v>178</v>
      </c>
      <c r="E186" s="87" t="n">
        <v>2026</v>
      </c>
      <c r="F186" s="88" t="s">
        <v>532</v>
      </c>
      <c r="G186" s="88" t="s">
        <v>180</v>
      </c>
      <c r="H186" s="87" t="s">
        <v>189</v>
      </c>
      <c r="I186" s="87" t="s">
        <v>559</v>
      </c>
      <c r="J186" s="88" t="s">
        <v>560</v>
      </c>
      <c r="K186" s="89" t="n">
        <v>800</v>
      </c>
      <c r="L186" s="89" t="n">
        <v>151200000</v>
      </c>
      <c r="M186" s="89" t="n">
        <v>55836800</v>
      </c>
      <c r="N186" s="90" t="n">
        <f aca="false">IF(A186="제외",0,IF(OR(N(L186)&lt;=0,N(M186)&gt;N(L186)),N(M186)/가정!$B$4,N(L186)))</f>
        <v>151200000</v>
      </c>
      <c r="O186" s="67" t="str">
        <f aca="false">IF(A186="제외","",IF(OR(N(L186)&lt;=0,N(M186)&gt;N(L186)),"택가보정(판매금액÷공급율)",""))</f>
        <v/>
      </c>
    </row>
    <row r="187" customFormat="false" ht="15" hidden="false" customHeight="true" outlineLevel="0" collapsed="false">
      <c r="A187" s="67" t="str">
        <f aca="false">IF(OR(TRIM(C187)="",SUBSTITUTE(C187," ","")="소계"),"제외",IF(ISNUMBER(SEARCH("홍콩",C187)),"HK",IF(ISNUMBER(SEARCH("상해",C187)),"CN",IF(ISNUMBER(SEARCH("대만",C187)),"TW","홀세일"))))</f>
        <v>TW</v>
      </c>
      <c r="B187" s="87" t="s">
        <v>176</v>
      </c>
      <c r="C187" s="87" t="s">
        <v>177</v>
      </c>
      <c r="D187" s="88" t="s">
        <v>178</v>
      </c>
      <c r="E187" s="87" t="n">
        <v>2026</v>
      </c>
      <c r="F187" s="88" t="s">
        <v>532</v>
      </c>
      <c r="G187" s="88" t="s">
        <v>180</v>
      </c>
      <c r="H187" s="87" t="s">
        <v>189</v>
      </c>
      <c r="I187" s="87" t="s">
        <v>561</v>
      </c>
      <c r="J187" s="88" t="s">
        <v>562</v>
      </c>
      <c r="K187" s="89" t="n">
        <v>30</v>
      </c>
      <c r="L187" s="89" t="n">
        <v>7770000</v>
      </c>
      <c r="M187" s="89" t="n">
        <v>2589660</v>
      </c>
      <c r="N187" s="90" t="n">
        <f aca="false">IF(A187="제외",0,IF(OR(N(L187)&lt;=0,N(M187)&gt;N(L187)),N(M187)/가정!$B$4,N(L187)))</f>
        <v>7770000</v>
      </c>
      <c r="O187" s="67" t="str">
        <f aca="false">IF(A187="제외","",IF(OR(N(L187)&lt;=0,N(M187)&gt;N(L187)),"택가보정(판매금액÷공급율)",""))</f>
        <v/>
      </c>
    </row>
    <row r="188" customFormat="false" ht="15" hidden="false" customHeight="true" outlineLevel="0" collapsed="false">
      <c r="A188" s="67" t="str">
        <f aca="false">IF(OR(TRIM(C188)="",SUBSTITUTE(C188," ","")="소계"),"제외",IF(ISNUMBER(SEARCH("홍콩",C188)),"HK",IF(ISNUMBER(SEARCH("상해",C188)),"CN",IF(ISNUMBER(SEARCH("대만",C188)),"TW","홀세일"))))</f>
        <v>TW</v>
      </c>
      <c r="B188" s="87" t="s">
        <v>176</v>
      </c>
      <c r="C188" s="87" t="s">
        <v>177</v>
      </c>
      <c r="D188" s="88" t="s">
        <v>178</v>
      </c>
      <c r="E188" s="87" t="n">
        <v>2026</v>
      </c>
      <c r="F188" s="88" t="s">
        <v>532</v>
      </c>
      <c r="G188" s="88" t="s">
        <v>180</v>
      </c>
      <c r="H188" s="87" t="s">
        <v>189</v>
      </c>
      <c r="I188" s="87" t="s">
        <v>563</v>
      </c>
      <c r="J188" s="88" t="s">
        <v>564</v>
      </c>
      <c r="K188" s="89" t="n">
        <v>585</v>
      </c>
      <c r="L188" s="89" t="n">
        <v>174915000</v>
      </c>
      <c r="M188" s="89" t="n">
        <v>64655370</v>
      </c>
      <c r="N188" s="90" t="n">
        <f aca="false">IF(A188="제외",0,IF(OR(N(L188)&lt;=0,N(M188)&gt;N(L188)),N(M188)/가정!$B$4,N(L188)))</f>
        <v>174915000</v>
      </c>
      <c r="O188" s="67" t="str">
        <f aca="false">IF(A188="제외","",IF(OR(N(L188)&lt;=0,N(M188)&gt;N(L188)),"택가보정(판매금액÷공급율)",""))</f>
        <v/>
      </c>
    </row>
    <row r="189" customFormat="false" ht="15" hidden="false" customHeight="true" outlineLevel="0" collapsed="false">
      <c r="A189" s="67" t="str">
        <f aca="false">IF(OR(TRIM(C189)="",SUBSTITUTE(C189," ","")="소계"),"제외",IF(ISNUMBER(SEARCH("홍콩",C189)),"HK",IF(ISNUMBER(SEARCH("상해",C189)),"CN",IF(ISNUMBER(SEARCH("대만",C189)),"TW","홀세일"))))</f>
        <v>TW</v>
      </c>
      <c r="B189" s="87" t="s">
        <v>176</v>
      </c>
      <c r="C189" s="87" t="s">
        <v>177</v>
      </c>
      <c r="D189" s="88" t="s">
        <v>178</v>
      </c>
      <c r="E189" s="87" t="n">
        <v>2026</v>
      </c>
      <c r="F189" s="88" t="s">
        <v>532</v>
      </c>
      <c r="G189" s="88" t="s">
        <v>180</v>
      </c>
      <c r="H189" s="87" t="s">
        <v>189</v>
      </c>
      <c r="I189" s="87" t="s">
        <v>565</v>
      </c>
      <c r="J189" s="88" t="s">
        <v>566</v>
      </c>
      <c r="K189" s="89" t="n">
        <v>360</v>
      </c>
      <c r="L189" s="89" t="n">
        <v>158040000</v>
      </c>
      <c r="M189" s="89" t="n">
        <v>48893040</v>
      </c>
      <c r="N189" s="90" t="n">
        <f aca="false">IF(A189="제외",0,IF(OR(N(L189)&lt;=0,N(M189)&gt;N(L189)),N(M189)/가정!$B$4,N(L189)))</f>
        <v>158040000</v>
      </c>
      <c r="O189" s="67" t="str">
        <f aca="false">IF(A189="제외","",IF(OR(N(L189)&lt;=0,N(M189)&gt;N(L189)),"택가보정(판매금액÷공급율)",""))</f>
        <v/>
      </c>
    </row>
    <row r="190" customFormat="false" ht="15" hidden="false" customHeight="true" outlineLevel="0" collapsed="false">
      <c r="A190" s="67" t="str">
        <f aca="false">IF(OR(TRIM(C190)="",SUBSTITUTE(C190," ","")="소계"),"제외",IF(ISNUMBER(SEARCH("홍콩",C190)),"HK",IF(ISNUMBER(SEARCH("상해",C190)),"CN",IF(ISNUMBER(SEARCH("대만",C190)),"TW","홀세일"))))</f>
        <v>TW</v>
      </c>
      <c r="B190" s="87" t="s">
        <v>176</v>
      </c>
      <c r="C190" s="87" t="s">
        <v>177</v>
      </c>
      <c r="D190" s="88" t="s">
        <v>178</v>
      </c>
      <c r="E190" s="87" t="n">
        <v>2026</v>
      </c>
      <c r="F190" s="88" t="s">
        <v>532</v>
      </c>
      <c r="G190" s="88" t="s">
        <v>180</v>
      </c>
      <c r="H190" s="87" t="s">
        <v>189</v>
      </c>
      <c r="I190" s="87" t="s">
        <v>567</v>
      </c>
      <c r="J190" s="88" t="s">
        <v>568</v>
      </c>
      <c r="K190" s="89" t="n">
        <v>138</v>
      </c>
      <c r="L190" s="89" t="n">
        <v>55062000</v>
      </c>
      <c r="M190" s="89" t="n">
        <v>16866222</v>
      </c>
      <c r="N190" s="90" t="n">
        <f aca="false">IF(A190="제외",0,IF(OR(N(L190)&lt;=0,N(M190)&gt;N(L190)),N(M190)/가정!$B$4,N(L190)))</f>
        <v>55062000</v>
      </c>
      <c r="O190" s="67" t="str">
        <f aca="false">IF(A190="제외","",IF(OR(N(L190)&lt;=0,N(M190)&gt;N(L190)),"택가보정(판매금액÷공급율)",""))</f>
        <v/>
      </c>
    </row>
    <row r="191" customFormat="false" ht="15" hidden="false" customHeight="true" outlineLevel="0" collapsed="false">
      <c r="A191" s="67" t="str">
        <f aca="false">IF(OR(TRIM(C191)="",SUBSTITUTE(C191," ","")="소계"),"제외",IF(ISNUMBER(SEARCH("홍콩",C191)),"HK",IF(ISNUMBER(SEARCH("상해",C191)),"CN",IF(ISNUMBER(SEARCH("대만",C191)),"TW","홀세일"))))</f>
        <v>TW</v>
      </c>
      <c r="B191" s="87" t="s">
        <v>176</v>
      </c>
      <c r="C191" s="87" t="s">
        <v>177</v>
      </c>
      <c r="D191" s="88" t="s">
        <v>178</v>
      </c>
      <c r="E191" s="87" t="n">
        <v>2026</v>
      </c>
      <c r="F191" s="88" t="s">
        <v>532</v>
      </c>
      <c r="G191" s="88" t="s">
        <v>180</v>
      </c>
      <c r="H191" s="87" t="s">
        <v>189</v>
      </c>
      <c r="I191" s="87" t="s">
        <v>569</v>
      </c>
      <c r="J191" s="88" t="s">
        <v>570</v>
      </c>
      <c r="K191" s="89" t="n">
        <v>270</v>
      </c>
      <c r="L191" s="89" t="n">
        <v>118530000</v>
      </c>
      <c r="M191" s="89" t="n">
        <v>42761790</v>
      </c>
      <c r="N191" s="90" t="n">
        <f aca="false">IF(A191="제외",0,IF(OR(N(L191)&lt;=0,N(M191)&gt;N(L191)),N(M191)/가정!$B$4,N(L191)))</f>
        <v>118530000</v>
      </c>
      <c r="O191" s="67" t="str">
        <f aca="false">IF(A191="제외","",IF(OR(N(L191)&lt;=0,N(M191)&gt;N(L191)),"택가보정(판매금액÷공급율)",""))</f>
        <v/>
      </c>
    </row>
    <row r="192" customFormat="false" ht="15" hidden="false" customHeight="true" outlineLevel="0" collapsed="false">
      <c r="A192" s="67" t="str">
        <f aca="false">IF(OR(TRIM(C192)="",SUBSTITUTE(C192," ","")="소계"),"제외",IF(ISNUMBER(SEARCH("홍콩",C192)),"HK",IF(ISNUMBER(SEARCH("상해",C192)),"CN",IF(ISNUMBER(SEARCH("대만",C192)),"TW","홀세일"))))</f>
        <v>TW</v>
      </c>
      <c r="B192" s="87" t="s">
        <v>176</v>
      </c>
      <c r="C192" s="87" t="s">
        <v>177</v>
      </c>
      <c r="D192" s="88" t="s">
        <v>178</v>
      </c>
      <c r="E192" s="87" t="n">
        <v>2026</v>
      </c>
      <c r="F192" s="88" t="s">
        <v>532</v>
      </c>
      <c r="G192" s="88" t="s">
        <v>180</v>
      </c>
      <c r="H192" s="87" t="s">
        <v>181</v>
      </c>
      <c r="I192" s="87" t="s">
        <v>571</v>
      </c>
      <c r="J192" s="87" t="s">
        <v>572</v>
      </c>
      <c r="K192" s="89" t="n">
        <v>100</v>
      </c>
      <c r="L192" s="89" t="n">
        <v>24900000</v>
      </c>
      <c r="M192" s="89" t="n">
        <v>8486400</v>
      </c>
      <c r="N192" s="90" t="n">
        <f aca="false">IF(A192="제외",0,IF(OR(N(L192)&lt;=0,N(M192)&gt;N(L192)),N(M192)/가정!$B$4,N(L192)))</f>
        <v>24900000</v>
      </c>
      <c r="O192" s="67" t="str">
        <f aca="false">IF(A192="제외","",IF(OR(N(L192)&lt;=0,N(M192)&gt;N(L192)),"택가보정(판매금액÷공급율)",""))</f>
        <v/>
      </c>
    </row>
    <row r="193" customFormat="false" ht="15" hidden="false" customHeight="true" outlineLevel="0" collapsed="false">
      <c r="A193" s="67" t="str">
        <f aca="false">IF(OR(TRIM(C193)="",SUBSTITUTE(C193," ","")="소계"),"제외",IF(ISNUMBER(SEARCH("홍콩",C193)),"HK",IF(ISNUMBER(SEARCH("상해",C193)),"CN",IF(ISNUMBER(SEARCH("대만",C193)),"TW","홀세일"))))</f>
        <v>TW</v>
      </c>
      <c r="B193" s="87" t="s">
        <v>176</v>
      </c>
      <c r="C193" s="87" t="s">
        <v>177</v>
      </c>
      <c r="D193" s="88" t="s">
        <v>178</v>
      </c>
      <c r="E193" s="87" t="n">
        <v>2026</v>
      </c>
      <c r="F193" s="88" t="s">
        <v>532</v>
      </c>
      <c r="G193" s="88" t="s">
        <v>180</v>
      </c>
      <c r="H193" s="87" t="s">
        <v>189</v>
      </c>
      <c r="I193" s="87" t="s">
        <v>573</v>
      </c>
      <c r="J193" s="88" t="s">
        <v>574</v>
      </c>
      <c r="K193" s="89" t="n">
        <v>360</v>
      </c>
      <c r="L193" s="89" t="n">
        <v>68040000</v>
      </c>
      <c r="M193" s="89" t="n">
        <v>25126560</v>
      </c>
      <c r="N193" s="90" t="n">
        <f aca="false">IF(A193="제외",0,IF(OR(N(L193)&lt;=0,N(M193)&gt;N(L193)),N(M193)/가정!$B$4,N(L193)))</f>
        <v>68040000</v>
      </c>
      <c r="O193" s="67" t="str">
        <f aca="false">IF(A193="제외","",IF(OR(N(L193)&lt;=0,N(M193)&gt;N(L193)),"택가보정(판매금액÷공급율)",""))</f>
        <v/>
      </c>
    </row>
    <row r="194" customFormat="false" ht="15" hidden="false" customHeight="true" outlineLevel="0" collapsed="false">
      <c r="A194" s="67" t="str">
        <f aca="false">IF(OR(TRIM(C194)="",SUBSTITUTE(C194," ","")="소계"),"제외",IF(ISNUMBER(SEARCH("홍콩",C194)),"HK",IF(ISNUMBER(SEARCH("상해",C194)),"CN",IF(ISNUMBER(SEARCH("대만",C194)),"TW","홀세일"))))</f>
        <v>TW</v>
      </c>
      <c r="B194" s="87" t="s">
        <v>176</v>
      </c>
      <c r="C194" s="87" t="s">
        <v>177</v>
      </c>
      <c r="D194" s="88" t="s">
        <v>178</v>
      </c>
      <c r="E194" s="87" t="n">
        <v>2026</v>
      </c>
      <c r="F194" s="88" t="s">
        <v>532</v>
      </c>
      <c r="G194" s="88" t="s">
        <v>180</v>
      </c>
      <c r="H194" s="87" t="s">
        <v>189</v>
      </c>
      <c r="I194" s="87" t="s">
        <v>575</v>
      </c>
      <c r="J194" s="88" t="s">
        <v>576</v>
      </c>
      <c r="K194" s="89" t="n">
        <v>540</v>
      </c>
      <c r="L194" s="89" t="n">
        <v>96660000</v>
      </c>
      <c r="M194" s="89" t="n">
        <v>34468740</v>
      </c>
      <c r="N194" s="90" t="n">
        <f aca="false">IF(A194="제외",0,IF(OR(N(L194)&lt;=0,N(M194)&gt;N(L194)),N(M194)/가정!$B$4,N(L194)))</f>
        <v>96660000</v>
      </c>
      <c r="O194" s="67" t="str">
        <f aca="false">IF(A194="제외","",IF(OR(N(L194)&lt;=0,N(M194)&gt;N(L194)),"택가보정(판매금액÷공급율)",""))</f>
        <v/>
      </c>
    </row>
    <row r="195" customFormat="false" ht="15" hidden="false" customHeight="true" outlineLevel="0" collapsed="false">
      <c r="A195" s="67" t="str">
        <f aca="false">IF(OR(TRIM(C195)="",SUBSTITUTE(C195," ","")="소계"),"제외",IF(ISNUMBER(SEARCH("홍콩",C195)),"HK",IF(ISNUMBER(SEARCH("상해",C195)),"CN",IF(ISNUMBER(SEARCH("대만",C195)),"TW","홀세일"))))</f>
        <v>TW</v>
      </c>
      <c r="B195" s="87" t="s">
        <v>176</v>
      </c>
      <c r="C195" s="87" t="s">
        <v>177</v>
      </c>
      <c r="D195" s="88" t="s">
        <v>178</v>
      </c>
      <c r="E195" s="87" t="n">
        <v>2026</v>
      </c>
      <c r="F195" s="88" t="s">
        <v>532</v>
      </c>
      <c r="G195" s="88" t="s">
        <v>180</v>
      </c>
      <c r="H195" s="87" t="s">
        <v>189</v>
      </c>
      <c r="I195" s="87" t="s">
        <v>577</v>
      </c>
      <c r="J195" s="87" t="s">
        <v>578</v>
      </c>
      <c r="K195" s="89" t="n">
        <v>380</v>
      </c>
      <c r="L195" s="89" t="n">
        <v>83220000</v>
      </c>
      <c r="M195" s="89" t="n">
        <v>26962900</v>
      </c>
      <c r="N195" s="90" t="n">
        <f aca="false">IF(A195="제외",0,IF(OR(N(L195)&lt;=0,N(M195)&gt;N(L195)),N(M195)/가정!$B$4,N(L195)))</f>
        <v>83220000</v>
      </c>
      <c r="O195" s="67" t="str">
        <f aca="false">IF(A195="제외","",IF(OR(N(L195)&lt;=0,N(M195)&gt;N(L195)),"택가보정(판매금액÷공급율)",""))</f>
        <v/>
      </c>
    </row>
    <row r="196" customFormat="false" ht="15" hidden="false" customHeight="true" outlineLevel="0" collapsed="false">
      <c r="A196" s="67" t="str">
        <f aca="false">IF(OR(TRIM(C196)="",SUBSTITUTE(C196," ","")="소계"),"제외",IF(ISNUMBER(SEARCH("홍콩",C196)),"HK",IF(ISNUMBER(SEARCH("상해",C196)),"CN",IF(ISNUMBER(SEARCH("대만",C196)),"TW","홀세일"))))</f>
        <v>TW</v>
      </c>
      <c r="B196" s="87" t="s">
        <v>176</v>
      </c>
      <c r="C196" s="87" t="s">
        <v>177</v>
      </c>
      <c r="D196" s="88" t="s">
        <v>178</v>
      </c>
      <c r="E196" s="87" t="n">
        <v>2026</v>
      </c>
      <c r="F196" s="88" t="s">
        <v>532</v>
      </c>
      <c r="G196" s="88" t="s">
        <v>180</v>
      </c>
      <c r="H196" s="87" t="s">
        <v>189</v>
      </c>
      <c r="I196" s="87" t="s">
        <v>579</v>
      </c>
      <c r="J196" s="88" t="s">
        <v>580</v>
      </c>
      <c r="K196" s="89" t="n">
        <v>140</v>
      </c>
      <c r="L196" s="89" t="n">
        <v>20860000</v>
      </c>
      <c r="M196" s="89" t="n">
        <v>7440300</v>
      </c>
      <c r="N196" s="90" t="n">
        <f aca="false">IF(A196="제외",0,IF(OR(N(L196)&lt;=0,N(M196)&gt;N(L196)),N(M196)/가정!$B$4,N(L196)))</f>
        <v>20860000</v>
      </c>
      <c r="O196" s="67" t="str">
        <f aca="false">IF(A196="제외","",IF(OR(N(L196)&lt;=0,N(M196)&gt;N(L196)),"택가보정(판매금액÷공급율)",""))</f>
        <v/>
      </c>
    </row>
    <row r="197" customFormat="false" ht="15" hidden="false" customHeight="true" outlineLevel="0" collapsed="false">
      <c r="A197" s="67" t="str">
        <f aca="false">IF(OR(TRIM(C197)="",SUBSTITUTE(C197," ","")="소계"),"제외",IF(ISNUMBER(SEARCH("홍콩",C197)),"HK",IF(ISNUMBER(SEARCH("상해",C197)),"CN",IF(ISNUMBER(SEARCH("대만",C197)),"TW","홀세일"))))</f>
        <v>TW</v>
      </c>
      <c r="B197" s="87" t="s">
        <v>176</v>
      </c>
      <c r="C197" s="87" t="s">
        <v>177</v>
      </c>
      <c r="D197" s="88" t="s">
        <v>178</v>
      </c>
      <c r="E197" s="87" t="n">
        <v>2026</v>
      </c>
      <c r="F197" s="88" t="s">
        <v>532</v>
      </c>
      <c r="G197" s="88" t="s">
        <v>180</v>
      </c>
      <c r="H197" s="87" t="s">
        <v>181</v>
      </c>
      <c r="I197" s="87" t="s">
        <v>581</v>
      </c>
      <c r="J197" s="88" t="s">
        <v>582</v>
      </c>
      <c r="K197" s="89" t="n">
        <v>100</v>
      </c>
      <c r="L197" s="89" t="n">
        <v>21900000</v>
      </c>
      <c r="M197" s="89" t="n">
        <v>7769400</v>
      </c>
      <c r="N197" s="90" t="n">
        <f aca="false">IF(A197="제외",0,IF(OR(N(L197)&lt;=0,N(M197)&gt;N(L197)),N(M197)/가정!$B$4,N(L197)))</f>
        <v>21900000</v>
      </c>
      <c r="O197" s="67" t="str">
        <f aca="false">IF(A197="제외","",IF(OR(N(L197)&lt;=0,N(M197)&gt;N(L197)),"택가보정(판매금액÷공급율)",""))</f>
        <v/>
      </c>
    </row>
    <row r="198" customFormat="false" ht="15" hidden="false" customHeight="true" outlineLevel="0" collapsed="false">
      <c r="A198" s="67" t="str">
        <f aca="false">IF(OR(TRIM(C198)="",SUBSTITUTE(C198," ","")="소계"),"제외",IF(ISNUMBER(SEARCH("홍콩",C198)),"HK",IF(ISNUMBER(SEARCH("상해",C198)),"CN",IF(ISNUMBER(SEARCH("대만",C198)),"TW","홀세일"))))</f>
        <v>TW</v>
      </c>
      <c r="B198" s="87" t="s">
        <v>176</v>
      </c>
      <c r="C198" s="87" t="s">
        <v>177</v>
      </c>
      <c r="D198" s="88" t="s">
        <v>178</v>
      </c>
      <c r="E198" s="87" t="n">
        <v>2026</v>
      </c>
      <c r="F198" s="88" t="s">
        <v>532</v>
      </c>
      <c r="G198" s="88" t="s">
        <v>180</v>
      </c>
      <c r="H198" s="87" t="s">
        <v>181</v>
      </c>
      <c r="I198" s="87" t="s">
        <v>583</v>
      </c>
      <c r="J198" s="88" t="s">
        <v>584</v>
      </c>
      <c r="K198" s="89" t="n">
        <v>70</v>
      </c>
      <c r="L198" s="89" t="n">
        <v>19530000</v>
      </c>
      <c r="M198" s="89" t="n">
        <v>6429220</v>
      </c>
      <c r="N198" s="90" t="n">
        <f aca="false">IF(A198="제외",0,IF(OR(N(L198)&lt;=0,N(M198)&gt;N(L198)),N(M198)/가정!$B$4,N(L198)))</f>
        <v>19530000</v>
      </c>
      <c r="O198" s="67" t="str">
        <f aca="false">IF(A198="제외","",IF(OR(N(L198)&lt;=0,N(M198)&gt;N(L198)),"택가보정(판매금액÷공급율)",""))</f>
        <v/>
      </c>
    </row>
    <row r="199" customFormat="false" ht="15" hidden="false" customHeight="true" outlineLevel="0" collapsed="false">
      <c r="A199" s="67" t="str">
        <f aca="false">IF(OR(TRIM(C199)="",SUBSTITUTE(C199," ","")="소계"),"제외",IF(ISNUMBER(SEARCH("홍콩",C199)),"HK",IF(ISNUMBER(SEARCH("상해",C199)),"CN",IF(ISNUMBER(SEARCH("대만",C199)),"TW","홀세일"))))</f>
        <v>TW</v>
      </c>
      <c r="B199" s="87" t="s">
        <v>176</v>
      </c>
      <c r="C199" s="87" t="s">
        <v>177</v>
      </c>
      <c r="D199" s="88" t="s">
        <v>178</v>
      </c>
      <c r="E199" s="87" t="n">
        <v>2026</v>
      </c>
      <c r="F199" s="88" t="s">
        <v>532</v>
      </c>
      <c r="G199" s="88" t="s">
        <v>180</v>
      </c>
      <c r="H199" s="87" t="s">
        <v>189</v>
      </c>
      <c r="I199" s="87" t="s">
        <v>585</v>
      </c>
      <c r="J199" s="88" t="s">
        <v>586</v>
      </c>
      <c r="K199" s="89" t="n">
        <v>600</v>
      </c>
      <c r="L199" s="89" t="n">
        <v>119400000</v>
      </c>
      <c r="M199" s="89" t="n">
        <v>39678000</v>
      </c>
      <c r="N199" s="90" t="n">
        <f aca="false">IF(A199="제외",0,IF(OR(N(L199)&lt;=0,N(M199)&gt;N(L199)),N(M199)/가정!$B$4,N(L199)))</f>
        <v>119400000</v>
      </c>
      <c r="O199" s="67" t="str">
        <f aca="false">IF(A199="제외","",IF(OR(N(L199)&lt;=0,N(M199)&gt;N(L199)),"택가보정(판매금액÷공급율)",""))</f>
        <v/>
      </c>
    </row>
    <row r="200" customFormat="false" ht="15" hidden="false" customHeight="true" outlineLevel="0" collapsed="false">
      <c r="A200" s="67" t="str">
        <f aca="false">IF(OR(TRIM(C200)="",SUBSTITUTE(C200," ","")="소계"),"제외",IF(ISNUMBER(SEARCH("홍콩",C200)),"HK",IF(ISNUMBER(SEARCH("상해",C200)),"CN",IF(ISNUMBER(SEARCH("대만",C200)),"TW","홀세일"))))</f>
        <v>TW</v>
      </c>
      <c r="B200" s="87" t="s">
        <v>176</v>
      </c>
      <c r="C200" s="87" t="s">
        <v>177</v>
      </c>
      <c r="D200" s="88" t="s">
        <v>178</v>
      </c>
      <c r="E200" s="87" t="n">
        <v>2026</v>
      </c>
      <c r="F200" s="88" t="s">
        <v>532</v>
      </c>
      <c r="G200" s="88" t="s">
        <v>180</v>
      </c>
      <c r="H200" s="87" t="s">
        <v>189</v>
      </c>
      <c r="I200" s="87" t="s">
        <v>587</v>
      </c>
      <c r="J200" s="88" t="s">
        <v>588</v>
      </c>
      <c r="K200" s="89" t="n">
        <v>100</v>
      </c>
      <c r="L200" s="89" t="n">
        <v>15900000</v>
      </c>
      <c r="M200" s="89" t="n">
        <v>5306300</v>
      </c>
      <c r="N200" s="90" t="n">
        <f aca="false">IF(A200="제외",0,IF(OR(N(L200)&lt;=0,N(M200)&gt;N(L200)),N(M200)/가정!$B$4,N(L200)))</f>
        <v>15900000</v>
      </c>
      <c r="O200" s="67" t="str">
        <f aca="false">IF(A200="제외","",IF(OR(N(L200)&lt;=0,N(M200)&gt;N(L200)),"택가보정(판매금액÷공급율)",""))</f>
        <v/>
      </c>
    </row>
    <row r="201" customFormat="false" ht="15" hidden="false" customHeight="true" outlineLevel="0" collapsed="false">
      <c r="A201" s="67" t="str">
        <f aca="false">IF(OR(TRIM(C201)="",SUBSTITUTE(C201," ","")="소계"),"제외",IF(ISNUMBER(SEARCH("홍콩",C201)),"HK",IF(ISNUMBER(SEARCH("상해",C201)),"CN",IF(ISNUMBER(SEARCH("대만",C201)),"TW","홀세일"))))</f>
        <v>TW</v>
      </c>
      <c r="B201" s="87" t="s">
        <v>176</v>
      </c>
      <c r="C201" s="87" t="s">
        <v>177</v>
      </c>
      <c r="D201" s="88" t="s">
        <v>178</v>
      </c>
      <c r="E201" s="87" t="n">
        <v>2026</v>
      </c>
      <c r="F201" s="88" t="s">
        <v>532</v>
      </c>
      <c r="G201" s="88" t="s">
        <v>180</v>
      </c>
      <c r="H201" s="87" t="s">
        <v>189</v>
      </c>
      <c r="I201" s="87" t="s">
        <v>589</v>
      </c>
      <c r="J201" s="88" t="s">
        <v>590</v>
      </c>
      <c r="K201" s="89" t="n">
        <v>60</v>
      </c>
      <c r="L201" s="89" t="n">
        <v>8940000</v>
      </c>
      <c r="M201" s="89" t="n">
        <v>3000600</v>
      </c>
      <c r="N201" s="90" t="n">
        <f aca="false">IF(A201="제외",0,IF(OR(N(L201)&lt;=0,N(M201)&gt;N(L201)),N(M201)/가정!$B$4,N(L201)))</f>
        <v>8940000</v>
      </c>
      <c r="O201" s="67" t="str">
        <f aca="false">IF(A201="제외","",IF(OR(N(L201)&lt;=0,N(M201)&gt;N(L201)),"택가보정(판매금액÷공급율)",""))</f>
        <v/>
      </c>
    </row>
    <row r="202" customFormat="false" ht="15" hidden="false" customHeight="true" outlineLevel="0" collapsed="false">
      <c r="A202" s="67" t="str">
        <f aca="false">IF(OR(TRIM(C202)="",SUBSTITUTE(C202," ","")="소계"),"제외",IF(ISNUMBER(SEARCH("홍콩",C202)),"HK",IF(ISNUMBER(SEARCH("상해",C202)),"CN",IF(ISNUMBER(SEARCH("대만",C202)),"TW","홀세일"))))</f>
        <v>TW</v>
      </c>
      <c r="B202" s="87" t="s">
        <v>176</v>
      </c>
      <c r="C202" s="87" t="s">
        <v>177</v>
      </c>
      <c r="D202" s="88" t="s">
        <v>178</v>
      </c>
      <c r="E202" s="87" t="n">
        <v>2026</v>
      </c>
      <c r="F202" s="88" t="s">
        <v>532</v>
      </c>
      <c r="G202" s="88" t="s">
        <v>180</v>
      </c>
      <c r="H202" s="87" t="s">
        <v>189</v>
      </c>
      <c r="I202" s="87" t="s">
        <v>591</v>
      </c>
      <c r="J202" s="88" t="s">
        <v>592</v>
      </c>
      <c r="K202" s="89" t="n">
        <v>850</v>
      </c>
      <c r="L202" s="89" t="n">
        <v>75650000</v>
      </c>
      <c r="M202" s="89" t="n">
        <v>25325750</v>
      </c>
      <c r="N202" s="90" t="n">
        <f aca="false">IF(A202="제외",0,IF(OR(N(L202)&lt;=0,N(M202)&gt;N(L202)),N(M202)/가정!$B$4,N(L202)))</f>
        <v>75650000</v>
      </c>
      <c r="O202" s="67" t="str">
        <f aca="false">IF(A202="제외","",IF(OR(N(L202)&lt;=0,N(M202)&gt;N(L202)),"택가보정(판매금액÷공급율)",""))</f>
        <v/>
      </c>
    </row>
    <row r="203" customFormat="false" ht="15" hidden="false" customHeight="true" outlineLevel="0" collapsed="false">
      <c r="A203" s="67" t="str">
        <f aca="false">IF(OR(TRIM(C203)="",SUBSTITUTE(C203," ","")="소계"),"제외",IF(ISNUMBER(SEARCH("홍콩",C203)),"HK",IF(ISNUMBER(SEARCH("상해",C203)),"CN",IF(ISNUMBER(SEARCH("대만",C203)),"TW","홀세일"))))</f>
        <v>TW</v>
      </c>
      <c r="B203" s="87" t="s">
        <v>176</v>
      </c>
      <c r="C203" s="87" t="s">
        <v>177</v>
      </c>
      <c r="D203" s="88" t="s">
        <v>178</v>
      </c>
      <c r="E203" s="87" t="n">
        <v>2026</v>
      </c>
      <c r="F203" s="88" t="s">
        <v>532</v>
      </c>
      <c r="G203" s="88" t="s">
        <v>180</v>
      </c>
      <c r="H203" s="87" t="s">
        <v>189</v>
      </c>
      <c r="I203" s="87" t="s">
        <v>593</v>
      </c>
      <c r="J203" s="88" t="s">
        <v>594</v>
      </c>
      <c r="K203" s="89" t="n">
        <v>300</v>
      </c>
      <c r="L203" s="89" t="n">
        <v>44700000</v>
      </c>
      <c r="M203" s="89" t="n">
        <v>14898900</v>
      </c>
      <c r="N203" s="90" t="n">
        <f aca="false">IF(A203="제외",0,IF(OR(N(L203)&lt;=0,N(M203)&gt;N(L203)),N(M203)/가정!$B$4,N(L203)))</f>
        <v>44700000</v>
      </c>
      <c r="O203" s="67" t="str">
        <f aca="false">IF(A203="제외","",IF(OR(N(L203)&lt;=0,N(M203)&gt;N(L203)),"택가보정(판매금액÷공급율)",""))</f>
        <v/>
      </c>
    </row>
    <row r="204" customFormat="false" ht="15" hidden="false" customHeight="true" outlineLevel="0" collapsed="false">
      <c r="A204" s="67" t="str">
        <f aca="false">IF(OR(TRIM(C204)="",SUBSTITUTE(C204," ","")="소계"),"제외",IF(ISNUMBER(SEARCH("홍콩",C204)),"HK",IF(ISNUMBER(SEARCH("상해",C204)),"CN",IF(ISNUMBER(SEARCH("대만",C204)),"TW","홀세일"))))</f>
        <v>TW</v>
      </c>
      <c r="B204" s="87" t="s">
        <v>176</v>
      </c>
      <c r="C204" s="87" t="s">
        <v>177</v>
      </c>
      <c r="D204" s="88" t="s">
        <v>178</v>
      </c>
      <c r="E204" s="87" t="n">
        <v>2026</v>
      </c>
      <c r="F204" s="88" t="s">
        <v>532</v>
      </c>
      <c r="G204" s="88" t="s">
        <v>180</v>
      </c>
      <c r="H204" s="88" t="s">
        <v>185</v>
      </c>
      <c r="I204" s="87" t="s">
        <v>595</v>
      </c>
      <c r="J204" s="87" t="s">
        <v>596</v>
      </c>
      <c r="K204" s="89" t="n">
        <v>1600</v>
      </c>
      <c r="L204" s="89" t="n">
        <v>142400000</v>
      </c>
      <c r="M204" s="89" t="n">
        <v>49033600</v>
      </c>
      <c r="N204" s="90" t="n">
        <f aca="false">IF(A204="제외",0,IF(OR(N(L204)&lt;=0,N(M204)&gt;N(L204)),N(M204)/가정!$B$4,N(L204)))</f>
        <v>142400000</v>
      </c>
      <c r="O204" s="67" t="str">
        <f aca="false">IF(A204="제외","",IF(OR(N(L204)&lt;=0,N(M204)&gt;N(L204)),"택가보정(판매금액÷공급율)",""))</f>
        <v/>
      </c>
    </row>
    <row r="205" customFormat="false" ht="15" hidden="false" customHeight="true" outlineLevel="0" collapsed="false">
      <c r="A205" s="67" t="str">
        <f aca="false">IF(OR(TRIM(C205)="",SUBSTITUTE(C205," ","")="소계"),"제외",IF(ISNUMBER(SEARCH("홍콩",C205)),"HK",IF(ISNUMBER(SEARCH("상해",C205)),"CN",IF(ISNUMBER(SEARCH("대만",C205)),"TW","홀세일"))))</f>
        <v>TW</v>
      </c>
      <c r="B205" s="87" t="s">
        <v>176</v>
      </c>
      <c r="C205" s="87" t="s">
        <v>177</v>
      </c>
      <c r="D205" s="88" t="s">
        <v>178</v>
      </c>
      <c r="E205" s="87" t="n">
        <v>2026</v>
      </c>
      <c r="F205" s="88" t="s">
        <v>532</v>
      </c>
      <c r="G205" s="88" t="s">
        <v>418</v>
      </c>
      <c r="H205" s="87" t="s">
        <v>189</v>
      </c>
      <c r="I205" s="87" t="s">
        <v>597</v>
      </c>
      <c r="J205" s="88" t="s">
        <v>598</v>
      </c>
      <c r="K205" s="89" t="n">
        <v>370</v>
      </c>
      <c r="L205" s="89" t="n">
        <v>36630000</v>
      </c>
      <c r="M205" s="89" t="n">
        <v>13163490</v>
      </c>
      <c r="N205" s="90" t="n">
        <f aca="false">IF(A205="제외",0,IF(OR(N(L205)&lt;=0,N(M205)&gt;N(L205)),N(M205)/가정!$B$4,N(L205)))</f>
        <v>36630000</v>
      </c>
      <c r="O205" s="67" t="str">
        <f aca="false">IF(A205="제외","",IF(OR(N(L205)&lt;=0,N(M205)&gt;N(L205)),"택가보정(판매금액÷공급율)",""))</f>
        <v/>
      </c>
    </row>
    <row r="206" customFormat="false" ht="15" hidden="false" customHeight="true" outlineLevel="0" collapsed="false">
      <c r="A206" s="67" t="str">
        <f aca="false">IF(OR(TRIM(C206)="",SUBSTITUTE(C206," ","")="소계"),"제외",IF(ISNUMBER(SEARCH("홍콩",C206)),"HK",IF(ISNUMBER(SEARCH("상해",C206)),"CN",IF(ISNUMBER(SEARCH("대만",C206)),"TW","홀세일"))))</f>
        <v>TW</v>
      </c>
      <c r="B206" s="87" t="s">
        <v>176</v>
      </c>
      <c r="C206" s="87" t="s">
        <v>177</v>
      </c>
      <c r="D206" s="88" t="s">
        <v>178</v>
      </c>
      <c r="E206" s="87" t="n">
        <v>2026</v>
      </c>
      <c r="F206" s="88" t="s">
        <v>532</v>
      </c>
      <c r="G206" s="88" t="s">
        <v>180</v>
      </c>
      <c r="H206" s="87" t="s">
        <v>246</v>
      </c>
      <c r="I206" s="87" t="s">
        <v>599</v>
      </c>
      <c r="J206" s="87" t="s">
        <v>600</v>
      </c>
      <c r="K206" s="89" t="n">
        <v>150</v>
      </c>
      <c r="L206" s="89" t="n">
        <v>23850000</v>
      </c>
      <c r="M206" s="89" t="n">
        <v>7937550</v>
      </c>
      <c r="N206" s="90" t="n">
        <f aca="false">IF(A206="제외",0,IF(OR(N(L206)&lt;=0,N(M206)&gt;N(L206)),N(M206)/가정!$B$4,N(L206)))</f>
        <v>23850000</v>
      </c>
      <c r="O206" s="67" t="str">
        <f aca="false">IF(A206="제외","",IF(OR(N(L206)&lt;=0,N(M206)&gt;N(L206)),"택가보정(판매금액÷공급율)",""))</f>
        <v/>
      </c>
    </row>
    <row r="207" customFormat="false" ht="15" hidden="false" customHeight="true" outlineLevel="0" collapsed="false">
      <c r="A207" s="67" t="str">
        <f aca="false">IF(OR(TRIM(C207)="",SUBSTITUTE(C207," ","")="소계"),"제외",IF(ISNUMBER(SEARCH("홍콩",C207)),"HK",IF(ISNUMBER(SEARCH("상해",C207)),"CN",IF(ISNUMBER(SEARCH("대만",C207)),"TW","홀세일"))))</f>
        <v>TW</v>
      </c>
      <c r="B207" s="87" t="s">
        <v>176</v>
      </c>
      <c r="C207" s="87" t="s">
        <v>177</v>
      </c>
      <c r="D207" s="88" t="s">
        <v>178</v>
      </c>
      <c r="E207" s="87" t="n">
        <v>2026</v>
      </c>
      <c r="F207" s="88" t="s">
        <v>532</v>
      </c>
      <c r="G207" s="88" t="s">
        <v>180</v>
      </c>
      <c r="H207" s="87" t="s">
        <v>246</v>
      </c>
      <c r="I207" s="87" t="s">
        <v>601</v>
      </c>
      <c r="J207" s="87" t="s">
        <v>602</v>
      </c>
      <c r="K207" s="89" t="n">
        <v>300</v>
      </c>
      <c r="L207" s="89" t="n">
        <v>47700000</v>
      </c>
      <c r="M207" s="89" t="n">
        <v>15875100</v>
      </c>
      <c r="N207" s="90" t="n">
        <f aca="false">IF(A207="제외",0,IF(OR(N(L207)&lt;=0,N(M207)&gt;N(L207)),N(M207)/가정!$B$4,N(L207)))</f>
        <v>47700000</v>
      </c>
      <c r="O207" s="67" t="str">
        <f aca="false">IF(A207="제외","",IF(OR(N(L207)&lt;=0,N(M207)&gt;N(L207)),"택가보정(판매금액÷공급율)",""))</f>
        <v/>
      </c>
    </row>
    <row r="208" customFormat="false" ht="15" hidden="false" customHeight="true" outlineLevel="0" collapsed="false">
      <c r="A208" s="67" t="str">
        <f aca="false">IF(OR(TRIM(C208)="",SUBSTITUTE(C208," ","")="소계"),"제외",IF(ISNUMBER(SEARCH("홍콩",C208)),"HK",IF(ISNUMBER(SEARCH("상해",C208)),"CN",IF(ISNUMBER(SEARCH("대만",C208)),"TW","홀세일"))))</f>
        <v>TW</v>
      </c>
      <c r="B208" s="87" t="s">
        <v>176</v>
      </c>
      <c r="C208" s="87" t="s">
        <v>177</v>
      </c>
      <c r="D208" s="88" t="s">
        <v>178</v>
      </c>
      <c r="E208" s="87" t="n">
        <v>2026</v>
      </c>
      <c r="F208" s="88" t="s">
        <v>532</v>
      </c>
      <c r="G208" s="88" t="s">
        <v>180</v>
      </c>
      <c r="H208" s="87" t="s">
        <v>246</v>
      </c>
      <c r="I208" s="87" t="s">
        <v>603</v>
      </c>
      <c r="J208" s="87" t="s">
        <v>604</v>
      </c>
      <c r="K208" s="89" t="n">
        <v>940</v>
      </c>
      <c r="L208" s="89" t="n">
        <v>140060000</v>
      </c>
      <c r="M208" s="89" t="n">
        <v>49623540</v>
      </c>
      <c r="N208" s="90" t="n">
        <f aca="false">IF(A208="제외",0,IF(OR(N(L208)&lt;=0,N(M208)&gt;N(L208)),N(M208)/가정!$B$4,N(L208)))</f>
        <v>140060000</v>
      </c>
      <c r="O208" s="67" t="str">
        <f aca="false">IF(A208="제외","",IF(OR(N(L208)&lt;=0,N(M208)&gt;N(L208)),"택가보정(판매금액÷공급율)",""))</f>
        <v/>
      </c>
    </row>
    <row r="209" customFormat="false" ht="15" hidden="false" customHeight="true" outlineLevel="0" collapsed="false">
      <c r="A209" s="67" t="str">
        <f aca="false">IF(OR(TRIM(C209)="",SUBSTITUTE(C209," ","")="소계"),"제외",IF(ISNUMBER(SEARCH("홍콩",C209)),"HK",IF(ISNUMBER(SEARCH("상해",C209)),"CN",IF(ISNUMBER(SEARCH("대만",C209)),"TW","홀세일"))))</f>
        <v>TW</v>
      </c>
      <c r="B209" s="87" t="s">
        <v>176</v>
      </c>
      <c r="C209" s="87" t="s">
        <v>177</v>
      </c>
      <c r="D209" s="88" t="s">
        <v>178</v>
      </c>
      <c r="E209" s="87" t="n">
        <v>2026</v>
      </c>
      <c r="F209" s="88" t="s">
        <v>532</v>
      </c>
      <c r="G209" s="88" t="s">
        <v>180</v>
      </c>
      <c r="H209" s="87" t="s">
        <v>246</v>
      </c>
      <c r="I209" s="87" t="s">
        <v>605</v>
      </c>
      <c r="J209" s="87" t="s">
        <v>606</v>
      </c>
      <c r="K209" s="89" t="n">
        <v>50</v>
      </c>
      <c r="L209" s="89" t="n">
        <v>11950000</v>
      </c>
      <c r="M209" s="89" t="n">
        <v>4238500</v>
      </c>
      <c r="N209" s="90" t="n">
        <f aca="false">IF(A209="제외",0,IF(OR(N(L209)&lt;=0,N(M209)&gt;N(L209)),N(M209)/가정!$B$4,N(L209)))</f>
        <v>11950000</v>
      </c>
      <c r="O209" s="67" t="str">
        <f aca="false">IF(A209="제외","",IF(OR(N(L209)&lt;=0,N(M209)&gt;N(L209)),"택가보정(판매금액÷공급율)",""))</f>
        <v/>
      </c>
    </row>
    <row r="210" customFormat="false" ht="15" hidden="false" customHeight="true" outlineLevel="0" collapsed="false">
      <c r="A210" s="67" t="str">
        <f aca="false">IF(OR(TRIM(C210)="",SUBSTITUTE(C210," ","")="소계"),"제외",IF(ISNUMBER(SEARCH("홍콩",C210)),"HK",IF(ISNUMBER(SEARCH("상해",C210)),"CN",IF(ISNUMBER(SEARCH("대만",C210)),"TW","홀세일"))))</f>
        <v>TW</v>
      </c>
      <c r="B210" s="87" t="s">
        <v>176</v>
      </c>
      <c r="C210" s="87" t="s">
        <v>177</v>
      </c>
      <c r="D210" s="88" t="s">
        <v>178</v>
      </c>
      <c r="E210" s="87" t="n">
        <v>2026</v>
      </c>
      <c r="F210" s="88" t="s">
        <v>532</v>
      </c>
      <c r="G210" s="88" t="s">
        <v>180</v>
      </c>
      <c r="H210" s="87" t="s">
        <v>246</v>
      </c>
      <c r="I210" s="87" t="s">
        <v>607</v>
      </c>
      <c r="J210" s="87" t="s">
        <v>608</v>
      </c>
      <c r="K210" s="89" t="n">
        <v>300</v>
      </c>
      <c r="L210" s="89" t="n">
        <v>77700000</v>
      </c>
      <c r="M210" s="89" t="n">
        <v>21286500</v>
      </c>
      <c r="N210" s="90" t="n">
        <f aca="false">IF(A210="제외",0,IF(OR(N(L210)&lt;=0,N(M210)&gt;N(L210)),N(M210)/가정!$B$4,N(L210)))</f>
        <v>77700000</v>
      </c>
      <c r="O210" s="67" t="str">
        <f aca="false">IF(A210="제외","",IF(OR(N(L210)&lt;=0,N(M210)&gt;N(L210)),"택가보정(판매금액÷공급율)",""))</f>
        <v/>
      </c>
    </row>
    <row r="211" customFormat="false" ht="15" hidden="false" customHeight="true" outlineLevel="0" collapsed="false">
      <c r="A211" s="67" t="str">
        <f aca="false">IF(OR(TRIM(C211)="",SUBSTITUTE(C211," ","")="소계"),"제외",IF(ISNUMBER(SEARCH("홍콩",C211)),"HK",IF(ISNUMBER(SEARCH("상해",C211)),"CN",IF(ISNUMBER(SEARCH("대만",C211)),"TW","홀세일"))))</f>
        <v>TW</v>
      </c>
      <c r="B211" s="87" t="s">
        <v>176</v>
      </c>
      <c r="C211" s="87" t="s">
        <v>177</v>
      </c>
      <c r="D211" s="88" t="s">
        <v>178</v>
      </c>
      <c r="E211" s="87" t="n">
        <v>2026</v>
      </c>
      <c r="F211" s="88" t="s">
        <v>532</v>
      </c>
      <c r="G211" s="88" t="s">
        <v>180</v>
      </c>
      <c r="H211" s="87" t="s">
        <v>246</v>
      </c>
      <c r="I211" s="87" t="s">
        <v>609</v>
      </c>
      <c r="J211" s="87" t="s">
        <v>610</v>
      </c>
      <c r="K211" s="89" t="n">
        <v>605</v>
      </c>
      <c r="L211" s="89" t="n">
        <v>102245000</v>
      </c>
      <c r="M211" s="89" t="n">
        <v>36880195</v>
      </c>
      <c r="N211" s="90" t="n">
        <f aca="false">IF(A211="제외",0,IF(OR(N(L211)&lt;=0,N(M211)&gt;N(L211)),N(M211)/가정!$B$4,N(L211)))</f>
        <v>102245000</v>
      </c>
      <c r="O211" s="67" t="str">
        <f aca="false">IF(A211="제외","",IF(OR(N(L211)&lt;=0,N(M211)&gt;N(L211)),"택가보정(판매금액÷공급율)",""))</f>
        <v/>
      </c>
    </row>
    <row r="212" customFormat="false" ht="15" hidden="false" customHeight="true" outlineLevel="0" collapsed="false">
      <c r="A212" s="67" t="str">
        <f aca="false">IF(OR(TRIM(C212)="",SUBSTITUTE(C212," ","")="소계"),"제외",IF(ISNUMBER(SEARCH("홍콩",C212)),"HK",IF(ISNUMBER(SEARCH("상해",C212)),"CN",IF(ISNUMBER(SEARCH("대만",C212)),"TW","홀세일"))))</f>
        <v>TW</v>
      </c>
      <c r="B212" s="87" t="s">
        <v>176</v>
      </c>
      <c r="C212" s="87" t="s">
        <v>177</v>
      </c>
      <c r="D212" s="88" t="s">
        <v>178</v>
      </c>
      <c r="E212" s="87" t="n">
        <v>2026</v>
      </c>
      <c r="F212" s="88" t="s">
        <v>532</v>
      </c>
      <c r="G212" s="88" t="s">
        <v>180</v>
      </c>
      <c r="H212" s="87" t="s">
        <v>246</v>
      </c>
      <c r="I212" s="87" t="s">
        <v>611</v>
      </c>
      <c r="J212" s="87" t="s">
        <v>612</v>
      </c>
      <c r="K212" s="89" t="n">
        <v>350</v>
      </c>
      <c r="L212" s="89" t="n">
        <v>62650000</v>
      </c>
      <c r="M212" s="89" t="n">
        <v>23137450</v>
      </c>
      <c r="N212" s="90" t="n">
        <f aca="false">IF(A212="제외",0,IF(OR(N(L212)&lt;=0,N(M212)&gt;N(L212)),N(M212)/가정!$B$4,N(L212)))</f>
        <v>62650000</v>
      </c>
      <c r="O212" s="67" t="str">
        <f aca="false">IF(A212="제외","",IF(OR(N(L212)&lt;=0,N(M212)&gt;N(L212)),"택가보정(판매금액÷공급율)",""))</f>
        <v/>
      </c>
    </row>
    <row r="213" customFormat="false" ht="15" hidden="false" customHeight="true" outlineLevel="0" collapsed="false">
      <c r="A213" s="67" t="str">
        <f aca="false">IF(OR(TRIM(C213)="",SUBSTITUTE(C213," ","")="소계"),"제외",IF(ISNUMBER(SEARCH("홍콩",C213)),"HK",IF(ISNUMBER(SEARCH("상해",C213)),"CN",IF(ISNUMBER(SEARCH("대만",C213)),"TW","홀세일"))))</f>
        <v>TW</v>
      </c>
      <c r="B213" s="87" t="s">
        <v>176</v>
      </c>
      <c r="C213" s="87" t="s">
        <v>177</v>
      </c>
      <c r="D213" s="88" t="s">
        <v>178</v>
      </c>
      <c r="E213" s="87" t="n">
        <v>2026</v>
      </c>
      <c r="F213" s="88" t="s">
        <v>532</v>
      </c>
      <c r="G213" s="88" t="s">
        <v>180</v>
      </c>
      <c r="H213" s="87" t="s">
        <v>246</v>
      </c>
      <c r="I213" s="87" t="s">
        <v>613</v>
      </c>
      <c r="J213" s="87" t="s">
        <v>614</v>
      </c>
      <c r="K213" s="89" t="n">
        <v>455</v>
      </c>
      <c r="L213" s="89" t="n">
        <v>136045000</v>
      </c>
      <c r="M213" s="89" t="n">
        <v>50287510</v>
      </c>
      <c r="N213" s="90" t="n">
        <f aca="false">IF(A213="제외",0,IF(OR(N(L213)&lt;=0,N(M213)&gt;N(L213)),N(M213)/가정!$B$4,N(L213)))</f>
        <v>136045000</v>
      </c>
      <c r="O213" s="67" t="str">
        <f aca="false">IF(A213="제외","",IF(OR(N(L213)&lt;=0,N(M213)&gt;N(L213)),"택가보정(판매금액÷공급율)",""))</f>
        <v/>
      </c>
    </row>
    <row r="214" customFormat="false" ht="15" hidden="false" customHeight="true" outlineLevel="0" collapsed="false">
      <c r="A214" s="67" t="str">
        <f aca="false">IF(OR(TRIM(C214)="",SUBSTITUTE(C214," ","")="소계"),"제외",IF(ISNUMBER(SEARCH("홍콩",C214)),"HK",IF(ISNUMBER(SEARCH("상해",C214)),"CN",IF(ISNUMBER(SEARCH("대만",C214)),"TW","홀세일"))))</f>
        <v>TW</v>
      </c>
      <c r="B214" s="87" t="s">
        <v>176</v>
      </c>
      <c r="C214" s="87" t="s">
        <v>177</v>
      </c>
      <c r="D214" s="88" t="s">
        <v>178</v>
      </c>
      <c r="E214" s="87" t="n">
        <v>2026</v>
      </c>
      <c r="F214" s="88" t="s">
        <v>532</v>
      </c>
      <c r="G214" s="88" t="s">
        <v>180</v>
      </c>
      <c r="H214" s="87" t="s">
        <v>246</v>
      </c>
      <c r="I214" s="87" t="s">
        <v>615</v>
      </c>
      <c r="J214" s="87" t="s">
        <v>616</v>
      </c>
      <c r="K214" s="89" t="n">
        <v>160</v>
      </c>
      <c r="L214" s="89" t="n">
        <v>52640000</v>
      </c>
      <c r="M214" s="89" t="n">
        <v>17930240</v>
      </c>
      <c r="N214" s="90" t="n">
        <f aca="false">IF(A214="제외",0,IF(OR(N(L214)&lt;=0,N(M214)&gt;N(L214)),N(M214)/가정!$B$4,N(L214)))</f>
        <v>52640000</v>
      </c>
      <c r="O214" s="67" t="str">
        <f aca="false">IF(A214="제외","",IF(OR(N(L214)&lt;=0,N(M214)&gt;N(L214)),"택가보정(판매금액÷공급율)",""))</f>
        <v/>
      </c>
    </row>
    <row r="215" customFormat="false" ht="15" hidden="false" customHeight="true" outlineLevel="0" collapsed="false">
      <c r="A215" s="67" t="str">
        <f aca="false">IF(OR(TRIM(C215)="",SUBSTITUTE(C215," ","")="소계"),"제외",IF(ISNUMBER(SEARCH("홍콩",C215)),"HK",IF(ISNUMBER(SEARCH("상해",C215)),"CN",IF(ISNUMBER(SEARCH("대만",C215)),"TW","홀세일"))))</f>
        <v>TW</v>
      </c>
      <c r="B215" s="87" t="s">
        <v>176</v>
      </c>
      <c r="C215" s="87" t="s">
        <v>177</v>
      </c>
      <c r="D215" s="88" t="s">
        <v>178</v>
      </c>
      <c r="E215" s="87" t="n">
        <v>2026</v>
      </c>
      <c r="F215" s="88" t="s">
        <v>532</v>
      </c>
      <c r="G215" s="88" t="s">
        <v>180</v>
      </c>
      <c r="H215" s="87" t="s">
        <v>246</v>
      </c>
      <c r="I215" s="87" t="s">
        <v>617</v>
      </c>
      <c r="J215" s="87" t="s">
        <v>618</v>
      </c>
      <c r="K215" s="89" t="n">
        <v>250</v>
      </c>
      <c r="L215" s="89" t="n">
        <v>99750000</v>
      </c>
      <c r="M215" s="89" t="n">
        <v>33966000</v>
      </c>
      <c r="N215" s="90" t="n">
        <f aca="false">IF(A215="제외",0,IF(OR(N(L215)&lt;=0,N(M215)&gt;N(L215)),N(M215)/가정!$B$4,N(L215)))</f>
        <v>99750000</v>
      </c>
      <c r="O215" s="67" t="str">
        <f aca="false">IF(A215="제외","",IF(OR(N(L215)&lt;=0,N(M215)&gt;N(L215)),"택가보정(판매금액÷공급율)",""))</f>
        <v/>
      </c>
    </row>
    <row r="216" customFormat="false" ht="15" hidden="false" customHeight="true" outlineLevel="0" collapsed="false">
      <c r="A216" s="67" t="str">
        <f aca="false">IF(OR(TRIM(C216)="",SUBSTITUTE(C216," ","")="소계"),"제외",IF(ISNUMBER(SEARCH("홍콩",C216)),"HK",IF(ISNUMBER(SEARCH("상해",C216)),"CN",IF(ISNUMBER(SEARCH("대만",C216)),"TW","홀세일"))))</f>
        <v>TW</v>
      </c>
      <c r="B216" s="87" t="s">
        <v>176</v>
      </c>
      <c r="C216" s="87" t="s">
        <v>177</v>
      </c>
      <c r="D216" s="88" t="s">
        <v>178</v>
      </c>
      <c r="E216" s="87" t="n">
        <v>2026</v>
      </c>
      <c r="F216" s="88" t="s">
        <v>532</v>
      </c>
      <c r="G216" s="88" t="s">
        <v>180</v>
      </c>
      <c r="H216" s="87" t="s">
        <v>246</v>
      </c>
      <c r="I216" s="87" t="s">
        <v>619</v>
      </c>
      <c r="J216" s="87" t="s">
        <v>620</v>
      </c>
      <c r="K216" s="89" t="n">
        <v>180</v>
      </c>
      <c r="L216" s="89" t="n">
        <v>71820000</v>
      </c>
      <c r="M216" s="89" t="n">
        <v>21999420</v>
      </c>
      <c r="N216" s="90" t="n">
        <f aca="false">IF(A216="제외",0,IF(OR(N(L216)&lt;=0,N(M216)&gt;N(L216)),N(M216)/가정!$B$4,N(L216)))</f>
        <v>71820000</v>
      </c>
      <c r="O216" s="67" t="str">
        <f aca="false">IF(A216="제외","",IF(OR(N(L216)&lt;=0,N(M216)&gt;N(L216)),"택가보정(판매금액÷공급율)",""))</f>
        <v/>
      </c>
    </row>
    <row r="217" customFormat="false" ht="15" hidden="false" customHeight="true" outlineLevel="0" collapsed="false">
      <c r="A217" s="67" t="str">
        <f aca="false">IF(OR(TRIM(C217)="",SUBSTITUTE(C217," ","")="소계"),"제외",IF(ISNUMBER(SEARCH("홍콩",C217)),"HK",IF(ISNUMBER(SEARCH("상해",C217)),"CN",IF(ISNUMBER(SEARCH("대만",C217)),"TW","홀세일"))))</f>
        <v>TW</v>
      </c>
      <c r="B217" s="87" t="s">
        <v>176</v>
      </c>
      <c r="C217" s="87" t="s">
        <v>177</v>
      </c>
      <c r="D217" s="88" t="s">
        <v>178</v>
      </c>
      <c r="E217" s="87" t="n">
        <v>2026</v>
      </c>
      <c r="F217" s="88" t="s">
        <v>532</v>
      </c>
      <c r="G217" s="88" t="s">
        <v>180</v>
      </c>
      <c r="H217" s="87" t="s">
        <v>246</v>
      </c>
      <c r="I217" s="87" t="s">
        <v>621</v>
      </c>
      <c r="J217" s="87" t="s">
        <v>622</v>
      </c>
      <c r="K217" s="89" t="n">
        <v>100</v>
      </c>
      <c r="L217" s="89" t="n">
        <v>45900000</v>
      </c>
      <c r="M217" s="89" t="n">
        <v>16034400</v>
      </c>
      <c r="N217" s="90" t="n">
        <f aca="false">IF(A217="제외",0,IF(OR(N(L217)&lt;=0,N(M217)&gt;N(L217)),N(M217)/가정!$B$4,N(L217)))</f>
        <v>45900000</v>
      </c>
      <c r="O217" s="67" t="str">
        <f aca="false">IF(A217="제외","",IF(OR(N(L217)&lt;=0,N(M217)&gt;N(L217)),"택가보정(판매금액÷공급율)",""))</f>
        <v/>
      </c>
    </row>
    <row r="218" customFormat="false" ht="15" hidden="false" customHeight="true" outlineLevel="0" collapsed="false">
      <c r="A218" s="67" t="str">
        <f aca="false">IF(OR(TRIM(C218)="",SUBSTITUTE(C218," ","")="소계"),"제외",IF(ISNUMBER(SEARCH("홍콩",C218)),"HK",IF(ISNUMBER(SEARCH("상해",C218)),"CN",IF(ISNUMBER(SEARCH("대만",C218)),"TW","홀세일"))))</f>
        <v>TW</v>
      </c>
      <c r="B218" s="87" t="s">
        <v>176</v>
      </c>
      <c r="C218" s="87" t="s">
        <v>177</v>
      </c>
      <c r="D218" s="88" t="s">
        <v>178</v>
      </c>
      <c r="E218" s="87" t="n">
        <v>2026</v>
      </c>
      <c r="F218" s="88" t="s">
        <v>532</v>
      </c>
      <c r="G218" s="88" t="s">
        <v>180</v>
      </c>
      <c r="H218" s="87" t="s">
        <v>246</v>
      </c>
      <c r="I218" s="87" t="s">
        <v>623</v>
      </c>
      <c r="J218" s="87" t="s">
        <v>624</v>
      </c>
      <c r="K218" s="89" t="n">
        <v>600</v>
      </c>
      <c r="L218" s="89" t="n">
        <v>263400000</v>
      </c>
      <c r="M218" s="89" t="n">
        <v>95026200</v>
      </c>
      <c r="N218" s="90" t="n">
        <f aca="false">IF(A218="제외",0,IF(OR(N(L218)&lt;=0,N(M218)&gt;N(L218)),N(M218)/가정!$B$4,N(L218)))</f>
        <v>263400000</v>
      </c>
      <c r="O218" s="67" t="str">
        <f aca="false">IF(A218="제외","",IF(OR(N(L218)&lt;=0,N(M218)&gt;N(L218)),"택가보정(판매금액÷공급율)",""))</f>
        <v/>
      </c>
    </row>
    <row r="219" customFormat="false" ht="15" hidden="false" customHeight="true" outlineLevel="0" collapsed="false">
      <c r="A219" s="67" t="str">
        <f aca="false">IF(OR(TRIM(C219)="",SUBSTITUTE(C219," ","")="소계"),"제외",IF(ISNUMBER(SEARCH("홍콩",C219)),"HK",IF(ISNUMBER(SEARCH("상해",C219)),"CN",IF(ISNUMBER(SEARCH("대만",C219)),"TW","홀세일"))))</f>
        <v>TW</v>
      </c>
      <c r="B219" s="87" t="s">
        <v>176</v>
      </c>
      <c r="C219" s="87" t="s">
        <v>177</v>
      </c>
      <c r="D219" s="88" t="s">
        <v>178</v>
      </c>
      <c r="E219" s="87" t="n">
        <v>2026</v>
      </c>
      <c r="F219" s="88" t="s">
        <v>532</v>
      </c>
      <c r="G219" s="88" t="s">
        <v>180</v>
      </c>
      <c r="H219" s="87" t="s">
        <v>246</v>
      </c>
      <c r="I219" s="87" t="s">
        <v>625</v>
      </c>
      <c r="J219" s="87" t="s">
        <v>626</v>
      </c>
      <c r="K219" s="89" t="n">
        <v>350</v>
      </c>
      <c r="L219" s="89" t="n">
        <v>115150000</v>
      </c>
      <c r="M219" s="89" t="n">
        <v>45172400</v>
      </c>
      <c r="N219" s="90" t="n">
        <f aca="false">IF(A219="제외",0,IF(OR(N(L219)&lt;=0,N(M219)&gt;N(L219)),N(M219)/가정!$B$4,N(L219)))</f>
        <v>115150000</v>
      </c>
      <c r="O219" s="67" t="str">
        <f aca="false">IF(A219="제외","",IF(OR(N(L219)&lt;=0,N(M219)&gt;N(L219)),"택가보정(판매금액÷공급율)",""))</f>
        <v/>
      </c>
    </row>
    <row r="220" customFormat="false" ht="15" hidden="false" customHeight="true" outlineLevel="0" collapsed="false">
      <c r="A220" s="67" t="str">
        <f aca="false">IF(OR(TRIM(C220)="",SUBSTITUTE(C220," ","")="소계"),"제외",IF(ISNUMBER(SEARCH("홍콩",C220)),"HK",IF(ISNUMBER(SEARCH("상해",C220)),"CN",IF(ISNUMBER(SEARCH("대만",C220)),"TW","홀세일"))))</f>
        <v>TW</v>
      </c>
      <c r="B220" s="87" t="s">
        <v>176</v>
      </c>
      <c r="C220" s="87" t="s">
        <v>177</v>
      </c>
      <c r="D220" s="88" t="s">
        <v>178</v>
      </c>
      <c r="E220" s="87" t="n">
        <v>2026</v>
      </c>
      <c r="F220" s="88" t="s">
        <v>532</v>
      </c>
      <c r="G220" s="88" t="s">
        <v>180</v>
      </c>
      <c r="H220" s="87" t="s">
        <v>246</v>
      </c>
      <c r="I220" s="87" t="s">
        <v>627</v>
      </c>
      <c r="J220" s="87" t="s">
        <v>628</v>
      </c>
      <c r="K220" s="89" t="n">
        <v>540</v>
      </c>
      <c r="L220" s="89" t="n">
        <v>102060000</v>
      </c>
      <c r="M220" s="89" t="n">
        <v>37689840</v>
      </c>
      <c r="N220" s="90" t="n">
        <f aca="false">IF(A220="제외",0,IF(OR(N(L220)&lt;=0,N(M220)&gt;N(L220)),N(M220)/가정!$B$4,N(L220)))</f>
        <v>102060000</v>
      </c>
      <c r="O220" s="67" t="str">
        <f aca="false">IF(A220="제외","",IF(OR(N(L220)&lt;=0,N(M220)&gt;N(L220)),"택가보정(판매금액÷공급율)",""))</f>
        <v/>
      </c>
    </row>
    <row r="221" customFormat="false" ht="15" hidden="false" customHeight="true" outlineLevel="0" collapsed="false">
      <c r="A221" s="67" t="str">
        <f aca="false">IF(OR(TRIM(C221)="",SUBSTITUTE(C221," ","")="소계"),"제외",IF(ISNUMBER(SEARCH("홍콩",C221)),"HK",IF(ISNUMBER(SEARCH("상해",C221)),"CN",IF(ISNUMBER(SEARCH("대만",C221)),"TW","홀세일"))))</f>
        <v>TW</v>
      </c>
      <c r="B221" s="87" t="s">
        <v>176</v>
      </c>
      <c r="C221" s="87" t="s">
        <v>177</v>
      </c>
      <c r="D221" s="88" t="s">
        <v>178</v>
      </c>
      <c r="E221" s="87" t="n">
        <v>2026</v>
      </c>
      <c r="F221" s="88" t="s">
        <v>532</v>
      </c>
      <c r="G221" s="88" t="s">
        <v>180</v>
      </c>
      <c r="H221" s="87" t="s">
        <v>246</v>
      </c>
      <c r="I221" s="87" t="s">
        <v>629</v>
      </c>
      <c r="J221" s="87" t="s">
        <v>630</v>
      </c>
      <c r="K221" s="89" t="n">
        <v>50</v>
      </c>
      <c r="L221" s="89" t="n">
        <v>10950000</v>
      </c>
      <c r="M221" s="89" t="n">
        <v>3911100</v>
      </c>
      <c r="N221" s="90" t="n">
        <f aca="false">IF(A221="제외",0,IF(OR(N(L221)&lt;=0,N(M221)&gt;N(L221)),N(M221)/가정!$B$4,N(L221)))</f>
        <v>10950000</v>
      </c>
      <c r="O221" s="67" t="str">
        <f aca="false">IF(A221="제외","",IF(OR(N(L221)&lt;=0,N(M221)&gt;N(L221)),"택가보정(판매금액÷공급율)",""))</f>
        <v/>
      </c>
    </row>
    <row r="222" customFormat="false" ht="15" hidden="false" customHeight="true" outlineLevel="0" collapsed="false">
      <c r="A222" s="67" t="str">
        <f aca="false">IF(OR(TRIM(C222)="",SUBSTITUTE(C222," ","")="소계"),"제외",IF(ISNUMBER(SEARCH("홍콩",C222)),"HK",IF(ISNUMBER(SEARCH("상해",C222)),"CN",IF(ISNUMBER(SEARCH("대만",C222)),"TW","홀세일"))))</f>
        <v>TW</v>
      </c>
      <c r="B222" s="87" t="s">
        <v>176</v>
      </c>
      <c r="C222" s="87" t="s">
        <v>177</v>
      </c>
      <c r="D222" s="88" t="s">
        <v>178</v>
      </c>
      <c r="E222" s="87" t="n">
        <v>2026</v>
      </c>
      <c r="F222" s="88" t="s">
        <v>532</v>
      </c>
      <c r="G222" s="88" t="s">
        <v>180</v>
      </c>
      <c r="H222" s="87" t="s">
        <v>246</v>
      </c>
      <c r="I222" s="87" t="s">
        <v>631</v>
      </c>
      <c r="J222" s="87" t="s">
        <v>632</v>
      </c>
      <c r="K222" s="89" t="n">
        <v>360</v>
      </c>
      <c r="L222" s="89" t="n">
        <v>71640000</v>
      </c>
      <c r="M222" s="89" t="n">
        <v>25543800</v>
      </c>
      <c r="N222" s="90" t="n">
        <f aca="false">IF(A222="제외",0,IF(OR(N(L222)&lt;=0,N(M222)&gt;N(L222)),N(M222)/가정!$B$4,N(L222)))</f>
        <v>71640000</v>
      </c>
      <c r="O222" s="67" t="str">
        <f aca="false">IF(A222="제외","",IF(OR(N(L222)&lt;=0,N(M222)&gt;N(L222)),"택가보정(판매금액÷공급율)",""))</f>
        <v/>
      </c>
    </row>
    <row r="223" customFormat="false" ht="15" hidden="false" customHeight="true" outlineLevel="0" collapsed="false">
      <c r="A223" s="67" t="str">
        <f aca="false">IF(OR(TRIM(C223)="",SUBSTITUTE(C223," ","")="소계"),"제외",IF(ISNUMBER(SEARCH("홍콩",C223)),"HK",IF(ISNUMBER(SEARCH("상해",C223)),"CN",IF(ISNUMBER(SEARCH("대만",C223)),"TW","홀세일"))))</f>
        <v>TW</v>
      </c>
      <c r="B223" s="87" t="s">
        <v>176</v>
      </c>
      <c r="C223" s="87" t="s">
        <v>177</v>
      </c>
      <c r="D223" s="88" t="s">
        <v>178</v>
      </c>
      <c r="E223" s="87" t="n">
        <v>2026</v>
      </c>
      <c r="F223" s="88" t="s">
        <v>532</v>
      </c>
      <c r="G223" s="88" t="s">
        <v>180</v>
      </c>
      <c r="H223" s="87" t="s">
        <v>246</v>
      </c>
      <c r="I223" s="87" t="s">
        <v>633</v>
      </c>
      <c r="J223" s="87" t="s">
        <v>634</v>
      </c>
      <c r="K223" s="89" t="n">
        <v>70</v>
      </c>
      <c r="L223" s="89" t="n">
        <v>10430000</v>
      </c>
      <c r="M223" s="89" t="n">
        <v>3720150</v>
      </c>
      <c r="N223" s="90" t="n">
        <f aca="false">IF(A223="제외",0,IF(OR(N(L223)&lt;=0,N(M223)&gt;N(L223)),N(M223)/가정!$B$4,N(L223)))</f>
        <v>10430000</v>
      </c>
      <c r="O223" s="67" t="str">
        <f aca="false">IF(A223="제외","",IF(OR(N(L223)&lt;=0,N(M223)&gt;N(L223)),"택가보정(판매금액÷공급율)",""))</f>
        <v/>
      </c>
    </row>
    <row r="224" customFormat="false" ht="15" hidden="false" customHeight="true" outlineLevel="0" collapsed="false">
      <c r="A224" s="67" t="str">
        <f aca="false">IF(OR(TRIM(C224)="",SUBSTITUTE(C224," ","")="소계"),"제외",IF(ISNUMBER(SEARCH("홍콩",C224)),"HK",IF(ISNUMBER(SEARCH("상해",C224)),"CN",IF(ISNUMBER(SEARCH("대만",C224)),"TW","홀세일"))))</f>
        <v>TW</v>
      </c>
      <c r="B224" s="87" t="s">
        <v>176</v>
      </c>
      <c r="C224" s="87" t="s">
        <v>177</v>
      </c>
      <c r="D224" s="88" t="s">
        <v>178</v>
      </c>
      <c r="E224" s="87" t="n">
        <v>2026</v>
      </c>
      <c r="F224" s="88" t="s">
        <v>532</v>
      </c>
      <c r="G224" s="88" t="s">
        <v>180</v>
      </c>
      <c r="H224" s="87" t="s">
        <v>246</v>
      </c>
      <c r="I224" s="87" t="s">
        <v>635</v>
      </c>
      <c r="J224" s="87" t="s">
        <v>636</v>
      </c>
      <c r="K224" s="89" t="n">
        <v>360</v>
      </c>
      <c r="L224" s="89" t="n">
        <v>71640000</v>
      </c>
      <c r="M224" s="89" t="n">
        <v>23838120</v>
      </c>
      <c r="N224" s="90" t="n">
        <f aca="false">IF(A224="제외",0,IF(OR(N(L224)&lt;=0,N(M224)&gt;N(L224)),N(M224)/가정!$B$4,N(L224)))</f>
        <v>71640000</v>
      </c>
      <c r="O224" s="67" t="str">
        <f aca="false">IF(A224="제외","",IF(OR(N(L224)&lt;=0,N(M224)&gt;N(L224)),"택가보정(판매금액÷공급율)",""))</f>
        <v/>
      </c>
    </row>
    <row r="225" customFormat="false" ht="15" hidden="false" customHeight="true" outlineLevel="0" collapsed="false">
      <c r="A225" s="67" t="str">
        <f aca="false">IF(OR(TRIM(C225)="",SUBSTITUTE(C225," ","")="소계"),"제외",IF(ISNUMBER(SEARCH("홍콩",C225)),"HK",IF(ISNUMBER(SEARCH("상해",C225)),"CN",IF(ISNUMBER(SEARCH("대만",C225)),"TW","홀세일"))))</f>
        <v>TW</v>
      </c>
      <c r="B225" s="87" t="s">
        <v>176</v>
      </c>
      <c r="C225" s="87" t="s">
        <v>177</v>
      </c>
      <c r="D225" s="88" t="s">
        <v>178</v>
      </c>
      <c r="E225" s="87" t="n">
        <v>2026</v>
      </c>
      <c r="F225" s="88" t="s">
        <v>532</v>
      </c>
      <c r="G225" s="88" t="s">
        <v>180</v>
      </c>
      <c r="H225" s="87" t="s">
        <v>246</v>
      </c>
      <c r="I225" s="87" t="s">
        <v>637</v>
      </c>
      <c r="J225" s="87" t="s">
        <v>638</v>
      </c>
      <c r="K225" s="89" t="n">
        <v>100</v>
      </c>
      <c r="L225" s="89" t="n">
        <v>13900000</v>
      </c>
      <c r="M225" s="89" t="n">
        <v>4313200</v>
      </c>
      <c r="N225" s="90" t="n">
        <f aca="false">IF(A225="제외",0,IF(OR(N(L225)&lt;=0,N(M225)&gt;N(L225)),N(M225)/가정!$B$4,N(L225)))</f>
        <v>13900000</v>
      </c>
      <c r="O225" s="67" t="str">
        <f aca="false">IF(A225="제외","",IF(OR(N(L225)&lt;=0,N(M225)&gt;N(L225)),"택가보정(판매금액÷공급율)",""))</f>
        <v/>
      </c>
    </row>
    <row r="226" customFormat="false" ht="15" hidden="false" customHeight="true" outlineLevel="0" collapsed="false">
      <c r="A226" s="67" t="str">
        <f aca="false">IF(OR(TRIM(C226)="",SUBSTITUTE(C226," ","")="소계"),"제외",IF(ISNUMBER(SEARCH("홍콩",C226)),"HK",IF(ISNUMBER(SEARCH("상해",C226)),"CN",IF(ISNUMBER(SEARCH("대만",C226)),"TW","홀세일"))))</f>
        <v>TW</v>
      </c>
      <c r="B226" s="87" t="s">
        <v>176</v>
      </c>
      <c r="C226" s="87" t="s">
        <v>177</v>
      </c>
      <c r="D226" s="88" t="s">
        <v>178</v>
      </c>
      <c r="E226" s="87" t="n">
        <v>2026</v>
      </c>
      <c r="F226" s="87" t="s">
        <v>639</v>
      </c>
      <c r="G226" s="88" t="s">
        <v>188</v>
      </c>
      <c r="H226" s="87" t="s">
        <v>189</v>
      </c>
      <c r="I226" s="87" t="s">
        <v>640</v>
      </c>
      <c r="J226" s="88" t="s">
        <v>641</v>
      </c>
      <c r="K226" s="89" t="n">
        <v>300</v>
      </c>
      <c r="L226" s="89" t="n">
        <v>8700000</v>
      </c>
      <c r="M226" s="89" t="n">
        <v>3264300</v>
      </c>
      <c r="N226" s="90" t="n">
        <f aca="false">IF(A226="제외",0,IF(OR(N(L226)&lt;=0,N(M226)&gt;N(L226)),N(M226)/가정!$B$4,N(L226)))</f>
        <v>8700000</v>
      </c>
      <c r="O226" s="67" t="str">
        <f aca="false">IF(A226="제외","",IF(OR(N(L226)&lt;=0,N(M226)&gt;N(L226)),"택가보정(판매금액÷공급율)",""))</f>
        <v/>
      </c>
    </row>
    <row r="227" customFormat="false" ht="15" hidden="false" customHeight="true" outlineLevel="0" collapsed="false">
      <c r="A227" s="67" t="str">
        <f aca="false">IF(OR(TRIM(C227)="",SUBSTITUTE(C227," ","")="소계"),"제외",IF(ISNUMBER(SEARCH("홍콩",C227)),"HK",IF(ISNUMBER(SEARCH("상해",C227)),"CN",IF(ISNUMBER(SEARCH("대만",C227)),"TW","홀세일"))))</f>
        <v>TW</v>
      </c>
      <c r="B227" s="87" t="s">
        <v>176</v>
      </c>
      <c r="C227" s="87" t="s">
        <v>177</v>
      </c>
      <c r="D227" s="88" t="s">
        <v>178</v>
      </c>
      <c r="E227" s="87" t="n">
        <v>2026</v>
      </c>
      <c r="F227" s="87" t="s">
        <v>639</v>
      </c>
      <c r="G227" s="88" t="s">
        <v>188</v>
      </c>
      <c r="H227" s="87" t="s">
        <v>189</v>
      </c>
      <c r="I227" s="87" t="s">
        <v>642</v>
      </c>
      <c r="J227" s="88" t="s">
        <v>643</v>
      </c>
      <c r="K227" s="89" t="n">
        <v>180</v>
      </c>
      <c r="L227" s="89" t="n">
        <v>8820000</v>
      </c>
      <c r="M227" s="89" t="n">
        <v>3452400</v>
      </c>
      <c r="N227" s="90" t="n">
        <f aca="false">IF(A227="제외",0,IF(OR(N(L227)&lt;=0,N(M227)&gt;N(L227)),N(M227)/가정!$B$4,N(L227)))</f>
        <v>8820000</v>
      </c>
      <c r="O227" s="67" t="str">
        <f aca="false">IF(A227="제외","",IF(OR(N(L227)&lt;=0,N(M227)&gt;N(L227)),"택가보정(판매금액÷공급율)",""))</f>
        <v/>
      </c>
    </row>
    <row r="228" customFormat="false" ht="15" hidden="false" customHeight="true" outlineLevel="0" collapsed="false">
      <c r="A228" s="67" t="str">
        <f aca="false">IF(OR(TRIM(C228)="",SUBSTITUTE(C228," ","")="소계"),"제외",IF(ISNUMBER(SEARCH("홍콩",C228)),"HK",IF(ISNUMBER(SEARCH("상해",C228)),"CN",IF(ISNUMBER(SEARCH("대만",C228)),"TW","홀세일"))))</f>
        <v>TW</v>
      </c>
      <c r="B228" s="87" t="s">
        <v>176</v>
      </c>
      <c r="C228" s="87" t="s">
        <v>177</v>
      </c>
      <c r="D228" s="88" t="s">
        <v>178</v>
      </c>
      <c r="E228" s="87" t="n">
        <v>2026</v>
      </c>
      <c r="F228" s="87" t="s">
        <v>639</v>
      </c>
      <c r="G228" s="88" t="s">
        <v>188</v>
      </c>
      <c r="H228" s="87" t="s">
        <v>189</v>
      </c>
      <c r="I228" s="87" t="s">
        <v>644</v>
      </c>
      <c r="J228" s="87" t="s">
        <v>645</v>
      </c>
      <c r="K228" s="89" t="n">
        <v>200</v>
      </c>
      <c r="L228" s="89" t="n">
        <v>23800000</v>
      </c>
      <c r="M228" s="89" t="n">
        <v>9436400</v>
      </c>
      <c r="N228" s="90" t="n">
        <f aca="false">IF(A228="제외",0,IF(OR(N(L228)&lt;=0,N(M228)&gt;N(L228)),N(M228)/가정!$B$4,N(L228)))</f>
        <v>23800000</v>
      </c>
      <c r="O228" s="67" t="str">
        <f aca="false">IF(A228="제외","",IF(OR(N(L228)&lt;=0,N(M228)&gt;N(L228)),"택가보정(판매금액÷공급율)",""))</f>
        <v/>
      </c>
    </row>
    <row r="229" customFormat="false" ht="15" hidden="false" customHeight="true" outlineLevel="0" collapsed="false">
      <c r="A229" s="67" t="str">
        <f aca="false">IF(OR(TRIM(C229)="",SUBSTITUTE(C229," ","")="소계"),"제외",IF(ISNUMBER(SEARCH("홍콩",C229)),"HK",IF(ISNUMBER(SEARCH("상해",C229)),"CN",IF(ISNUMBER(SEARCH("대만",C229)),"TW","홀세일"))))</f>
        <v>TW</v>
      </c>
      <c r="B229" s="87" t="s">
        <v>176</v>
      </c>
      <c r="C229" s="87" t="s">
        <v>177</v>
      </c>
      <c r="D229" s="88" t="s">
        <v>178</v>
      </c>
      <c r="E229" s="87" t="n">
        <v>2026</v>
      </c>
      <c r="F229" s="87" t="s">
        <v>639</v>
      </c>
      <c r="G229" s="88" t="s">
        <v>188</v>
      </c>
      <c r="H229" s="87" t="s">
        <v>181</v>
      </c>
      <c r="I229" s="87" t="s">
        <v>646</v>
      </c>
      <c r="J229" s="88" t="s">
        <v>647</v>
      </c>
      <c r="K229" s="89" t="n">
        <v>80</v>
      </c>
      <c r="L229" s="89" t="n">
        <v>15920000</v>
      </c>
      <c r="M229" s="89" t="n">
        <v>6118240</v>
      </c>
      <c r="N229" s="90" t="n">
        <f aca="false">IF(A229="제외",0,IF(OR(N(L229)&lt;=0,N(M229)&gt;N(L229)),N(M229)/가정!$B$4,N(L229)))</f>
        <v>15920000</v>
      </c>
      <c r="O229" s="67" t="str">
        <f aca="false">IF(A229="제외","",IF(OR(N(L229)&lt;=0,N(M229)&gt;N(L229)),"택가보정(판매금액÷공급율)",""))</f>
        <v/>
      </c>
    </row>
    <row r="230" customFormat="false" ht="15" hidden="false" customHeight="true" outlineLevel="0" collapsed="false">
      <c r="A230" s="67" t="str">
        <f aca="false">IF(OR(TRIM(C230)="",SUBSTITUTE(C230," ","")="소계"),"제외",IF(ISNUMBER(SEARCH("홍콩",C230)),"HK",IF(ISNUMBER(SEARCH("상해",C230)),"CN",IF(ISNUMBER(SEARCH("대만",C230)),"TW","홀세일"))))</f>
        <v>TW</v>
      </c>
      <c r="B230" s="87" t="s">
        <v>176</v>
      </c>
      <c r="C230" s="87" t="s">
        <v>177</v>
      </c>
      <c r="D230" s="88" t="s">
        <v>178</v>
      </c>
      <c r="E230" s="87" t="n">
        <v>2026</v>
      </c>
      <c r="F230" s="87" t="s">
        <v>639</v>
      </c>
      <c r="G230" s="88" t="s">
        <v>188</v>
      </c>
      <c r="H230" s="87" t="s">
        <v>181</v>
      </c>
      <c r="I230" s="87" t="s">
        <v>648</v>
      </c>
      <c r="J230" s="88" t="s">
        <v>649</v>
      </c>
      <c r="K230" s="89" t="n">
        <v>230</v>
      </c>
      <c r="L230" s="89" t="n">
        <v>34270000</v>
      </c>
      <c r="M230" s="89" t="n">
        <v>13659240</v>
      </c>
      <c r="N230" s="90" t="n">
        <f aca="false">IF(A230="제외",0,IF(OR(N(L230)&lt;=0,N(M230)&gt;N(L230)),N(M230)/가정!$B$4,N(L230)))</f>
        <v>34270000</v>
      </c>
      <c r="O230" s="67" t="str">
        <f aca="false">IF(A230="제외","",IF(OR(N(L230)&lt;=0,N(M230)&gt;N(L230)),"택가보정(판매금액÷공급율)",""))</f>
        <v/>
      </c>
    </row>
    <row r="231" customFormat="false" ht="15" hidden="false" customHeight="true" outlineLevel="0" collapsed="false">
      <c r="A231" s="67" t="str">
        <f aca="false">IF(OR(TRIM(C231)="",SUBSTITUTE(C231," ","")="소계"),"제외",IF(ISNUMBER(SEARCH("홍콩",C231)),"HK",IF(ISNUMBER(SEARCH("상해",C231)),"CN",IF(ISNUMBER(SEARCH("대만",C231)),"TW","홀세일"))))</f>
        <v>TW</v>
      </c>
      <c r="B231" s="87" t="s">
        <v>176</v>
      </c>
      <c r="C231" s="87" t="s">
        <v>177</v>
      </c>
      <c r="D231" s="88" t="s">
        <v>178</v>
      </c>
      <c r="E231" s="87" t="n">
        <v>2026</v>
      </c>
      <c r="F231" s="87" t="s">
        <v>639</v>
      </c>
      <c r="G231" s="88" t="s">
        <v>188</v>
      </c>
      <c r="H231" s="87" t="s">
        <v>189</v>
      </c>
      <c r="I231" s="87" t="s">
        <v>650</v>
      </c>
      <c r="J231" s="88" t="s">
        <v>651</v>
      </c>
      <c r="K231" s="89" t="n">
        <v>30</v>
      </c>
      <c r="L231" s="89" t="n">
        <v>3870000</v>
      </c>
      <c r="M231" s="89" t="n">
        <v>1487640</v>
      </c>
      <c r="N231" s="90" t="n">
        <f aca="false">IF(A231="제외",0,IF(OR(N(L231)&lt;=0,N(M231)&gt;N(L231)),N(M231)/가정!$B$4,N(L231)))</f>
        <v>3870000</v>
      </c>
      <c r="O231" s="67" t="str">
        <f aca="false">IF(A231="제외","",IF(OR(N(L231)&lt;=0,N(M231)&gt;N(L231)),"택가보정(판매금액÷공급율)",""))</f>
        <v/>
      </c>
    </row>
    <row r="232" customFormat="false" ht="15" hidden="false" customHeight="true" outlineLevel="0" collapsed="false">
      <c r="A232" s="67" t="str">
        <f aca="false">IF(OR(TRIM(C232)="",SUBSTITUTE(C232," ","")="소계"),"제외",IF(ISNUMBER(SEARCH("홍콩",C232)),"HK",IF(ISNUMBER(SEARCH("상해",C232)),"CN",IF(ISNUMBER(SEARCH("대만",C232)),"TW","홀세일"))))</f>
        <v>TW</v>
      </c>
      <c r="B232" s="87" t="s">
        <v>176</v>
      </c>
      <c r="C232" s="87" t="s">
        <v>177</v>
      </c>
      <c r="D232" s="88" t="s">
        <v>178</v>
      </c>
      <c r="E232" s="87" t="n">
        <v>2026</v>
      </c>
      <c r="F232" s="87" t="s">
        <v>639</v>
      </c>
      <c r="G232" s="88" t="s">
        <v>188</v>
      </c>
      <c r="H232" s="87" t="s">
        <v>189</v>
      </c>
      <c r="I232" s="87" t="s">
        <v>652</v>
      </c>
      <c r="J232" s="88" t="s">
        <v>653</v>
      </c>
      <c r="K232" s="89" t="n">
        <v>250</v>
      </c>
      <c r="L232" s="89" t="n">
        <v>29750000</v>
      </c>
      <c r="M232" s="89" t="n">
        <v>11421000</v>
      </c>
      <c r="N232" s="90" t="n">
        <f aca="false">IF(A232="제외",0,IF(OR(N(L232)&lt;=0,N(M232)&gt;N(L232)),N(M232)/가정!$B$4,N(L232)))</f>
        <v>29750000</v>
      </c>
      <c r="O232" s="67" t="str">
        <f aca="false">IF(A232="제외","",IF(OR(N(L232)&lt;=0,N(M232)&gt;N(L232)),"택가보정(판매금액÷공급율)",""))</f>
        <v/>
      </c>
    </row>
    <row r="233" customFormat="false" ht="15" hidden="false" customHeight="true" outlineLevel="0" collapsed="false">
      <c r="A233" s="67" t="str">
        <f aca="false">IF(OR(TRIM(C233)="",SUBSTITUTE(C233," ","")="소계"),"제외",IF(ISNUMBER(SEARCH("홍콩",C233)),"HK",IF(ISNUMBER(SEARCH("상해",C233)),"CN",IF(ISNUMBER(SEARCH("대만",C233)),"TW","홀세일"))))</f>
        <v>TW</v>
      </c>
      <c r="B233" s="87" t="s">
        <v>176</v>
      </c>
      <c r="C233" s="87" t="s">
        <v>177</v>
      </c>
      <c r="D233" s="88" t="s">
        <v>178</v>
      </c>
      <c r="E233" s="87" t="n">
        <v>2026</v>
      </c>
      <c r="F233" s="87" t="s">
        <v>639</v>
      </c>
      <c r="G233" s="88" t="s">
        <v>188</v>
      </c>
      <c r="H233" s="87" t="s">
        <v>189</v>
      </c>
      <c r="I233" s="87" t="s">
        <v>654</v>
      </c>
      <c r="J233" s="88" t="s">
        <v>655</v>
      </c>
      <c r="K233" s="89" t="n">
        <v>250</v>
      </c>
      <c r="L233" s="89" t="n">
        <v>14750000</v>
      </c>
      <c r="M233" s="89" t="n">
        <v>5674250</v>
      </c>
      <c r="N233" s="90" t="n">
        <f aca="false">IF(A233="제외",0,IF(OR(N(L233)&lt;=0,N(M233)&gt;N(L233)),N(M233)/가정!$B$4,N(L233)))</f>
        <v>14750000</v>
      </c>
      <c r="O233" s="67" t="str">
        <f aca="false">IF(A233="제외","",IF(OR(N(L233)&lt;=0,N(M233)&gt;N(L233)),"택가보정(판매금액÷공급율)",""))</f>
        <v/>
      </c>
    </row>
    <row r="234" customFormat="false" ht="15" hidden="false" customHeight="true" outlineLevel="0" collapsed="false">
      <c r="A234" s="67" t="str">
        <f aca="false">IF(OR(TRIM(C234)="",SUBSTITUTE(C234," ","")="소계"),"제외",IF(ISNUMBER(SEARCH("홍콩",C234)),"HK",IF(ISNUMBER(SEARCH("상해",C234)),"CN",IF(ISNUMBER(SEARCH("대만",C234)),"TW","홀세일"))))</f>
        <v>TW</v>
      </c>
      <c r="B234" s="87" t="s">
        <v>176</v>
      </c>
      <c r="C234" s="87" t="s">
        <v>177</v>
      </c>
      <c r="D234" s="88" t="s">
        <v>178</v>
      </c>
      <c r="E234" s="87" t="n">
        <v>2026</v>
      </c>
      <c r="F234" s="87" t="s">
        <v>639</v>
      </c>
      <c r="G234" s="88" t="s">
        <v>188</v>
      </c>
      <c r="H234" s="87" t="s">
        <v>189</v>
      </c>
      <c r="I234" s="87" t="s">
        <v>656</v>
      </c>
      <c r="J234" s="88" t="s">
        <v>657</v>
      </c>
      <c r="K234" s="89" t="n">
        <v>350</v>
      </c>
      <c r="L234" s="89" t="n">
        <v>24150000</v>
      </c>
      <c r="M234" s="89" t="n">
        <v>9310350</v>
      </c>
      <c r="N234" s="90" t="n">
        <f aca="false">IF(A234="제외",0,IF(OR(N(L234)&lt;=0,N(M234)&gt;N(L234)),N(M234)/가정!$B$4,N(L234)))</f>
        <v>24150000</v>
      </c>
      <c r="O234" s="67" t="str">
        <f aca="false">IF(A234="제외","",IF(OR(N(L234)&lt;=0,N(M234)&gt;N(L234)),"택가보정(판매금액÷공급율)",""))</f>
        <v/>
      </c>
    </row>
    <row r="235" customFormat="false" ht="15" hidden="false" customHeight="true" outlineLevel="0" collapsed="false">
      <c r="A235" s="67" t="str">
        <f aca="false">IF(OR(TRIM(C235)="",SUBSTITUTE(C235," ","")="소계"),"제외",IF(ISNUMBER(SEARCH("홍콩",C235)),"HK",IF(ISNUMBER(SEARCH("상해",C235)),"CN",IF(ISNUMBER(SEARCH("대만",C235)),"TW","홀세일"))))</f>
        <v>TW</v>
      </c>
      <c r="B235" s="87" t="s">
        <v>176</v>
      </c>
      <c r="C235" s="87" t="s">
        <v>177</v>
      </c>
      <c r="D235" s="88" t="s">
        <v>178</v>
      </c>
      <c r="E235" s="87" t="n">
        <v>2026</v>
      </c>
      <c r="F235" s="87" t="s">
        <v>639</v>
      </c>
      <c r="G235" s="88" t="s">
        <v>188</v>
      </c>
      <c r="H235" s="87" t="s">
        <v>189</v>
      </c>
      <c r="I235" s="87" t="s">
        <v>658</v>
      </c>
      <c r="J235" s="88" t="s">
        <v>659</v>
      </c>
      <c r="K235" s="89" t="n">
        <v>180</v>
      </c>
      <c r="L235" s="89" t="n">
        <v>14220000</v>
      </c>
      <c r="M235" s="89" t="n">
        <v>5534280</v>
      </c>
      <c r="N235" s="90" t="n">
        <f aca="false">IF(A235="제외",0,IF(OR(N(L235)&lt;=0,N(M235)&gt;N(L235)),N(M235)/가정!$B$4,N(L235)))</f>
        <v>14220000</v>
      </c>
      <c r="O235" s="67" t="str">
        <f aca="false">IF(A235="제외","",IF(OR(N(L235)&lt;=0,N(M235)&gt;N(L235)),"택가보정(판매금액÷공급율)",""))</f>
        <v/>
      </c>
    </row>
    <row r="236" customFormat="false" ht="15" hidden="false" customHeight="true" outlineLevel="0" collapsed="false">
      <c r="A236" s="67" t="str">
        <f aca="false">IF(OR(TRIM(C236)="",SUBSTITUTE(C236," ","")="소계"),"제외",IF(ISNUMBER(SEARCH("홍콩",C236)),"HK",IF(ISNUMBER(SEARCH("상해",C236)),"CN",IF(ISNUMBER(SEARCH("대만",C236)),"TW","홀세일"))))</f>
        <v>TW</v>
      </c>
      <c r="B236" s="87" t="s">
        <v>176</v>
      </c>
      <c r="C236" s="87" t="s">
        <v>177</v>
      </c>
      <c r="D236" s="88" t="s">
        <v>178</v>
      </c>
      <c r="E236" s="87" t="n">
        <v>2026</v>
      </c>
      <c r="F236" s="87" t="s">
        <v>639</v>
      </c>
      <c r="G236" s="88" t="s">
        <v>188</v>
      </c>
      <c r="H236" s="87" t="s">
        <v>189</v>
      </c>
      <c r="I236" s="87" t="s">
        <v>660</v>
      </c>
      <c r="J236" s="88" t="s">
        <v>661</v>
      </c>
      <c r="K236" s="89" t="n">
        <v>350</v>
      </c>
      <c r="L236" s="89" t="n">
        <v>27650000</v>
      </c>
      <c r="M236" s="89" t="n">
        <v>10626000</v>
      </c>
      <c r="N236" s="90" t="n">
        <f aca="false">IF(A236="제외",0,IF(OR(N(L236)&lt;=0,N(M236)&gt;N(L236)),N(M236)/가정!$B$4,N(L236)))</f>
        <v>27650000</v>
      </c>
      <c r="O236" s="67" t="str">
        <f aca="false">IF(A236="제외","",IF(OR(N(L236)&lt;=0,N(M236)&gt;N(L236)),"택가보정(판매금액÷공급율)",""))</f>
        <v/>
      </c>
    </row>
    <row r="237" customFormat="false" ht="15" hidden="false" customHeight="true" outlineLevel="0" collapsed="false">
      <c r="A237" s="67" t="str">
        <f aca="false">IF(OR(TRIM(C237)="",SUBSTITUTE(C237," ","")="소계"),"제외",IF(ISNUMBER(SEARCH("홍콩",C237)),"HK",IF(ISNUMBER(SEARCH("상해",C237)),"CN",IF(ISNUMBER(SEARCH("대만",C237)),"TW","홀세일"))))</f>
        <v>TW</v>
      </c>
      <c r="B237" s="87" t="s">
        <v>176</v>
      </c>
      <c r="C237" s="87" t="s">
        <v>177</v>
      </c>
      <c r="D237" s="88" t="s">
        <v>178</v>
      </c>
      <c r="E237" s="87" t="n">
        <v>2026</v>
      </c>
      <c r="F237" s="87" t="s">
        <v>639</v>
      </c>
      <c r="G237" s="88" t="s">
        <v>188</v>
      </c>
      <c r="H237" s="87" t="s">
        <v>189</v>
      </c>
      <c r="I237" s="87" t="s">
        <v>662</v>
      </c>
      <c r="J237" s="88" t="s">
        <v>663</v>
      </c>
      <c r="K237" s="89" t="n">
        <v>300</v>
      </c>
      <c r="L237" s="89" t="n">
        <v>20700000</v>
      </c>
      <c r="M237" s="89" t="n">
        <v>7980300</v>
      </c>
      <c r="N237" s="90" t="n">
        <f aca="false">IF(A237="제외",0,IF(OR(N(L237)&lt;=0,N(M237)&gt;N(L237)),N(M237)/가정!$B$4,N(L237)))</f>
        <v>20700000</v>
      </c>
      <c r="O237" s="67" t="str">
        <f aca="false">IF(A237="제외","",IF(OR(N(L237)&lt;=0,N(M237)&gt;N(L237)),"택가보정(판매금액÷공급율)",""))</f>
        <v/>
      </c>
    </row>
    <row r="238" customFormat="false" ht="15" hidden="false" customHeight="true" outlineLevel="0" collapsed="false">
      <c r="A238" s="67" t="str">
        <f aca="false">IF(OR(TRIM(C238)="",SUBSTITUTE(C238," ","")="소계"),"제외",IF(ISNUMBER(SEARCH("홍콩",C238)),"HK",IF(ISNUMBER(SEARCH("상해",C238)),"CN",IF(ISNUMBER(SEARCH("대만",C238)),"TW","홀세일"))))</f>
        <v>TW</v>
      </c>
      <c r="B238" s="87" t="s">
        <v>176</v>
      </c>
      <c r="C238" s="87" t="s">
        <v>177</v>
      </c>
      <c r="D238" s="88" t="s">
        <v>178</v>
      </c>
      <c r="E238" s="87" t="n">
        <v>2026</v>
      </c>
      <c r="F238" s="87" t="s">
        <v>639</v>
      </c>
      <c r="G238" s="88" t="s">
        <v>188</v>
      </c>
      <c r="H238" s="87" t="s">
        <v>189</v>
      </c>
      <c r="I238" s="87" t="s">
        <v>664</v>
      </c>
      <c r="J238" s="88" t="s">
        <v>665</v>
      </c>
      <c r="K238" s="89" t="n">
        <v>350</v>
      </c>
      <c r="L238" s="89" t="n">
        <v>24150000</v>
      </c>
      <c r="M238" s="89" t="n">
        <v>9428650</v>
      </c>
      <c r="N238" s="90" t="n">
        <f aca="false">IF(A238="제외",0,IF(OR(N(L238)&lt;=0,N(M238)&gt;N(L238)),N(M238)/가정!$B$4,N(L238)))</f>
        <v>24150000</v>
      </c>
      <c r="O238" s="67" t="str">
        <f aca="false">IF(A238="제외","",IF(OR(N(L238)&lt;=0,N(M238)&gt;N(L238)),"택가보정(판매금액÷공급율)",""))</f>
        <v/>
      </c>
    </row>
    <row r="239" customFormat="false" ht="15" hidden="false" customHeight="true" outlineLevel="0" collapsed="false">
      <c r="A239" s="67" t="str">
        <f aca="false">IF(OR(TRIM(C239)="",SUBSTITUTE(C239," ","")="소계"),"제외",IF(ISNUMBER(SEARCH("홍콩",C239)),"HK",IF(ISNUMBER(SEARCH("상해",C239)),"CN",IF(ISNUMBER(SEARCH("대만",C239)),"TW","홀세일"))))</f>
        <v>TW</v>
      </c>
      <c r="B239" s="87" t="s">
        <v>176</v>
      </c>
      <c r="C239" s="87" t="s">
        <v>177</v>
      </c>
      <c r="D239" s="88" t="s">
        <v>178</v>
      </c>
      <c r="E239" s="87" t="n">
        <v>2026</v>
      </c>
      <c r="F239" s="87" t="s">
        <v>639</v>
      </c>
      <c r="G239" s="88" t="s">
        <v>188</v>
      </c>
      <c r="H239" s="87" t="s">
        <v>189</v>
      </c>
      <c r="I239" s="87" t="s">
        <v>666</v>
      </c>
      <c r="J239" s="88" t="s">
        <v>667</v>
      </c>
      <c r="K239" s="89" t="n">
        <v>600</v>
      </c>
      <c r="L239" s="89" t="n">
        <v>47400000</v>
      </c>
      <c r="M239" s="89" t="n">
        <v>18447600</v>
      </c>
      <c r="N239" s="90" t="n">
        <f aca="false">IF(A239="제외",0,IF(OR(N(L239)&lt;=0,N(M239)&gt;N(L239)),N(M239)/가정!$B$4,N(L239)))</f>
        <v>47400000</v>
      </c>
      <c r="O239" s="67" t="str">
        <f aca="false">IF(A239="제외","",IF(OR(N(L239)&lt;=0,N(M239)&gt;N(L239)),"택가보정(판매금액÷공급율)",""))</f>
        <v/>
      </c>
    </row>
    <row r="240" customFormat="false" ht="15" hidden="false" customHeight="true" outlineLevel="0" collapsed="false">
      <c r="A240" s="67" t="str">
        <f aca="false">IF(OR(TRIM(C240)="",SUBSTITUTE(C240," ","")="소계"),"제외",IF(ISNUMBER(SEARCH("홍콩",C240)),"HK",IF(ISNUMBER(SEARCH("상해",C240)),"CN",IF(ISNUMBER(SEARCH("대만",C240)),"TW","홀세일"))))</f>
        <v>TW</v>
      </c>
      <c r="B240" s="87" t="s">
        <v>176</v>
      </c>
      <c r="C240" s="87" t="s">
        <v>177</v>
      </c>
      <c r="D240" s="88" t="s">
        <v>178</v>
      </c>
      <c r="E240" s="87" t="n">
        <v>2026</v>
      </c>
      <c r="F240" s="87" t="s">
        <v>639</v>
      </c>
      <c r="G240" s="88" t="s">
        <v>188</v>
      </c>
      <c r="H240" s="87" t="s">
        <v>189</v>
      </c>
      <c r="I240" s="87" t="s">
        <v>668</v>
      </c>
      <c r="J240" s="87" t="s">
        <v>669</v>
      </c>
      <c r="K240" s="89" t="n">
        <v>350</v>
      </c>
      <c r="L240" s="89" t="n">
        <v>20650000</v>
      </c>
      <c r="M240" s="89" t="n">
        <v>8204700</v>
      </c>
      <c r="N240" s="90" t="n">
        <f aca="false">IF(A240="제외",0,IF(OR(N(L240)&lt;=0,N(M240)&gt;N(L240)),N(M240)/가정!$B$4,N(L240)))</f>
        <v>20650000</v>
      </c>
      <c r="O240" s="67" t="str">
        <f aca="false">IF(A240="제외","",IF(OR(N(L240)&lt;=0,N(M240)&gt;N(L240)),"택가보정(판매금액÷공급율)",""))</f>
        <v/>
      </c>
    </row>
    <row r="241" customFormat="false" ht="15" hidden="false" customHeight="true" outlineLevel="0" collapsed="false">
      <c r="A241" s="67" t="str">
        <f aca="false">IF(OR(TRIM(C241)="",SUBSTITUTE(C241," ","")="소계"),"제외",IF(ISNUMBER(SEARCH("홍콩",C241)),"HK",IF(ISNUMBER(SEARCH("상해",C241)),"CN",IF(ISNUMBER(SEARCH("대만",C241)),"TW","홀세일"))))</f>
        <v>TW</v>
      </c>
      <c r="B241" s="87" t="s">
        <v>176</v>
      </c>
      <c r="C241" s="87" t="s">
        <v>177</v>
      </c>
      <c r="D241" s="88" t="s">
        <v>178</v>
      </c>
      <c r="E241" s="87" t="n">
        <v>2026</v>
      </c>
      <c r="F241" s="87" t="s">
        <v>639</v>
      </c>
      <c r="G241" s="88" t="s">
        <v>188</v>
      </c>
      <c r="H241" s="87" t="s">
        <v>189</v>
      </c>
      <c r="I241" s="87" t="s">
        <v>670</v>
      </c>
      <c r="J241" s="87" t="s">
        <v>671</v>
      </c>
      <c r="K241" s="89" t="n">
        <v>200</v>
      </c>
      <c r="L241" s="89" t="n">
        <v>13800000</v>
      </c>
      <c r="M241" s="89" t="n">
        <v>5494600</v>
      </c>
      <c r="N241" s="90" t="n">
        <f aca="false">IF(A241="제외",0,IF(OR(N(L241)&lt;=0,N(M241)&gt;N(L241)),N(M241)/가정!$B$4,N(L241)))</f>
        <v>13800000</v>
      </c>
      <c r="O241" s="67" t="str">
        <f aca="false">IF(A241="제외","",IF(OR(N(L241)&lt;=0,N(M241)&gt;N(L241)),"택가보정(판매금액÷공급율)",""))</f>
        <v/>
      </c>
    </row>
    <row r="242" customFormat="false" ht="15" hidden="false" customHeight="true" outlineLevel="0" collapsed="false">
      <c r="A242" s="67" t="str">
        <f aca="false">IF(OR(TRIM(C242)="",SUBSTITUTE(C242," ","")="소계"),"제외",IF(ISNUMBER(SEARCH("홍콩",C242)),"HK",IF(ISNUMBER(SEARCH("상해",C242)),"CN",IF(ISNUMBER(SEARCH("대만",C242)),"TW","홀세일"))))</f>
        <v>TW</v>
      </c>
      <c r="B242" s="87" t="s">
        <v>176</v>
      </c>
      <c r="C242" s="87" t="s">
        <v>177</v>
      </c>
      <c r="D242" s="88" t="s">
        <v>178</v>
      </c>
      <c r="E242" s="87" t="n">
        <v>2026</v>
      </c>
      <c r="F242" s="87" t="s">
        <v>639</v>
      </c>
      <c r="G242" s="88" t="s">
        <v>188</v>
      </c>
      <c r="H242" s="87" t="s">
        <v>181</v>
      </c>
      <c r="I242" s="87" t="s">
        <v>672</v>
      </c>
      <c r="J242" s="88" t="s">
        <v>673</v>
      </c>
      <c r="K242" s="89" t="n">
        <v>420</v>
      </c>
      <c r="L242" s="89" t="n">
        <v>41580000</v>
      </c>
      <c r="M242" s="89" t="n">
        <v>15846000</v>
      </c>
      <c r="N242" s="90" t="n">
        <f aca="false">IF(A242="제외",0,IF(OR(N(L242)&lt;=0,N(M242)&gt;N(L242)),N(M242)/가정!$B$4,N(L242)))</f>
        <v>41580000</v>
      </c>
      <c r="O242" s="67" t="str">
        <f aca="false">IF(A242="제외","",IF(OR(N(L242)&lt;=0,N(M242)&gt;N(L242)),"택가보정(판매금액÷공급율)",""))</f>
        <v/>
      </c>
    </row>
    <row r="243" customFormat="false" ht="15" hidden="false" customHeight="true" outlineLevel="0" collapsed="false">
      <c r="A243" s="67" t="str">
        <f aca="false">IF(OR(TRIM(C243)="",SUBSTITUTE(C243," ","")="소계"),"제외",IF(ISNUMBER(SEARCH("홍콩",C243)),"HK",IF(ISNUMBER(SEARCH("상해",C243)),"CN",IF(ISNUMBER(SEARCH("대만",C243)),"TW","홀세일"))))</f>
        <v>TW</v>
      </c>
      <c r="B243" s="87" t="s">
        <v>176</v>
      </c>
      <c r="C243" s="87" t="s">
        <v>177</v>
      </c>
      <c r="D243" s="88" t="s">
        <v>178</v>
      </c>
      <c r="E243" s="87" t="n">
        <v>2026</v>
      </c>
      <c r="F243" s="87" t="s">
        <v>639</v>
      </c>
      <c r="G243" s="88" t="s">
        <v>188</v>
      </c>
      <c r="H243" s="87" t="s">
        <v>181</v>
      </c>
      <c r="I243" s="87" t="s">
        <v>674</v>
      </c>
      <c r="J243" s="87" t="s">
        <v>675</v>
      </c>
      <c r="K243" s="89" t="n">
        <v>350</v>
      </c>
      <c r="L243" s="89" t="n">
        <v>27650000</v>
      </c>
      <c r="M243" s="89" t="n">
        <v>10626000</v>
      </c>
      <c r="N243" s="90" t="n">
        <f aca="false">IF(A243="제외",0,IF(OR(N(L243)&lt;=0,N(M243)&gt;N(L243)),N(M243)/가정!$B$4,N(L243)))</f>
        <v>27650000</v>
      </c>
      <c r="O243" s="67" t="str">
        <f aca="false">IF(A243="제외","",IF(OR(N(L243)&lt;=0,N(M243)&gt;N(L243)),"택가보정(판매금액÷공급율)",""))</f>
        <v/>
      </c>
    </row>
    <row r="244" customFormat="false" ht="15" hidden="false" customHeight="true" outlineLevel="0" collapsed="false">
      <c r="A244" s="67" t="str">
        <f aca="false">IF(OR(TRIM(C244)="",SUBSTITUTE(C244," ","")="소계"),"제외",IF(ISNUMBER(SEARCH("홍콩",C244)),"HK",IF(ISNUMBER(SEARCH("상해",C244)),"CN",IF(ISNUMBER(SEARCH("대만",C244)),"TW","홀세일"))))</f>
        <v>TW</v>
      </c>
      <c r="B244" s="87" t="s">
        <v>176</v>
      </c>
      <c r="C244" s="87" t="s">
        <v>177</v>
      </c>
      <c r="D244" s="88" t="s">
        <v>178</v>
      </c>
      <c r="E244" s="87" t="n">
        <v>2026</v>
      </c>
      <c r="F244" s="87" t="s">
        <v>639</v>
      </c>
      <c r="G244" s="88" t="s">
        <v>188</v>
      </c>
      <c r="H244" s="88" t="s">
        <v>185</v>
      </c>
      <c r="I244" s="87" t="s">
        <v>676</v>
      </c>
      <c r="J244" s="87" t="s">
        <v>677</v>
      </c>
      <c r="K244" s="89" t="n">
        <v>50</v>
      </c>
      <c r="L244" s="89" t="n">
        <v>3450000</v>
      </c>
      <c r="M244" s="89" t="n">
        <v>1209950</v>
      </c>
      <c r="N244" s="90" t="n">
        <f aca="false">IF(A244="제외",0,IF(OR(N(L244)&lt;=0,N(M244)&gt;N(L244)),N(M244)/가정!$B$4,N(L244)))</f>
        <v>3450000</v>
      </c>
      <c r="O244" s="67" t="str">
        <f aca="false">IF(A244="제외","",IF(OR(N(L244)&lt;=0,N(M244)&gt;N(L244)),"택가보정(판매금액÷공급율)",""))</f>
        <v/>
      </c>
    </row>
    <row r="245" customFormat="false" ht="15" hidden="false" customHeight="true" outlineLevel="0" collapsed="false">
      <c r="A245" s="67" t="str">
        <f aca="false">IF(OR(TRIM(C245)="",SUBSTITUTE(C245," ","")="소계"),"제외",IF(ISNUMBER(SEARCH("홍콩",C245)),"HK",IF(ISNUMBER(SEARCH("상해",C245)),"CN",IF(ISNUMBER(SEARCH("대만",C245)),"TW","홀세일"))))</f>
        <v>TW</v>
      </c>
      <c r="B245" s="87" t="s">
        <v>176</v>
      </c>
      <c r="C245" s="87" t="s">
        <v>177</v>
      </c>
      <c r="D245" s="88" t="s">
        <v>178</v>
      </c>
      <c r="E245" s="87" t="n">
        <v>2026</v>
      </c>
      <c r="F245" s="87" t="s">
        <v>639</v>
      </c>
      <c r="G245" s="88" t="s">
        <v>188</v>
      </c>
      <c r="H245" s="87" t="s">
        <v>189</v>
      </c>
      <c r="I245" s="87" t="s">
        <v>678</v>
      </c>
      <c r="J245" s="88" t="s">
        <v>679</v>
      </c>
      <c r="K245" s="89" t="n">
        <v>690</v>
      </c>
      <c r="L245" s="89" t="n">
        <v>26910000</v>
      </c>
      <c r="M245" s="89" t="n">
        <v>10392780</v>
      </c>
      <c r="N245" s="90" t="n">
        <f aca="false">IF(A245="제외",0,IF(OR(N(L245)&lt;=0,N(M245)&gt;N(L245)),N(M245)/가정!$B$4,N(L245)))</f>
        <v>26910000</v>
      </c>
      <c r="O245" s="67" t="str">
        <f aca="false">IF(A245="제외","",IF(OR(N(L245)&lt;=0,N(M245)&gt;N(L245)),"택가보정(판매금액÷공급율)",""))</f>
        <v/>
      </c>
    </row>
    <row r="246" customFormat="false" ht="15" hidden="false" customHeight="true" outlineLevel="0" collapsed="false">
      <c r="A246" s="67" t="str">
        <f aca="false">IF(OR(TRIM(C246)="",SUBSTITUTE(C246," ","")="소계"),"제외",IF(ISNUMBER(SEARCH("홍콩",C246)),"HK",IF(ISNUMBER(SEARCH("상해",C246)),"CN",IF(ISNUMBER(SEARCH("대만",C246)),"TW","홀세일"))))</f>
        <v>TW</v>
      </c>
      <c r="B246" s="87" t="s">
        <v>176</v>
      </c>
      <c r="C246" s="87" t="s">
        <v>177</v>
      </c>
      <c r="D246" s="88" t="s">
        <v>178</v>
      </c>
      <c r="E246" s="87" t="n">
        <v>2026</v>
      </c>
      <c r="F246" s="87" t="s">
        <v>639</v>
      </c>
      <c r="G246" s="88" t="s">
        <v>188</v>
      </c>
      <c r="H246" s="87" t="s">
        <v>189</v>
      </c>
      <c r="I246" s="87" t="s">
        <v>680</v>
      </c>
      <c r="J246" s="88" t="s">
        <v>681</v>
      </c>
      <c r="K246" s="89" t="n">
        <v>550</v>
      </c>
      <c r="L246" s="89" t="n">
        <v>21450000</v>
      </c>
      <c r="M246" s="89" t="n">
        <v>8210150</v>
      </c>
      <c r="N246" s="90" t="n">
        <f aca="false">IF(A246="제외",0,IF(OR(N(L246)&lt;=0,N(M246)&gt;N(L246)),N(M246)/가정!$B$4,N(L246)))</f>
        <v>21450000</v>
      </c>
      <c r="O246" s="67" t="str">
        <f aca="false">IF(A246="제외","",IF(OR(N(L246)&lt;=0,N(M246)&gt;N(L246)),"택가보정(판매금액÷공급율)",""))</f>
        <v/>
      </c>
    </row>
    <row r="247" customFormat="false" ht="15" hidden="false" customHeight="true" outlineLevel="0" collapsed="false">
      <c r="A247" s="67" t="str">
        <f aca="false">IF(OR(TRIM(C247)="",SUBSTITUTE(C247," ","")="소계"),"제외",IF(ISNUMBER(SEARCH("홍콩",C247)),"HK",IF(ISNUMBER(SEARCH("상해",C247)),"CN",IF(ISNUMBER(SEARCH("대만",C247)),"TW","홀세일"))))</f>
        <v>TW</v>
      </c>
      <c r="B247" s="87" t="s">
        <v>176</v>
      </c>
      <c r="C247" s="87" t="s">
        <v>177</v>
      </c>
      <c r="D247" s="88" t="s">
        <v>178</v>
      </c>
      <c r="E247" s="87" t="n">
        <v>2026</v>
      </c>
      <c r="F247" s="87" t="s">
        <v>639</v>
      </c>
      <c r="G247" s="88" t="s">
        <v>188</v>
      </c>
      <c r="H247" s="87" t="s">
        <v>189</v>
      </c>
      <c r="I247" s="87" t="s">
        <v>682</v>
      </c>
      <c r="J247" s="88" t="s">
        <v>683</v>
      </c>
      <c r="K247" s="89" t="n">
        <v>250</v>
      </c>
      <c r="L247" s="89" t="n">
        <v>12250000</v>
      </c>
      <c r="M247" s="89" t="n">
        <v>4743250</v>
      </c>
      <c r="N247" s="90" t="n">
        <f aca="false">IF(A247="제외",0,IF(OR(N(L247)&lt;=0,N(M247)&gt;N(L247)),N(M247)/가정!$B$4,N(L247)))</f>
        <v>12250000</v>
      </c>
      <c r="O247" s="67" t="str">
        <f aca="false">IF(A247="제외","",IF(OR(N(L247)&lt;=0,N(M247)&gt;N(L247)),"택가보정(판매금액÷공급율)",""))</f>
        <v/>
      </c>
    </row>
    <row r="248" customFormat="false" ht="15" hidden="false" customHeight="true" outlineLevel="0" collapsed="false">
      <c r="A248" s="67" t="str">
        <f aca="false">IF(OR(TRIM(C248)="",SUBSTITUTE(C248," ","")="소계"),"제외",IF(ISNUMBER(SEARCH("홍콩",C248)),"HK",IF(ISNUMBER(SEARCH("상해",C248)),"CN",IF(ISNUMBER(SEARCH("대만",C248)),"TW","홀세일"))))</f>
        <v>TW</v>
      </c>
      <c r="B248" s="87" t="s">
        <v>176</v>
      </c>
      <c r="C248" s="87" t="s">
        <v>177</v>
      </c>
      <c r="D248" s="88" t="s">
        <v>178</v>
      </c>
      <c r="E248" s="87" t="n">
        <v>2026</v>
      </c>
      <c r="F248" s="87" t="s">
        <v>639</v>
      </c>
      <c r="G248" s="88" t="s">
        <v>188</v>
      </c>
      <c r="H248" s="87" t="s">
        <v>189</v>
      </c>
      <c r="I248" s="87" t="s">
        <v>684</v>
      </c>
      <c r="J248" s="88" t="s">
        <v>685</v>
      </c>
      <c r="K248" s="89" t="n">
        <v>350</v>
      </c>
      <c r="L248" s="89" t="n">
        <v>20650000</v>
      </c>
      <c r="M248" s="89" t="n">
        <v>7841400</v>
      </c>
      <c r="N248" s="90" t="n">
        <f aca="false">IF(A248="제외",0,IF(OR(N(L248)&lt;=0,N(M248)&gt;N(L248)),N(M248)/가정!$B$4,N(L248)))</f>
        <v>20650000</v>
      </c>
      <c r="O248" s="67" t="str">
        <f aca="false">IF(A248="제외","",IF(OR(N(L248)&lt;=0,N(M248)&gt;N(L248)),"택가보정(판매금액÷공급율)",""))</f>
        <v/>
      </c>
    </row>
    <row r="249" customFormat="false" ht="15" hidden="false" customHeight="true" outlineLevel="0" collapsed="false">
      <c r="A249" s="67" t="str">
        <f aca="false">IF(OR(TRIM(C249)="",SUBSTITUTE(C249," ","")="소계"),"제외",IF(ISNUMBER(SEARCH("홍콩",C249)),"HK",IF(ISNUMBER(SEARCH("상해",C249)),"CN",IF(ISNUMBER(SEARCH("대만",C249)),"TW","홀세일"))))</f>
        <v>TW</v>
      </c>
      <c r="B249" s="87" t="s">
        <v>176</v>
      </c>
      <c r="C249" s="87" t="s">
        <v>177</v>
      </c>
      <c r="D249" s="88" t="s">
        <v>178</v>
      </c>
      <c r="E249" s="87" t="n">
        <v>2026</v>
      </c>
      <c r="F249" s="87" t="s">
        <v>639</v>
      </c>
      <c r="G249" s="88" t="s">
        <v>188</v>
      </c>
      <c r="H249" s="87" t="s">
        <v>189</v>
      </c>
      <c r="I249" s="87" t="s">
        <v>686</v>
      </c>
      <c r="J249" s="88" t="s">
        <v>687</v>
      </c>
      <c r="K249" s="89" t="n">
        <v>250</v>
      </c>
      <c r="L249" s="89" t="n">
        <v>19750000</v>
      </c>
      <c r="M249" s="89" t="n">
        <v>7576250</v>
      </c>
      <c r="N249" s="90" t="n">
        <f aca="false">IF(A249="제외",0,IF(OR(N(L249)&lt;=0,N(M249)&gt;N(L249)),N(M249)/가정!$B$4,N(L249)))</f>
        <v>19750000</v>
      </c>
      <c r="O249" s="67" t="str">
        <f aca="false">IF(A249="제외","",IF(OR(N(L249)&lt;=0,N(M249)&gt;N(L249)),"택가보정(판매금액÷공급율)",""))</f>
        <v/>
      </c>
    </row>
    <row r="250" customFormat="false" ht="15" hidden="false" customHeight="true" outlineLevel="0" collapsed="false">
      <c r="A250" s="67" t="str">
        <f aca="false">IF(OR(TRIM(C250)="",SUBSTITUTE(C250," ","")="소계"),"제외",IF(ISNUMBER(SEARCH("홍콩",C250)),"HK",IF(ISNUMBER(SEARCH("상해",C250)),"CN",IF(ISNUMBER(SEARCH("대만",C250)),"TW","홀세일"))))</f>
        <v>TW</v>
      </c>
      <c r="B250" s="87" t="s">
        <v>176</v>
      </c>
      <c r="C250" s="87" t="s">
        <v>177</v>
      </c>
      <c r="D250" s="88" t="s">
        <v>178</v>
      </c>
      <c r="E250" s="87" t="n">
        <v>2026</v>
      </c>
      <c r="F250" s="87" t="s">
        <v>639</v>
      </c>
      <c r="G250" s="88" t="s">
        <v>188</v>
      </c>
      <c r="H250" s="87" t="s">
        <v>189</v>
      </c>
      <c r="I250" s="87" t="s">
        <v>688</v>
      </c>
      <c r="J250" s="88" t="s">
        <v>689</v>
      </c>
      <c r="K250" s="89" t="n">
        <v>180</v>
      </c>
      <c r="L250" s="89" t="n">
        <v>8820000</v>
      </c>
      <c r="M250" s="89" t="n">
        <v>3512880</v>
      </c>
      <c r="N250" s="90" t="n">
        <f aca="false">IF(A250="제외",0,IF(OR(N(L250)&lt;=0,N(M250)&gt;N(L250)),N(M250)/가정!$B$4,N(L250)))</f>
        <v>8820000</v>
      </c>
      <c r="O250" s="67" t="str">
        <f aca="false">IF(A250="제외","",IF(OR(N(L250)&lt;=0,N(M250)&gt;N(L250)),"택가보정(판매금액÷공급율)",""))</f>
        <v/>
      </c>
    </row>
    <row r="251" customFormat="false" ht="15" hidden="false" customHeight="true" outlineLevel="0" collapsed="false">
      <c r="A251" s="67" t="str">
        <f aca="false">IF(OR(TRIM(C251)="",SUBSTITUTE(C251," ","")="소계"),"제외",IF(ISNUMBER(SEARCH("홍콩",C251)),"HK",IF(ISNUMBER(SEARCH("상해",C251)),"CN",IF(ISNUMBER(SEARCH("대만",C251)),"TW","홀세일"))))</f>
        <v>TW</v>
      </c>
      <c r="B251" s="87" t="s">
        <v>176</v>
      </c>
      <c r="C251" s="87" t="s">
        <v>177</v>
      </c>
      <c r="D251" s="88" t="s">
        <v>178</v>
      </c>
      <c r="E251" s="87" t="n">
        <v>2026</v>
      </c>
      <c r="F251" s="87" t="s">
        <v>639</v>
      </c>
      <c r="G251" s="88" t="s">
        <v>188</v>
      </c>
      <c r="H251" s="87" t="s">
        <v>189</v>
      </c>
      <c r="I251" s="87" t="s">
        <v>690</v>
      </c>
      <c r="J251" s="88" t="s">
        <v>691</v>
      </c>
      <c r="K251" s="89" t="n">
        <v>150</v>
      </c>
      <c r="L251" s="89" t="n">
        <v>8850000</v>
      </c>
      <c r="M251" s="89" t="n">
        <v>3399150</v>
      </c>
      <c r="N251" s="90" t="n">
        <f aca="false">IF(A251="제외",0,IF(OR(N(L251)&lt;=0,N(M251)&gt;N(L251)),N(M251)/가정!$B$4,N(L251)))</f>
        <v>8850000</v>
      </c>
      <c r="O251" s="67" t="str">
        <f aca="false">IF(A251="제외","",IF(OR(N(L251)&lt;=0,N(M251)&gt;N(L251)),"택가보정(판매금액÷공급율)",""))</f>
        <v/>
      </c>
    </row>
    <row r="252" customFormat="false" ht="15" hidden="false" customHeight="true" outlineLevel="0" collapsed="false">
      <c r="A252" s="67" t="str">
        <f aca="false">IF(OR(TRIM(C252)="",SUBSTITUTE(C252," ","")="소계"),"제외",IF(ISNUMBER(SEARCH("홍콩",C252)),"HK",IF(ISNUMBER(SEARCH("상해",C252)),"CN",IF(ISNUMBER(SEARCH("대만",C252)),"TW","홀세일"))))</f>
        <v>TW</v>
      </c>
      <c r="B252" s="87" t="s">
        <v>176</v>
      </c>
      <c r="C252" s="87" t="s">
        <v>177</v>
      </c>
      <c r="D252" s="88" t="s">
        <v>178</v>
      </c>
      <c r="E252" s="87" t="n">
        <v>2026</v>
      </c>
      <c r="F252" s="87" t="s">
        <v>639</v>
      </c>
      <c r="G252" s="88" t="s">
        <v>188</v>
      </c>
      <c r="H252" s="87" t="s">
        <v>189</v>
      </c>
      <c r="I252" s="87" t="s">
        <v>692</v>
      </c>
      <c r="J252" s="88" t="s">
        <v>693</v>
      </c>
      <c r="K252" s="89" t="n">
        <v>400</v>
      </c>
      <c r="L252" s="89" t="n">
        <v>31600000</v>
      </c>
      <c r="M252" s="89" t="n">
        <v>12298400</v>
      </c>
      <c r="N252" s="90" t="n">
        <f aca="false">IF(A252="제외",0,IF(OR(N(L252)&lt;=0,N(M252)&gt;N(L252)),N(M252)/가정!$B$4,N(L252)))</f>
        <v>31600000</v>
      </c>
      <c r="O252" s="67" t="str">
        <f aca="false">IF(A252="제외","",IF(OR(N(L252)&lt;=0,N(M252)&gt;N(L252)),"택가보정(판매금액÷공급율)",""))</f>
        <v/>
      </c>
    </row>
    <row r="253" customFormat="false" ht="15" hidden="false" customHeight="true" outlineLevel="0" collapsed="false">
      <c r="A253" s="67" t="str">
        <f aca="false">IF(OR(TRIM(C253)="",SUBSTITUTE(C253," ","")="소계"),"제외",IF(ISNUMBER(SEARCH("홍콩",C253)),"HK",IF(ISNUMBER(SEARCH("상해",C253)),"CN",IF(ISNUMBER(SEARCH("대만",C253)),"TW","홀세일"))))</f>
        <v>TW</v>
      </c>
      <c r="B253" s="87" t="s">
        <v>176</v>
      </c>
      <c r="C253" s="87" t="s">
        <v>177</v>
      </c>
      <c r="D253" s="88" t="s">
        <v>178</v>
      </c>
      <c r="E253" s="87" t="n">
        <v>2026</v>
      </c>
      <c r="F253" s="87" t="s">
        <v>639</v>
      </c>
      <c r="G253" s="88" t="s">
        <v>188</v>
      </c>
      <c r="H253" s="87" t="s">
        <v>189</v>
      </c>
      <c r="I253" s="87" t="s">
        <v>694</v>
      </c>
      <c r="J253" s="88" t="s">
        <v>695</v>
      </c>
      <c r="K253" s="89" t="n">
        <v>700</v>
      </c>
      <c r="L253" s="89" t="n">
        <v>14700000</v>
      </c>
      <c r="M253" s="89" t="n">
        <v>5706400</v>
      </c>
      <c r="N253" s="90" t="n">
        <f aca="false">IF(A253="제외",0,IF(OR(N(L253)&lt;=0,N(M253)&gt;N(L253)),N(M253)/가정!$B$4,N(L253)))</f>
        <v>14700000</v>
      </c>
      <c r="O253" s="67" t="str">
        <f aca="false">IF(A253="제외","",IF(OR(N(L253)&lt;=0,N(M253)&gt;N(L253)),"택가보정(판매금액÷공급율)",""))</f>
        <v/>
      </c>
    </row>
    <row r="254" customFormat="false" ht="15" hidden="false" customHeight="true" outlineLevel="0" collapsed="false">
      <c r="A254" s="67" t="str">
        <f aca="false">IF(OR(TRIM(C254)="",SUBSTITUTE(C254," ","")="소계"),"제외",IF(ISNUMBER(SEARCH("홍콩",C254)),"HK",IF(ISNUMBER(SEARCH("상해",C254)),"CN",IF(ISNUMBER(SEARCH("대만",C254)),"TW","홀세일"))))</f>
        <v>TW</v>
      </c>
      <c r="B254" s="87" t="s">
        <v>176</v>
      </c>
      <c r="C254" s="87" t="s">
        <v>177</v>
      </c>
      <c r="D254" s="88" t="s">
        <v>178</v>
      </c>
      <c r="E254" s="87" t="n">
        <v>2026</v>
      </c>
      <c r="F254" s="87" t="s">
        <v>639</v>
      </c>
      <c r="G254" s="88" t="s">
        <v>188</v>
      </c>
      <c r="H254" s="87" t="s">
        <v>189</v>
      </c>
      <c r="I254" s="87" t="s">
        <v>696</v>
      </c>
      <c r="J254" s="88" t="s">
        <v>697</v>
      </c>
      <c r="K254" s="89" t="n">
        <v>400</v>
      </c>
      <c r="L254" s="89" t="n">
        <v>7600000</v>
      </c>
      <c r="M254" s="89" t="n">
        <v>2969600</v>
      </c>
      <c r="N254" s="90" t="n">
        <f aca="false">IF(A254="제외",0,IF(OR(N(L254)&lt;=0,N(M254)&gt;N(L254)),N(M254)/가정!$B$4,N(L254)))</f>
        <v>7600000</v>
      </c>
      <c r="O254" s="67" t="str">
        <f aca="false">IF(A254="제외","",IF(OR(N(L254)&lt;=0,N(M254)&gt;N(L254)),"택가보정(판매금액÷공급율)",""))</f>
        <v/>
      </c>
    </row>
    <row r="255" customFormat="false" ht="15" hidden="false" customHeight="true" outlineLevel="0" collapsed="false">
      <c r="A255" s="67" t="str">
        <f aca="false">IF(OR(TRIM(C255)="",SUBSTITUTE(C255," ","")="소계"),"제외",IF(ISNUMBER(SEARCH("홍콩",C255)),"HK",IF(ISNUMBER(SEARCH("상해",C255)),"CN",IF(ISNUMBER(SEARCH("대만",C255)),"TW","홀세일"))))</f>
        <v>TW</v>
      </c>
      <c r="B255" s="87" t="s">
        <v>176</v>
      </c>
      <c r="C255" s="87" t="s">
        <v>177</v>
      </c>
      <c r="D255" s="88" t="s">
        <v>178</v>
      </c>
      <c r="E255" s="87" t="n">
        <v>2026</v>
      </c>
      <c r="F255" s="87" t="s">
        <v>639</v>
      </c>
      <c r="G255" s="88" t="s">
        <v>188</v>
      </c>
      <c r="H255" s="87" t="s">
        <v>189</v>
      </c>
      <c r="I255" s="87" t="s">
        <v>698</v>
      </c>
      <c r="J255" s="88" t="s">
        <v>699</v>
      </c>
      <c r="K255" s="89" t="n">
        <v>600</v>
      </c>
      <c r="L255" s="89" t="n">
        <v>11940000</v>
      </c>
      <c r="M255" s="89" t="n">
        <v>4629000</v>
      </c>
      <c r="N255" s="90" t="n">
        <f aca="false">IF(A255="제외",0,IF(OR(N(L255)&lt;=0,N(M255)&gt;N(L255)),N(M255)/가정!$B$4,N(L255)))</f>
        <v>11940000</v>
      </c>
      <c r="O255" s="67" t="str">
        <f aca="false">IF(A255="제외","",IF(OR(N(L255)&lt;=0,N(M255)&gt;N(L255)),"택가보정(판매금액÷공급율)",""))</f>
        <v/>
      </c>
    </row>
    <row r="256" customFormat="false" ht="15" hidden="false" customHeight="true" outlineLevel="0" collapsed="false">
      <c r="A256" s="67" t="str">
        <f aca="false">IF(OR(TRIM(C256)="",SUBSTITUTE(C256," ","")="소계"),"제외",IF(ISNUMBER(SEARCH("홍콩",C256)),"HK",IF(ISNUMBER(SEARCH("상해",C256)),"CN",IF(ISNUMBER(SEARCH("대만",C256)),"TW","홀세일"))))</f>
        <v>TW</v>
      </c>
      <c r="B256" s="87" t="s">
        <v>176</v>
      </c>
      <c r="C256" s="87" t="s">
        <v>177</v>
      </c>
      <c r="D256" s="88" t="s">
        <v>178</v>
      </c>
      <c r="E256" s="87" t="n">
        <v>2026</v>
      </c>
      <c r="F256" s="87" t="s">
        <v>639</v>
      </c>
      <c r="G256" s="88" t="s">
        <v>188</v>
      </c>
      <c r="H256" s="87" t="s">
        <v>189</v>
      </c>
      <c r="I256" s="87" t="s">
        <v>700</v>
      </c>
      <c r="J256" s="88" t="s">
        <v>701</v>
      </c>
      <c r="K256" s="89" t="n">
        <v>1000</v>
      </c>
      <c r="L256" s="89" t="n">
        <v>10900000</v>
      </c>
      <c r="M256" s="89" t="n">
        <v>4222000</v>
      </c>
      <c r="N256" s="90" t="n">
        <f aca="false">IF(A256="제외",0,IF(OR(N(L256)&lt;=0,N(M256)&gt;N(L256)),N(M256)/가정!$B$4,N(L256)))</f>
        <v>10900000</v>
      </c>
      <c r="O256" s="67" t="str">
        <f aca="false">IF(A256="제외","",IF(OR(N(L256)&lt;=0,N(M256)&gt;N(L256)),"택가보정(판매금액÷공급율)",""))</f>
        <v/>
      </c>
    </row>
    <row r="257" customFormat="false" ht="15" hidden="false" customHeight="true" outlineLevel="0" collapsed="false">
      <c r="A257" s="67" t="str">
        <f aca="false">IF(OR(TRIM(C257)="",SUBSTITUTE(C257," ","")="소계"),"제외",IF(ISNUMBER(SEARCH("홍콩",C257)),"HK",IF(ISNUMBER(SEARCH("상해",C257)),"CN",IF(ISNUMBER(SEARCH("대만",C257)),"TW","홀세일"))))</f>
        <v>TW</v>
      </c>
      <c r="B257" s="87" t="s">
        <v>176</v>
      </c>
      <c r="C257" s="87" t="s">
        <v>177</v>
      </c>
      <c r="D257" s="88" t="s">
        <v>178</v>
      </c>
      <c r="E257" s="87" t="n">
        <v>2026</v>
      </c>
      <c r="F257" s="87" t="s">
        <v>639</v>
      </c>
      <c r="G257" s="88" t="s">
        <v>188</v>
      </c>
      <c r="H257" s="87" t="s">
        <v>189</v>
      </c>
      <c r="I257" s="87" t="s">
        <v>702</v>
      </c>
      <c r="J257" s="88" t="s">
        <v>703</v>
      </c>
      <c r="K257" s="89" t="n">
        <v>500</v>
      </c>
      <c r="L257" s="89" t="n">
        <v>5450000</v>
      </c>
      <c r="M257" s="89" t="n">
        <v>2111000</v>
      </c>
      <c r="N257" s="90" t="n">
        <f aca="false">IF(A257="제외",0,IF(OR(N(L257)&lt;=0,N(M257)&gt;N(L257)),N(M257)/가정!$B$4,N(L257)))</f>
        <v>5450000</v>
      </c>
      <c r="O257" s="67" t="str">
        <f aca="false">IF(A257="제외","",IF(OR(N(L257)&lt;=0,N(M257)&gt;N(L257)),"택가보정(판매금액÷공급율)",""))</f>
        <v/>
      </c>
    </row>
    <row r="258" customFormat="false" ht="15" hidden="false" customHeight="true" outlineLevel="0" collapsed="false">
      <c r="A258" s="67" t="str">
        <f aca="false">IF(OR(TRIM(C258)="",SUBSTITUTE(C258," ","")="소계"),"제외",IF(ISNUMBER(SEARCH("홍콩",C258)),"HK",IF(ISNUMBER(SEARCH("상해",C258)),"CN",IF(ISNUMBER(SEARCH("대만",C258)),"TW","홀세일"))))</f>
        <v>TW</v>
      </c>
      <c r="B258" s="87" t="s">
        <v>176</v>
      </c>
      <c r="C258" s="87" t="s">
        <v>177</v>
      </c>
      <c r="D258" s="88" t="s">
        <v>178</v>
      </c>
      <c r="E258" s="87" t="n">
        <v>2026</v>
      </c>
      <c r="F258" s="87" t="s">
        <v>639</v>
      </c>
      <c r="G258" s="88" t="s">
        <v>188</v>
      </c>
      <c r="H258" s="87" t="s">
        <v>189</v>
      </c>
      <c r="I258" s="87" t="s">
        <v>704</v>
      </c>
      <c r="J258" s="88" t="s">
        <v>705</v>
      </c>
      <c r="K258" s="89" t="n">
        <v>150</v>
      </c>
      <c r="L258" s="89" t="n">
        <v>19350000</v>
      </c>
      <c r="M258" s="89" t="n">
        <v>7532850</v>
      </c>
      <c r="N258" s="90" t="n">
        <f aca="false">IF(A258="제외",0,IF(OR(N(L258)&lt;=0,N(M258)&gt;N(L258)),N(M258)/가정!$B$4,N(L258)))</f>
        <v>19350000</v>
      </c>
      <c r="O258" s="67" t="str">
        <f aca="false">IF(A258="제외","",IF(OR(N(L258)&lt;=0,N(M258)&gt;N(L258)),"택가보정(판매금액÷공급율)",""))</f>
        <v/>
      </c>
    </row>
    <row r="259" customFormat="false" ht="15" hidden="false" customHeight="true" outlineLevel="0" collapsed="false">
      <c r="A259" s="67" t="str">
        <f aca="false">IF(OR(TRIM(C259)="",SUBSTITUTE(C259," ","")="소계"),"제외",IF(ISNUMBER(SEARCH("홍콩",C259)),"HK",IF(ISNUMBER(SEARCH("상해",C259)),"CN",IF(ISNUMBER(SEARCH("대만",C259)),"TW","홀세일"))))</f>
        <v>TW</v>
      </c>
      <c r="B259" s="87" t="s">
        <v>176</v>
      </c>
      <c r="C259" s="87" t="s">
        <v>177</v>
      </c>
      <c r="D259" s="88" t="s">
        <v>178</v>
      </c>
      <c r="E259" s="87" t="n">
        <v>2026</v>
      </c>
      <c r="F259" s="87" t="s">
        <v>639</v>
      </c>
      <c r="G259" s="88" t="s">
        <v>188</v>
      </c>
      <c r="H259" s="87" t="s">
        <v>189</v>
      </c>
      <c r="I259" s="87" t="s">
        <v>706</v>
      </c>
      <c r="J259" s="88" t="s">
        <v>707</v>
      </c>
      <c r="K259" s="89" t="n">
        <v>120</v>
      </c>
      <c r="L259" s="89" t="n">
        <v>15480000</v>
      </c>
      <c r="M259" s="89" t="n">
        <v>6026280</v>
      </c>
      <c r="N259" s="90" t="n">
        <f aca="false">IF(A259="제외",0,IF(OR(N(L259)&lt;=0,N(M259)&gt;N(L259)),N(M259)/가정!$B$4,N(L259)))</f>
        <v>15480000</v>
      </c>
      <c r="O259" s="67" t="str">
        <f aca="false">IF(A259="제외","",IF(OR(N(L259)&lt;=0,N(M259)&gt;N(L259)),"택가보정(판매금액÷공급율)",""))</f>
        <v/>
      </c>
    </row>
    <row r="260" customFormat="false" ht="15" hidden="false" customHeight="true" outlineLevel="0" collapsed="false">
      <c r="A260" s="67" t="str">
        <f aca="false">IF(OR(TRIM(C260)="",SUBSTITUTE(C260," ","")="소계"),"제외",IF(ISNUMBER(SEARCH("홍콩",C260)),"HK",IF(ISNUMBER(SEARCH("상해",C260)),"CN",IF(ISNUMBER(SEARCH("대만",C260)),"TW","홀세일"))))</f>
        <v>TW</v>
      </c>
      <c r="B260" s="87" t="s">
        <v>176</v>
      </c>
      <c r="C260" s="87" t="s">
        <v>177</v>
      </c>
      <c r="D260" s="88" t="s">
        <v>178</v>
      </c>
      <c r="E260" s="87" t="n">
        <v>2026</v>
      </c>
      <c r="F260" s="87" t="s">
        <v>639</v>
      </c>
      <c r="G260" s="88" t="s">
        <v>188</v>
      </c>
      <c r="H260" s="88" t="s">
        <v>708</v>
      </c>
      <c r="I260" s="87" t="s">
        <v>709</v>
      </c>
      <c r="J260" s="87" t="s">
        <v>710</v>
      </c>
      <c r="K260" s="89" t="n">
        <v>1500</v>
      </c>
      <c r="L260" s="89" t="n">
        <v>58500000</v>
      </c>
      <c r="M260" s="89" t="n">
        <v>11422500</v>
      </c>
      <c r="N260" s="90" t="n">
        <f aca="false">IF(A260="제외",0,IF(OR(N(L260)&lt;=0,N(M260)&gt;N(L260)),N(M260)/가정!$B$4,N(L260)))</f>
        <v>58500000</v>
      </c>
      <c r="O260" s="67" t="str">
        <f aca="false">IF(A260="제외","",IF(OR(N(L260)&lt;=0,N(M260)&gt;N(L260)),"택가보정(판매금액÷공급율)",""))</f>
        <v/>
      </c>
    </row>
    <row r="261" customFormat="false" ht="15" hidden="false" customHeight="true" outlineLevel="0" collapsed="false">
      <c r="A261" s="67" t="str">
        <f aca="false">IF(OR(TRIM(C261)="",SUBSTITUTE(C261," ","")="소계"),"제외",IF(ISNUMBER(SEARCH("홍콩",C261)),"HK",IF(ISNUMBER(SEARCH("상해",C261)),"CN",IF(ISNUMBER(SEARCH("대만",C261)),"TW","홀세일"))))</f>
        <v>TW</v>
      </c>
      <c r="B261" s="87" t="s">
        <v>176</v>
      </c>
      <c r="C261" s="87" t="s">
        <v>177</v>
      </c>
      <c r="D261" s="88" t="s">
        <v>178</v>
      </c>
      <c r="E261" s="87" t="n">
        <v>2026</v>
      </c>
      <c r="F261" s="87" t="s">
        <v>639</v>
      </c>
      <c r="G261" s="88" t="s">
        <v>180</v>
      </c>
      <c r="H261" s="87" t="s">
        <v>181</v>
      </c>
      <c r="I261" s="87" t="s">
        <v>711</v>
      </c>
      <c r="J261" s="88" t="s">
        <v>712</v>
      </c>
      <c r="K261" s="89" t="n">
        <v>340</v>
      </c>
      <c r="L261" s="89" t="n">
        <v>169660000</v>
      </c>
      <c r="M261" s="89" t="n">
        <v>66209900</v>
      </c>
      <c r="N261" s="90" t="n">
        <f aca="false">IF(A261="제외",0,IF(OR(N(L261)&lt;=0,N(M261)&gt;N(L261)),N(M261)/가정!$B$4,N(L261)))</f>
        <v>169660000</v>
      </c>
      <c r="O261" s="67" t="str">
        <f aca="false">IF(A261="제외","",IF(OR(N(L261)&lt;=0,N(M261)&gt;N(L261)),"택가보정(판매금액÷공급율)",""))</f>
        <v/>
      </c>
    </row>
    <row r="262" customFormat="false" ht="15" hidden="false" customHeight="true" outlineLevel="0" collapsed="false">
      <c r="A262" s="67" t="str">
        <f aca="false">IF(OR(TRIM(C262)="",SUBSTITUTE(C262," ","")="소계"),"제외",IF(ISNUMBER(SEARCH("홍콩",C262)),"HK",IF(ISNUMBER(SEARCH("상해",C262)),"CN",IF(ISNUMBER(SEARCH("대만",C262)),"TW","홀세일"))))</f>
        <v>TW</v>
      </c>
      <c r="B262" s="87" t="s">
        <v>176</v>
      </c>
      <c r="C262" s="87" t="s">
        <v>177</v>
      </c>
      <c r="D262" s="88" t="s">
        <v>178</v>
      </c>
      <c r="E262" s="87" t="n">
        <v>2026</v>
      </c>
      <c r="F262" s="87" t="s">
        <v>639</v>
      </c>
      <c r="G262" s="88" t="s">
        <v>180</v>
      </c>
      <c r="H262" s="87" t="s">
        <v>189</v>
      </c>
      <c r="I262" s="87" t="s">
        <v>713</v>
      </c>
      <c r="J262" s="88" t="s">
        <v>714</v>
      </c>
      <c r="K262" s="89" t="n">
        <v>1500</v>
      </c>
      <c r="L262" s="89" t="n">
        <v>73500000</v>
      </c>
      <c r="M262" s="89" t="n">
        <v>26636970</v>
      </c>
      <c r="N262" s="90" t="n">
        <f aca="false">IF(A262="제외",0,IF(OR(N(L262)&lt;=0,N(M262)&gt;N(L262)),N(M262)/가정!$B$4,N(L262)))</f>
        <v>73500000</v>
      </c>
      <c r="O262" s="67" t="str">
        <f aca="false">IF(A262="제외","",IF(OR(N(L262)&lt;=0,N(M262)&gt;N(L262)),"택가보정(판매금액÷공급율)",""))</f>
        <v/>
      </c>
    </row>
    <row r="263" customFormat="false" ht="15" hidden="false" customHeight="true" outlineLevel="0" collapsed="false">
      <c r="A263" s="67" t="str">
        <f aca="false">IF(OR(TRIM(C263)="",SUBSTITUTE(C263," ","")="소계"),"제외",IF(ISNUMBER(SEARCH("홍콩",C263)),"HK",IF(ISNUMBER(SEARCH("상해",C263)),"CN",IF(ISNUMBER(SEARCH("대만",C263)),"TW","홀세일"))))</f>
        <v>TW</v>
      </c>
      <c r="B263" s="87" t="s">
        <v>176</v>
      </c>
      <c r="C263" s="87" t="s">
        <v>177</v>
      </c>
      <c r="D263" s="88" t="s">
        <v>178</v>
      </c>
      <c r="E263" s="87" t="n">
        <v>2026</v>
      </c>
      <c r="F263" s="87" t="s">
        <v>639</v>
      </c>
      <c r="G263" s="88" t="s">
        <v>180</v>
      </c>
      <c r="H263" s="88" t="s">
        <v>185</v>
      </c>
      <c r="I263" s="87" t="s">
        <v>715</v>
      </c>
      <c r="J263" s="87" t="s">
        <v>716</v>
      </c>
      <c r="K263" s="89" t="n">
        <v>180</v>
      </c>
      <c r="L263" s="89" t="n">
        <v>7020000</v>
      </c>
      <c r="M263" s="89" t="n">
        <v>2554740</v>
      </c>
      <c r="N263" s="90" t="n">
        <f aca="false">IF(A263="제외",0,IF(OR(N(L263)&lt;=0,N(M263)&gt;N(L263)),N(M263)/가정!$B$4,N(L263)))</f>
        <v>7020000</v>
      </c>
      <c r="O263" s="67" t="str">
        <f aca="false">IF(A263="제외","",IF(OR(N(L263)&lt;=0,N(M263)&gt;N(L263)),"택가보정(판매금액÷공급율)",""))</f>
        <v/>
      </c>
    </row>
    <row r="264" customFormat="false" ht="15" hidden="false" customHeight="true" outlineLevel="0" collapsed="false">
      <c r="A264" s="67" t="str">
        <f aca="false">IF(OR(TRIM(C264)="",SUBSTITUTE(C264," ","")="소계"),"제외",IF(ISNUMBER(SEARCH("홍콩",C264)),"HK",IF(ISNUMBER(SEARCH("상해",C264)),"CN",IF(ISNUMBER(SEARCH("대만",C264)),"TW","홀세일"))))</f>
        <v>TW</v>
      </c>
      <c r="B264" s="87" t="s">
        <v>176</v>
      </c>
      <c r="C264" s="87" t="s">
        <v>177</v>
      </c>
      <c r="D264" s="88" t="s">
        <v>178</v>
      </c>
      <c r="E264" s="87" t="n">
        <v>2026</v>
      </c>
      <c r="F264" s="87" t="s">
        <v>639</v>
      </c>
      <c r="G264" s="88" t="s">
        <v>418</v>
      </c>
      <c r="H264" s="87" t="s">
        <v>189</v>
      </c>
      <c r="I264" s="87" t="s">
        <v>717</v>
      </c>
      <c r="J264" s="88" t="s">
        <v>718</v>
      </c>
      <c r="K264" s="89" t="n">
        <v>950</v>
      </c>
      <c r="L264" s="89" t="n">
        <v>132050000</v>
      </c>
      <c r="M264" s="89" t="n">
        <v>55774500</v>
      </c>
      <c r="N264" s="90" t="n">
        <f aca="false">IF(A264="제외",0,IF(OR(N(L264)&lt;=0,N(M264)&gt;N(L264)),N(M264)/가정!$B$4,N(L264)))</f>
        <v>132050000</v>
      </c>
      <c r="O264" s="67" t="str">
        <f aca="false">IF(A264="제외","",IF(OR(N(L264)&lt;=0,N(M264)&gt;N(L264)),"택가보정(판매금액÷공급율)",""))</f>
        <v/>
      </c>
    </row>
    <row r="265" customFormat="false" ht="15" hidden="false" customHeight="true" outlineLevel="0" collapsed="false">
      <c r="A265" s="67" t="str">
        <f aca="false">IF(OR(TRIM(C265)="",SUBSTITUTE(C265," ","")="소계"),"제외",IF(ISNUMBER(SEARCH("홍콩",C265)),"HK",IF(ISNUMBER(SEARCH("상해",C265)),"CN",IF(ISNUMBER(SEARCH("대만",C265)),"TW","홀세일"))))</f>
        <v>TW</v>
      </c>
      <c r="B265" s="87" t="s">
        <v>176</v>
      </c>
      <c r="C265" s="87" t="s">
        <v>177</v>
      </c>
      <c r="D265" s="88" t="s">
        <v>178</v>
      </c>
      <c r="E265" s="87" t="n">
        <v>2026</v>
      </c>
      <c r="F265" s="87" t="s">
        <v>639</v>
      </c>
      <c r="G265" s="88" t="s">
        <v>418</v>
      </c>
      <c r="H265" s="87" t="s">
        <v>189</v>
      </c>
      <c r="I265" s="87" t="s">
        <v>719</v>
      </c>
      <c r="J265" s="88" t="s">
        <v>720</v>
      </c>
      <c r="K265" s="89" t="n">
        <v>310</v>
      </c>
      <c r="L265" s="89" t="n">
        <v>30690000</v>
      </c>
      <c r="M265" s="89" t="n">
        <v>12906230</v>
      </c>
      <c r="N265" s="90" t="n">
        <f aca="false">IF(A265="제외",0,IF(OR(N(L265)&lt;=0,N(M265)&gt;N(L265)),N(M265)/가정!$B$4,N(L265)))</f>
        <v>30690000</v>
      </c>
      <c r="O265" s="67" t="str">
        <f aca="false">IF(A265="제외","",IF(OR(N(L265)&lt;=0,N(M265)&gt;N(L265)),"택가보정(판매금액÷공급율)",""))</f>
        <v/>
      </c>
    </row>
    <row r="266" customFormat="false" ht="15" hidden="false" customHeight="true" outlineLevel="0" collapsed="false">
      <c r="A266" s="67" t="str">
        <f aca="false">IF(OR(TRIM(C266)="",SUBSTITUTE(C266," ","")="소계"),"제외",IF(ISNUMBER(SEARCH("홍콩",C266)),"HK",IF(ISNUMBER(SEARCH("상해",C266)),"CN",IF(ISNUMBER(SEARCH("대만",C266)),"TW","홀세일"))))</f>
        <v>TW</v>
      </c>
      <c r="B266" s="87" t="s">
        <v>176</v>
      </c>
      <c r="C266" s="87" t="s">
        <v>177</v>
      </c>
      <c r="D266" s="88" t="s">
        <v>178</v>
      </c>
      <c r="E266" s="87" t="n">
        <v>2026</v>
      </c>
      <c r="F266" s="87" t="s">
        <v>639</v>
      </c>
      <c r="G266" s="88" t="s">
        <v>180</v>
      </c>
      <c r="H266" s="87" t="s">
        <v>246</v>
      </c>
      <c r="I266" s="87" t="s">
        <v>721</v>
      </c>
      <c r="J266" s="87" t="s">
        <v>722</v>
      </c>
      <c r="K266" s="89" t="n">
        <v>300</v>
      </c>
      <c r="L266" s="89" t="n">
        <v>119700000</v>
      </c>
      <c r="M266" s="89" t="n">
        <v>46692300</v>
      </c>
      <c r="N266" s="90" t="n">
        <f aca="false">IF(A266="제외",0,IF(OR(N(L266)&lt;=0,N(M266)&gt;N(L266)),N(M266)/가정!$B$4,N(L266)))</f>
        <v>119700000</v>
      </c>
      <c r="O266" s="67" t="str">
        <f aca="false">IF(A266="제외","",IF(OR(N(L266)&lt;=0,N(M266)&gt;N(L266)),"택가보정(판매금액÷공급율)",""))</f>
        <v/>
      </c>
    </row>
    <row r="267" customFormat="false" ht="15" hidden="false" customHeight="true" outlineLevel="0" collapsed="false">
      <c r="A267" s="67" t="str">
        <f aca="false">IF(OR(TRIM(C267)="",SUBSTITUTE(C267," ","")="소계"),"제외",IF(ISNUMBER(SEARCH("홍콩",C267)),"HK",IF(ISNUMBER(SEARCH("상해",C267)),"CN",IF(ISNUMBER(SEARCH("대만",C267)),"TW","홀세일"))))</f>
        <v>TW</v>
      </c>
      <c r="B267" s="87" t="s">
        <v>176</v>
      </c>
      <c r="C267" s="87" t="s">
        <v>177</v>
      </c>
      <c r="D267" s="88" t="s">
        <v>723</v>
      </c>
      <c r="E267" s="87" t="n">
        <v>2026</v>
      </c>
      <c r="F267" s="88" t="s">
        <v>179</v>
      </c>
      <c r="G267" s="88" t="s">
        <v>180</v>
      </c>
      <c r="H267" s="87" t="s">
        <v>246</v>
      </c>
      <c r="I267" s="87" t="s">
        <v>724</v>
      </c>
      <c r="J267" s="87" t="s">
        <v>725</v>
      </c>
      <c r="K267" s="89" t="n">
        <v>100</v>
      </c>
      <c r="L267" s="89" t="n">
        <v>8900000</v>
      </c>
      <c r="M267" s="89" t="n">
        <v>3483200</v>
      </c>
      <c r="N267" s="90" t="n">
        <f aca="false">IF(A267="제외",0,IF(OR(N(L267)&lt;=0,N(M267)&gt;N(L267)),N(M267)/가정!$B$4,N(L267)))</f>
        <v>8900000</v>
      </c>
      <c r="O267" s="67" t="str">
        <f aca="false">IF(A267="제외","",IF(OR(N(L267)&lt;=0,N(M267)&gt;N(L267)),"택가보정(판매금액÷공급율)",""))</f>
        <v/>
      </c>
    </row>
    <row r="268" customFormat="false" ht="15" hidden="false" customHeight="true" outlineLevel="0" collapsed="false">
      <c r="A268" s="67" t="str">
        <f aca="false">IF(OR(TRIM(C268)="",SUBSTITUTE(C268," ","")="소계"),"제외",IF(ISNUMBER(SEARCH("홍콩",C268)),"HK",IF(ISNUMBER(SEARCH("상해",C268)),"CN",IF(ISNUMBER(SEARCH("대만",C268)),"TW","홀세일"))))</f>
        <v>TW</v>
      </c>
      <c r="B268" s="87" t="s">
        <v>176</v>
      </c>
      <c r="C268" s="87" t="s">
        <v>177</v>
      </c>
      <c r="D268" s="88" t="s">
        <v>723</v>
      </c>
      <c r="E268" s="87" t="n">
        <v>2026</v>
      </c>
      <c r="F268" s="88" t="s">
        <v>277</v>
      </c>
      <c r="G268" s="88" t="s">
        <v>180</v>
      </c>
      <c r="H268" s="87" t="s">
        <v>189</v>
      </c>
      <c r="I268" s="87" t="s">
        <v>726</v>
      </c>
      <c r="J268" s="88" t="s">
        <v>727</v>
      </c>
      <c r="K268" s="89" t="n">
        <v>935</v>
      </c>
      <c r="L268" s="89" t="n">
        <v>92565000</v>
      </c>
      <c r="M268" s="89" t="n">
        <v>36878270</v>
      </c>
      <c r="N268" s="90" t="n">
        <f aca="false">IF(A268="제외",0,IF(OR(N(L268)&lt;=0,N(M268)&gt;N(L268)),N(M268)/가정!$B$4,N(L268)))</f>
        <v>92565000</v>
      </c>
      <c r="O268" s="67" t="str">
        <f aca="false">IF(A268="제외","",IF(OR(N(L268)&lt;=0,N(M268)&gt;N(L268)),"택가보정(판매금액÷공급율)",""))</f>
        <v/>
      </c>
    </row>
    <row r="269" customFormat="false" ht="15" hidden="false" customHeight="true" outlineLevel="0" collapsed="false">
      <c r="A269" s="67" t="str">
        <f aca="false">IF(OR(TRIM(C269)="",SUBSTITUTE(C269," ","")="소계"),"제외",IF(ISNUMBER(SEARCH("홍콩",C269)),"HK",IF(ISNUMBER(SEARCH("상해",C269)),"CN",IF(ISNUMBER(SEARCH("대만",C269)),"TW","홀세일"))))</f>
        <v>TW</v>
      </c>
      <c r="B269" s="87" t="s">
        <v>176</v>
      </c>
      <c r="C269" s="87" t="s">
        <v>177</v>
      </c>
      <c r="D269" s="88" t="s">
        <v>723</v>
      </c>
      <c r="E269" s="87" t="n">
        <v>2026</v>
      </c>
      <c r="F269" s="88" t="s">
        <v>277</v>
      </c>
      <c r="G269" s="88" t="s">
        <v>180</v>
      </c>
      <c r="H269" s="87" t="s">
        <v>189</v>
      </c>
      <c r="I269" s="87" t="s">
        <v>728</v>
      </c>
      <c r="J269" s="88" t="s">
        <v>729</v>
      </c>
      <c r="K269" s="89" t="n">
        <v>300</v>
      </c>
      <c r="L269" s="89" t="n">
        <v>50700000</v>
      </c>
      <c r="M269" s="89" t="n">
        <v>18273300</v>
      </c>
      <c r="N269" s="90" t="n">
        <f aca="false">IF(A269="제외",0,IF(OR(N(L269)&lt;=0,N(M269)&gt;N(L269)),N(M269)/가정!$B$4,N(L269)))</f>
        <v>50700000</v>
      </c>
      <c r="O269" s="67" t="str">
        <f aca="false">IF(A269="제외","",IF(OR(N(L269)&lt;=0,N(M269)&gt;N(L269)),"택가보정(판매금액÷공급율)",""))</f>
        <v/>
      </c>
    </row>
    <row r="270" customFormat="false" ht="15" hidden="false" customHeight="true" outlineLevel="0" collapsed="false">
      <c r="A270" s="67" t="str">
        <f aca="false">IF(OR(TRIM(C270)="",SUBSTITUTE(C270," ","")="소계"),"제외",IF(ISNUMBER(SEARCH("홍콩",C270)),"HK",IF(ISNUMBER(SEARCH("상해",C270)),"CN",IF(ISNUMBER(SEARCH("대만",C270)),"TW","홀세일"))))</f>
        <v>TW</v>
      </c>
      <c r="B270" s="87" t="s">
        <v>176</v>
      </c>
      <c r="C270" s="87" t="s">
        <v>177</v>
      </c>
      <c r="D270" s="88" t="s">
        <v>723</v>
      </c>
      <c r="E270" s="87" t="n">
        <v>2026</v>
      </c>
      <c r="F270" s="88" t="s">
        <v>277</v>
      </c>
      <c r="G270" s="88" t="s">
        <v>180</v>
      </c>
      <c r="H270" s="87" t="s">
        <v>189</v>
      </c>
      <c r="I270" s="87" t="s">
        <v>730</v>
      </c>
      <c r="J270" s="88" t="s">
        <v>731</v>
      </c>
      <c r="K270" s="89" t="n">
        <v>680</v>
      </c>
      <c r="L270" s="89" t="n">
        <v>46920000</v>
      </c>
      <c r="M270" s="89" t="n">
        <v>18515040</v>
      </c>
      <c r="N270" s="90" t="n">
        <f aca="false">IF(A270="제외",0,IF(OR(N(L270)&lt;=0,N(M270)&gt;N(L270)),N(M270)/가정!$B$4,N(L270)))</f>
        <v>46920000</v>
      </c>
      <c r="O270" s="67" t="str">
        <f aca="false">IF(A270="제외","",IF(OR(N(L270)&lt;=0,N(M270)&gt;N(L270)),"택가보정(판매금액÷공급율)",""))</f>
        <v/>
      </c>
    </row>
    <row r="271" customFormat="false" ht="15" hidden="false" customHeight="true" outlineLevel="0" collapsed="false">
      <c r="A271" s="67" t="str">
        <f aca="false">IF(OR(TRIM(C271)="",SUBSTITUTE(C271," ","")="소계"),"제외",IF(ISNUMBER(SEARCH("홍콩",C271)),"HK",IF(ISNUMBER(SEARCH("상해",C271)),"CN",IF(ISNUMBER(SEARCH("대만",C271)),"TW","홀세일"))))</f>
        <v>TW</v>
      </c>
      <c r="B271" s="87" t="s">
        <v>176</v>
      </c>
      <c r="C271" s="87" t="s">
        <v>177</v>
      </c>
      <c r="D271" s="88" t="s">
        <v>723</v>
      </c>
      <c r="E271" s="87" t="n">
        <v>2026</v>
      </c>
      <c r="F271" s="88" t="s">
        <v>277</v>
      </c>
      <c r="G271" s="88" t="s">
        <v>180</v>
      </c>
      <c r="H271" s="87" t="s">
        <v>732</v>
      </c>
      <c r="I271" s="87" t="s">
        <v>733</v>
      </c>
      <c r="J271" s="88" t="s">
        <v>734</v>
      </c>
      <c r="K271" s="89" t="n">
        <v>500</v>
      </c>
      <c r="L271" s="89" t="n">
        <v>16000000</v>
      </c>
      <c r="M271" s="89" t="n">
        <v>5332000</v>
      </c>
      <c r="N271" s="90" t="n">
        <f aca="false">IF(A271="제외",0,IF(OR(N(L271)&lt;=0,N(M271)&gt;N(L271)),N(M271)/가정!$B$4,N(L271)))</f>
        <v>16000000</v>
      </c>
      <c r="O271" s="67" t="str">
        <f aca="false">IF(A271="제외","",IF(OR(N(L271)&lt;=0,N(M271)&gt;N(L271)),"택가보정(판매금액÷공급율)",""))</f>
        <v/>
      </c>
    </row>
    <row r="272" customFormat="false" ht="15" hidden="false" customHeight="true" outlineLevel="0" collapsed="false">
      <c r="A272" s="67" t="str">
        <f aca="false">IF(OR(TRIM(C272)="",SUBSTITUTE(C272," ","")="소계"),"제외",IF(ISNUMBER(SEARCH("홍콩",C272)),"HK",IF(ISNUMBER(SEARCH("상해",C272)),"CN",IF(ISNUMBER(SEARCH("대만",C272)),"TW","홀세일"))))</f>
        <v>TW</v>
      </c>
      <c r="B272" s="87" t="s">
        <v>176</v>
      </c>
      <c r="C272" s="87" t="s">
        <v>177</v>
      </c>
      <c r="D272" s="88" t="s">
        <v>723</v>
      </c>
      <c r="E272" s="87" t="n">
        <v>2026</v>
      </c>
      <c r="F272" s="88" t="s">
        <v>277</v>
      </c>
      <c r="G272" s="88" t="s">
        <v>180</v>
      </c>
      <c r="H272" s="88" t="s">
        <v>708</v>
      </c>
      <c r="I272" s="87" t="s">
        <v>735</v>
      </c>
      <c r="J272" s="88" t="s">
        <v>736</v>
      </c>
      <c r="K272" s="89" t="n">
        <v>800</v>
      </c>
      <c r="L272" s="89" t="n">
        <v>55200000</v>
      </c>
      <c r="M272" s="89" t="n">
        <v>19715200</v>
      </c>
      <c r="N272" s="90" t="n">
        <f aca="false">IF(A272="제외",0,IF(OR(N(L272)&lt;=0,N(M272)&gt;N(L272)),N(M272)/가정!$B$4,N(L272)))</f>
        <v>55200000</v>
      </c>
      <c r="O272" s="67" t="str">
        <f aca="false">IF(A272="제외","",IF(OR(N(L272)&lt;=0,N(M272)&gt;N(L272)),"택가보정(판매금액÷공급율)",""))</f>
        <v/>
      </c>
    </row>
    <row r="273" customFormat="false" ht="15" hidden="false" customHeight="true" outlineLevel="0" collapsed="false">
      <c r="A273" s="67" t="str">
        <f aca="false">IF(OR(TRIM(C273)="",SUBSTITUTE(C273," ","")="소계"),"제외",IF(ISNUMBER(SEARCH("홍콩",C273)),"HK",IF(ISNUMBER(SEARCH("상해",C273)),"CN",IF(ISNUMBER(SEARCH("대만",C273)),"TW","홀세일"))))</f>
        <v>TW</v>
      </c>
      <c r="B273" s="87" t="s">
        <v>176</v>
      </c>
      <c r="C273" s="87" t="s">
        <v>177</v>
      </c>
      <c r="D273" s="88" t="s">
        <v>723</v>
      </c>
      <c r="E273" s="87" t="n">
        <v>2026</v>
      </c>
      <c r="F273" s="88" t="s">
        <v>277</v>
      </c>
      <c r="G273" s="88" t="s">
        <v>180</v>
      </c>
      <c r="H273" s="88" t="s">
        <v>708</v>
      </c>
      <c r="I273" s="87" t="s">
        <v>737</v>
      </c>
      <c r="J273" s="88" t="s">
        <v>738</v>
      </c>
      <c r="K273" s="89" t="n">
        <v>850</v>
      </c>
      <c r="L273" s="89" t="n">
        <v>50150000</v>
      </c>
      <c r="M273" s="89" t="n">
        <v>17920550</v>
      </c>
      <c r="N273" s="90" t="n">
        <f aca="false">IF(A273="제외",0,IF(OR(N(L273)&lt;=0,N(M273)&gt;N(L273)),N(M273)/가정!$B$4,N(L273)))</f>
        <v>50150000</v>
      </c>
      <c r="O273" s="67" t="str">
        <f aca="false">IF(A273="제외","",IF(OR(N(L273)&lt;=0,N(M273)&gt;N(L273)),"택가보정(판매금액÷공급율)",""))</f>
        <v/>
      </c>
    </row>
    <row r="274" customFormat="false" ht="15" hidden="false" customHeight="true" outlineLevel="0" collapsed="false">
      <c r="A274" s="67" t="str">
        <f aca="false">IF(OR(TRIM(C274)="",SUBSTITUTE(C274," ","")="소계"),"제외",IF(ISNUMBER(SEARCH("홍콩",C274)),"HK",IF(ISNUMBER(SEARCH("상해",C274)),"CN",IF(ISNUMBER(SEARCH("대만",C274)),"TW","홀세일"))))</f>
        <v>TW</v>
      </c>
      <c r="B274" s="87" t="s">
        <v>176</v>
      </c>
      <c r="C274" s="87" t="s">
        <v>177</v>
      </c>
      <c r="D274" s="88" t="s">
        <v>723</v>
      </c>
      <c r="E274" s="87" t="n">
        <v>2026</v>
      </c>
      <c r="F274" s="88" t="s">
        <v>277</v>
      </c>
      <c r="G274" s="88" t="s">
        <v>180</v>
      </c>
      <c r="H274" s="88" t="s">
        <v>708</v>
      </c>
      <c r="I274" s="87" t="s">
        <v>739</v>
      </c>
      <c r="J274" s="88" t="s">
        <v>740</v>
      </c>
      <c r="K274" s="89" t="n">
        <v>800</v>
      </c>
      <c r="L274" s="89" t="n">
        <v>47200000</v>
      </c>
      <c r="M274" s="89" t="n">
        <v>16866400</v>
      </c>
      <c r="N274" s="90" t="n">
        <f aca="false">IF(A274="제외",0,IF(OR(N(L274)&lt;=0,N(M274)&gt;N(L274)),N(M274)/가정!$B$4,N(L274)))</f>
        <v>47200000</v>
      </c>
      <c r="O274" s="67" t="str">
        <f aca="false">IF(A274="제외","",IF(OR(N(L274)&lt;=0,N(M274)&gt;N(L274)),"택가보정(판매금액÷공급율)",""))</f>
        <v/>
      </c>
    </row>
    <row r="275" customFormat="false" ht="15" hidden="false" customHeight="true" outlineLevel="0" collapsed="false">
      <c r="A275" s="67" t="str">
        <f aca="false">IF(OR(TRIM(C275)="",SUBSTITUTE(C275," ","")="소계"),"제외",IF(ISNUMBER(SEARCH("홍콩",C275)),"HK",IF(ISNUMBER(SEARCH("상해",C275)),"CN",IF(ISNUMBER(SEARCH("대만",C275)),"TW","홀세일"))))</f>
        <v>TW</v>
      </c>
      <c r="B275" s="87" t="s">
        <v>176</v>
      </c>
      <c r="C275" s="87" t="s">
        <v>177</v>
      </c>
      <c r="D275" s="88" t="s">
        <v>723</v>
      </c>
      <c r="E275" s="87" t="n">
        <v>2026</v>
      </c>
      <c r="F275" s="88" t="s">
        <v>277</v>
      </c>
      <c r="G275" s="88" t="s">
        <v>180</v>
      </c>
      <c r="H275" s="88" t="s">
        <v>708</v>
      </c>
      <c r="I275" s="87" t="s">
        <v>741</v>
      </c>
      <c r="J275" s="88" t="s">
        <v>742</v>
      </c>
      <c r="K275" s="89" t="n">
        <v>800</v>
      </c>
      <c r="L275" s="89" t="n">
        <v>55200000</v>
      </c>
      <c r="M275" s="89" t="n">
        <v>19715200</v>
      </c>
      <c r="N275" s="90" t="n">
        <f aca="false">IF(A275="제외",0,IF(OR(N(L275)&lt;=0,N(M275)&gt;N(L275)),N(M275)/가정!$B$4,N(L275)))</f>
        <v>55200000</v>
      </c>
      <c r="O275" s="67" t="str">
        <f aca="false">IF(A275="제외","",IF(OR(N(L275)&lt;=0,N(M275)&gt;N(L275)),"택가보정(판매금액÷공급율)",""))</f>
        <v/>
      </c>
    </row>
    <row r="276" customFormat="false" ht="15" hidden="false" customHeight="true" outlineLevel="0" collapsed="false">
      <c r="A276" s="67" t="str">
        <f aca="false">IF(OR(TRIM(C276)="",SUBSTITUTE(C276," ","")="소계"),"제외",IF(ISNUMBER(SEARCH("홍콩",C276)),"HK",IF(ISNUMBER(SEARCH("상해",C276)),"CN",IF(ISNUMBER(SEARCH("대만",C276)),"TW","홀세일"))))</f>
        <v>TW</v>
      </c>
      <c r="B276" s="87" t="s">
        <v>176</v>
      </c>
      <c r="C276" s="87" t="s">
        <v>177</v>
      </c>
      <c r="D276" s="88" t="s">
        <v>723</v>
      </c>
      <c r="E276" s="87" t="n">
        <v>2026</v>
      </c>
      <c r="F276" s="88" t="s">
        <v>277</v>
      </c>
      <c r="G276" s="88" t="s">
        <v>180</v>
      </c>
      <c r="H276" s="88" t="s">
        <v>708</v>
      </c>
      <c r="I276" s="87" t="s">
        <v>743</v>
      </c>
      <c r="J276" s="88" t="s">
        <v>744</v>
      </c>
      <c r="K276" s="89" t="n">
        <v>800</v>
      </c>
      <c r="L276" s="89" t="n">
        <v>55200000</v>
      </c>
      <c r="M276" s="89" t="n">
        <v>19715200</v>
      </c>
      <c r="N276" s="90" t="n">
        <f aca="false">IF(A276="제외",0,IF(OR(N(L276)&lt;=0,N(M276)&gt;N(L276)),N(M276)/가정!$B$4,N(L276)))</f>
        <v>55200000</v>
      </c>
      <c r="O276" s="67" t="str">
        <f aca="false">IF(A276="제외","",IF(OR(N(L276)&lt;=0,N(M276)&gt;N(L276)),"택가보정(판매금액÷공급율)",""))</f>
        <v/>
      </c>
    </row>
    <row r="277" customFormat="false" ht="15" hidden="false" customHeight="true" outlineLevel="0" collapsed="false">
      <c r="A277" s="67" t="str">
        <f aca="false">IF(OR(TRIM(C277)="",SUBSTITUTE(C277," ","")="소계"),"제외",IF(ISNUMBER(SEARCH("홍콩",C277)),"HK",IF(ISNUMBER(SEARCH("상해",C277)),"CN",IF(ISNUMBER(SEARCH("대만",C277)),"TW","홀세일"))))</f>
        <v>TW</v>
      </c>
      <c r="B277" s="87" t="s">
        <v>176</v>
      </c>
      <c r="C277" s="87" t="s">
        <v>177</v>
      </c>
      <c r="D277" s="88" t="s">
        <v>723</v>
      </c>
      <c r="E277" s="87" t="n">
        <v>2026</v>
      </c>
      <c r="F277" s="88" t="s">
        <v>277</v>
      </c>
      <c r="G277" s="88" t="s">
        <v>180</v>
      </c>
      <c r="H277" s="88" t="s">
        <v>708</v>
      </c>
      <c r="I277" s="87" t="s">
        <v>745</v>
      </c>
      <c r="J277" s="88" t="s">
        <v>746</v>
      </c>
      <c r="K277" s="89" t="n">
        <v>800</v>
      </c>
      <c r="L277" s="89" t="n">
        <v>55200000</v>
      </c>
      <c r="M277" s="89" t="n">
        <v>19715200</v>
      </c>
      <c r="N277" s="90" t="n">
        <f aca="false">IF(A277="제외",0,IF(OR(N(L277)&lt;=0,N(M277)&gt;N(L277)),N(M277)/가정!$B$4,N(L277)))</f>
        <v>55200000</v>
      </c>
      <c r="O277" s="67" t="str">
        <f aca="false">IF(A277="제외","",IF(OR(N(L277)&lt;=0,N(M277)&gt;N(L277)),"택가보정(판매금액÷공급율)",""))</f>
        <v/>
      </c>
    </row>
    <row r="278" customFormat="false" ht="15" hidden="false" customHeight="true" outlineLevel="0" collapsed="false">
      <c r="A278" s="67" t="str">
        <f aca="false">IF(OR(TRIM(C278)="",SUBSTITUTE(C278," ","")="소계"),"제외",IF(ISNUMBER(SEARCH("홍콩",C278)),"HK",IF(ISNUMBER(SEARCH("상해",C278)),"CN",IF(ISNUMBER(SEARCH("대만",C278)),"TW","홀세일"))))</f>
        <v>TW</v>
      </c>
      <c r="B278" s="87" t="s">
        <v>176</v>
      </c>
      <c r="C278" s="87" t="s">
        <v>177</v>
      </c>
      <c r="D278" s="88" t="s">
        <v>723</v>
      </c>
      <c r="E278" s="87" t="n">
        <v>2026</v>
      </c>
      <c r="F278" s="88" t="s">
        <v>277</v>
      </c>
      <c r="G278" s="88" t="s">
        <v>180</v>
      </c>
      <c r="H278" s="87" t="s">
        <v>246</v>
      </c>
      <c r="I278" s="87" t="s">
        <v>747</v>
      </c>
      <c r="J278" s="87" t="s">
        <v>748</v>
      </c>
      <c r="K278" s="89" t="n">
        <v>320</v>
      </c>
      <c r="L278" s="89" t="n">
        <v>50880000</v>
      </c>
      <c r="M278" s="89" t="n">
        <v>18383040</v>
      </c>
      <c r="N278" s="90" t="n">
        <f aca="false">IF(A278="제외",0,IF(OR(N(L278)&lt;=0,N(M278)&gt;N(L278)),N(M278)/가정!$B$4,N(L278)))</f>
        <v>50880000</v>
      </c>
      <c r="O278" s="67" t="str">
        <f aca="false">IF(A278="제외","",IF(OR(N(L278)&lt;=0,N(M278)&gt;N(L278)),"택가보정(판매금액÷공급율)",""))</f>
        <v/>
      </c>
    </row>
    <row r="279" customFormat="false" ht="15" hidden="false" customHeight="true" outlineLevel="0" collapsed="false">
      <c r="A279" s="67" t="str">
        <f aca="false">IF(OR(TRIM(C279)="",SUBSTITUTE(C279," ","")="소계"),"제외",IF(ISNUMBER(SEARCH("홍콩",C279)),"HK",IF(ISNUMBER(SEARCH("상해",C279)),"CN",IF(ISNUMBER(SEARCH("대만",C279)),"TW","홀세일"))))</f>
        <v>TW</v>
      </c>
      <c r="B279" s="87" t="s">
        <v>176</v>
      </c>
      <c r="C279" s="87" t="s">
        <v>177</v>
      </c>
      <c r="D279" s="88" t="s">
        <v>723</v>
      </c>
      <c r="E279" s="87" t="n">
        <v>2026</v>
      </c>
      <c r="F279" s="88" t="s">
        <v>277</v>
      </c>
      <c r="G279" s="88" t="s">
        <v>180</v>
      </c>
      <c r="H279" s="87" t="s">
        <v>246</v>
      </c>
      <c r="I279" s="87" t="s">
        <v>749</v>
      </c>
      <c r="J279" s="87" t="s">
        <v>750</v>
      </c>
      <c r="K279" s="89" t="n">
        <v>360</v>
      </c>
      <c r="L279" s="89" t="n">
        <v>46440000</v>
      </c>
      <c r="M279" s="89" t="n">
        <v>17823240</v>
      </c>
      <c r="N279" s="90" t="n">
        <f aca="false">IF(A279="제외",0,IF(OR(N(L279)&lt;=0,N(M279)&gt;N(L279)),N(M279)/가정!$B$4,N(L279)))</f>
        <v>46440000</v>
      </c>
      <c r="O279" s="67" t="str">
        <f aca="false">IF(A279="제외","",IF(OR(N(L279)&lt;=0,N(M279)&gt;N(L279)),"택가보정(판매금액÷공급율)",""))</f>
        <v/>
      </c>
    </row>
    <row r="280" customFormat="false" ht="15" hidden="false" customHeight="true" outlineLevel="0" collapsed="false">
      <c r="A280" s="67" t="str">
        <f aca="false">IF(OR(TRIM(C280)="",SUBSTITUTE(C280," ","")="소계"),"제외",IF(ISNUMBER(SEARCH("홍콩",C280)),"HK",IF(ISNUMBER(SEARCH("상해",C280)),"CN",IF(ISNUMBER(SEARCH("대만",C280)),"TW","홀세일"))))</f>
        <v>TW</v>
      </c>
      <c r="B280" s="87" t="s">
        <v>176</v>
      </c>
      <c r="C280" s="87" t="s">
        <v>177</v>
      </c>
      <c r="D280" s="88" t="s">
        <v>723</v>
      </c>
      <c r="E280" s="87" t="n">
        <v>2026</v>
      </c>
      <c r="F280" s="88" t="s">
        <v>277</v>
      </c>
      <c r="G280" s="88" t="s">
        <v>180</v>
      </c>
      <c r="H280" s="87" t="s">
        <v>246</v>
      </c>
      <c r="I280" s="87" t="s">
        <v>751</v>
      </c>
      <c r="J280" s="87" t="s">
        <v>752</v>
      </c>
      <c r="K280" s="89" t="n">
        <v>320</v>
      </c>
      <c r="L280" s="89" t="n">
        <v>47680000</v>
      </c>
      <c r="M280" s="89" t="n">
        <v>18290880</v>
      </c>
      <c r="N280" s="90" t="n">
        <f aca="false">IF(A280="제외",0,IF(OR(N(L280)&lt;=0,N(M280)&gt;N(L280)),N(M280)/가정!$B$4,N(L280)))</f>
        <v>47680000</v>
      </c>
      <c r="O280" s="67" t="str">
        <f aca="false">IF(A280="제외","",IF(OR(N(L280)&lt;=0,N(M280)&gt;N(L280)),"택가보정(판매금액÷공급율)",""))</f>
        <v/>
      </c>
    </row>
    <row r="281" customFormat="false" ht="15" hidden="false" customHeight="true" outlineLevel="0" collapsed="false">
      <c r="A281" s="67" t="str">
        <f aca="false">IF(OR(TRIM(C281)="",SUBSTITUTE(C281," ","")="소계"),"제외",IF(ISNUMBER(SEARCH("홍콩",C281)),"HK",IF(ISNUMBER(SEARCH("상해",C281)),"CN",IF(ISNUMBER(SEARCH("대만",C281)),"TW","홀세일"))))</f>
        <v>TW</v>
      </c>
      <c r="B281" s="87" t="s">
        <v>176</v>
      </c>
      <c r="C281" s="87" t="s">
        <v>177</v>
      </c>
      <c r="D281" s="88" t="s">
        <v>723</v>
      </c>
      <c r="E281" s="87" t="n">
        <v>2026</v>
      </c>
      <c r="F281" s="88" t="s">
        <v>277</v>
      </c>
      <c r="G281" s="88" t="s">
        <v>180</v>
      </c>
      <c r="H281" s="87" t="s">
        <v>246</v>
      </c>
      <c r="I281" s="87" t="s">
        <v>753</v>
      </c>
      <c r="J281" s="87" t="s">
        <v>754</v>
      </c>
      <c r="K281" s="89" t="n">
        <v>395</v>
      </c>
      <c r="L281" s="89" t="n">
        <v>47005000</v>
      </c>
      <c r="M281" s="89" t="n">
        <v>16990135</v>
      </c>
      <c r="N281" s="90" t="n">
        <f aca="false">IF(A281="제외",0,IF(OR(N(L281)&lt;=0,N(M281)&gt;N(L281)),N(M281)/가정!$B$4,N(L281)))</f>
        <v>47005000</v>
      </c>
      <c r="O281" s="67" t="str">
        <f aca="false">IF(A281="제외","",IF(OR(N(L281)&lt;=0,N(M281)&gt;N(L281)),"택가보정(판매금액÷공급율)",""))</f>
        <v/>
      </c>
    </row>
    <row r="282" customFormat="false" ht="15" hidden="false" customHeight="true" outlineLevel="0" collapsed="false">
      <c r="A282" s="67" t="str">
        <f aca="false">IF(OR(TRIM(C282)="",SUBSTITUTE(C282," ","")="소계"),"제외",IF(ISNUMBER(SEARCH("홍콩",C282)),"HK",IF(ISNUMBER(SEARCH("상해",C282)),"CN",IF(ISNUMBER(SEARCH("대만",C282)),"TW","홀세일"))))</f>
        <v>TW</v>
      </c>
      <c r="B282" s="87" t="s">
        <v>176</v>
      </c>
      <c r="C282" s="87" t="s">
        <v>177</v>
      </c>
      <c r="D282" s="88" t="s">
        <v>723</v>
      </c>
      <c r="E282" s="87" t="n">
        <v>2026</v>
      </c>
      <c r="F282" s="88" t="s">
        <v>277</v>
      </c>
      <c r="G282" s="88" t="s">
        <v>180</v>
      </c>
      <c r="H282" s="87" t="s">
        <v>246</v>
      </c>
      <c r="I282" s="87" t="s">
        <v>755</v>
      </c>
      <c r="J282" s="87" t="s">
        <v>756</v>
      </c>
      <c r="K282" s="89" t="n">
        <v>130</v>
      </c>
      <c r="L282" s="89" t="n">
        <v>19370000</v>
      </c>
      <c r="M282" s="89" t="n">
        <v>7720440</v>
      </c>
      <c r="N282" s="90" t="n">
        <f aca="false">IF(A282="제외",0,IF(OR(N(L282)&lt;=0,N(M282)&gt;N(L282)),N(M282)/가정!$B$4,N(L282)))</f>
        <v>19370000</v>
      </c>
      <c r="O282" s="67" t="str">
        <f aca="false">IF(A282="제외","",IF(OR(N(L282)&lt;=0,N(M282)&gt;N(L282)),"택가보정(판매금액÷공급율)",""))</f>
        <v/>
      </c>
    </row>
    <row r="283" customFormat="false" ht="15" hidden="false" customHeight="true" outlineLevel="0" collapsed="false">
      <c r="A283" s="67" t="str">
        <f aca="false">IF(OR(TRIM(C283)="",SUBSTITUTE(C283," ","")="소계"),"제외",IF(ISNUMBER(SEARCH("홍콩",C283)),"HK",IF(ISNUMBER(SEARCH("상해",C283)),"CN",IF(ISNUMBER(SEARCH("대만",C283)),"TW","홀세일"))))</f>
        <v>TW</v>
      </c>
      <c r="B283" s="87" t="s">
        <v>176</v>
      </c>
      <c r="C283" s="87" t="s">
        <v>177</v>
      </c>
      <c r="D283" s="88" t="s">
        <v>723</v>
      </c>
      <c r="E283" s="87" t="n">
        <v>2026</v>
      </c>
      <c r="F283" s="88" t="s">
        <v>277</v>
      </c>
      <c r="G283" s="88" t="s">
        <v>180</v>
      </c>
      <c r="H283" s="87" t="s">
        <v>246</v>
      </c>
      <c r="I283" s="87" t="s">
        <v>757</v>
      </c>
      <c r="J283" s="87" t="s">
        <v>758</v>
      </c>
      <c r="K283" s="89" t="n">
        <v>320</v>
      </c>
      <c r="L283" s="89" t="n">
        <v>54080000</v>
      </c>
      <c r="M283" s="89" t="n">
        <v>19537920</v>
      </c>
      <c r="N283" s="90" t="n">
        <f aca="false">IF(A283="제외",0,IF(OR(N(L283)&lt;=0,N(M283)&gt;N(L283)),N(M283)/가정!$B$4,N(L283)))</f>
        <v>54080000</v>
      </c>
      <c r="O283" s="67" t="str">
        <f aca="false">IF(A283="제외","",IF(OR(N(L283)&lt;=0,N(M283)&gt;N(L283)),"택가보정(판매금액÷공급율)",""))</f>
        <v/>
      </c>
    </row>
    <row r="284" customFormat="false" ht="15" hidden="false" customHeight="true" outlineLevel="0" collapsed="false">
      <c r="A284" s="67" t="str">
        <f aca="false">IF(OR(TRIM(C284)="",SUBSTITUTE(C284," ","")="소계"),"제외",IF(ISNUMBER(SEARCH("홍콩",C284)),"HK",IF(ISNUMBER(SEARCH("상해",C284)),"CN",IF(ISNUMBER(SEARCH("대만",C284)),"TW","홀세일"))))</f>
        <v>TW</v>
      </c>
      <c r="B284" s="87" t="s">
        <v>176</v>
      </c>
      <c r="C284" s="87" t="s">
        <v>177</v>
      </c>
      <c r="D284" s="88" t="s">
        <v>723</v>
      </c>
      <c r="E284" s="87" t="n">
        <v>2026</v>
      </c>
      <c r="F284" s="88" t="s">
        <v>277</v>
      </c>
      <c r="G284" s="88" t="s">
        <v>180</v>
      </c>
      <c r="H284" s="87" t="s">
        <v>246</v>
      </c>
      <c r="I284" s="87" t="s">
        <v>759</v>
      </c>
      <c r="J284" s="87" t="s">
        <v>760</v>
      </c>
      <c r="K284" s="89" t="n">
        <v>150</v>
      </c>
      <c r="L284" s="89" t="n">
        <v>23850000</v>
      </c>
      <c r="M284" s="89" t="n">
        <v>8075850</v>
      </c>
      <c r="N284" s="90" t="n">
        <f aca="false">IF(A284="제외",0,IF(OR(N(L284)&lt;=0,N(M284)&gt;N(L284)),N(M284)/가정!$B$4,N(L284)))</f>
        <v>23850000</v>
      </c>
      <c r="O284" s="67" t="str">
        <f aca="false">IF(A284="제외","",IF(OR(N(L284)&lt;=0,N(M284)&gt;N(L284)),"택가보정(판매금액÷공급율)",""))</f>
        <v/>
      </c>
    </row>
    <row r="285" customFormat="false" ht="15" hidden="false" customHeight="true" outlineLevel="0" collapsed="false">
      <c r="A285" s="67" t="str">
        <f aca="false">IF(OR(TRIM(C285)="",SUBSTITUTE(C285," ","")="소계"),"제외",IF(ISNUMBER(SEARCH("홍콩",C285)),"HK",IF(ISNUMBER(SEARCH("상해",C285)),"CN",IF(ISNUMBER(SEARCH("대만",C285)),"TW","홀세일"))))</f>
        <v>TW</v>
      </c>
      <c r="B285" s="87" t="s">
        <v>176</v>
      </c>
      <c r="C285" s="87" t="s">
        <v>177</v>
      </c>
      <c r="D285" s="88" t="s">
        <v>723</v>
      </c>
      <c r="E285" s="87" t="n">
        <v>2026</v>
      </c>
      <c r="F285" s="88" t="s">
        <v>277</v>
      </c>
      <c r="G285" s="88" t="s">
        <v>180</v>
      </c>
      <c r="H285" s="87" t="s">
        <v>246</v>
      </c>
      <c r="I285" s="87" t="s">
        <v>761</v>
      </c>
      <c r="J285" s="87" t="s">
        <v>762</v>
      </c>
      <c r="K285" s="89" t="n">
        <v>263</v>
      </c>
      <c r="L285" s="89" t="n">
        <v>44447000</v>
      </c>
      <c r="M285" s="89" t="n">
        <v>16057728</v>
      </c>
      <c r="N285" s="90" t="n">
        <f aca="false">IF(A285="제외",0,IF(OR(N(L285)&lt;=0,N(M285)&gt;N(L285)),N(M285)/가정!$B$4,N(L285)))</f>
        <v>44447000</v>
      </c>
      <c r="O285" s="67" t="str">
        <f aca="false">IF(A285="제외","",IF(OR(N(L285)&lt;=0,N(M285)&gt;N(L285)),"택가보정(판매금액÷공급율)",""))</f>
        <v/>
      </c>
    </row>
    <row r="286" customFormat="false" ht="15" hidden="false" customHeight="true" outlineLevel="0" collapsed="false">
      <c r="A286" s="67" t="str">
        <f aca="false">IF(OR(TRIM(C286)="",SUBSTITUTE(C286," ","")="소계"),"제외",IF(ISNUMBER(SEARCH("홍콩",C286)),"HK",IF(ISNUMBER(SEARCH("상해",C286)),"CN",IF(ISNUMBER(SEARCH("대만",C286)),"TW","홀세일"))))</f>
        <v>TW</v>
      </c>
      <c r="B286" s="87" t="s">
        <v>176</v>
      </c>
      <c r="C286" s="87" t="s">
        <v>177</v>
      </c>
      <c r="D286" s="88" t="s">
        <v>723</v>
      </c>
      <c r="E286" s="87" t="n">
        <v>2026</v>
      </c>
      <c r="F286" s="88" t="s">
        <v>277</v>
      </c>
      <c r="G286" s="88" t="s">
        <v>180</v>
      </c>
      <c r="H286" s="87" t="s">
        <v>732</v>
      </c>
      <c r="I286" s="87" t="s">
        <v>763</v>
      </c>
      <c r="J286" s="88" t="s">
        <v>764</v>
      </c>
      <c r="K286" s="89" t="n">
        <v>340</v>
      </c>
      <c r="L286" s="89" t="n">
        <v>11560000</v>
      </c>
      <c r="M286" s="89" t="n">
        <v>3821940</v>
      </c>
      <c r="N286" s="90" t="n">
        <f aca="false">IF(A286="제외",0,IF(OR(N(L286)&lt;=0,N(M286)&gt;N(L286)),N(M286)/가정!$B$4,N(L286)))</f>
        <v>11560000</v>
      </c>
      <c r="O286" s="67" t="str">
        <f aca="false">IF(A286="제외","",IF(OR(N(L286)&lt;=0,N(M286)&gt;N(L286)),"택가보정(판매금액÷공급율)",""))</f>
        <v/>
      </c>
    </row>
    <row r="287" customFormat="false" ht="15" hidden="false" customHeight="true" outlineLevel="0" collapsed="false">
      <c r="A287" s="67" t="str">
        <f aca="false">IF(OR(TRIM(C287)="",SUBSTITUTE(C287," ","")="소계"),"제외",IF(ISNUMBER(SEARCH("홍콩",C287)),"HK",IF(ISNUMBER(SEARCH("상해",C287)),"CN",IF(ISNUMBER(SEARCH("대만",C287)),"TW","홀세일"))))</f>
        <v>TW</v>
      </c>
      <c r="B287" s="87" t="s">
        <v>176</v>
      </c>
      <c r="C287" s="87" t="s">
        <v>177</v>
      </c>
      <c r="D287" s="88" t="s">
        <v>723</v>
      </c>
      <c r="E287" s="87" t="n">
        <v>2026</v>
      </c>
      <c r="F287" s="88" t="s">
        <v>277</v>
      </c>
      <c r="G287" s="88" t="s">
        <v>180</v>
      </c>
      <c r="H287" s="87" t="s">
        <v>246</v>
      </c>
      <c r="I287" s="87" t="s">
        <v>765</v>
      </c>
      <c r="J287" s="87" t="s">
        <v>766</v>
      </c>
      <c r="K287" s="89" t="n">
        <v>354</v>
      </c>
      <c r="L287" s="89" t="n">
        <v>35046000</v>
      </c>
      <c r="M287" s="89" t="n">
        <v>12671784</v>
      </c>
      <c r="N287" s="90" t="n">
        <f aca="false">IF(A287="제외",0,IF(OR(N(L287)&lt;=0,N(M287)&gt;N(L287)),N(M287)/가정!$B$4,N(L287)))</f>
        <v>35046000</v>
      </c>
      <c r="O287" s="67" t="str">
        <f aca="false">IF(A287="제외","",IF(OR(N(L287)&lt;=0,N(M287)&gt;N(L287)),"택가보정(판매금액÷공급율)",""))</f>
        <v/>
      </c>
    </row>
    <row r="288" customFormat="false" ht="15" hidden="false" customHeight="true" outlineLevel="0" collapsed="false">
      <c r="A288" s="67" t="str">
        <f aca="false">IF(OR(TRIM(C288)="",SUBSTITUTE(C288," ","")="소계"),"제외",IF(ISNUMBER(SEARCH("홍콩",C288)),"HK",IF(ISNUMBER(SEARCH("상해",C288)),"CN",IF(ISNUMBER(SEARCH("대만",C288)),"TW","홀세일"))))</f>
        <v>TW</v>
      </c>
      <c r="B288" s="87" t="s">
        <v>176</v>
      </c>
      <c r="C288" s="87" t="s">
        <v>177</v>
      </c>
      <c r="D288" s="88" t="s">
        <v>723</v>
      </c>
      <c r="E288" s="87" t="n">
        <v>2026</v>
      </c>
      <c r="F288" s="88" t="s">
        <v>421</v>
      </c>
      <c r="G288" s="88" t="s">
        <v>180</v>
      </c>
      <c r="H288" s="87" t="s">
        <v>189</v>
      </c>
      <c r="I288" s="87" t="s">
        <v>767</v>
      </c>
      <c r="J288" s="87" t="s">
        <v>768</v>
      </c>
      <c r="K288" s="89" t="n">
        <v>270</v>
      </c>
      <c r="L288" s="89" t="n">
        <v>126630000</v>
      </c>
      <c r="M288" s="89" t="n">
        <v>48560850</v>
      </c>
      <c r="N288" s="90" t="n">
        <f aca="false">IF(A288="제외",0,IF(OR(N(L288)&lt;=0,N(M288)&gt;N(L288)),N(M288)/가정!$B$4,N(L288)))</f>
        <v>126630000</v>
      </c>
      <c r="O288" s="67" t="str">
        <f aca="false">IF(A288="제외","",IF(OR(N(L288)&lt;=0,N(M288)&gt;N(L288)),"택가보정(판매금액÷공급율)",""))</f>
        <v/>
      </c>
    </row>
    <row r="289" customFormat="false" ht="15" hidden="false" customHeight="true" outlineLevel="0" collapsed="false">
      <c r="A289" s="67" t="str">
        <f aca="false">IF(OR(TRIM(C289)="",SUBSTITUTE(C289," ","")="소계"),"제외",IF(ISNUMBER(SEARCH("홍콩",C289)),"HK",IF(ISNUMBER(SEARCH("상해",C289)),"CN",IF(ISNUMBER(SEARCH("대만",C289)),"TW","홀세일"))))</f>
        <v>TW</v>
      </c>
      <c r="B289" s="87" t="s">
        <v>176</v>
      </c>
      <c r="C289" s="87" t="s">
        <v>177</v>
      </c>
      <c r="D289" s="88" t="s">
        <v>723</v>
      </c>
      <c r="E289" s="87" t="n">
        <v>2026</v>
      </c>
      <c r="F289" s="88" t="s">
        <v>421</v>
      </c>
      <c r="G289" s="88" t="s">
        <v>180</v>
      </c>
      <c r="H289" s="87" t="s">
        <v>732</v>
      </c>
      <c r="I289" s="87" t="s">
        <v>769</v>
      </c>
      <c r="J289" s="88" t="s">
        <v>770</v>
      </c>
      <c r="K289" s="89" t="n">
        <v>400</v>
      </c>
      <c r="L289" s="89" t="n">
        <v>47600000</v>
      </c>
      <c r="M289" s="89" t="n">
        <v>17178000</v>
      </c>
      <c r="N289" s="90" t="n">
        <f aca="false">IF(A289="제외",0,IF(OR(N(L289)&lt;=0,N(M289)&gt;N(L289)),N(M289)/가정!$B$4,N(L289)))</f>
        <v>47600000</v>
      </c>
      <c r="O289" s="67" t="str">
        <f aca="false">IF(A289="제외","",IF(OR(N(L289)&lt;=0,N(M289)&gt;N(L289)),"택가보정(판매금액÷공급율)",""))</f>
        <v/>
      </c>
    </row>
    <row r="290" customFormat="false" ht="15" hidden="false" customHeight="true" outlineLevel="0" collapsed="false">
      <c r="A290" s="67" t="str">
        <f aca="false">IF(OR(TRIM(C290)="",SUBSTITUTE(C290," ","")="소계"),"제외",IF(ISNUMBER(SEARCH("홍콩",C290)),"HK",IF(ISNUMBER(SEARCH("상해",C290)),"CN",IF(ISNUMBER(SEARCH("대만",C290)),"TW","홀세일"))))</f>
        <v>TW</v>
      </c>
      <c r="B290" s="87" t="s">
        <v>176</v>
      </c>
      <c r="C290" s="87" t="s">
        <v>177</v>
      </c>
      <c r="D290" s="88" t="s">
        <v>723</v>
      </c>
      <c r="E290" s="87" t="n">
        <v>2026</v>
      </c>
      <c r="F290" s="88" t="s">
        <v>421</v>
      </c>
      <c r="G290" s="88" t="s">
        <v>180</v>
      </c>
      <c r="H290" s="87" t="s">
        <v>732</v>
      </c>
      <c r="I290" s="87" t="s">
        <v>771</v>
      </c>
      <c r="J290" s="88" t="s">
        <v>772</v>
      </c>
      <c r="K290" s="89" t="n">
        <v>400</v>
      </c>
      <c r="L290" s="89" t="n">
        <v>47600000</v>
      </c>
      <c r="M290" s="89" t="n">
        <v>17178000</v>
      </c>
      <c r="N290" s="90" t="n">
        <f aca="false">IF(A290="제외",0,IF(OR(N(L290)&lt;=0,N(M290)&gt;N(L290)),N(M290)/가정!$B$4,N(L290)))</f>
        <v>47600000</v>
      </c>
      <c r="O290" s="67" t="str">
        <f aca="false">IF(A290="제외","",IF(OR(N(L290)&lt;=0,N(M290)&gt;N(L290)),"택가보정(판매금액÷공급율)",""))</f>
        <v/>
      </c>
    </row>
    <row r="291" customFormat="false" ht="15" hidden="false" customHeight="true" outlineLevel="0" collapsed="false">
      <c r="A291" s="67" t="str">
        <f aca="false">IF(OR(TRIM(C291)="",SUBSTITUTE(C291," ","")="소계"),"제외",IF(ISNUMBER(SEARCH("홍콩",C291)),"HK",IF(ISNUMBER(SEARCH("상해",C291)),"CN",IF(ISNUMBER(SEARCH("대만",C291)),"TW","홀세일"))))</f>
        <v>TW</v>
      </c>
      <c r="B291" s="87" t="s">
        <v>176</v>
      </c>
      <c r="C291" s="87" t="s">
        <v>177</v>
      </c>
      <c r="D291" s="88" t="s">
        <v>723</v>
      </c>
      <c r="E291" s="87" t="n">
        <v>2026</v>
      </c>
      <c r="F291" s="88" t="s">
        <v>421</v>
      </c>
      <c r="G291" s="88" t="s">
        <v>180</v>
      </c>
      <c r="H291" s="87" t="s">
        <v>732</v>
      </c>
      <c r="I291" s="87" t="s">
        <v>773</v>
      </c>
      <c r="J291" s="88" t="s">
        <v>774</v>
      </c>
      <c r="K291" s="89" t="n">
        <v>800</v>
      </c>
      <c r="L291" s="89" t="n">
        <v>79200000</v>
      </c>
      <c r="M291" s="89" t="n">
        <v>28591200</v>
      </c>
      <c r="N291" s="90" t="n">
        <f aca="false">IF(A291="제외",0,IF(OR(N(L291)&lt;=0,N(M291)&gt;N(L291)),N(M291)/가정!$B$4,N(L291)))</f>
        <v>79200000</v>
      </c>
      <c r="O291" s="67" t="str">
        <f aca="false">IF(A291="제외","",IF(OR(N(L291)&lt;=0,N(M291)&gt;N(L291)),"택가보정(판매금액÷공급율)",""))</f>
        <v/>
      </c>
    </row>
    <row r="292" customFormat="false" ht="15" hidden="false" customHeight="true" outlineLevel="0" collapsed="false">
      <c r="A292" s="67" t="str">
        <f aca="false">IF(OR(TRIM(C292)="",SUBSTITUTE(C292," ","")="소계"),"제외",IF(ISNUMBER(SEARCH("홍콩",C292)),"HK",IF(ISNUMBER(SEARCH("상해",C292)),"CN",IF(ISNUMBER(SEARCH("대만",C292)),"TW","홀세일"))))</f>
        <v>TW</v>
      </c>
      <c r="B292" s="87" t="s">
        <v>176</v>
      </c>
      <c r="C292" s="87" t="s">
        <v>177</v>
      </c>
      <c r="D292" s="88" t="s">
        <v>723</v>
      </c>
      <c r="E292" s="87" t="n">
        <v>2026</v>
      </c>
      <c r="F292" s="88" t="s">
        <v>421</v>
      </c>
      <c r="G292" s="88" t="s">
        <v>180</v>
      </c>
      <c r="H292" s="87" t="s">
        <v>732</v>
      </c>
      <c r="I292" s="87" t="s">
        <v>775</v>
      </c>
      <c r="J292" s="88" t="s">
        <v>776</v>
      </c>
      <c r="K292" s="89" t="n">
        <v>800</v>
      </c>
      <c r="L292" s="89" t="n">
        <v>79200000</v>
      </c>
      <c r="M292" s="89" t="n">
        <v>28591200</v>
      </c>
      <c r="N292" s="90" t="n">
        <f aca="false">IF(A292="제외",0,IF(OR(N(L292)&lt;=0,N(M292)&gt;N(L292)),N(M292)/가정!$B$4,N(L292)))</f>
        <v>79200000</v>
      </c>
      <c r="O292" s="67" t="str">
        <f aca="false">IF(A292="제외","",IF(OR(N(L292)&lt;=0,N(M292)&gt;N(L292)),"택가보정(판매금액÷공급율)",""))</f>
        <v/>
      </c>
    </row>
    <row r="293" customFormat="false" ht="15" hidden="false" customHeight="true" outlineLevel="0" collapsed="false">
      <c r="A293" s="67" t="str">
        <f aca="false">IF(OR(TRIM(C293)="",SUBSTITUTE(C293," ","")="소계"),"제외",IF(ISNUMBER(SEARCH("홍콩",C293)),"HK",IF(ISNUMBER(SEARCH("상해",C293)),"CN",IF(ISNUMBER(SEARCH("대만",C293)),"TW","홀세일"))))</f>
        <v>TW</v>
      </c>
      <c r="B293" s="87" t="s">
        <v>176</v>
      </c>
      <c r="C293" s="87" t="s">
        <v>177</v>
      </c>
      <c r="D293" s="88" t="s">
        <v>723</v>
      </c>
      <c r="E293" s="87" t="n">
        <v>2026</v>
      </c>
      <c r="F293" s="88" t="s">
        <v>421</v>
      </c>
      <c r="G293" s="88" t="s">
        <v>180</v>
      </c>
      <c r="H293" s="87" t="s">
        <v>732</v>
      </c>
      <c r="I293" s="87" t="s">
        <v>777</v>
      </c>
      <c r="J293" s="88" t="s">
        <v>778</v>
      </c>
      <c r="K293" s="89" t="n">
        <v>400</v>
      </c>
      <c r="L293" s="89" t="n">
        <v>27600000</v>
      </c>
      <c r="M293" s="89" t="n">
        <v>9972400</v>
      </c>
      <c r="N293" s="90" t="n">
        <f aca="false">IF(A293="제외",0,IF(OR(N(L293)&lt;=0,N(M293)&gt;N(L293)),N(M293)/가정!$B$4,N(L293)))</f>
        <v>27600000</v>
      </c>
      <c r="O293" s="67" t="str">
        <f aca="false">IF(A293="제외","",IF(OR(N(L293)&lt;=0,N(M293)&gt;N(L293)),"택가보정(판매금액÷공급율)",""))</f>
        <v/>
      </c>
    </row>
    <row r="294" customFormat="false" ht="15" hidden="false" customHeight="true" outlineLevel="0" collapsed="false">
      <c r="A294" s="67" t="str">
        <f aca="false">IF(OR(TRIM(C294)="",SUBSTITUTE(C294," ","")="소계"),"제외",IF(ISNUMBER(SEARCH("홍콩",C294)),"HK",IF(ISNUMBER(SEARCH("상해",C294)),"CN",IF(ISNUMBER(SEARCH("대만",C294)),"TW","홀세일"))))</f>
        <v>TW</v>
      </c>
      <c r="B294" s="87" t="s">
        <v>176</v>
      </c>
      <c r="C294" s="87" t="s">
        <v>177</v>
      </c>
      <c r="D294" s="88" t="s">
        <v>723</v>
      </c>
      <c r="E294" s="87" t="n">
        <v>2026</v>
      </c>
      <c r="F294" s="88" t="s">
        <v>421</v>
      </c>
      <c r="G294" s="88" t="s">
        <v>180</v>
      </c>
      <c r="H294" s="87" t="s">
        <v>732</v>
      </c>
      <c r="I294" s="87" t="s">
        <v>779</v>
      </c>
      <c r="J294" s="88" t="s">
        <v>780</v>
      </c>
      <c r="K294" s="89" t="n">
        <v>400</v>
      </c>
      <c r="L294" s="89" t="n">
        <v>27600000</v>
      </c>
      <c r="M294" s="89" t="n">
        <v>9972400</v>
      </c>
      <c r="N294" s="90" t="n">
        <f aca="false">IF(A294="제외",0,IF(OR(N(L294)&lt;=0,N(M294)&gt;N(L294)),N(M294)/가정!$B$4,N(L294)))</f>
        <v>27600000</v>
      </c>
      <c r="O294" s="67" t="str">
        <f aca="false">IF(A294="제외","",IF(OR(N(L294)&lt;=0,N(M294)&gt;N(L294)),"택가보정(판매금액÷공급율)",""))</f>
        <v/>
      </c>
    </row>
    <row r="295" customFormat="false" ht="15" hidden="false" customHeight="true" outlineLevel="0" collapsed="false">
      <c r="A295" s="67" t="str">
        <f aca="false">IF(OR(TRIM(C295)="",SUBSTITUTE(C295," ","")="소계"),"제외",IF(ISNUMBER(SEARCH("홍콩",C295)),"HK",IF(ISNUMBER(SEARCH("상해",C295)),"CN",IF(ISNUMBER(SEARCH("대만",C295)),"TW","홀세일"))))</f>
        <v>TW</v>
      </c>
      <c r="B295" s="87" t="s">
        <v>176</v>
      </c>
      <c r="C295" s="87" t="s">
        <v>177</v>
      </c>
      <c r="D295" s="88" t="s">
        <v>723</v>
      </c>
      <c r="E295" s="87" t="n">
        <v>2026</v>
      </c>
      <c r="F295" s="88" t="s">
        <v>421</v>
      </c>
      <c r="G295" s="88" t="s">
        <v>180</v>
      </c>
      <c r="H295" s="87" t="s">
        <v>732</v>
      </c>
      <c r="I295" s="87" t="s">
        <v>781</v>
      </c>
      <c r="J295" s="88" t="s">
        <v>782</v>
      </c>
      <c r="K295" s="89" t="n">
        <v>400</v>
      </c>
      <c r="L295" s="89" t="n">
        <v>27600000</v>
      </c>
      <c r="M295" s="89" t="n">
        <v>9972400</v>
      </c>
      <c r="N295" s="90" t="n">
        <f aca="false">IF(A295="제외",0,IF(OR(N(L295)&lt;=0,N(M295)&gt;N(L295)),N(M295)/가정!$B$4,N(L295)))</f>
        <v>27600000</v>
      </c>
      <c r="O295" s="67" t="str">
        <f aca="false">IF(A295="제외","",IF(OR(N(L295)&lt;=0,N(M295)&gt;N(L295)),"택가보정(판매금액÷공급율)",""))</f>
        <v/>
      </c>
    </row>
    <row r="296" customFormat="false" ht="15" hidden="false" customHeight="true" outlineLevel="0" collapsed="false">
      <c r="A296" s="67" t="str">
        <f aca="false">IF(OR(TRIM(C296)="",SUBSTITUTE(C296," ","")="소계"),"제외",IF(ISNUMBER(SEARCH("홍콩",C296)),"HK",IF(ISNUMBER(SEARCH("상해",C296)),"CN",IF(ISNUMBER(SEARCH("대만",C296)),"TW","홀세일"))))</f>
        <v>TW</v>
      </c>
      <c r="B296" s="87" t="s">
        <v>176</v>
      </c>
      <c r="C296" s="87" t="s">
        <v>177</v>
      </c>
      <c r="D296" s="88" t="s">
        <v>723</v>
      </c>
      <c r="E296" s="87" t="n">
        <v>2026</v>
      </c>
      <c r="F296" s="88" t="s">
        <v>421</v>
      </c>
      <c r="G296" s="88" t="s">
        <v>180</v>
      </c>
      <c r="H296" s="87" t="s">
        <v>732</v>
      </c>
      <c r="I296" s="87" t="s">
        <v>783</v>
      </c>
      <c r="J296" s="88" t="s">
        <v>784</v>
      </c>
      <c r="K296" s="89" t="n">
        <v>400</v>
      </c>
      <c r="L296" s="89" t="n">
        <v>23600000</v>
      </c>
      <c r="M296" s="89" t="n">
        <v>8531200</v>
      </c>
      <c r="N296" s="90" t="n">
        <f aca="false">IF(A296="제외",0,IF(OR(N(L296)&lt;=0,N(M296)&gt;N(L296)),N(M296)/가정!$B$4,N(L296)))</f>
        <v>23600000</v>
      </c>
      <c r="O296" s="67" t="str">
        <f aca="false">IF(A296="제외","",IF(OR(N(L296)&lt;=0,N(M296)&gt;N(L296)),"택가보정(판매금액÷공급율)",""))</f>
        <v/>
      </c>
    </row>
    <row r="297" customFormat="false" ht="15" hidden="false" customHeight="true" outlineLevel="0" collapsed="false">
      <c r="A297" s="67" t="str">
        <f aca="false">IF(OR(TRIM(C297)="",SUBSTITUTE(C297," ","")="소계"),"제외",IF(ISNUMBER(SEARCH("홍콩",C297)),"HK",IF(ISNUMBER(SEARCH("상해",C297)),"CN",IF(ISNUMBER(SEARCH("대만",C297)),"TW","홀세일"))))</f>
        <v>TW</v>
      </c>
      <c r="B297" s="87" t="s">
        <v>176</v>
      </c>
      <c r="C297" s="87" t="s">
        <v>177</v>
      </c>
      <c r="D297" s="88" t="s">
        <v>723</v>
      </c>
      <c r="E297" s="87" t="n">
        <v>2026</v>
      </c>
      <c r="F297" s="88" t="s">
        <v>421</v>
      </c>
      <c r="G297" s="88" t="s">
        <v>180</v>
      </c>
      <c r="H297" s="87" t="s">
        <v>732</v>
      </c>
      <c r="I297" s="87" t="s">
        <v>785</v>
      </c>
      <c r="J297" s="88" t="s">
        <v>786</v>
      </c>
      <c r="K297" s="89" t="n">
        <v>400</v>
      </c>
      <c r="L297" s="89" t="n">
        <v>27600000</v>
      </c>
      <c r="M297" s="89" t="n">
        <v>9972400</v>
      </c>
      <c r="N297" s="90" t="n">
        <f aca="false">IF(A297="제외",0,IF(OR(N(L297)&lt;=0,N(M297)&gt;N(L297)),N(M297)/가정!$B$4,N(L297)))</f>
        <v>27600000</v>
      </c>
      <c r="O297" s="67" t="str">
        <f aca="false">IF(A297="제외","",IF(OR(N(L297)&lt;=0,N(M297)&gt;N(L297)),"택가보정(판매금액÷공급율)",""))</f>
        <v/>
      </c>
    </row>
    <row r="298" customFormat="false" ht="15" hidden="false" customHeight="true" outlineLevel="0" collapsed="false">
      <c r="A298" s="67" t="str">
        <f aca="false">IF(OR(TRIM(C298)="",SUBSTITUTE(C298," ","")="소계"),"제외",IF(ISNUMBER(SEARCH("홍콩",C298)),"HK",IF(ISNUMBER(SEARCH("상해",C298)),"CN",IF(ISNUMBER(SEARCH("대만",C298)),"TW","홀세일"))))</f>
        <v>TW</v>
      </c>
      <c r="B298" s="87" t="s">
        <v>176</v>
      </c>
      <c r="C298" s="87" t="s">
        <v>177</v>
      </c>
      <c r="D298" s="88" t="s">
        <v>723</v>
      </c>
      <c r="E298" s="87" t="n">
        <v>2026</v>
      </c>
      <c r="F298" s="88" t="s">
        <v>421</v>
      </c>
      <c r="G298" s="88" t="s">
        <v>180</v>
      </c>
      <c r="H298" s="87" t="s">
        <v>732</v>
      </c>
      <c r="I298" s="87" t="s">
        <v>787</v>
      </c>
      <c r="J298" s="88" t="s">
        <v>788</v>
      </c>
      <c r="K298" s="89" t="n">
        <v>400</v>
      </c>
      <c r="L298" s="89" t="n">
        <v>23600000</v>
      </c>
      <c r="M298" s="89" t="n">
        <v>8531200</v>
      </c>
      <c r="N298" s="90" t="n">
        <f aca="false">IF(A298="제외",0,IF(OR(N(L298)&lt;=0,N(M298)&gt;N(L298)),N(M298)/가정!$B$4,N(L298)))</f>
        <v>23600000</v>
      </c>
      <c r="O298" s="67" t="str">
        <f aca="false">IF(A298="제외","",IF(OR(N(L298)&lt;=0,N(M298)&gt;N(L298)),"택가보정(판매금액÷공급율)",""))</f>
        <v/>
      </c>
    </row>
    <row r="299" customFormat="false" ht="15" hidden="false" customHeight="true" outlineLevel="0" collapsed="false">
      <c r="A299" s="67" t="str">
        <f aca="false">IF(OR(TRIM(C299)="",SUBSTITUTE(C299," ","")="소계"),"제외",IF(ISNUMBER(SEARCH("홍콩",C299)),"HK",IF(ISNUMBER(SEARCH("상해",C299)),"CN",IF(ISNUMBER(SEARCH("대만",C299)),"TW","홀세일"))))</f>
        <v>TW</v>
      </c>
      <c r="B299" s="87" t="s">
        <v>176</v>
      </c>
      <c r="C299" s="87" t="s">
        <v>177</v>
      </c>
      <c r="D299" s="88" t="s">
        <v>723</v>
      </c>
      <c r="E299" s="87" t="n">
        <v>2026</v>
      </c>
      <c r="F299" s="88" t="s">
        <v>421</v>
      </c>
      <c r="G299" s="88" t="s">
        <v>180</v>
      </c>
      <c r="H299" s="87" t="s">
        <v>246</v>
      </c>
      <c r="I299" s="87" t="s">
        <v>789</v>
      </c>
      <c r="J299" s="87" t="s">
        <v>790</v>
      </c>
      <c r="K299" s="89" t="n">
        <v>197</v>
      </c>
      <c r="L299" s="89" t="n">
        <v>21473000</v>
      </c>
      <c r="M299" s="89" t="n">
        <v>7503139</v>
      </c>
      <c r="N299" s="90" t="n">
        <f aca="false">IF(A299="제외",0,IF(OR(N(L299)&lt;=0,N(M299)&gt;N(L299)),N(M299)/가정!$B$4,N(L299)))</f>
        <v>21473000</v>
      </c>
      <c r="O299" s="67" t="str">
        <f aca="false">IF(A299="제외","",IF(OR(N(L299)&lt;=0,N(M299)&gt;N(L299)),"택가보정(판매금액÷공급율)",""))</f>
        <v/>
      </c>
    </row>
    <row r="300" customFormat="false" ht="15" hidden="false" customHeight="true" outlineLevel="0" collapsed="false">
      <c r="A300" s="67" t="str">
        <f aca="false">IF(OR(TRIM(C300)="",SUBSTITUTE(C300," ","")="소계"),"제외",IF(ISNUMBER(SEARCH("홍콩",C300)),"HK",IF(ISNUMBER(SEARCH("상해",C300)),"CN",IF(ISNUMBER(SEARCH("대만",C300)),"TW","홀세일"))))</f>
        <v>TW</v>
      </c>
      <c r="B300" s="87" t="s">
        <v>176</v>
      </c>
      <c r="C300" s="87" t="s">
        <v>177</v>
      </c>
      <c r="D300" s="88" t="s">
        <v>723</v>
      </c>
      <c r="E300" s="87" t="n">
        <v>2026</v>
      </c>
      <c r="F300" s="88" t="s">
        <v>421</v>
      </c>
      <c r="G300" s="88" t="s">
        <v>180</v>
      </c>
      <c r="H300" s="87" t="s">
        <v>246</v>
      </c>
      <c r="I300" s="87" t="s">
        <v>791</v>
      </c>
      <c r="J300" s="87" t="s">
        <v>792</v>
      </c>
      <c r="K300" s="89" t="n">
        <v>200</v>
      </c>
      <c r="L300" s="89" t="n">
        <v>93800000</v>
      </c>
      <c r="M300" s="89" t="n">
        <v>34501600</v>
      </c>
      <c r="N300" s="90" t="n">
        <f aca="false">IF(A300="제외",0,IF(OR(N(L300)&lt;=0,N(M300)&gt;N(L300)),N(M300)/가정!$B$4,N(L300)))</f>
        <v>93800000</v>
      </c>
      <c r="O300" s="67" t="str">
        <f aca="false">IF(A300="제외","",IF(OR(N(L300)&lt;=0,N(M300)&gt;N(L300)),"택가보정(판매금액÷공급율)",""))</f>
        <v/>
      </c>
    </row>
    <row r="301" customFormat="false" ht="15" hidden="false" customHeight="true" outlineLevel="0" collapsed="false">
      <c r="A301" s="67" t="str">
        <f aca="false">IF(OR(TRIM(C301)="",SUBSTITUTE(C301," ","")="소계"),"제외",IF(ISNUMBER(SEARCH("홍콩",C301)),"HK",IF(ISNUMBER(SEARCH("상해",C301)),"CN",IF(ISNUMBER(SEARCH("대만",C301)),"TW","홀세일"))))</f>
        <v>TW</v>
      </c>
      <c r="B301" s="87" t="s">
        <v>176</v>
      </c>
      <c r="C301" s="87" t="s">
        <v>177</v>
      </c>
      <c r="D301" s="88" t="s">
        <v>723</v>
      </c>
      <c r="E301" s="87" t="n">
        <v>2026</v>
      </c>
      <c r="F301" s="88" t="s">
        <v>421</v>
      </c>
      <c r="G301" s="88" t="s">
        <v>180</v>
      </c>
      <c r="H301" s="87" t="s">
        <v>246</v>
      </c>
      <c r="I301" s="87" t="s">
        <v>793</v>
      </c>
      <c r="J301" s="87" t="s">
        <v>794</v>
      </c>
      <c r="K301" s="89" t="n">
        <v>272</v>
      </c>
      <c r="L301" s="89" t="n">
        <v>54128000</v>
      </c>
      <c r="M301" s="89" t="n">
        <v>17541008</v>
      </c>
      <c r="N301" s="90" t="n">
        <f aca="false">IF(A301="제외",0,IF(OR(N(L301)&lt;=0,N(M301)&gt;N(L301)),N(M301)/가정!$B$4,N(L301)))</f>
        <v>54128000</v>
      </c>
      <c r="O301" s="67" t="str">
        <f aca="false">IF(A301="제외","",IF(OR(N(L301)&lt;=0,N(M301)&gt;N(L301)),"택가보정(판매금액÷공급율)",""))</f>
        <v/>
      </c>
    </row>
    <row r="302" customFormat="false" ht="15" hidden="false" customHeight="true" outlineLevel="0" collapsed="false">
      <c r="A302" s="67" t="str">
        <f aca="false">IF(OR(TRIM(C302)="",SUBSTITUTE(C302," ","")="소계"),"제외",IF(ISNUMBER(SEARCH("홍콩",C302)),"HK",IF(ISNUMBER(SEARCH("상해",C302)),"CN",IF(ISNUMBER(SEARCH("대만",C302)),"TW","홀세일"))))</f>
        <v>TW</v>
      </c>
      <c r="B302" s="87" t="s">
        <v>176</v>
      </c>
      <c r="C302" s="87" t="s">
        <v>177</v>
      </c>
      <c r="D302" s="88" t="s">
        <v>723</v>
      </c>
      <c r="E302" s="87" t="n">
        <v>2026</v>
      </c>
      <c r="F302" s="88" t="s">
        <v>532</v>
      </c>
      <c r="G302" s="88" t="s">
        <v>180</v>
      </c>
      <c r="H302" s="87" t="s">
        <v>181</v>
      </c>
      <c r="I302" s="87" t="s">
        <v>795</v>
      </c>
      <c r="J302" s="88" t="s">
        <v>796</v>
      </c>
      <c r="K302" s="89" t="n">
        <v>239</v>
      </c>
      <c r="L302" s="89" t="n">
        <v>210081000</v>
      </c>
      <c r="M302" s="89" t="n">
        <v>72412318</v>
      </c>
      <c r="N302" s="90" t="n">
        <f aca="false">IF(A302="제외",0,IF(OR(N(L302)&lt;=0,N(M302)&gt;N(L302)),N(M302)/가정!$B$4,N(L302)))</f>
        <v>210081000</v>
      </c>
      <c r="O302" s="67" t="str">
        <f aca="false">IF(A302="제외","",IF(OR(N(L302)&lt;=0,N(M302)&gt;N(L302)),"택가보정(판매금액÷공급율)",""))</f>
        <v/>
      </c>
    </row>
    <row r="303" customFormat="false" ht="15" hidden="false" customHeight="true" outlineLevel="0" collapsed="false">
      <c r="A303" s="67" t="str">
        <f aca="false">IF(OR(TRIM(C303)="",SUBSTITUTE(C303," ","")="소계"),"제외",IF(ISNUMBER(SEARCH("홍콩",C303)),"HK",IF(ISNUMBER(SEARCH("상해",C303)),"CN",IF(ISNUMBER(SEARCH("대만",C303)),"TW","홀세일"))))</f>
        <v>TW</v>
      </c>
      <c r="B303" s="87" t="s">
        <v>176</v>
      </c>
      <c r="C303" s="87" t="s">
        <v>177</v>
      </c>
      <c r="D303" s="88" t="s">
        <v>723</v>
      </c>
      <c r="E303" s="87" t="n">
        <v>2026</v>
      </c>
      <c r="F303" s="88" t="s">
        <v>532</v>
      </c>
      <c r="G303" s="88" t="s">
        <v>180</v>
      </c>
      <c r="H303" s="87" t="s">
        <v>246</v>
      </c>
      <c r="I303" s="87" t="s">
        <v>797</v>
      </c>
      <c r="J303" s="87" t="s">
        <v>798</v>
      </c>
      <c r="K303" s="89" t="n">
        <v>304</v>
      </c>
      <c r="L303" s="89" t="n">
        <v>242896000</v>
      </c>
      <c r="M303" s="89" t="n">
        <v>83577280</v>
      </c>
      <c r="N303" s="90" t="n">
        <f aca="false">IF(A303="제외",0,IF(OR(N(L303)&lt;=0,N(M303)&gt;N(L303)),N(M303)/가정!$B$4,N(L303)))</f>
        <v>242896000</v>
      </c>
      <c r="O303" s="67" t="str">
        <f aca="false">IF(A303="제외","",IF(OR(N(L303)&lt;=0,N(M303)&gt;N(L303)),"택가보정(판매금액÷공급율)",""))</f>
        <v/>
      </c>
    </row>
    <row r="304" customFormat="false" ht="15" hidden="false" customHeight="true" outlineLevel="0" collapsed="false">
      <c r="A304" s="67" t="str">
        <f aca="false">IF(OR(TRIM(C304)="",SUBSTITUTE(C304," ","")="소계"),"제외",IF(ISNUMBER(SEARCH("홍콩",C304)),"HK",IF(ISNUMBER(SEARCH("상해",C304)),"CN",IF(ISNUMBER(SEARCH("대만",C304)),"TW","홀세일"))))</f>
        <v>TW</v>
      </c>
      <c r="B304" s="87" t="s">
        <v>176</v>
      </c>
      <c r="C304" s="87" t="s">
        <v>177</v>
      </c>
      <c r="D304" s="88" t="s">
        <v>723</v>
      </c>
      <c r="E304" s="87" t="n">
        <v>2026</v>
      </c>
      <c r="F304" s="88" t="s">
        <v>532</v>
      </c>
      <c r="G304" s="88" t="s">
        <v>180</v>
      </c>
      <c r="H304" s="87" t="s">
        <v>246</v>
      </c>
      <c r="I304" s="87" t="s">
        <v>799</v>
      </c>
      <c r="J304" s="87" t="s">
        <v>800</v>
      </c>
      <c r="K304" s="89" t="n">
        <v>250</v>
      </c>
      <c r="L304" s="89" t="n">
        <v>74750000</v>
      </c>
      <c r="M304" s="89" t="n">
        <v>25456750</v>
      </c>
      <c r="N304" s="90" t="n">
        <f aca="false">IF(A304="제외",0,IF(OR(N(L304)&lt;=0,N(M304)&gt;N(L304)),N(M304)/가정!$B$4,N(L304)))</f>
        <v>74750000</v>
      </c>
      <c r="O304" s="67" t="str">
        <f aca="false">IF(A304="제외","",IF(OR(N(L304)&lt;=0,N(M304)&gt;N(L304)),"택가보정(판매금액÷공급율)",""))</f>
        <v/>
      </c>
    </row>
    <row r="305" customFormat="false" ht="15" hidden="false" customHeight="true" outlineLevel="0" collapsed="false">
      <c r="A305" s="67" t="str">
        <f aca="false">IF(OR(TRIM(C305)="",SUBSTITUTE(C305," ","")="소계"),"제외",IF(ISNUMBER(SEARCH("홍콩",C305)),"HK",IF(ISNUMBER(SEARCH("상해",C305)),"CN",IF(ISNUMBER(SEARCH("대만",C305)),"TW","홀세일"))))</f>
        <v>TW</v>
      </c>
      <c r="B305" s="87" t="s">
        <v>176</v>
      </c>
      <c r="C305" s="87" t="s">
        <v>177</v>
      </c>
      <c r="D305" s="88" t="s">
        <v>723</v>
      </c>
      <c r="E305" s="87" t="n">
        <v>2026</v>
      </c>
      <c r="F305" s="88" t="s">
        <v>532</v>
      </c>
      <c r="G305" s="88" t="s">
        <v>180</v>
      </c>
      <c r="H305" s="87" t="s">
        <v>246</v>
      </c>
      <c r="I305" s="87" t="s">
        <v>801</v>
      </c>
      <c r="J305" s="87" t="s">
        <v>802</v>
      </c>
      <c r="K305" s="89" t="n">
        <v>100</v>
      </c>
      <c r="L305" s="89" t="n">
        <v>42900000</v>
      </c>
      <c r="M305" s="89" t="n">
        <v>15477400</v>
      </c>
      <c r="N305" s="90" t="n">
        <f aca="false">IF(A305="제외",0,IF(OR(N(L305)&lt;=0,N(M305)&gt;N(L305)),N(M305)/가정!$B$4,N(L305)))</f>
        <v>42900000</v>
      </c>
      <c r="O305" s="67" t="str">
        <f aca="false">IF(A305="제외","",IF(OR(N(L305)&lt;=0,N(M305)&gt;N(L305)),"택가보정(판매금액÷공급율)",""))</f>
        <v/>
      </c>
    </row>
    <row r="306" customFormat="false" ht="15" hidden="false" customHeight="true" outlineLevel="0" collapsed="false">
      <c r="A306" s="67" t="str">
        <f aca="false">IF(OR(TRIM(C306)="",SUBSTITUTE(C306," ","")="소계"),"제외",IF(ISNUMBER(SEARCH("홍콩",C306)),"HK",IF(ISNUMBER(SEARCH("상해",C306)),"CN",IF(ISNUMBER(SEARCH("대만",C306)),"TW","홀세일"))))</f>
        <v>TW</v>
      </c>
      <c r="B306" s="87" t="s">
        <v>176</v>
      </c>
      <c r="C306" s="87" t="s">
        <v>177</v>
      </c>
      <c r="D306" s="88" t="s">
        <v>723</v>
      </c>
      <c r="E306" s="87" t="n">
        <v>2026</v>
      </c>
      <c r="F306" s="88" t="s">
        <v>532</v>
      </c>
      <c r="G306" s="88" t="s">
        <v>180</v>
      </c>
      <c r="H306" s="87" t="s">
        <v>246</v>
      </c>
      <c r="I306" s="87" t="s">
        <v>803</v>
      </c>
      <c r="J306" s="87" t="s">
        <v>804</v>
      </c>
      <c r="K306" s="89" t="n">
        <v>360</v>
      </c>
      <c r="L306" s="89" t="n">
        <v>143640000</v>
      </c>
      <c r="M306" s="89" t="n">
        <v>51827760</v>
      </c>
      <c r="N306" s="90" t="n">
        <f aca="false">IF(A306="제외",0,IF(OR(N(L306)&lt;=0,N(M306)&gt;N(L306)),N(M306)/가정!$B$4,N(L306)))</f>
        <v>143640000</v>
      </c>
      <c r="O306" s="67" t="str">
        <f aca="false">IF(A306="제외","",IF(OR(N(L306)&lt;=0,N(M306)&gt;N(L306)),"택가보정(판매금액÷공급율)",""))</f>
        <v/>
      </c>
    </row>
    <row r="307" customFormat="false" ht="15" hidden="false" customHeight="true" outlineLevel="0" collapsed="false">
      <c r="A307" s="67" t="str">
        <f aca="false">IF(OR(TRIM(C307)="",SUBSTITUTE(C307," ","")="소계"),"제외",IF(ISNUMBER(SEARCH("홍콩",C307)),"HK",IF(ISNUMBER(SEARCH("상해",C307)),"CN",IF(ISNUMBER(SEARCH("대만",C307)),"TW","홀세일"))))</f>
        <v>TW</v>
      </c>
      <c r="B307" s="87" t="s">
        <v>176</v>
      </c>
      <c r="C307" s="87" t="s">
        <v>177</v>
      </c>
      <c r="D307" s="88" t="s">
        <v>723</v>
      </c>
      <c r="E307" s="87" t="n">
        <v>2026</v>
      </c>
      <c r="F307" s="88" t="s">
        <v>532</v>
      </c>
      <c r="G307" s="88" t="s">
        <v>180</v>
      </c>
      <c r="H307" s="87" t="s">
        <v>246</v>
      </c>
      <c r="I307" s="87" t="s">
        <v>805</v>
      </c>
      <c r="J307" s="87" t="s">
        <v>806</v>
      </c>
      <c r="K307" s="89" t="n">
        <v>339</v>
      </c>
      <c r="L307" s="89" t="n">
        <v>53901000</v>
      </c>
      <c r="M307" s="89" t="n">
        <v>17262129</v>
      </c>
      <c r="N307" s="90" t="n">
        <f aca="false">IF(A307="제외",0,IF(OR(N(L307)&lt;=0,N(M307)&gt;N(L307)),N(M307)/가정!$B$4,N(L307)))</f>
        <v>53901000</v>
      </c>
      <c r="O307" s="67" t="str">
        <f aca="false">IF(A307="제외","",IF(OR(N(L307)&lt;=0,N(M307)&gt;N(L307)),"택가보정(판매금액÷공급율)",""))</f>
        <v/>
      </c>
    </row>
    <row r="308" customFormat="false" ht="15" hidden="false" customHeight="true" outlineLevel="0" collapsed="false">
      <c r="A308" s="67" t="str">
        <f aca="false">IF(OR(TRIM(C308)="",SUBSTITUTE(C308," ","")="소계"),"제외",IF(ISNUMBER(SEARCH("홍콩",C308)),"HK",IF(ISNUMBER(SEARCH("상해",C308)),"CN",IF(ISNUMBER(SEARCH("대만",C308)),"TW","홀세일"))))</f>
        <v>TW</v>
      </c>
      <c r="B308" s="87" t="s">
        <v>176</v>
      </c>
      <c r="C308" s="87" t="s">
        <v>177</v>
      </c>
      <c r="D308" s="88" t="s">
        <v>723</v>
      </c>
      <c r="E308" s="87" t="n">
        <v>2026</v>
      </c>
      <c r="F308" s="88" t="s">
        <v>532</v>
      </c>
      <c r="G308" s="88" t="s">
        <v>180</v>
      </c>
      <c r="H308" s="87" t="s">
        <v>246</v>
      </c>
      <c r="I308" s="87" t="s">
        <v>807</v>
      </c>
      <c r="J308" s="87" t="s">
        <v>808</v>
      </c>
      <c r="K308" s="89" t="n">
        <v>166</v>
      </c>
      <c r="L308" s="89" t="n">
        <v>26394000</v>
      </c>
      <c r="M308" s="89" t="n">
        <v>7494236</v>
      </c>
      <c r="N308" s="90" t="n">
        <f aca="false">IF(A308="제외",0,IF(OR(N(L308)&lt;=0,N(M308)&gt;N(L308)),N(M308)/가정!$B$4,N(L308)))</f>
        <v>26394000</v>
      </c>
      <c r="O308" s="67" t="str">
        <f aca="false">IF(A308="제외","",IF(OR(N(L308)&lt;=0,N(M308)&gt;N(L308)),"택가보정(판매금액÷공급율)",""))</f>
        <v/>
      </c>
    </row>
    <row r="309" customFormat="false" ht="15" hidden="false" customHeight="true" outlineLevel="0" collapsed="false">
      <c r="A309" s="67" t="str">
        <f aca="false">IF(OR(TRIM(C309)="",SUBSTITUTE(C309," ","")="소계"),"제외",IF(ISNUMBER(SEARCH("홍콩",C309)),"HK",IF(ISNUMBER(SEARCH("상해",C309)),"CN",IF(ISNUMBER(SEARCH("대만",C309)),"TW","홀세일"))))</f>
        <v>TW</v>
      </c>
      <c r="B309" s="87" t="s">
        <v>176</v>
      </c>
      <c r="C309" s="87" t="s">
        <v>177</v>
      </c>
      <c r="D309" s="88" t="s">
        <v>723</v>
      </c>
      <c r="E309" s="87" t="n">
        <v>2026</v>
      </c>
      <c r="F309" s="87" t="s">
        <v>639</v>
      </c>
      <c r="G309" s="88" t="s">
        <v>188</v>
      </c>
      <c r="H309" s="87" t="s">
        <v>189</v>
      </c>
      <c r="I309" s="87" t="s">
        <v>809</v>
      </c>
      <c r="J309" s="88" t="s">
        <v>810</v>
      </c>
      <c r="K309" s="89" t="n">
        <v>300</v>
      </c>
      <c r="L309" s="89" t="n">
        <v>44700000</v>
      </c>
      <c r="M309" s="89" t="n">
        <v>17790156</v>
      </c>
      <c r="N309" s="90" t="n">
        <f aca="false">IF(A309="제외",0,IF(OR(N(L309)&lt;=0,N(M309)&gt;N(L309)),N(M309)/가정!$B$4,N(L309)))</f>
        <v>44700000</v>
      </c>
      <c r="O309" s="67" t="str">
        <f aca="false">IF(A309="제외","",IF(OR(N(L309)&lt;=0,N(M309)&gt;N(L309)),"택가보정(판매금액÷공급율)",""))</f>
        <v/>
      </c>
    </row>
    <row r="310" customFormat="false" ht="15" hidden="false" customHeight="true" outlineLevel="0" collapsed="false">
      <c r="A310" s="67" t="str">
        <f aca="false">IF(OR(TRIM(C310)="",SUBSTITUTE(C310," ","")="소계"),"제외",IF(ISNUMBER(SEARCH("홍콩",C310)),"HK",IF(ISNUMBER(SEARCH("상해",C310)),"CN",IF(ISNUMBER(SEARCH("대만",C310)),"TW","홀세일"))))</f>
        <v>TW</v>
      </c>
      <c r="B310" s="87" t="s">
        <v>176</v>
      </c>
      <c r="C310" s="87" t="s">
        <v>177</v>
      </c>
      <c r="D310" s="88" t="s">
        <v>723</v>
      </c>
      <c r="E310" s="87" t="n">
        <v>2026</v>
      </c>
      <c r="F310" s="87" t="s">
        <v>639</v>
      </c>
      <c r="G310" s="88" t="s">
        <v>188</v>
      </c>
      <c r="H310" s="87" t="s">
        <v>189</v>
      </c>
      <c r="I310" s="87" t="s">
        <v>811</v>
      </c>
      <c r="J310" s="88" t="s">
        <v>812</v>
      </c>
      <c r="K310" s="89" t="n">
        <v>400</v>
      </c>
      <c r="L310" s="89" t="n">
        <v>63600000</v>
      </c>
      <c r="M310" s="89" t="n">
        <v>25314800</v>
      </c>
      <c r="N310" s="90" t="n">
        <f aca="false">IF(A310="제외",0,IF(OR(N(L310)&lt;=0,N(M310)&gt;N(L310)),N(M310)/가정!$B$4,N(L310)))</f>
        <v>63600000</v>
      </c>
      <c r="O310" s="67" t="str">
        <f aca="false">IF(A310="제외","",IF(OR(N(L310)&lt;=0,N(M310)&gt;N(L310)),"택가보정(판매금액÷공급율)",""))</f>
        <v/>
      </c>
    </row>
    <row r="311" customFormat="false" ht="15" hidden="false" customHeight="true" outlineLevel="0" collapsed="false">
      <c r="A311" s="67" t="str">
        <f aca="false">IF(OR(TRIM(C311)="",SUBSTITUTE(C311," ","")="소계"),"제외",IF(ISNUMBER(SEARCH("홍콩",C311)),"HK",IF(ISNUMBER(SEARCH("상해",C311)),"CN",IF(ISNUMBER(SEARCH("대만",C311)),"TW","홀세일"))))</f>
        <v>TW</v>
      </c>
      <c r="B311" s="87" t="s">
        <v>176</v>
      </c>
      <c r="C311" s="87" t="s">
        <v>177</v>
      </c>
      <c r="D311" s="88" t="s">
        <v>723</v>
      </c>
      <c r="E311" s="87" t="n">
        <v>2026</v>
      </c>
      <c r="F311" s="87" t="s">
        <v>639</v>
      </c>
      <c r="G311" s="88" t="s">
        <v>188</v>
      </c>
      <c r="H311" s="87" t="s">
        <v>189</v>
      </c>
      <c r="I311" s="87" t="s">
        <v>813</v>
      </c>
      <c r="J311" s="88" t="s">
        <v>814</v>
      </c>
      <c r="K311" s="89" t="n">
        <v>200</v>
      </c>
      <c r="L311" s="89" t="n">
        <v>29800000</v>
      </c>
      <c r="M311" s="89" t="n">
        <v>11877600</v>
      </c>
      <c r="N311" s="90" t="n">
        <f aca="false">IF(A311="제외",0,IF(OR(N(L311)&lt;=0,N(M311)&gt;N(L311)),N(M311)/가정!$B$4,N(L311)))</f>
        <v>29800000</v>
      </c>
      <c r="O311" s="67" t="str">
        <f aca="false">IF(A311="제외","",IF(OR(N(L311)&lt;=0,N(M311)&gt;N(L311)),"택가보정(판매금액÷공급율)",""))</f>
        <v/>
      </c>
    </row>
    <row r="312" customFormat="false" ht="15" hidden="false" customHeight="true" outlineLevel="0" collapsed="false">
      <c r="A312" s="67" t="str">
        <f aca="false">IF(OR(TRIM(C312)="",SUBSTITUTE(C312," ","")="소계"),"제외",IF(ISNUMBER(SEARCH("홍콩",C312)),"HK",IF(ISNUMBER(SEARCH("상해",C312)),"CN",IF(ISNUMBER(SEARCH("대만",C312)),"TW","홀세일"))))</f>
        <v>TW</v>
      </c>
      <c r="B312" s="87" t="s">
        <v>176</v>
      </c>
      <c r="C312" s="87" t="s">
        <v>177</v>
      </c>
      <c r="D312" s="88" t="s">
        <v>723</v>
      </c>
      <c r="E312" s="87" t="n">
        <v>2026</v>
      </c>
      <c r="F312" s="87" t="s">
        <v>639</v>
      </c>
      <c r="G312" s="88" t="s">
        <v>188</v>
      </c>
      <c r="H312" s="87" t="s">
        <v>189</v>
      </c>
      <c r="I312" s="87" t="s">
        <v>815</v>
      </c>
      <c r="J312" s="88" t="s">
        <v>816</v>
      </c>
      <c r="K312" s="89" t="n">
        <v>200</v>
      </c>
      <c r="L312" s="89" t="n">
        <v>29800000</v>
      </c>
      <c r="M312" s="89" t="n">
        <v>11877600</v>
      </c>
      <c r="N312" s="90" t="n">
        <f aca="false">IF(A312="제외",0,IF(OR(N(L312)&lt;=0,N(M312)&gt;N(L312)),N(M312)/가정!$B$4,N(L312)))</f>
        <v>29800000</v>
      </c>
      <c r="O312" s="67" t="str">
        <f aca="false">IF(A312="제외","",IF(OR(N(L312)&lt;=0,N(M312)&gt;N(L312)),"택가보정(판매금액÷공급율)",""))</f>
        <v/>
      </c>
    </row>
    <row r="313" customFormat="false" ht="15" hidden="false" customHeight="true" outlineLevel="0" collapsed="false">
      <c r="A313" s="67" t="str">
        <f aca="false">IF(OR(TRIM(C313)="",SUBSTITUTE(C313," ","")="소계"),"제외",IF(ISNUMBER(SEARCH("홍콩",C313)),"HK",IF(ISNUMBER(SEARCH("상해",C313)),"CN",IF(ISNUMBER(SEARCH("대만",C313)),"TW","홀세일"))))</f>
        <v>TW</v>
      </c>
      <c r="B313" s="87" t="s">
        <v>176</v>
      </c>
      <c r="C313" s="87" t="s">
        <v>177</v>
      </c>
      <c r="D313" s="88" t="s">
        <v>723</v>
      </c>
      <c r="E313" s="87" t="n">
        <v>2026</v>
      </c>
      <c r="F313" s="87" t="s">
        <v>639</v>
      </c>
      <c r="G313" s="88" t="s">
        <v>188</v>
      </c>
      <c r="H313" s="87" t="s">
        <v>189</v>
      </c>
      <c r="I313" s="87" t="s">
        <v>817</v>
      </c>
      <c r="J313" s="88" t="s">
        <v>818</v>
      </c>
      <c r="K313" s="89" t="n">
        <v>200</v>
      </c>
      <c r="L313" s="89" t="n">
        <v>31800000</v>
      </c>
      <c r="M313" s="89" t="n">
        <v>12657400</v>
      </c>
      <c r="N313" s="90" t="n">
        <f aca="false">IF(A313="제외",0,IF(OR(N(L313)&lt;=0,N(M313)&gt;N(L313)),N(M313)/가정!$B$4,N(L313)))</f>
        <v>31800000</v>
      </c>
      <c r="O313" s="67" t="str">
        <f aca="false">IF(A313="제외","",IF(OR(N(L313)&lt;=0,N(M313)&gt;N(L313)),"택가보정(판매금액÷공급율)",""))</f>
        <v/>
      </c>
    </row>
    <row r="314" customFormat="false" ht="15" hidden="false" customHeight="true" outlineLevel="0" collapsed="false">
      <c r="A314" s="67" t="str">
        <f aca="false">IF(OR(TRIM(C314)="",SUBSTITUTE(C314," ","")="소계"),"제외",IF(ISNUMBER(SEARCH("홍콩",C314)),"HK",IF(ISNUMBER(SEARCH("상해",C314)),"CN",IF(ISNUMBER(SEARCH("대만",C314)),"TW","홀세일"))))</f>
        <v>TW</v>
      </c>
      <c r="B314" s="87" t="s">
        <v>176</v>
      </c>
      <c r="C314" s="87" t="s">
        <v>177</v>
      </c>
      <c r="D314" s="88" t="s">
        <v>723</v>
      </c>
      <c r="E314" s="87" t="n">
        <v>2026</v>
      </c>
      <c r="F314" s="87" t="s">
        <v>639</v>
      </c>
      <c r="G314" s="88" t="s">
        <v>188</v>
      </c>
      <c r="H314" s="87" t="s">
        <v>189</v>
      </c>
      <c r="I314" s="87" t="s">
        <v>819</v>
      </c>
      <c r="J314" s="88" t="s">
        <v>820</v>
      </c>
      <c r="K314" s="89" t="n">
        <v>200</v>
      </c>
      <c r="L314" s="89" t="n">
        <v>33800000</v>
      </c>
      <c r="M314" s="89" t="n">
        <v>13467400</v>
      </c>
      <c r="N314" s="90" t="n">
        <f aca="false">IF(A314="제외",0,IF(OR(N(L314)&lt;=0,N(M314)&gt;N(L314)),N(M314)/가정!$B$4,N(L314)))</f>
        <v>33800000</v>
      </c>
      <c r="O314" s="67" t="str">
        <f aca="false">IF(A314="제외","",IF(OR(N(L314)&lt;=0,N(M314)&gt;N(L314)),"택가보정(판매금액÷공급율)",""))</f>
        <v/>
      </c>
    </row>
    <row r="315" customFormat="false" ht="15" hidden="false" customHeight="true" outlineLevel="0" collapsed="false">
      <c r="A315" s="67" t="str">
        <f aca="false">IF(OR(TRIM(C315)="",SUBSTITUTE(C315," ","")="소계"),"제외",IF(ISNUMBER(SEARCH("홍콩",C315)),"HK",IF(ISNUMBER(SEARCH("상해",C315)),"CN",IF(ISNUMBER(SEARCH("대만",C315)),"TW","홀세일"))))</f>
        <v>제외</v>
      </c>
      <c r="B315" s="87" t="s">
        <v>821</v>
      </c>
      <c r="C315" s="88" t="s">
        <v>822</v>
      </c>
      <c r="D315" s="87"/>
      <c r="E315" s="87"/>
      <c r="F315" s="87"/>
      <c r="G315" s="87"/>
      <c r="H315" s="87"/>
      <c r="I315" s="87"/>
      <c r="J315" s="87"/>
      <c r="K315" s="89" t="n">
        <v>104772</v>
      </c>
      <c r="L315" s="89" t="n">
        <v>13199098000</v>
      </c>
      <c r="M315" s="89" t="n">
        <v>4729436530</v>
      </c>
      <c r="N315" s="90" t="n">
        <f aca="false">IF(A315="제외",0,IF(OR(N(L315)&lt;=0,N(M315)&gt;N(L315)),N(M315)/가정!$B$4,N(L315)))</f>
        <v>0</v>
      </c>
      <c r="O315" s="67" t="str">
        <f aca="false">IF(A315="제외","",IF(OR(N(L315)&lt;=0,N(M315)&gt;N(L315)),"택가보정(판매금액÷공급율)",""))</f>
        <v/>
      </c>
    </row>
    <row r="316" customFormat="false" ht="15" hidden="false" customHeight="true" outlineLevel="0" collapsed="false">
      <c r="A316" s="67" t="str">
        <f aca="false">IF(OR(TRIM(C316)="",SUBSTITUTE(C316," ","")="소계"),"제외",IF(ISNUMBER(SEARCH("홍콩",C316)),"HK",IF(ISNUMBER(SEARCH("상해",C316)),"CN",IF(ISNUMBER(SEARCH("대만",C316)),"TW","홀세일"))))</f>
        <v>HK</v>
      </c>
      <c r="B316" s="87" t="s">
        <v>823</v>
      </c>
      <c r="C316" s="88" t="s">
        <v>824</v>
      </c>
      <c r="D316" s="88" t="s">
        <v>178</v>
      </c>
      <c r="E316" s="87" t="n">
        <v>2023</v>
      </c>
      <c r="F316" s="87" t="s">
        <v>639</v>
      </c>
      <c r="G316" s="88" t="s">
        <v>188</v>
      </c>
      <c r="H316" s="88" t="s">
        <v>708</v>
      </c>
      <c r="I316" s="87" t="s">
        <v>825</v>
      </c>
      <c r="J316" s="87" t="s">
        <v>826</v>
      </c>
      <c r="K316" s="89" t="n">
        <v>639</v>
      </c>
      <c r="L316" s="89" t="n">
        <v>639</v>
      </c>
      <c r="M316" s="89" t="n">
        <v>93933</v>
      </c>
      <c r="N316" s="90" t="n">
        <f aca="false">IF(A316="제외",0,IF(OR(N(L316)&lt;=0,N(M316)&gt;N(L316)),N(M316)/가정!$B$4,N(L316)))</f>
        <v>284645.454545455</v>
      </c>
      <c r="O316" s="67" t="str">
        <f aca="false">IF(A316="제외","",IF(OR(N(L316)&lt;=0,N(M316)&gt;N(L316)),"택가보정(판매금액÷공급율)",""))</f>
        <v>택가보정(판매금액÷공급율)</v>
      </c>
    </row>
    <row r="317" customFormat="false" ht="15" hidden="false" customHeight="true" outlineLevel="0" collapsed="false">
      <c r="A317" s="67" t="str">
        <f aca="false">IF(OR(TRIM(C317)="",SUBSTITUTE(C317," ","")="소계"),"제외",IF(ISNUMBER(SEARCH("홍콩",C317)),"HK",IF(ISNUMBER(SEARCH("상해",C317)),"CN",IF(ISNUMBER(SEARCH("대만",C317)),"TW","홀세일"))))</f>
        <v>HK</v>
      </c>
      <c r="B317" s="87" t="s">
        <v>823</v>
      </c>
      <c r="C317" s="88" t="s">
        <v>824</v>
      </c>
      <c r="D317" s="88" t="s">
        <v>178</v>
      </c>
      <c r="E317" s="87" t="n">
        <v>2025</v>
      </c>
      <c r="F317" s="87" t="s">
        <v>639</v>
      </c>
      <c r="G317" s="88" t="s">
        <v>827</v>
      </c>
      <c r="H317" s="88" t="s">
        <v>185</v>
      </c>
      <c r="I317" s="87" t="s">
        <v>828</v>
      </c>
      <c r="J317" s="87" t="s">
        <v>829</v>
      </c>
      <c r="K317" s="89" t="n">
        <v>180</v>
      </c>
      <c r="L317" s="89" t="n">
        <v>46620000</v>
      </c>
      <c r="M317" s="89" t="n">
        <v>23385780</v>
      </c>
      <c r="N317" s="90" t="n">
        <f aca="false">IF(A317="제외",0,IF(OR(N(L317)&lt;=0,N(M317)&gt;N(L317)),N(M317)/가정!$B$4,N(L317)))</f>
        <v>46620000</v>
      </c>
      <c r="O317" s="67" t="str">
        <f aca="false">IF(A317="제외","",IF(OR(N(L317)&lt;=0,N(M317)&gt;N(L317)),"택가보정(판매금액÷공급율)",""))</f>
        <v/>
      </c>
    </row>
    <row r="318" customFormat="false" ht="15" hidden="false" customHeight="true" outlineLevel="0" collapsed="false">
      <c r="A318" s="67" t="str">
        <f aca="false">IF(OR(TRIM(C318)="",SUBSTITUTE(C318," ","")="소계"),"제외",IF(ISNUMBER(SEARCH("홍콩",C318)),"HK",IF(ISNUMBER(SEARCH("상해",C318)),"CN",IF(ISNUMBER(SEARCH("대만",C318)),"TW","홀세일"))))</f>
        <v>HK</v>
      </c>
      <c r="B318" s="87" t="s">
        <v>823</v>
      </c>
      <c r="C318" s="88" t="s">
        <v>824</v>
      </c>
      <c r="D318" s="88" t="s">
        <v>178</v>
      </c>
      <c r="E318" s="87" t="n">
        <v>2025</v>
      </c>
      <c r="F318" s="87" t="s">
        <v>639</v>
      </c>
      <c r="G318" s="88" t="s">
        <v>708</v>
      </c>
      <c r="H318" s="88" t="s">
        <v>830</v>
      </c>
      <c r="I318" s="87" t="s">
        <v>831</v>
      </c>
      <c r="J318" s="87" t="s">
        <v>832</v>
      </c>
      <c r="K318" s="89" t="n">
        <v>250</v>
      </c>
      <c r="L318" s="89" t="n">
        <v>27250000</v>
      </c>
      <c r="M318" s="89" t="n">
        <v>6123750</v>
      </c>
      <c r="N318" s="90" t="n">
        <f aca="false">IF(A318="제외",0,IF(OR(N(L318)&lt;=0,N(M318)&gt;N(L318)),N(M318)/가정!$B$4,N(L318)))</f>
        <v>27250000</v>
      </c>
      <c r="O318" s="67" t="str">
        <f aca="false">IF(A318="제외","",IF(OR(N(L318)&lt;=0,N(M318)&gt;N(L318)),"택가보정(판매금액÷공급율)",""))</f>
        <v/>
      </c>
    </row>
    <row r="319" customFormat="false" ht="15" hidden="false" customHeight="true" outlineLevel="0" collapsed="false">
      <c r="A319" s="67" t="str">
        <f aca="false">IF(OR(TRIM(C319)="",SUBSTITUTE(C319," ","")="소계"),"제외",IF(ISNUMBER(SEARCH("홍콩",C319)),"HK",IF(ISNUMBER(SEARCH("상해",C319)),"CN",IF(ISNUMBER(SEARCH("대만",C319)),"TW","홀세일"))))</f>
        <v>HK</v>
      </c>
      <c r="B319" s="87" t="s">
        <v>823</v>
      </c>
      <c r="C319" s="88" t="s">
        <v>824</v>
      </c>
      <c r="D319" s="88" t="s">
        <v>178</v>
      </c>
      <c r="E319" s="87" t="n">
        <v>2025</v>
      </c>
      <c r="F319" s="87" t="s">
        <v>639</v>
      </c>
      <c r="G319" s="88" t="s">
        <v>418</v>
      </c>
      <c r="H319" s="88" t="s">
        <v>185</v>
      </c>
      <c r="I319" s="87" t="s">
        <v>833</v>
      </c>
      <c r="J319" s="87" t="s">
        <v>834</v>
      </c>
      <c r="K319" s="89" t="n">
        <v>110</v>
      </c>
      <c r="L319" s="89" t="n">
        <v>11990000</v>
      </c>
      <c r="M319" s="89" t="n">
        <v>5092560</v>
      </c>
      <c r="N319" s="90" t="n">
        <f aca="false">IF(A319="제외",0,IF(OR(N(L319)&lt;=0,N(M319)&gt;N(L319)),N(M319)/가정!$B$4,N(L319)))</f>
        <v>11990000</v>
      </c>
      <c r="O319" s="67" t="str">
        <f aca="false">IF(A319="제외","",IF(OR(N(L319)&lt;=0,N(M319)&gt;N(L319)),"택가보정(판매금액÷공급율)",""))</f>
        <v/>
      </c>
    </row>
    <row r="320" customFormat="false" ht="15" hidden="false" customHeight="true" outlineLevel="0" collapsed="false">
      <c r="A320" s="67" t="str">
        <f aca="false">IF(OR(TRIM(C320)="",SUBSTITUTE(C320," ","")="소계"),"제외",IF(ISNUMBER(SEARCH("홍콩",C320)),"HK",IF(ISNUMBER(SEARCH("상해",C320)),"CN",IF(ISNUMBER(SEARCH("대만",C320)),"TW","홀세일"))))</f>
        <v>HK</v>
      </c>
      <c r="B320" s="87" t="s">
        <v>823</v>
      </c>
      <c r="C320" s="88" t="s">
        <v>824</v>
      </c>
      <c r="D320" s="88" t="s">
        <v>178</v>
      </c>
      <c r="E320" s="87" t="n">
        <v>2026</v>
      </c>
      <c r="F320" s="88" t="s">
        <v>179</v>
      </c>
      <c r="G320" s="88" t="s">
        <v>180</v>
      </c>
      <c r="H320" s="87" t="s">
        <v>189</v>
      </c>
      <c r="I320" s="87" t="s">
        <v>835</v>
      </c>
      <c r="J320" s="87" t="s">
        <v>836</v>
      </c>
      <c r="K320" s="89" t="n">
        <v>90</v>
      </c>
      <c r="L320" s="89" t="n">
        <v>12510000</v>
      </c>
      <c r="M320" s="89" t="n">
        <v>4539510</v>
      </c>
      <c r="N320" s="90" t="n">
        <f aca="false">IF(A320="제외",0,IF(OR(N(L320)&lt;=0,N(M320)&gt;N(L320)),N(M320)/가정!$B$4,N(L320)))</f>
        <v>12510000</v>
      </c>
      <c r="O320" s="67" t="str">
        <f aca="false">IF(A320="제외","",IF(OR(N(L320)&lt;=0,N(M320)&gt;N(L320)),"택가보정(판매금액÷공급율)",""))</f>
        <v/>
      </c>
    </row>
    <row r="321" customFormat="false" ht="15" hidden="false" customHeight="true" outlineLevel="0" collapsed="false">
      <c r="A321" s="67" t="str">
        <f aca="false">IF(OR(TRIM(C321)="",SUBSTITUTE(C321," ","")="소계"),"제외",IF(ISNUMBER(SEARCH("홍콩",C321)),"HK",IF(ISNUMBER(SEARCH("상해",C321)),"CN",IF(ISNUMBER(SEARCH("대만",C321)),"TW","홀세일"))))</f>
        <v>HK</v>
      </c>
      <c r="B321" s="87" t="s">
        <v>823</v>
      </c>
      <c r="C321" s="88" t="s">
        <v>824</v>
      </c>
      <c r="D321" s="88" t="s">
        <v>178</v>
      </c>
      <c r="E321" s="87" t="n">
        <v>2026</v>
      </c>
      <c r="F321" s="88" t="s">
        <v>179</v>
      </c>
      <c r="G321" s="88" t="s">
        <v>180</v>
      </c>
      <c r="H321" s="87" t="s">
        <v>181</v>
      </c>
      <c r="I321" s="87" t="s">
        <v>837</v>
      </c>
      <c r="J321" s="88" t="s">
        <v>838</v>
      </c>
      <c r="K321" s="89" t="n">
        <v>110</v>
      </c>
      <c r="L321" s="89" t="n">
        <v>17490000</v>
      </c>
      <c r="M321" s="89" t="n">
        <v>6334130</v>
      </c>
      <c r="N321" s="90" t="n">
        <f aca="false">IF(A321="제외",0,IF(OR(N(L321)&lt;=0,N(M321)&gt;N(L321)),N(M321)/가정!$B$4,N(L321)))</f>
        <v>17490000</v>
      </c>
      <c r="O321" s="67" t="str">
        <f aca="false">IF(A321="제외","",IF(OR(N(L321)&lt;=0,N(M321)&gt;N(L321)),"택가보정(판매금액÷공급율)",""))</f>
        <v/>
      </c>
    </row>
    <row r="322" customFormat="false" ht="15" hidden="false" customHeight="true" outlineLevel="0" collapsed="false">
      <c r="A322" s="67" t="str">
        <f aca="false">IF(OR(TRIM(C322)="",SUBSTITUTE(C322," ","")="소계"),"제외",IF(ISNUMBER(SEARCH("홍콩",C322)),"HK",IF(ISNUMBER(SEARCH("상해",C322)),"CN",IF(ISNUMBER(SEARCH("대만",C322)),"TW","홀세일"))))</f>
        <v>HK</v>
      </c>
      <c r="B322" s="87" t="s">
        <v>823</v>
      </c>
      <c r="C322" s="88" t="s">
        <v>824</v>
      </c>
      <c r="D322" s="88" t="s">
        <v>178</v>
      </c>
      <c r="E322" s="87" t="n">
        <v>2026</v>
      </c>
      <c r="F322" s="88" t="s">
        <v>179</v>
      </c>
      <c r="G322" s="88" t="s">
        <v>180</v>
      </c>
      <c r="H322" s="87" t="s">
        <v>189</v>
      </c>
      <c r="I322" s="87" t="s">
        <v>839</v>
      </c>
      <c r="J322" s="87" t="s">
        <v>840</v>
      </c>
      <c r="K322" s="89" t="n">
        <v>80</v>
      </c>
      <c r="L322" s="89" t="n">
        <v>22320000</v>
      </c>
      <c r="M322" s="89" t="n">
        <v>8576640</v>
      </c>
      <c r="N322" s="90" t="n">
        <f aca="false">IF(A322="제외",0,IF(OR(N(L322)&lt;=0,N(M322)&gt;N(L322)),N(M322)/가정!$B$4,N(L322)))</f>
        <v>22320000</v>
      </c>
      <c r="O322" s="67" t="str">
        <f aca="false">IF(A322="제외","",IF(OR(N(L322)&lt;=0,N(M322)&gt;N(L322)),"택가보정(판매금액÷공급율)",""))</f>
        <v/>
      </c>
    </row>
    <row r="323" customFormat="false" ht="15" hidden="false" customHeight="true" outlineLevel="0" collapsed="false">
      <c r="A323" s="67" t="str">
        <f aca="false">IF(OR(TRIM(C323)="",SUBSTITUTE(C323," ","")="소계"),"제외",IF(ISNUMBER(SEARCH("홍콩",C323)),"HK",IF(ISNUMBER(SEARCH("상해",C323)),"CN",IF(ISNUMBER(SEARCH("대만",C323)),"TW","홀세일"))))</f>
        <v>HK</v>
      </c>
      <c r="B323" s="87" t="s">
        <v>823</v>
      </c>
      <c r="C323" s="88" t="s">
        <v>824</v>
      </c>
      <c r="D323" s="88" t="s">
        <v>178</v>
      </c>
      <c r="E323" s="87" t="n">
        <v>2026</v>
      </c>
      <c r="F323" s="88" t="s">
        <v>179</v>
      </c>
      <c r="G323" s="88" t="s">
        <v>180</v>
      </c>
      <c r="H323" s="87" t="s">
        <v>181</v>
      </c>
      <c r="I323" s="87" t="s">
        <v>841</v>
      </c>
      <c r="J323" s="88" t="s">
        <v>842</v>
      </c>
      <c r="K323" s="89" t="n">
        <v>100</v>
      </c>
      <c r="L323" s="89" t="n">
        <v>21900000</v>
      </c>
      <c r="M323" s="89" t="n">
        <v>8433200</v>
      </c>
      <c r="N323" s="90" t="n">
        <f aca="false">IF(A323="제외",0,IF(OR(N(L323)&lt;=0,N(M323)&gt;N(L323)),N(M323)/가정!$B$4,N(L323)))</f>
        <v>21900000</v>
      </c>
      <c r="O323" s="67" t="str">
        <f aca="false">IF(A323="제외","",IF(OR(N(L323)&lt;=0,N(M323)&gt;N(L323)),"택가보정(판매금액÷공급율)",""))</f>
        <v/>
      </c>
    </row>
    <row r="324" customFormat="false" ht="15" hidden="false" customHeight="true" outlineLevel="0" collapsed="false">
      <c r="A324" s="67" t="str">
        <f aca="false">IF(OR(TRIM(C324)="",SUBSTITUTE(C324," ","")="소계"),"제외",IF(ISNUMBER(SEARCH("홍콩",C324)),"HK",IF(ISNUMBER(SEARCH("상해",C324)),"CN",IF(ISNUMBER(SEARCH("대만",C324)),"TW","홀세일"))))</f>
        <v>HK</v>
      </c>
      <c r="B324" s="87" t="s">
        <v>823</v>
      </c>
      <c r="C324" s="88" t="s">
        <v>824</v>
      </c>
      <c r="D324" s="88" t="s">
        <v>178</v>
      </c>
      <c r="E324" s="87" t="n">
        <v>2026</v>
      </c>
      <c r="F324" s="88" t="s">
        <v>179</v>
      </c>
      <c r="G324" s="88" t="s">
        <v>180</v>
      </c>
      <c r="H324" s="87" t="s">
        <v>181</v>
      </c>
      <c r="I324" s="87" t="s">
        <v>843</v>
      </c>
      <c r="J324" s="87" t="s">
        <v>844</v>
      </c>
      <c r="K324" s="89" t="n">
        <v>220</v>
      </c>
      <c r="L324" s="89" t="n">
        <v>56980000</v>
      </c>
      <c r="M324" s="89" t="n">
        <v>21847320</v>
      </c>
      <c r="N324" s="90" t="n">
        <f aca="false">IF(A324="제외",0,IF(OR(N(L324)&lt;=0,N(M324)&gt;N(L324)),N(M324)/가정!$B$4,N(L324)))</f>
        <v>56980000</v>
      </c>
      <c r="O324" s="67" t="str">
        <f aca="false">IF(A324="제외","",IF(OR(N(L324)&lt;=0,N(M324)&gt;N(L324)),"택가보정(판매금액÷공급율)",""))</f>
        <v/>
      </c>
    </row>
    <row r="325" customFormat="false" ht="15" hidden="false" customHeight="true" outlineLevel="0" collapsed="false">
      <c r="A325" s="67" t="str">
        <f aca="false">IF(OR(TRIM(C325)="",SUBSTITUTE(C325," ","")="소계"),"제외",IF(ISNUMBER(SEARCH("홍콩",C325)),"HK",IF(ISNUMBER(SEARCH("상해",C325)),"CN",IF(ISNUMBER(SEARCH("대만",C325)),"TW","홀세일"))))</f>
        <v>HK</v>
      </c>
      <c r="B325" s="87" t="s">
        <v>823</v>
      </c>
      <c r="C325" s="88" t="s">
        <v>824</v>
      </c>
      <c r="D325" s="88" t="s">
        <v>178</v>
      </c>
      <c r="E325" s="87" t="n">
        <v>2026</v>
      </c>
      <c r="F325" s="88" t="s">
        <v>179</v>
      </c>
      <c r="G325" s="88" t="s">
        <v>180</v>
      </c>
      <c r="H325" s="87" t="s">
        <v>189</v>
      </c>
      <c r="I325" s="87" t="s">
        <v>845</v>
      </c>
      <c r="J325" s="87" t="s">
        <v>846</v>
      </c>
      <c r="K325" s="89" t="n">
        <v>70</v>
      </c>
      <c r="L325" s="89" t="n">
        <v>13930000</v>
      </c>
      <c r="M325" s="89" t="n">
        <v>5052600</v>
      </c>
      <c r="N325" s="90" t="n">
        <f aca="false">IF(A325="제외",0,IF(OR(N(L325)&lt;=0,N(M325)&gt;N(L325)),N(M325)/가정!$B$4,N(L325)))</f>
        <v>13930000</v>
      </c>
      <c r="O325" s="67" t="str">
        <f aca="false">IF(A325="제외","",IF(OR(N(L325)&lt;=0,N(M325)&gt;N(L325)),"택가보정(판매금액÷공급율)",""))</f>
        <v/>
      </c>
    </row>
    <row r="326" customFormat="false" ht="15" hidden="false" customHeight="true" outlineLevel="0" collapsed="false">
      <c r="A326" s="67" t="str">
        <f aca="false">IF(OR(TRIM(C326)="",SUBSTITUTE(C326," ","")="소계"),"제외",IF(ISNUMBER(SEARCH("홍콩",C326)),"HK",IF(ISNUMBER(SEARCH("상해",C326)),"CN",IF(ISNUMBER(SEARCH("대만",C326)),"TW","홀세일"))))</f>
        <v>HK</v>
      </c>
      <c r="B326" s="87" t="s">
        <v>823</v>
      </c>
      <c r="C326" s="88" t="s">
        <v>824</v>
      </c>
      <c r="D326" s="88" t="s">
        <v>178</v>
      </c>
      <c r="E326" s="87" t="n">
        <v>2026</v>
      </c>
      <c r="F326" s="88" t="s">
        <v>179</v>
      </c>
      <c r="G326" s="88" t="s">
        <v>180</v>
      </c>
      <c r="H326" s="87" t="s">
        <v>189</v>
      </c>
      <c r="I326" s="87" t="s">
        <v>847</v>
      </c>
      <c r="J326" s="88" t="s">
        <v>848</v>
      </c>
      <c r="K326" s="89" t="n">
        <v>210</v>
      </c>
      <c r="L326" s="89" t="n">
        <v>27090000</v>
      </c>
      <c r="M326" s="89" t="n">
        <v>9831360</v>
      </c>
      <c r="N326" s="90" t="n">
        <f aca="false">IF(A326="제외",0,IF(OR(N(L326)&lt;=0,N(M326)&gt;N(L326)),N(M326)/가정!$B$4,N(L326)))</f>
        <v>27090000</v>
      </c>
      <c r="O326" s="67" t="str">
        <f aca="false">IF(A326="제외","",IF(OR(N(L326)&lt;=0,N(M326)&gt;N(L326)),"택가보정(판매금액÷공급율)",""))</f>
        <v/>
      </c>
    </row>
    <row r="327" customFormat="false" ht="15" hidden="false" customHeight="true" outlineLevel="0" collapsed="false">
      <c r="A327" s="67" t="str">
        <f aca="false">IF(OR(TRIM(C327)="",SUBSTITUTE(C327," ","")="소계"),"제외",IF(ISNUMBER(SEARCH("홍콩",C327)),"HK",IF(ISNUMBER(SEARCH("상해",C327)),"CN",IF(ISNUMBER(SEARCH("대만",C327)),"TW","홀세일"))))</f>
        <v>HK</v>
      </c>
      <c r="B327" s="87" t="s">
        <v>823</v>
      </c>
      <c r="C327" s="88" t="s">
        <v>824</v>
      </c>
      <c r="D327" s="88" t="s">
        <v>178</v>
      </c>
      <c r="E327" s="87" t="n">
        <v>2026</v>
      </c>
      <c r="F327" s="88" t="s">
        <v>179</v>
      </c>
      <c r="G327" s="88" t="s">
        <v>180</v>
      </c>
      <c r="H327" s="87" t="s">
        <v>189</v>
      </c>
      <c r="I327" s="87" t="s">
        <v>849</v>
      </c>
      <c r="J327" s="88" t="s">
        <v>850</v>
      </c>
      <c r="K327" s="89" t="n">
        <v>300</v>
      </c>
      <c r="L327" s="89" t="n">
        <v>44700000</v>
      </c>
      <c r="M327" s="89" t="n">
        <v>16189800</v>
      </c>
      <c r="N327" s="90" t="n">
        <f aca="false">IF(A327="제외",0,IF(OR(N(L327)&lt;=0,N(M327)&gt;N(L327)),N(M327)/가정!$B$4,N(L327)))</f>
        <v>44700000</v>
      </c>
      <c r="O327" s="67" t="str">
        <f aca="false">IF(A327="제외","",IF(OR(N(L327)&lt;=0,N(M327)&gt;N(L327)),"택가보정(판매금액÷공급율)",""))</f>
        <v/>
      </c>
    </row>
    <row r="328" customFormat="false" ht="15" hidden="false" customHeight="true" outlineLevel="0" collapsed="false">
      <c r="A328" s="67" t="str">
        <f aca="false">IF(OR(TRIM(C328)="",SUBSTITUTE(C328," ","")="소계"),"제외",IF(ISNUMBER(SEARCH("홍콩",C328)),"HK",IF(ISNUMBER(SEARCH("상해",C328)),"CN",IF(ISNUMBER(SEARCH("대만",C328)),"TW","홀세일"))))</f>
        <v>HK</v>
      </c>
      <c r="B328" s="87" t="s">
        <v>823</v>
      </c>
      <c r="C328" s="88" t="s">
        <v>824</v>
      </c>
      <c r="D328" s="88" t="s">
        <v>178</v>
      </c>
      <c r="E328" s="87" t="n">
        <v>2026</v>
      </c>
      <c r="F328" s="88" t="s">
        <v>179</v>
      </c>
      <c r="G328" s="88" t="s">
        <v>180</v>
      </c>
      <c r="H328" s="87" t="s">
        <v>189</v>
      </c>
      <c r="I328" s="87" t="s">
        <v>220</v>
      </c>
      <c r="J328" s="88" t="s">
        <v>221</v>
      </c>
      <c r="K328" s="89" t="n">
        <v>550</v>
      </c>
      <c r="L328" s="89" t="n">
        <v>109450000</v>
      </c>
      <c r="M328" s="89" t="n">
        <v>42874150</v>
      </c>
      <c r="N328" s="90" t="n">
        <f aca="false">IF(A328="제외",0,IF(OR(N(L328)&lt;=0,N(M328)&gt;N(L328)),N(M328)/가정!$B$4,N(L328)))</f>
        <v>109450000</v>
      </c>
      <c r="O328" s="67" t="str">
        <f aca="false">IF(A328="제외","",IF(OR(N(L328)&lt;=0,N(M328)&gt;N(L328)),"택가보정(판매금액÷공급율)",""))</f>
        <v/>
      </c>
    </row>
    <row r="329" customFormat="false" ht="15" hidden="false" customHeight="true" outlineLevel="0" collapsed="false">
      <c r="A329" s="67" t="str">
        <f aca="false">IF(OR(TRIM(C329)="",SUBSTITUTE(C329," ","")="소계"),"제외",IF(ISNUMBER(SEARCH("홍콩",C329)),"HK",IF(ISNUMBER(SEARCH("상해",C329)),"CN",IF(ISNUMBER(SEARCH("대만",C329)),"TW","홀세일"))))</f>
        <v>HK</v>
      </c>
      <c r="B329" s="87" t="s">
        <v>823</v>
      </c>
      <c r="C329" s="88" t="s">
        <v>824</v>
      </c>
      <c r="D329" s="88" t="s">
        <v>178</v>
      </c>
      <c r="E329" s="87" t="n">
        <v>2026</v>
      </c>
      <c r="F329" s="88" t="s">
        <v>179</v>
      </c>
      <c r="G329" s="88" t="s">
        <v>180</v>
      </c>
      <c r="H329" s="87" t="s">
        <v>189</v>
      </c>
      <c r="I329" s="87" t="s">
        <v>222</v>
      </c>
      <c r="J329" s="88" t="s">
        <v>223</v>
      </c>
      <c r="K329" s="89" t="n">
        <v>300</v>
      </c>
      <c r="L329" s="89" t="n">
        <v>56700000</v>
      </c>
      <c r="M329" s="89" t="n">
        <v>22192500</v>
      </c>
      <c r="N329" s="90" t="n">
        <f aca="false">IF(A329="제외",0,IF(OR(N(L329)&lt;=0,N(M329)&gt;N(L329)),N(M329)/가정!$B$4,N(L329)))</f>
        <v>56700000</v>
      </c>
      <c r="O329" s="67" t="str">
        <f aca="false">IF(A329="제외","",IF(OR(N(L329)&lt;=0,N(M329)&gt;N(L329)),"택가보정(판매금액÷공급율)",""))</f>
        <v/>
      </c>
    </row>
    <row r="330" customFormat="false" ht="15" hidden="false" customHeight="true" outlineLevel="0" collapsed="false">
      <c r="A330" s="67" t="str">
        <f aca="false">IF(OR(TRIM(C330)="",SUBSTITUTE(C330," ","")="소계"),"제외",IF(ISNUMBER(SEARCH("홍콩",C330)),"HK",IF(ISNUMBER(SEARCH("상해",C330)),"CN",IF(ISNUMBER(SEARCH("대만",C330)),"TW","홀세일"))))</f>
        <v>HK</v>
      </c>
      <c r="B330" s="87" t="s">
        <v>823</v>
      </c>
      <c r="C330" s="88" t="s">
        <v>824</v>
      </c>
      <c r="D330" s="88" t="s">
        <v>178</v>
      </c>
      <c r="E330" s="87" t="n">
        <v>2026</v>
      </c>
      <c r="F330" s="88" t="s">
        <v>179</v>
      </c>
      <c r="G330" s="88" t="s">
        <v>180</v>
      </c>
      <c r="H330" s="87" t="s">
        <v>189</v>
      </c>
      <c r="I330" s="87" t="s">
        <v>851</v>
      </c>
      <c r="J330" s="88" t="s">
        <v>852</v>
      </c>
      <c r="K330" s="89" t="n">
        <v>180</v>
      </c>
      <c r="L330" s="89" t="n">
        <v>28620000</v>
      </c>
      <c r="M330" s="89" t="n">
        <v>10383480</v>
      </c>
      <c r="N330" s="90" t="n">
        <f aca="false">IF(A330="제외",0,IF(OR(N(L330)&lt;=0,N(M330)&gt;N(L330)),N(M330)/가정!$B$4,N(L330)))</f>
        <v>28620000</v>
      </c>
      <c r="O330" s="67" t="str">
        <f aca="false">IF(A330="제외","",IF(OR(N(L330)&lt;=0,N(M330)&gt;N(L330)),"택가보정(판매금액÷공급율)",""))</f>
        <v/>
      </c>
    </row>
    <row r="331" customFormat="false" ht="15" hidden="false" customHeight="true" outlineLevel="0" collapsed="false">
      <c r="A331" s="67" t="str">
        <f aca="false">IF(OR(TRIM(C331)="",SUBSTITUTE(C331," ","")="소계"),"제외",IF(ISNUMBER(SEARCH("홍콩",C331)),"HK",IF(ISNUMBER(SEARCH("상해",C331)),"CN",IF(ISNUMBER(SEARCH("대만",C331)),"TW","홀세일"))))</f>
        <v>HK</v>
      </c>
      <c r="B331" s="87" t="s">
        <v>823</v>
      </c>
      <c r="C331" s="88" t="s">
        <v>824</v>
      </c>
      <c r="D331" s="88" t="s">
        <v>178</v>
      </c>
      <c r="E331" s="87" t="n">
        <v>2026</v>
      </c>
      <c r="F331" s="88" t="s">
        <v>179</v>
      </c>
      <c r="G331" s="88" t="s">
        <v>180</v>
      </c>
      <c r="H331" s="87" t="s">
        <v>189</v>
      </c>
      <c r="I331" s="87" t="s">
        <v>853</v>
      </c>
      <c r="J331" s="88" t="s">
        <v>854</v>
      </c>
      <c r="K331" s="89" t="n">
        <v>290</v>
      </c>
      <c r="L331" s="89" t="n">
        <v>54810000</v>
      </c>
      <c r="M331" s="89" t="n">
        <v>19841180</v>
      </c>
      <c r="N331" s="90" t="n">
        <f aca="false">IF(A331="제외",0,IF(OR(N(L331)&lt;=0,N(M331)&gt;N(L331)),N(M331)/가정!$B$4,N(L331)))</f>
        <v>54810000</v>
      </c>
      <c r="O331" s="67" t="str">
        <f aca="false">IF(A331="제외","",IF(OR(N(L331)&lt;=0,N(M331)&gt;N(L331)),"택가보정(판매금액÷공급율)",""))</f>
        <v/>
      </c>
    </row>
    <row r="332" customFormat="false" ht="15" hidden="false" customHeight="true" outlineLevel="0" collapsed="false">
      <c r="A332" s="67" t="str">
        <f aca="false">IF(OR(TRIM(C332)="",SUBSTITUTE(C332," ","")="소계"),"제외",IF(ISNUMBER(SEARCH("홍콩",C332)),"HK",IF(ISNUMBER(SEARCH("상해",C332)),"CN",IF(ISNUMBER(SEARCH("대만",C332)),"TW","홀세일"))))</f>
        <v>HK</v>
      </c>
      <c r="B332" s="87" t="s">
        <v>823</v>
      </c>
      <c r="C332" s="88" t="s">
        <v>824</v>
      </c>
      <c r="D332" s="88" t="s">
        <v>178</v>
      </c>
      <c r="E332" s="87" t="n">
        <v>2026</v>
      </c>
      <c r="F332" s="88" t="s">
        <v>179</v>
      </c>
      <c r="G332" s="88" t="s">
        <v>180</v>
      </c>
      <c r="H332" s="87" t="s">
        <v>181</v>
      </c>
      <c r="I332" s="87" t="s">
        <v>855</v>
      </c>
      <c r="J332" s="88" t="s">
        <v>856</v>
      </c>
      <c r="K332" s="89" t="n">
        <v>90</v>
      </c>
      <c r="L332" s="89" t="n">
        <v>16110000</v>
      </c>
      <c r="M332" s="89" t="n">
        <v>5941530</v>
      </c>
      <c r="N332" s="90" t="n">
        <f aca="false">IF(A332="제외",0,IF(OR(N(L332)&lt;=0,N(M332)&gt;N(L332)),N(M332)/가정!$B$4,N(L332)))</f>
        <v>16110000</v>
      </c>
      <c r="O332" s="67" t="str">
        <f aca="false">IF(A332="제외","",IF(OR(N(L332)&lt;=0,N(M332)&gt;N(L332)),"택가보정(판매금액÷공급율)",""))</f>
        <v/>
      </c>
    </row>
    <row r="333" customFormat="false" ht="15" hidden="false" customHeight="true" outlineLevel="0" collapsed="false">
      <c r="A333" s="67" t="str">
        <f aca="false">IF(OR(TRIM(C333)="",SUBSTITUTE(C333," ","")="소계"),"제외",IF(ISNUMBER(SEARCH("홍콩",C333)),"HK",IF(ISNUMBER(SEARCH("상해",C333)),"CN",IF(ISNUMBER(SEARCH("대만",C333)),"TW","홀세일"))))</f>
        <v>HK</v>
      </c>
      <c r="B333" s="87" t="s">
        <v>823</v>
      </c>
      <c r="C333" s="88" t="s">
        <v>824</v>
      </c>
      <c r="D333" s="88" t="s">
        <v>178</v>
      </c>
      <c r="E333" s="87" t="n">
        <v>2026</v>
      </c>
      <c r="F333" s="88" t="s">
        <v>179</v>
      </c>
      <c r="G333" s="88" t="s">
        <v>180</v>
      </c>
      <c r="H333" s="87" t="s">
        <v>189</v>
      </c>
      <c r="I333" s="87" t="s">
        <v>230</v>
      </c>
      <c r="J333" s="88" t="s">
        <v>231</v>
      </c>
      <c r="K333" s="89" t="n">
        <v>240</v>
      </c>
      <c r="L333" s="89" t="n">
        <v>28560000</v>
      </c>
      <c r="M333" s="89" t="n">
        <v>10366080</v>
      </c>
      <c r="N333" s="90" t="n">
        <f aca="false">IF(A333="제외",0,IF(OR(N(L333)&lt;=0,N(M333)&gt;N(L333)),N(M333)/가정!$B$4,N(L333)))</f>
        <v>28560000</v>
      </c>
      <c r="O333" s="67" t="str">
        <f aca="false">IF(A333="제외","",IF(OR(N(L333)&lt;=0,N(M333)&gt;N(L333)),"택가보정(판매금액÷공급율)",""))</f>
        <v/>
      </c>
    </row>
    <row r="334" customFormat="false" ht="15" hidden="false" customHeight="true" outlineLevel="0" collapsed="false">
      <c r="A334" s="67" t="str">
        <f aca="false">IF(OR(TRIM(C334)="",SUBSTITUTE(C334," ","")="소계"),"제외",IF(ISNUMBER(SEARCH("홍콩",C334)),"HK",IF(ISNUMBER(SEARCH("상해",C334)),"CN",IF(ISNUMBER(SEARCH("대만",C334)),"TW","홀세일"))))</f>
        <v>HK</v>
      </c>
      <c r="B334" s="87" t="s">
        <v>823</v>
      </c>
      <c r="C334" s="88" t="s">
        <v>824</v>
      </c>
      <c r="D334" s="88" t="s">
        <v>178</v>
      </c>
      <c r="E334" s="87" t="n">
        <v>2026</v>
      </c>
      <c r="F334" s="88" t="s">
        <v>179</v>
      </c>
      <c r="G334" s="88" t="s">
        <v>180</v>
      </c>
      <c r="H334" s="87" t="s">
        <v>189</v>
      </c>
      <c r="I334" s="87" t="s">
        <v>234</v>
      </c>
      <c r="J334" s="88" t="s">
        <v>235</v>
      </c>
      <c r="K334" s="89" t="n">
        <v>420</v>
      </c>
      <c r="L334" s="89" t="n">
        <v>33180000</v>
      </c>
      <c r="M334" s="89" t="n">
        <v>12053160</v>
      </c>
      <c r="N334" s="90" t="n">
        <f aca="false">IF(A334="제외",0,IF(OR(N(L334)&lt;=0,N(M334)&gt;N(L334)),N(M334)/가정!$B$4,N(L334)))</f>
        <v>33180000</v>
      </c>
      <c r="O334" s="67" t="str">
        <f aca="false">IF(A334="제외","",IF(OR(N(L334)&lt;=0,N(M334)&gt;N(L334)),"택가보정(판매금액÷공급율)",""))</f>
        <v/>
      </c>
    </row>
    <row r="335" customFormat="false" ht="15" hidden="false" customHeight="true" outlineLevel="0" collapsed="false">
      <c r="A335" s="67" t="str">
        <f aca="false">IF(OR(TRIM(C335)="",SUBSTITUTE(C335," ","")="소계"),"제외",IF(ISNUMBER(SEARCH("홍콩",C335)),"HK",IF(ISNUMBER(SEARCH("상해",C335)),"CN",IF(ISNUMBER(SEARCH("대만",C335)),"TW","홀세일"))))</f>
        <v>HK</v>
      </c>
      <c r="B335" s="87" t="s">
        <v>823</v>
      </c>
      <c r="C335" s="88" t="s">
        <v>824</v>
      </c>
      <c r="D335" s="88" t="s">
        <v>178</v>
      </c>
      <c r="E335" s="87" t="n">
        <v>2026</v>
      </c>
      <c r="F335" s="88" t="s">
        <v>179</v>
      </c>
      <c r="G335" s="88" t="s">
        <v>180</v>
      </c>
      <c r="H335" s="87" t="s">
        <v>189</v>
      </c>
      <c r="I335" s="87" t="s">
        <v>236</v>
      </c>
      <c r="J335" s="88" t="s">
        <v>237</v>
      </c>
      <c r="K335" s="89" t="n">
        <v>340</v>
      </c>
      <c r="L335" s="89" t="n">
        <v>30260000</v>
      </c>
      <c r="M335" s="89" t="n">
        <v>10989480</v>
      </c>
      <c r="N335" s="90" t="n">
        <f aca="false">IF(A335="제외",0,IF(OR(N(L335)&lt;=0,N(M335)&gt;N(L335)),N(M335)/가정!$B$4,N(L335)))</f>
        <v>30260000</v>
      </c>
      <c r="O335" s="67" t="str">
        <f aca="false">IF(A335="제외","",IF(OR(N(L335)&lt;=0,N(M335)&gt;N(L335)),"택가보정(판매금액÷공급율)",""))</f>
        <v/>
      </c>
    </row>
    <row r="336" customFormat="false" ht="15" hidden="false" customHeight="true" outlineLevel="0" collapsed="false">
      <c r="A336" s="67" t="str">
        <f aca="false">IF(OR(TRIM(C336)="",SUBSTITUTE(C336," ","")="소계"),"제외",IF(ISNUMBER(SEARCH("홍콩",C336)),"HK",IF(ISNUMBER(SEARCH("상해",C336)),"CN",IF(ISNUMBER(SEARCH("대만",C336)),"TW","홀세일"))))</f>
        <v>HK</v>
      </c>
      <c r="B336" s="87" t="s">
        <v>823</v>
      </c>
      <c r="C336" s="88" t="s">
        <v>824</v>
      </c>
      <c r="D336" s="88" t="s">
        <v>178</v>
      </c>
      <c r="E336" s="87" t="n">
        <v>2026</v>
      </c>
      <c r="F336" s="88" t="s">
        <v>179</v>
      </c>
      <c r="G336" s="88" t="s">
        <v>180</v>
      </c>
      <c r="H336" s="87" t="s">
        <v>189</v>
      </c>
      <c r="I336" s="87" t="s">
        <v>238</v>
      </c>
      <c r="J336" s="88" t="s">
        <v>239</v>
      </c>
      <c r="K336" s="89" t="n">
        <v>200</v>
      </c>
      <c r="L336" s="89" t="n">
        <v>17800000</v>
      </c>
      <c r="M336" s="89" t="n">
        <v>6464400</v>
      </c>
      <c r="N336" s="90" t="n">
        <f aca="false">IF(A336="제외",0,IF(OR(N(L336)&lt;=0,N(M336)&gt;N(L336)),N(M336)/가정!$B$4,N(L336)))</f>
        <v>17800000</v>
      </c>
      <c r="O336" s="67" t="str">
        <f aca="false">IF(A336="제외","",IF(OR(N(L336)&lt;=0,N(M336)&gt;N(L336)),"택가보정(판매금액÷공급율)",""))</f>
        <v/>
      </c>
    </row>
    <row r="337" customFormat="false" ht="15" hidden="false" customHeight="true" outlineLevel="0" collapsed="false">
      <c r="A337" s="67" t="str">
        <f aca="false">IF(OR(TRIM(C337)="",SUBSTITUTE(C337," ","")="소계"),"제외",IF(ISNUMBER(SEARCH("홍콩",C337)),"HK",IF(ISNUMBER(SEARCH("상해",C337)),"CN",IF(ISNUMBER(SEARCH("대만",C337)),"TW","홀세일"))))</f>
        <v>HK</v>
      </c>
      <c r="B337" s="87" t="s">
        <v>823</v>
      </c>
      <c r="C337" s="88" t="s">
        <v>824</v>
      </c>
      <c r="D337" s="88" t="s">
        <v>178</v>
      </c>
      <c r="E337" s="87" t="n">
        <v>2026</v>
      </c>
      <c r="F337" s="88" t="s">
        <v>179</v>
      </c>
      <c r="G337" s="88" t="s">
        <v>180</v>
      </c>
      <c r="H337" s="87" t="s">
        <v>189</v>
      </c>
      <c r="I337" s="87" t="s">
        <v>240</v>
      </c>
      <c r="J337" s="88" t="s">
        <v>241</v>
      </c>
      <c r="K337" s="89" t="n">
        <v>200</v>
      </c>
      <c r="L337" s="89" t="n">
        <v>23800000</v>
      </c>
      <c r="M337" s="89" t="n">
        <v>8638400</v>
      </c>
      <c r="N337" s="90" t="n">
        <f aca="false">IF(A337="제외",0,IF(OR(N(L337)&lt;=0,N(M337)&gt;N(L337)),N(M337)/가정!$B$4,N(L337)))</f>
        <v>23800000</v>
      </c>
      <c r="O337" s="67" t="str">
        <f aca="false">IF(A337="제외","",IF(OR(N(L337)&lt;=0,N(M337)&gt;N(L337)),"택가보정(판매금액÷공급율)",""))</f>
        <v/>
      </c>
    </row>
    <row r="338" customFormat="false" ht="15" hidden="false" customHeight="true" outlineLevel="0" collapsed="false">
      <c r="A338" s="67" t="str">
        <f aca="false">IF(OR(TRIM(C338)="",SUBSTITUTE(C338," ","")="소계"),"제외",IF(ISNUMBER(SEARCH("홍콩",C338)),"HK",IF(ISNUMBER(SEARCH("상해",C338)),"CN",IF(ISNUMBER(SEARCH("대만",C338)),"TW","홀세일"))))</f>
        <v>HK</v>
      </c>
      <c r="B338" s="87" t="s">
        <v>823</v>
      </c>
      <c r="C338" s="88" t="s">
        <v>824</v>
      </c>
      <c r="D338" s="88" t="s">
        <v>178</v>
      </c>
      <c r="E338" s="87" t="n">
        <v>2026</v>
      </c>
      <c r="F338" s="88" t="s">
        <v>179</v>
      </c>
      <c r="G338" s="88" t="s">
        <v>180</v>
      </c>
      <c r="H338" s="87" t="s">
        <v>189</v>
      </c>
      <c r="I338" s="87" t="s">
        <v>857</v>
      </c>
      <c r="J338" s="88" t="s">
        <v>858</v>
      </c>
      <c r="K338" s="89" t="n">
        <v>200</v>
      </c>
      <c r="L338" s="89" t="n">
        <v>21800000</v>
      </c>
      <c r="M338" s="89" t="n">
        <v>7913800</v>
      </c>
      <c r="N338" s="90" t="n">
        <f aca="false">IF(A338="제외",0,IF(OR(N(L338)&lt;=0,N(M338)&gt;N(L338)),N(M338)/가정!$B$4,N(L338)))</f>
        <v>21800000</v>
      </c>
      <c r="O338" s="67" t="str">
        <f aca="false">IF(A338="제외","",IF(OR(N(L338)&lt;=0,N(M338)&gt;N(L338)),"택가보정(판매금액÷공급율)",""))</f>
        <v/>
      </c>
    </row>
    <row r="339" customFormat="false" ht="15" hidden="false" customHeight="true" outlineLevel="0" collapsed="false">
      <c r="A339" s="67" t="str">
        <f aca="false">IF(OR(TRIM(C339)="",SUBSTITUTE(C339," ","")="소계"),"제외",IF(ISNUMBER(SEARCH("홍콩",C339)),"HK",IF(ISNUMBER(SEARCH("상해",C339)),"CN",IF(ISNUMBER(SEARCH("대만",C339)),"TW","홀세일"))))</f>
        <v>HK</v>
      </c>
      <c r="B339" s="87" t="s">
        <v>823</v>
      </c>
      <c r="C339" s="88" t="s">
        <v>824</v>
      </c>
      <c r="D339" s="88" t="s">
        <v>178</v>
      </c>
      <c r="E339" s="87" t="n">
        <v>2026</v>
      </c>
      <c r="F339" s="88" t="s">
        <v>179</v>
      </c>
      <c r="G339" s="88" t="s">
        <v>180</v>
      </c>
      <c r="H339" s="87" t="s">
        <v>181</v>
      </c>
      <c r="I339" s="87" t="s">
        <v>859</v>
      </c>
      <c r="J339" s="88" t="s">
        <v>860</v>
      </c>
      <c r="K339" s="89" t="n">
        <v>480</v>
      </c>
      <c r="L339" s="89" t="n">
        <v>42720000</v>
      </c>
      <c r="M339" s="89" t="n">
        <v>15514560</v>
      </c>
      <c r="N339" s="90" t="n">
        <f aca="false">IF(A339="제외",0,IF(OR(N(L339)&lt;=0,N(M339)&gt;N(L339)),N(M339)/가정!$B$4,N(L339)))</f>
        <v>42720000</v>
      </c>
      <c r="O339" s="67" t="str">
        <f aca="false">IF(A339="제외","",IF(OR(N(L339)&lt;=0,N(M339)&gt;N(L339)),"택가보정(판매금액÷공급율)",""))</f>
        <v/>
      </c>
    </row>
    <row r="340" customFormat="false" ht="15" hidden="false" customHeight="true" outlineLevel="0" collapsed="false">
      <c r="A340" s="67" t="str">
        <f aca="false">IF(OR(TRIM(C340)="",SUBSTITUTE(C340," ","")="소계"),"제외",IF(ISNUMBER(SEARCH("홍콩",C340)),"HK",IF(ISNUMBER(SEARCH("상해",C340)),"CN",IF(ISNUMBER(SEARCH("대만",C340)),"TW","홀세일"))))</f>
        <v>HK</v>
      </c>
      <c r="B340" s="87" t="s">
        <v>823</v>
      </c>
      <c r="C340" s="88" t="s">
        <v>824</v>
      </c>
      <c r="D340" s="88" t="s">
        <v>178</v>
      </c>
      <c r="E340" s="87" t="n">
        <v>2026</v>
      </c>
      <c r="F340" s="88" t="s">
        <v>179</v>
      </c>
      <c r="G340" s="88" t="s">
        <v>180</v>
      </c>
      <c r="H340" s="87" t="s">
        <v>246</v>
      </c>
      <c r="I340" s="87" t="s">
        <v>249</v>
      </c>
      <c r="J340" s="87" t="s">
        <v>250</v>
      </c>
      <c r="K340" s="89" t="n">
        <v>180</v>
      </c>
      <c r="L340" s="89" t="n">
        <v>23220000</v>
      </c>
      <c r="M340" s="89" t="n">
        <v>8411760</v>
      </c>
      <c r="N340" s="90" t="n">
        <f aca="false">IF(A340="제외",0,IF(OR(N(L340)&lt;=0,N(M340)&gt;N(L340)),N(M340)/가정!$B$4,N(L340)))</f>
        <v>23220000</v>
      </c>
      <c r="O340" s="67" t="str">
        <f aca="false">IF(A340="제외","",IF(OR(N(L340)&lt;=0,N(M340)&gt;N(L340)),"택가보정(판매금액÷공급율)",""))</f>
        <v/>
      </c>
    </row>
    <row r="341" customFormat="false" ht="15" hidden="false" customHeight="true" outlineLevel="0" collapsed="false">
      <c r="A341" s="67" t="str">
        <f aca="false">IF(OR(TRIM(C341)="",SUBSTITUTE(C341," ","")="소계"),"제외",IF(ISNUMBER(SEARCH("홍콩",C341)),"HK",IF(ISNUMBER(SEARCH("상해",C341)),"CN",IF(ISNUMBER(SEARCH("대만",C341)),"TW","홀세일"))))</f>
        <v>HK</v>
      </c>
      <c r="B341" s="87" t="s">
        <v>823</v>
      </c>
      <c r="C341" s="88" t="s">
        <v>824</v>
      </c>
      <c r="D341" s="88" t="s">
        <v>178</v>
      </c>
      <c r="E341" s="87" t="n">
        <v>2026</v>
      </c>
      <c r="F341" s="88" t="s">
        <v>179</v>
      </c>
      <c r="G341" s="88" t="s">
        <v>180</v>
      </c>
      <c r="H341" s="87" t="s">
        <v>246</v>
      </c>
      <c r="I341" s="87" t="s">
        <v>251</v>
      </c>
      <c r="J341" s="87" t="s">
        <v>252</v>
      </c>
      <c r="K341" s="89" t="n">
        <v>160</v>
      </c>
      <c r="L341" s="89" t="n">
        <v>17440000</v>
      </c>
      <c r="M341" s="89" t="n">
        <v>6331040</v>
      </c>
      <c r="N341" s="90" t="n">
        <f aca="false">IF(A341="제외",0,IF(OR(N(L341)&lt;=0,N(M341)&gt;N(L341)),N(M341)/가정!$B$4,N(L341)))</f>
        <v>17440000</v>
      </c>
      <c r="O341" s="67" t="str">
        <f aca="false">IF(A341="제외","",IF(OR(N(L341)&lt;=0,N(M341)&gt;N(L341)),"택가보정(판매금액÷공급율)",""))</f>
        <v/>
      </c>
    </row>
    <row r="342" customFormat="false" ht="15" hidden="false" customHeight="true" outlineLevel="0" collapsed="false">
      <c r="A342" s="67" t="str">
        <f aca="false">IF(OR(TRIM(C342)="",SUBSTITUTE(C342," ","")="소계"),"제외",IF(ISNUMBER(SEARCH("홍콩",C342)),"HK",IF(ISNUMBER(SEARCH("상해",C342)),"CN",IF(ISNUMBER(SEARCH("대만",C342)),"TW","홀세일"))))</f>
        <v>HK</v>
      </c>
      <c r="B342" s="87" t="s">
        <v>823</v>
      </c>
      <c r="C342" s="88" t="s">
        <v>824</v>
      </c>
      <c r="D342" s="88" t="s">
        <v>178</v>
      </c>
      <c r="E342" s="87" t="n">
        <v>2026</v>
      </c>
      <c r="F342" s="88" t="s">
        <v>179</v>
      </c>
      <c r="G342" s="88" t="s">
        <v>180</v>
      </c>
      <c r="H342" s="87" t="s">
        <v>246</v>
      </c>
      <c r="I342" s="87" t="s">
        <v>253</v>
      </c>
      <c r="J342" s="87" t="s">
        <v>254</v>
      </c>
      <c r="K342" s="89" t="n">
        <v>90</v>
      </c>
      <c r="L342" s="89" t="n">
        <v>12510000</v>
      </c>
      <c r="M342" s="89" t="n">
        <v>4531410</v>
      </c>
      <c r="N342" s="90" t="n">
        <f aca="false">IF(A342="제외",0,IF(OR(N(L342)&lt;=0,N(M342)&gt;N(L342)),N(M342)/가정!$B$4,N(L342)))</f>
        <v>12510000</v>
      </c>
      <c r="O342" s="67" t="str">
        <f aca="false">IF(A342="제외","",IF(OR(N(L342)&lt;=0,N(M342)&gt;N(L342)),"택가보정(판매금액÷공급율)",""))</f>
        <v/>
      </c>
    </row>
    <row r="343" customFormat="false" ht="15" hidden="false" customHeight="true" outlineLevel="0" collapsed="false">
      <c r="A343" s="67" t="str">
        <f aca="false">IF(OR(TRIM(C343)="",SUBSTITUTE(C343," ","")="소계"),"제외",IF(ISNUMBER(SEARCH("홍콩",C343)),"HK",IF(ISNUMBER(SEARCH("상해",C343)),"CN",IF(ISNUMBER(SEARCH("대만",C343)),"TW","홀세일"))))</f>
        <v>HK</v>
      </c>
      <c r="B343" s="87" t="s">
        <v>823</v>
      </c>
      <c r="C343" s="88" t="s">
        <v>824</v>
      </c>
      <c r="D343" s="88" t="s">
        <v>178</v>
      </c>
      <c r="E343" s="87" t="n">
        <v>2026</v>
      </c>
      <c r="F343" s="88" t="s">
        <v>179</v>
      </c>
      <c r="G343" s="88" t="s">
        <v>180</v>
      </c>
      <c r="H343" s="87" t="s">
        <v>246</v>
      </c>
      <c r="I343" s="87" t="s">
        <v>255</v>
      </c>
      <c r="J343" s="87" t="s">
        <v>256</v>
      </c>
      <c r="K343" s="89" t="n">
        <v>200</v>
      </c>
      <c r="L343" s="89" t="n">
        <v>29800000</v>
      </c>
      <c r="M343" s="89" t="n">
        <v>10993000</v>
      </c>
      <c r="N343" s="90" t="n">
        <f aca="false">IF(A343="제외",0,IF(OR(N(L343)&lt;=0,N(M343)&gt;N(L343)),N(M343)/가정!$B$4,N(L343)))</f>
        <v>29800000</v>
      </c>
      <c r="O343" s="67" t="str">
        <f aca="false">IF(A343="제외","",IF(OR(N(L343)&lt;=0,N(M343)&gt;N(L343)),"택가보정(판매금액÷공급율)",""))</f>
        <v/>
      </c>
    </row>
    <row r="344" customFormat="false" ht="15" hidden="false" customHeight="true" outlineLevel="0" collapsed="false">
      <c r="A344" s="67" t="str">
        <f aca="false">IF(OR(TRIM(C344)="",SUBSTITUTE(C344," ","")="소계"),"제외",IF(ISNUMBER(SEARCH("홍콩",C344)),"HK",IF(ISNUMBER(SEARCH("상해",C344)),"CN",IF(ISNUMBER(SEARCH("대만",C344)),"TW","홀세일"))))</f>
        <v>HK</v>
      </c>
      <c r="B344" s="87" t="s">
        <v>823</v>
      </c>
      <c r="C344" s="88" t="s">
        <v>824</v>
      </c>
      <c r="D344" s="88" t="s">
        <v>178</v>
      </c>
      <c r="E344" s="87" t="n">
        <v>2026</v>
      </c>
      <c r="F344" s="88" t="s">
        <v>179</v>
      </c>
      <c r="G344" s="88" t="s">
        <v>180</v>
      </c>
      <c r="H344" s="87" t="s">
        <v>246</v>
      </c>
      <c r="I344" s="87" t="s">
        <v>261</v>
      </c>
      <c r="J344" s="87" t="s">
        <v>262</v>
      </c>
      <c r="K344" s="89" t="n">
        <v>490</v>
      </c>
      <c r="L344" s="89" t="n">
        <v>97510000</v>
      </c>
      <c r="M344" s="89" t="n">
        <v>38196970</v>
      </c>
      <c r="N344" s="90" t="n">
        <f aca="false">IF(A344="제외",0,IF(OR(N(L344)&lt;=0,N(M344)&gt;N(L344)),N(M344)/가정!$B$4,N(L344)))</f>
        <v>97510000</v>
      </c>
      <c r="O344" s="67" t="str">
        <f aca="false">IF(A344="제외","",IF(OR(N(L344)&lt;=0,N(M344)&gt;N(L344)),"택가보정(판매금액÷공급율)",""))</f>
        <v/>
      </c>
    </row>
    <row r="345" customFormat="false" ht="15" hidden="false" customHeight="true" outlineLevel="0" collapsed="false">
      <c r="A345" s="67" t="str">
        <f aca="false">IF(OR(TRIM(C345)="",SUBSTITUTE(C345," ","")="소계"),"제외",IF(ISNUMBER(SEARCH("홍콩",C345)),"HK",IF(ISNUMBER(SEARCH("상해",C345)),"CN",IF(ISNUMBER(SEARCH("대만",C345)),"TW","홀세일"))))</f>
        <v>HK</v>
      </c>
      <c r="B345" s="87" t="s">
        <v>823</v>
      </c>
      <c r="C345" s="88" t="s">
        <v>824</v>
      </c>
      <c r="D345" s="88" t="s">
        <v>178</v>
      </c>
      <c r="E345" s="87" t="n">
        <v>2026</v>
      </c>
      <c r="F345" s="88" t="s">
        <v>179</v>
      </c>
      <c r="G345" s="88" t="s">
        <v>180</v>
      </c>
      <c r="H345" s="87" t="s">
        <v>246</v>
      </c>
      <c r="I345" s="87" t="s">
        <v>861</v>
      </c>
      <c r="J345" s="87" t="s">
        <v>862</v>
      </c>
      <c r="K345" s="89" t="n">
        <v>110</v>
      </c>
      <c r="L345" s="89" t="n">
        <v>24090000</v>
      </c>
      <c r="M345" s="89" t="n">
        <v>9262440</v>
      </c>
      <c r="N345" s="90" t="n">
        <f aca="false">IF(A345="제외",0,IF(OR(N(L345)&lt;=0,N(M345)&gt;N(L345)),N(M345)/가정!$B$4,N(L345)))</f>
        <v>24090000</v>
      </c>
      <c r="O345" s="67" t="str">
        <f aca="false">IF(A345="제외","",IF(OR(N(L345)&lt;=0,N(M345)&gt;N(L345)),"택가보정(판매금액÷공급율)",""))</f>
        <v/>
      </c>
    </row>
    <row r="346" customFormat="false" ht="15" hidden="false" customHeight="true" outlineLevel="0" collapsed="false">
      <c r="A346" s="67" t="str">
        <f aca="false">IF(OR(TRIM(C346)="",SUBSTITUTE(C346," ","")="소계"),"제외",IF(ISNUMBER(SEARCH("홍콩",C346)),"HK",IF(ISNUMBER(SEARCH("상해",C346)),"CN",IF(ISNUMBER(SEARCH("대만",C346)),"TW","홀세일"))))</f>
        <v>HK</v>
      </c>
      <c r="B346" s="87" t="s">
        <v>823</v>
      </c>
      <c r="C346" s="88" t="s">
        <v>824</v>
      </c>
      <c r="D346" s="88" t="s">
        <v>178</v>
      </c>
      <c r="E346" s="87" t="n">
        <v>2026</v>
      </c>
      <c r="F346" s="88" t="s">
        <v>179</v>
      </c>
      <c r="G346" s="88" t="s">
        <v>180</v>
      </c>
      <c r="H346" s="87" t="s">
        <v>246</v>
      </c>
      <c r="I346" s="87" t="s">
        <v>263</v>
      </c>
      <c r="J346" s="87" t="s">
        <v>264</v>
      </c>
      <c r="K346" s="89" t="n">
        <v>70</v>
      </c>
      <c r="L346" s="89" t="n">
        <v>10430000</v>
      </c>
      <c r="M346" s="89" t="n">
        <v>3784410</v>
      </c>
      <c r="N346" s="90" t="n">
        <f aca="false">IF(A346="제외",0,IF(OR(N(L346)&lt;=0,N(M346)&gt;N(L346)),N(M346)/가정!$B$4,N(L346)))</f>
        <v>10430000</v>
      </c>
      <c r="O346" s="67" t="str">
        <f aca="false">IF(A346="제외","",IF(OR(N(L346)&lt;=0,N(M346)&gt;N(L346)),"택가보정(판매금액÷공급율)",""))</f>
        <v/>
      </c>
    </row>
    <row r="347" customFormat="false" ht="15" hidden="false" customHeight="true" outlineLevel="0" collapsed="false">
      <c r="A347" s="67" t="str">
        <f aca="false">IF(OR(TRIM(C347)="",SUBSTITUTE(C347," ","")="소계"),"제외",IF(ISNUMBER(SEARCH("홍콩",C347)),"HK",IF(ISNUMBER(SEARCH("상해",C347)),"CN",IF(ISNUMBER(SEARCH("대만",C347)),"TW","홀세일"))))</f>
        <v>HK</v>
      </c>
      <c r="B347" s="87" t="s">
        <v>823</v>
      </c>
      <c r="C347" s="88" t="s">
        <v>824</v>
      </c>
      <c r="D347" s="88" t="s">
        <v>178</v>
      </c>
      <c r="E347" s="87" t="n">
        <v>2026</v>
      </c>
      <c r="F347" s="88" t="s">
        <v>179</v>
      </c>
      <c r="G347" s="88" t="s">
        <v>180</v>
      </c>
      <c r="H347" s="87" t="s">
        <v>246</v>
      </c>
      <c r="I347" s="87" t="s">
        <v>265</v>
      </c>
      <c r="J347" s="87" t="s">
        <v>266</v>
      </c>
      <c r="K347" s="89" t="n">
        <v>300</v>
      </c>
      <c r="L347" s="89" t="n">
        <v>56700000</v>
      </c>
      <c r="M347" s="89" t="n">
        <v>20530200</v>
      </c>
      <c r="N347" s="90" t="n">
        <f aca="false">IF(A347="제외",0,IF(OR(N(L347)&lt;=0,N(M347)&gt;N(L347)),N(M347)/가정!$B$4,N(L347)))</f>
        <v>56700000</v>
      </c>
      <c r="O347" s="67" t="str">
        <f aca="false">IF(A347="제외","",IF(OR(N(L347)&lt;=0,N(M347)&gt;N(L347)),"택가보정(판매금액÷공급율)",""))</f>
        <v/>
      </c>
    </row>
    <row r="348" customFormat="false" ht="15" hidden="false" customHeight="true" outlineLevel="0" collapsed="false">
      <c r="A348" s="67" t="str">
        <f aca="false">IF(OR(TRIM(C348)="",SUBSTITUTE(C348," ","")="소계"),"제외",IF(ISNUMBER(SEARCH("홍콩",C348)),"HK",IF(ISNUMBER(SEARCH("상해",C348)),"CN",IF(ISNUMBER(SEARCH("대만",C348)),"TW","홀세일"))))</f>
        <v>HK</v>
      </c>
      <c r="B348" s="87" t="s">
        <v>823</v>
      </c>
      <c r="C348" s="88" t="s">
        <v>824</v>
      </c>
      <c r="D348" s="88" t="s">
        <v>178</v>
      </c>
      <c r="E348" s="87" t="n">
        <v>2026</v>
      </c>
      <c r="F348" s="88" t="s">
        <v>179</v>
      </c>
      <c r="G348" s="88" t="s">
        <v>180</v>
      </c>
      <c r="H348" s="87" t="s">
        <v>246</v>
      </c>
      <c r="I348" s="87" t="s">
        <v>267</v>
      </c>
      <c r="J348" s="87" t="s">
        <v>268</v>
      </c>
      <c r="K348" s="89" t="n">
        <v>160</v>
      </c>
      <c r="L348" s="89" t="n">
        <v>19040000</v>
      </c>
      <c r="M348" s="89" t="n">
        <v>6910720</v>
      </c>
      <c r="N348" s="90" t="n">
        <f aca="false">IF(A348="제외",0,IF(OR(N(L348)&lt;=0,N(M348)&gt;N(L348)),N(M348)/가정!$B$4,N(L348)))</f>
        <v>19040000</v>
      </c>
      <c r="O348" s="67" t="str">
        <f aca="false">IF(A348="제외","",IF(OR(N(L348)&lt;=0,N(M348)&gt;N(L348)),"택가보정(판매금액÷공급율)",""))</f>
        <v/>
      </c>
    </row>
    <row r="349" customFormat="false" ht="15" hidden="false" customHeight="true" outlineLevel="0" collapsed="false">
      <c r="A349" s="67" t="str">
        <f aca="false">IF(OR(TRIM(C349)="",SUBSTITUTE(C349," ","")="소계"),"제외",IF(ISNUMBER(SEARCH("홍콩",C349)),"HK",IF(ISNUMBER(SEARCH("상해",C349)),"CN",IF(ISNUMBER(SEARCH("대만",C349)),"TW","홀세일"))))</f>
        <v>HK</v>
      </c>
      <c r="B349" s="87" t="s">
        <v>823</v>
      </c>
      <c r="C349" s="88" t="s">
        <v>824</v>
      </c>
      <c r="D349" s="88" t="s">
        <v>178</v>
      </c>
      <c r="E349" s="87" t="n">
        <v>2026</v>
      </c>
      <c r="F349" s="88" t="s">
        <v>179</v>
      </c>
      <c r="G349" s="88" t="s">
        <v>180</v>
      </c>
      <c r="H349" s="87" t="s">
        <v>246</v>
      </c>
      <c r="I349" s="87" t="s">
        <v>269</v>
      </c>
      <c r="J349" s="87" t="s">
        <v>270</v>
      </c>
      <c r="K349" s="89" t="n">
        <v>180</v>
      </c>
      <c r="L349" s="89" t="n">
        <v>17820000</v>
      </c>
      <c r="M349" s="89" t="n">
        <v>6470100</v>
      </c>
      <c r="N349" s="90" t="n">
        <f aca="false">IF(A349="제외",0,IF(OR(N(L349)&lt;=0,N(M349)&gt;N(L349)),N(M349)/가정!$B$4,N(L349)))</f>
        <v>17820000</v>
      </c>
      <c r="O349" s="67" t="str">
        <f aca="false">IF(A349="제외","",IF(OR(N(L349)&lt;=0,N(M349)&gt;N(L349)),"택가보정(판매금액÷공급율)",""))</f>
        <v/>
      </c>
    </row>
    <row r="350" customFormat="false" ht="15" hidden="false" customHeight="true" outlineLevel="0" collapsed="false">
      <c r="A350" s="67" t="str">
        <f aca="false">IF(OR(TRIM(C350)="",SUBSTITUTE(C350," ","")="소계"),"제외",IF(ISNUMBER(SEARCH("홍콩",C350)),"HK",IF(ISNUMBER(SEARCH("상해",C350)),"CN",IF(ISNUMBER(SEARCH("대만",C350)),"TW","홀세일"))))</f>
        <v>HK</v>
      </c>
      <c r="B350" s="87" t="s">
        <v>823</v>
      </c>
      <c r="C350" s="88" t="s">
        <v>824</v>
      </c>
      <c r="D350" s="88" t="s">
        <v>178</v>
      </c>
      <c r="E350" s="87" t="n">
        <v>2026</v>
      </c>
      <c r="F350" s="88" t="s">
        <v>179</v>
      </c>
      <c r="G350" s="88" t="s">
        <v>180</v>
      </c>
      <c r="H350" s="87" t="s">
        <v>246</v>
      </c>
      <c r="I350" s="87" t="s">
        <v>271</v>
      </c>
      <c r="J350" s="87" t="s">
        <v>272</v>
      </c>
      <c r="K350" s="89" t="n">
        <v>180</v>
      </c>
      <c r="L350" s="89" t="n">
        <v>16020000</v>
      </c>
      <c r="M350" s="89" t="n">
        <v>5817960</v>
      </c>
      <c r="N350" s="90" t="n">
        <f aca="false">IF(A350="제외",0,IF(OR(N(L350)&lt;=0,N(M350)&gt;N(L350)),N(M350)/가정!$B$4,N(L350)))</f>
        <v>16020000</v>
      </c>
      <c r="O350" s="67" t="str">
        <f aca="false">IF(A350="제외","",IF(OR(N(L350)&lt;=0,N(M350)&gt;N(L350)),"택가보정(판매금액÷공급율)",""))</f>
        <v/>
      </c>
    </row>
    <row r="351" customFormat="false" ht="15" hidden="false" customHeight="true" outlineLevel="0" collapsed="false">
      <c r="A351" s="67" t="str">
        <f aca="false">IF(OR(TRIM(C351)="",SUBSTITUTE(C351," ","")="소계"),"제외",IF(ISNUMBER(SEARCH("홍콩",C351)),"HK",IF(ISNUMBER(SEARCH("상해",C351)),"CN",IF(ISNUMBER(SEARCH("대만",C351)),"TW","홀세일"))))</f>
        <v>HK</v>
      </c>
      <c r="B351" s="87" t="s">
        <v>823</v>
      </c>
      <c r="C351" s="88" t="s">
        <v>824</v>
      </c>
      <c r="D351" s="88" t="s">
        <v>178</v>
      </c>
      <c r="E351" s="87" t="n">
        <v>2026</v>
      </c>
      <c r="F351" s="88" t="s">
        <v>179</v>
      </c>
      <c r="G351" s="88" t="s">
        <v>180</v>
      </c>
      <c r="H351" s="87" t="s">
        <v>246</v>
      </c>
      <c r="I351" s="87" t="s">
        <v>273</v>
      </c>
      <c r="J351" s="87" t="s">
        <v>274</v>
      </c>
      <c r="K351" s="89" t="n">
        <v>90</v>
      </c>
      <c r="L351" s="89" t="n">
        <v>8910000</v>
      </c>
      <c r="M351" s="89" t="n">
        <v>3235050</v>
      </c>
      <c r="N351" s="90" t="n">
        <f aca="false">IF(A351="제외",0,IF(OR(N(L351)&lt;=0,N(M351)&gt;N(L351)),N(M351)/가정!$B$4,N(L351)))</f>
        <v>8910000</v>
      </c>
      <c r="O351" s="67" t="str">
        <f aca="false">IF(A351="제외","",IF(OR(N(L351)&lt;=0,N(M351)&gt;N(L351)),"택가보정(판매금액÷공급율)",""))</f>
        <v/>
      </c>
    </row>
    <row r="352" customFormat="false" ht="15" hidden="false" customHeight="true" outlineLevel="0" collapsed="false">
      <c r="A352" s="67" t="str">
        <f aca="false">IF(OR(TRIM(C352)="",SUBSTITUTE(C352," ","")="소계"),"제외",IF(ISNUMBER(SEARCH("홍콩",C352)),"HK",IF(ISNUMBER(SEARCH("상해",C352)),"CN",IF(ISNUMBER(SEARCH("대만",C352)),"TW","홀세일"))))</f>
        <v>HK</v>
      </c>
      <c r="B352" s="87" t="s">
        <v>823</v>
      </c>
      <c r="C352" s="88" t="s">
        <v>824</v>
      </c>
      <c r="D352" s="88" t="s">
        <v>178</v>
      </c>
      <c r="E352" s="87" t="n">
        <v>2026</v>
      </c>
      <c r="F352" s="88" t="s">
        <v>277</v>
      </c>
      <c r="G352" s="88" t="s">
        <v>180</v>
      </c>
      <c r="H352" s="87" t="s">
        <v>189</v>
      </c>
      <c r="I352" s="87" t="s">
        <v>282</v>
      </c>
      <c r="J352" s="87" t="s">
        <v>283</v>
      </c>
      <c r="K352" s="89" t="n">
        <v>170</v>
      </c>
      <c r="L352" s="89" t="n">
        <v>18530000</v>
      </c>
      <c r="M352" s="89" t="n">
        <v>6867830</v>
      </c>
      <c r="N352" s="90" t="n">
        <f aca="false">IF(A352="제외",0,IF(OR(N(L352)&lt;=0,N(M352)&gt;N(L352)),N(M352)/가정!$B$4,N(L352)))</f>
        <v>18530000</v>
      </c>
      <c r="O352" s="67" t="str">
        <f aca="false">IF(A352="제외","",IF(OR(N(L352)&lt;=0,N(M352)&gt;N(L352)),"택가보정(판매금액÷공급율)",""))</f>
        <v/>
      </c>
    </row>
    <row r="353" customFormat="false" ht="15" hidden="false" customHeight="true" outlineLevel="0" collapsed="false">
      <c r="A353" s="67" t="str">
        <f aca="false">IF(OR(TRIM(C353)="",SUBSTITUTE(C353," ","")="소계"),"제외",IF(ISNUMBER(SEARCH("홍콩",C353)),"HK",IF(ISNUMBER(SEARCH("상해",C353)),"CN",IF(ISNUMBER(SEARCH("대만",C353)),"TW","홀세일"))))</f>
        <v>HK</v>
      </c>
      <c r="B353" s="87" t="s">
        <v>823</v>
      </c>
      <c r="C353" s="88" t="s">
        <v>824</v>
      </c>
      <c r="D353" s="88" t="s">
        <v>178</v>
      </c>
      <c r="E353" s="87" t="n">
        <v>2026</v>
      </c>
      <c r="F353" s="88" t="s">
        <v>277</v>
      </c>
      <c r="G353" s="88" t="s">
        <v>180</v>
      </c>
      <c r="H353" s="87" t="s">
        <v>189</v>
      </c>
      <c r="I353" s="87" t="s">
        <v>863</v>
      </c>
      <c r="J353" s="88" t="s">
        <v>864</v>
      </c>
      <c r="K353" s="89" t="n">
        <v>400</v>
      </c>
      <c r="L353" s="89" t="n">
        <v>63600000</v>
      </c>
      <c r="M353" s="89" t="n">
        <v>22978800</v>
      </c>
      <c r="N353" s="90" t="n">
        <f aca="false">IF(A353="제외",0,IF(OR(N(L353)&lt;=0,N(M353)&gt;N(L353)),N(M353)/가정!$B$4,N(L353)))</f>
        <v>63600000</v>
      </c>
      <c r="O353" s="67" t="str">
        <f aca="false">IF(A353="제외","",IF(OR(N(L353)&lt;=0,N(M353)&gt;N(L353)),"택가보정(판매금액÷공급율)",""))</f>
        <v/>
      </c>
    </row>
    <row r="354" customFormat="false" ht="15" hidden="false" customHeight="true" outlineLevel="0" collapsed="false">
      <c r="A354" s="67" t="str">
        <f aca="false">IF(OR(TRIM(C354)="",SUBSTITUTE(C354," ","")="소계"),"제외",IF(ISNUMBER(SEARCH("홍콩",C354)),"HK",IF(ISNUMBER(SEARCH("상해",C354)),"CN",IF(ISNUMBER(SEARCH("대만",C354)),"TW","홀세일"))))</f>
        <v>HK</v>
      </c>
      <c r="B354" s="87" t="s">
        <v>823</v>
      </c>
      <c r="C354" s="88" t="s">
        <v>824</v>
      </c>
      <c r="D354" s="88" t="s">
        <v>178</v>
      </c>
      <c r="E354" s="87" t="n">
        <v>2026</v>
      </c>
      <c r="F354" s="88" t="s">
        <v>277</v>
      </c>
      <c r="G354" s="88" t="s">
        <v>180</v>
      </c>
      <c r="H354" s="87" t="s">
        <v>189</v>
      </c>
      <c r="I354" s="87" t="s">
        <v>865</v>
      </c>
      <c r="J354" s="87" t="s">
        <v>866</v>
      </c>
      <c r="K354" s="89" t="n">
        <v>360</v>
      </c>
      <c r="L354" s="89" t="n">
        <v>60840000</v>
      </c>
      <c r="M354" s="89" t="n">
        <v>22295160</v>
      </c>
      <c r="N354" s="90" t="n">
        <f aca="false">IF(A354="제외",0,IF(OR(N(L354)&lt;=0,N(M354)&gt;N(L354)),N(M354)/가정!$B$4,N(L354)))</f>
        <v>60840000</v>
      </c>
      <c r="O354" s="67" t="str">
        <f aca="false">IF(A354="제외","",IF(OR(N(L354)&lt;=0,N(M354)&gt;N(L354)),"택가보정(판매금액÷공급율)",""))</f>
        <v/>
      </c>
    </row>
    <row r="355" customFormat="false" ht="15" hidden="false" customHeight="true" outlineLevel="0" collapsed="false">
      <c r="A355" s="67" t="str">
        <f aca="false">IF(OR(TRIM(C355)="",SUBSTITUTE(C355," ","")="소계"),"제외",IF(ISNUMBER(SEARCH("홍콩",C355)),"HK",IF(ISNUMBER(SEARCH("상해",C355)),"CN",IF(ISNUMBER(SEARCH("대만",C355)),"TW","홀세일"))))</f>
        <v>HK</v>
      </c>
      <c r="B355" s="87" t="s">
        <v>823</v>
      </c>
      <c r="C355" s="88" t="s">
        <v>824</v>
      </c>
      <c r="D355" s="88" t="s">
        <v>178</v>
      </c>
      <c r="E355" s="87" t="n">
        <v>2026</v>
      </c>
      <c r="F355" s="88" t="s">
        <v>277</v>
      </c>
      <c r="G355" s="88" t="s">
        <v>180</v>
      </c>
      <c r="H355" s="87" t="s">
        <v>181</v>
      </c>
      <c r="I355" s="87" t="s">
        <v>867</v>
      </c>
      <c r="J355" s="88" t="s">
        <v>868</v>
      </c>
      <c r="K355" s="89" t="n">
        <v>330</v>
      </c>
      <c r="L355" s="89" t="n">
        <v>45870000</v>
      </c>
      <c r="M355" s="89" t="n">
        <v>16813830</v>
      </c>
      <c r="N355" s="90" t="n">
        <f aca="false">IF(A355="제외",0,IF(OR(N(L355)&lt;=0,N(M355)&gt;N(L355)),N(M355)/가정!$B$4,N(L355)))</f>
        <v>45870000</v>
      </c>
      <c r="O355" s="67" t="str">
        <f aca="false">IF(A355="제외","",IF(OR(N(L355)&lt;=0,N(M355)&gt;N(L355)),"택가보정(판매금액÷공급율)",""))</f>
        <v/>
      </c>
    </row>
    <row r="356" customFormat="false" ht="15" hidden="false" customHeight="true" outlineLevel="0" collapsed="false">
      <c r="A356" s="67" t="str">
        <f aca="false">IF(OR(TRIM(C356)="",SUBSTITUTE(C356," ","")="소계"),"제외",IF(ISNUMBER(SEARCH("홍콩",C356)),"HK",IF(ISNUMBER(SEARCH("상해",C356)),"CN",IF(ISNUMBER(SEARCH("대만",C356)),"TW","홀세일"))))</f>
        <v>HK</v>
      </c>
      <c r="B356" s="87" t="s">
        <v>823</v>
      </c>
      <c r="C356" s="88" t="s">
        <v>824</v>
      </c>
      <c r="D356" s="88" t="s">
        <v>178</v>
      </c>
      <c r="E356" s="87" t="n">
        <v>2026</v>
      </c>
      <c r="F356" s="88" t="s">
        <v>277</v>
      </c>
      <c r="G356" s="88" t="s">
        <v>180</v>
      </c>
      <c r="H356" s="87" t="s">
        <v>181</v>
      </c>
      <c r="I356" s="87" t="s">
        <v>869</v>
      </c>
      <c r="J356" s="88" t="s">
        <v>870</v>
      </c>
      <c r="K356" s="89" t="n">
        <v>260</v>
      </c>
      <c r="L356" s="89" t="n">
        <v>36140000</v>
      </c>
      <c r="M356" s="89" t="n">
        <v>12888980</v>
      </c>
      <c r="N356" s="90" t="n">
        <f aca="false">IF(A356="제외",0,IF(OR(N(L356)&lt;=0,N(M356)&gt;N(L356)),N(M356)/가정!$B$4,N(L356)))</f>
        <v>36140000</v>
      </c>
      <c r="O356" s="67" t="str">
        <f aca="false">IF(A356="제외","",IF(OR(N(L356)&lt;=0,N(M356)&gt;N(L356)),"택가보정(판매금액÷공급율)",""))</f>
        <v/>
      </c>
    </row>
    <row r="357" customFormat="false" ht="15" hidden="false" customHeight="true" outlineLevel="0" collapsed="false">
      <c r="A357" s="67" t="str">
        <f aca="false">IF(OR(TRIM(C357)="",SUBSTITUTE(C357," ","")="소계"),"제외",IF(ISNUMBER(SEARCH("홍콩",C357)),"HK",IF(ISNUMBER(SEARCH("상해",C357)),"CN",IF(ISNUMBER(SEARCH("대만",C357)),"TW","홀세일"))))</f>
        <v>HK</v>
      </c>
      <c r="B357" s="87" t="s">
        <v>823</v>
      </c>
      <c r="C357" s="88" t="s">
        <v>824</v>
      </c>
      <c r="D357" s="88" t="s">
        <v>178</v>
      </c>
      <c r="E357" s="87" t="n">
        <v>2026</v>
      </c>
      <c r="F357" s="88" t="s">
        <v>277</v>
      </c>
      <c r="G357" s="88" t="s">
        <v>180</v>
      </c>
      <c r="H357" s="87" t="s">
        <v>189</v>
      </c>
      <c r="I357" s="87" t="s">
        <v>871</v>
      </c>
      <c r="J357" s="87" t="s">
        <v>872</v>
      </c>
      <c r="K357" s="89" t="n">
        <v>300</v>
      </c>
      <c r="L357" s="89" t="n">
        <v>59700000</v>
      </c>
      <c r="M357" s="89" t="n">
        <v>23235300</v>
      </c>
      <c r="N357" s="90" t="n">
        <f aca="false">IF(A357="제외",0,IF(OR(N(L357)&lt;=0,N(M357)&gt;N(L357)),N(M357)/가정!$B$4,N(L357)))</f>
        <v>59700000</v>
      </c>
      <c r="O357" s="67" t="str">
        <f aca="false">IF(A357="제외","",IF(OR(N(L357)&lt;=0,N(M357)&gt;N(L357)),"택가보정(판매금액÷공급율)",""))</f>
        <v/>
      </c>
    </row>
    <row r="358" customFormat="false" ht="15" hidden="false" customHeight="true" outlineLevel="0" collapsed="false">
      <c r="A358" s="67" t="str">
        <f aca="false">IF(OR(TRIM(C358)="",SUBSTITUTE(C358," ","")="소계"),"제외",IF(ISNUMBER(SEARCH("홍콩",C358)),"HK",IF(ISNUMBER(SEARCH("상해",C358)),"CN",IF(ISNUMBER(SEARCH("대만",C358)),"TW","홀세일"))))</f>
        <v>HK</v>
      </c>
      <c r="B358" s="87" t="s">
        <v>823</v>
      </c>
      <c r="C358" s="88" t="s">
        <v>824</v>
      </c>
      <c r="D358" s="88" t="s">
        <v>178</v>
      </c>
      <c r="E358" s="87" t="n">
        <v>2026</v>
      </c>
      <c r="F358" s="88" t="s">
        <v>277</v>
      </c>
      <c r="G358" s="88" t="s">
        <v>180</v>
      </c>
      <c r="H358" s="87" t="s">
        <v>181</v>
      </c>
      <c r="I358" s="87" t="s">
        <v>873</v>
      </c>
      <c r="J358" s="88" t="s">
        <v>874</v>
      </c>
      <c r="K358" s="89" t="n">
        <v>250</v>
      </c>
      <c r="L358" s="89" t="n">
        <v>32250000</v>
      </c>
      <c r="M358" s="89" t="n">
        <v>12377250</v>
      </c>
      <c r="N358" s="90" t="n">
        <f aca="false">IF(A358="제외",0,IF(OR(N(L358)&lt;=0,N(M358)&gt;N(L358)),N(M358)/가정!$B$4,N(L358)))</f>
        <v>32250000</v>
      </c>
      <c r="O358" s="67" t="str">
        <f aca="false">IF(A358="제외","",IF(OR(N(L358)&lt;=0,N(M358)&gt;N(L358)),"택가보정(판매금액÷공급율)",""))</f>
        <v/>
      </c>
    </row>
    <row r="359" customFormat="false" ht="15" hidden="false" customHeight="true" outlineLevel="0" collapsed="false">
      <c r="A359" s="67" t="str">
        <f aca="false">IF(OR(TRIM(C359)="",SUBSTITUTE(C359," ","")="소계"),"제외",IF(ISNUMBER(SEARCH("홍콩",C359)),"HK",IF(ISNUMBER(SEARCH("상해",C359)),"CN",IF(ISNUMBER(SEARCH("대만",C359)),"TW","홀세일"))))</f>
        <v>HK</v>
      </c>
      <c r="B359" s="87" t="s">
        <v>823</v>
      </c>
      <c r="C359" s="88" t="s">
        <v>824</v>
      </c>
      <c r="D359" s="88" t="s">
        <v>178</v>
      </c>
      <c r="E359" s="87" t="n">
        <v>2026</v>
      </c>
      <c r="F359" s="88" t="s">
        <v>277</v>
      </c>
      <c r="G359" s="88" t="s">
        <v>180</v>
      </c>
      <c r="H359" s="87" t="s">
        <v>181</v>
      </c>
      <c r="I359" s="87" t="s">
        <v>875</v>
      </c>
      <c r="J359" s="88" t="s">
        <v>876</v>
      </c>
      <c r="K359" s="89" t="n">
        <v>180</v>
      </c>
      <c r="L359" s="89" t="n">
        <v>30420000</v>
      </c>
      <c r="M359" s="89" t="n">
        <v>11267280</v>
      </c>
      <c r="N359" s="90" t="n">
        <f aca="false">IF(A359="제외",0,IF(OR(N(L359)&lt;=0,N(M359)&gt;N(L359)),N(M359)/가정!$B$4,N(L359)))</f>
        <v>30420000</v>
      </c>
      <c r="O359" s="67" t="str">
        <f aca="false">IF(A359="제외","",IF(OR(N(L359)&lt;=0,N(M359)&gt;N(L359)),"택가보정(판매금액÷공급율)",""))</f>
        <v/>
      </c>
    </row>
    <row r="360" customFormat="false" ht="15" hidden="false" customHeight="true" outlineLevel="0" collapsed="false">
      <c r="A360" s="67" t="str">
        <f aca="false">IF(OR(TRIM(C360)="",SUBSTITUTE(C360," ","")="소계"),"제외",IF(ISNUMBER(SEARCH("홍콩",C360)),"HK",IF(ISNUMBER(SEARCH("상해",C360)),"CN",IF(ISNUMBER(SEARCH("대만",C360)),"TW","홀세일"))))</f>
        <v>HK</v>
      </c>
      <c r="B360" s="87" t="s">
        <v>823</v>
      </c>
      <c r="C360" s="88" t="s">
        <v>824</v>
      </c>
      <c r="D360" s="88" t="s">
        <v>178</v>
      </c>
      <c r="E360" s="87" t="n">
        <v>2026</v>
      </c>
      <c r="F360" s="88" t="s">
        <v>277</v>
      </c>
      <c r="G360" s="88" t="s">
        <v>180</v>
      </c>
      <c r="H360" s="87" t="s">
        <v>181</v>
      </c>
      <c r="I360" s="87" t="s">
        <v>286</v>
      </c>
      <c r="J360" s="88" t="s">
        <v>287</v>
      </c>
      <c r="K360" s="89" t="n">
        <v>430</v>
      </c>
      <c r="L360" s="89" t="n">
        <v>38270000</v>
      </c>
      <c r="M360" s="89" t="n">
        <v>14180110</v>
      </c>
      <c r="N360" s="90" t="n">
        <f aca="false">IF(A360="제외",0,IF(OR(N(L360)&lt;=0,N(M360)&gt;N(L360)),N(M360)/가정!$B$4,N(L360)))</f>
        <v>38270000</v>
      </c>
      <c r="O360" s="67" t="str">
        <f aca="false">IF(A360="제외","",IF(OR(N(L360)&lt;=0,N(M360)&gt;N(L360)),"택가보정(판매금액÷공급율)",""))</f>
        <v/>
      </c>
    </row>
    <row r="361" customFormat="false" ht="15" hidden="false" customHeight="true" outlineLevel="0" collapsed="false">
      <c r="A361" s="67" t="str">
        <f aca="false">IF(OR(TRIM(C361)="",SUBSTITUTE(C361," ","")="소계"),"제외",IF(ISNUMBER(SEARCH("홍콩",C361)),"HK",IF(ISNUMBER(SEARCH("상해",C361)),"CN",IF(ISNUMBER(SEARCH("대만",C361)),"TW","홀세일"))))</f>
        <v>HK</v>
      </c>
      <c r="B361" s="87" t="s">
        <v>823</v>
      </c>
      <c r="C361" s="88" t="s">
        <v>824</v>
      </c>
      <c r="D361" s="88" t="s">
        <v>178</v>
      </c>
      <c r="E361" s="87" t="n">
        <v>2026</v>
      </c>
      <c r="F361" s="88" t="s">
        <v>277</v>
      </c>
      <c r="G361" s="88" t="s">
        <v>180</v>
      </c>
      <c r="H361" s="87" t="s">
        <v>181</v>
      </c>
      <c r="I361" s="87" t="s">
        <v>288</v>
      </c>
      <c r="J361" s="88" t="s">
        <v>289</v>
      </c>
      <c r="K361" s="89" t="n">
        <v>390</v>
      </c>
      <c r="L361" s="89" t="n">
        <v>42510000</v>
      </c>
      <c r="M361" s="89" t="n">
        <v>15755610</v>
      </c>
      <c r="N361" s="90" t="n">
        <f aca="false">IF(A361="제외",0,IF(OR(N(L361)&lt;=0,N(M361)&gt;N(L361)),N(M361)/가정!$B$4,N(L361)))</f>
        <v>42510000</v>
      </c>
      <c r="O361" s="67" t="str">
        <f aca="false">IF(A361="제외","",IF(OR(N(L361)&lt;=0,N(M361)&gt;N(L361)),"택가보정(판매금액÷공급율)",""))</f>
        <v/>
      </c>
    </row>
    <row r="362" customFormat="false" ht="15" hidden="false" customHeight="true" outlineLevel="0" collapsed="false">
      <c r="A362" s="67" t="str">
        <f aca="false">IF(OR(TRIM(C362)="",SUBSTITUTE(C362," ","")="소계"),"제외",IF(ISNUMBER(SEARCH("홍콩",C362)),"HK",IF(ISNUMBER(SEARCH("상해",C362)),"CN",IF(ISNUMBER(SEARCH("대만",C362)),"TW","홀세일"))))</f>
        <v>HK</v>
      </c>
      <c r="B362" s="87" t="s">
        <v>823</v>
      </c>
      <c r="C362" s="88" t="s">
        <v>824</v>
      </c>
      <c r="D362" s="88" t="s">
        <v>178</v>
      </c>
      <c r="E362" s="87" t="n">
        <v>2026</v>
      </c>
      <c r="F362" s="88" t="s">
        <v>277</v>
      </c>
      <c r="G362" s="88" t="s">
        <v>180</v>
      </c>
      <c r="H362" s="87" t="s">
        <v>189</v>
      </c>
      <c r="I362" s="87" t="s">
        <v>877</v>
      </c>
      <c r="J362" s="87" t="s">
        <v>878</v>
      </c>
      <c r="K362" s="89" t="n">
        <v>100</v>
      </c>
      <c r="L362" s="89" t="n">
        <v>15900000</v>
      </c>
      <c r="M362" s="89" t="n">
        <v>5889600</v>
      </c>
      <c r="N362" s="90" t="n">
        <f aca="false">IF(A362="제외",0,IF(OR(N(L362)&lt;=0,N(M362)&gt;N(L362)),N(M362)/가정!$B$4,N(L362)))</f>
        <v>15900000</v>
      </c>
      <c r="O362" s="67" t="str">
        <f aca="false">IF(A362="제외","",IF(OR(N(L362)&lt;=0,N(M362)&gt;N(L362)),"택가보정(판매금액÷공급율)",""))</f>
        <v/>
      </c>
    </row>
    <row r="363" customFormat="false" ht="15" hidden="false" customHeight="true" outlineLevel="0" collapsed="false">
      <c r="A363" s="67" t="str">
        <f aca="false">IF(OR(TRIM(C363)="",SUBSTITUTE(C363," ","")="소계"),"제외",IF(ISNUMBER(SEARCH("홍콩",C363)),"HK",IF(ISNUMBER(SEARCH("상해",C363)),"CN",IF(ISNUMBER(SEARCH("대만",C363)),"TW","홀세일"))))</f>
        <v>HK</v>
      </c>
      <c r="B363" s="87" t="s">
        <v>823</v>
      </c>
      <c r="C363" s="88" t="s">
        <v>824</v>
      </c>
      <c r="D363" s="88" t="s">
        <v>178</v>
      </c>
      <c r="E363" s="87" t="n">
        <v>2026</v>
      </c>
      <c r="F363" s="88" t="s">
        <v>277</v>
      </c>
      <c r="G363" s="88" t="s">
        <v>180</v>
      </c>
      <c r="H363" s="87" t="s">
        <v>181</v>
      </c>
      <c r="I363" s="87" t="s">
        <v>290</v>
      </c>
      <c r="J363" s="88" t="s">
        <v>291</v>
      </c>
      <c r="K363" s="89" t="n">
        <v>180</v>
      </c>
      <c r="L363" s="89" t="n">
        <v>26820000</v>
      </c>
      <c r="M363" s="89" t="n">
        <v>9935460</v>
      </c>
      <c r="N363" s="90" t="n">
        <f aca="false">IF(A363="제외",0,IF(OR(N(L363)&lt;=0,N(M363)&gt;N(L363)),N(M363)/가정!$B$4,N(L363)))</f>
        <v>26820000</v>
      </c>
      <c r="O363" s="67" t="str">
        <f aca="false">IF(A363="제외","",IF(OR(N(L363)&lt;=0,N(M363)&gt;N(L363)),"택가보정(판매금액÷공급율)",""))</f>
        <v/>
      </c>
    </row>
    <row r="364" customFormat="false" ht="15" hidden="false" customHeight="true" outlineLevel="0" collapsed="false">
      <c r="A364" s="67" t="str">
        <f aca="false">IF(OR(TRIM(C364)="",SUBSTITUTE(C364," ","")="소계"),"제외",IF(ISNUMBER(SEARCH("홍콩",C364)),"HK",IF(ISNUMBER(SEARCH("상해",C364)),"CN",IF(ISNUMBER(SEARCH("대만",C364)),"TW","홀세일"))))</f>
        <v>HK</v>
      </c>
      <c r="B364" s="87" t="s">
        <v>823</v>
      </c>
      <c r="C364" s="88" t="s">
        <v>824</v>
      </c>
      <c r="D364" s="88" t="s">
        <v>178</v>
      </c>
      <c r="E364" s="87" t="n">
        <v>2026</v>
      </c>
      <c r="F364" s="88" t="s">
        <v>277</v>
      </c>
      <c r="G364" s="88" t="s">
        <v>180</v>
      </c>
      <c r="H364" s="87" t="s">
        <v>189</v>
      </c>
      <c r="I364" s="87" t="s">
        <v>292</v>
      </c>
      <c r="J364" s="88" t="s">
        <v>293</v>
      </c>
      <c r="K364" s="89" t="n">
        <v>750</v>
      </c>
      <c r="L364" s="89" t="n">
        <v>44250000</v>
      </c>
      <c r="M364" s="89" t="n">
        <v>16858500</v>
      </c>
      <c r="N364" s="90" t="n">
        <f aca="false">IF(A364="제외",0,IF(OR(N(L364)&lt;=0,N(M364)&gt;N(L364)),N(M364)/가정!$B$4,N(L364)))</f>
        <v>44250000</v>
      </c>
      <c r="O364" s="67" t="str">
        <f aca="false">IF(A364="제외","",IF(OR(N(L364)&lt;=0,N(M364)&gt;N(L364)),"택가보정(판매금액÷공급율)",""))</f>
        <v/>
      </c>
    </row>
    <row r="365" customFormat="false" ht="15" hidden="false" customHeight="true" outlineLevel="0" collapsed="false">
      <c r="A365" s="67" t="str">
        <f aca="false">IF(OR(TRIM(C365)="",SUBSTITUTE(C365," ","")="소계"),"제외",IF(ISNUMBER(SEARCH("홍콩",C365)),"HK",IF(ISNUMBER(SEARCH("상해",C365)),"CN",IF(ISNUMBER(SEARCH("대만",C365)),"TW","홀세일"))))</f>
        <v>HK</v>
      </c>
      <c r="B365" s="87" t="s">
        <v>823</v>
      </c>
      <c r="C365" s="88" t="s">
        <v>824</v>
      </c>
      <c r="D365" s="88" t="s">
        <v>178</v>
      </c>
      <c r="E365" s="87" t="n">
        <v>2026</v>
      </c>
      <c r="F365" s="88" t="s">
        <v>277</v>
      </c>
      <c r="G365" s="88" t="s">
        <v>180</v>
      </c>
      <c r="H365" s="87" t="s">
        <v>189</v>
      </c>
      <c r="I365" s="87" t="s">
        <v>294</v>
      </c>
      <c r="J365" s="87" t="s">
        <v>295</v>
      </c>
      <c r="K365" s="89" t="n">
        <v>80</v>
      </c>
      <c r="L365" s="89" t="n">
        <v>6320000</v>
      </c>
      <c r="M365" s="89" t="n">
        <v>2319120</v>
      </c>
      <c r="N365" s="90" t="n">
        <f aca="false">IF(A365="제외",0,IF(OR(N(L365)&lt;=0,N(M365)&gt;N(L365)),N(M365)/가정!$B$4,N(L365)))</f>
        <v>6320000</v>
      </c>
      <c r="O365" s="67" t="str">
        <f aca="false">IF(A365="제외","",IF(OR(N(L365)&lt;=0,N(M365)&gt;N(L365)),"택가보정(판매금액÷공급율)",""))</f>
        <v/>
      </c>
    </row>
    <row r="366" customFormat="false" ht="15" hidden="false" customHeight="true" outlineLevel="0" collapsed="false">
      <c r="A366" s="67" t="str">
        <f aca="false">IF(OR(TRIM(C366)="",SUBSTITUTE(C366," ","")="소계"),"제외",IF(ISNUMBER(SEARCH("홍콩",C366)),"HK",IF(ISNUMBER(SEARCH("상해",C366)),"CN",IF(ISNUMBER(SEARCH("대만",C366)),"TW","홀세일"))))</f>
        <v>HK</v>
      </c>
      <c r="B366" s="87" t="s">
        <v>823</v>
      </c>
      <c r="C366" s="88" t="s">
        <v>824</v>
      </c>
      <c r="D366" s="88" t="s">
        <v>178</v>
      </c>
      <c r="E366" s="87" t="n">
        <v>2026</v>
      </c>
      <c r="F366" s="88" t="s">
        <v>277</v>
      </c>
      <c r="G366" s="88" t="s">
        <v>180</v>
      </c>
      <c r="H366" s="87" t="s">
        <v>189</v>
      </c>
      <c r="I366" s="87" t="s">
        <v>296</v>
      </c>
      <c r="J366" s="87" t="s">
        <v>297</v>
      </c>
      <c r="K366" s="89" t="n">
        <v>80</v>
      </c>
      <c r="L366" s="89" t="n">
        <v>6320000</v>
      </c>
      <c r="M366" s="89" t="n">
        <v>2319120</v>
      </c>
      <c r="N366" s="90" t="n">
        <f aca="false">IF(A366="제외",0,IF(OR(N(L366)&lt;=0,N(M366)&gt;N(L366)),N(M366)/가정!$B$4,N(L366)))</f>
        <v>6320000</v>
      </c>
      <c r="O366" s="67" t="str">
        <f aca="false">IF(A366="제외","",IF(OR(N(L366)&lt;=0,N(M366)&gt;N(L366)),"택가보정(판매금액÷공급율)",""))</f>
        <v/>
      </c>
    </row>
    <row r="367" customFormat="false" ht="15" hidden="false" customHeight="true" outlineLevel="0" collapsed="false">
      <c r="A367" s="67" t="str">
        <f aca="false">IF(OR(TRIM(C367)="",SUBSTITUTE(C367," ","")="소계"),"제외",IF(ISNUMBER(SEARCH("홍콩",C367)),"HK",IF(ISNUMBER(SEARCH("상해",C367)),"CN",IF(ISNUMBER(SEARCH("대만",C367)),"TW","홀세일"))))</f>
        <v>HK</v>
      </c>
      <c r="B367" s="87" t="s">
        <v>823</v>
      </c>
      <c r="C367" s="88" t="s">
        <v>824</v>
      </c>
      <c r="D367" s="88" t="s">
        <v>178</v>
      </c>
      <c r="E367" s="87" t="n">
        <v>2026</v>
      </c>
      <c r="F367" s="88" t="s">
        <v>277</v>
      </c>
      <c r="G367" s="88" t="s">
        <v>180</v>
      </c>
      <c r="H367" s="87" t="s">
        <v>189</v>
      </c>
      <c r="I367" s="87" t="s">
        <v>298</v>
      </c>
      <c r="J367" s="87" t="s">
        <v>299</v>
      </c>
      <c r="K367" s="89" t="n">
        <v>210</v>
      </c>
      <c r="L367" s="89" t="n">
        <v>14490000</v>
      </c>
      <c r="M367" s="89" t="n">
        <v>5319090</v>
      </c>
      <c r="N367" s="90" t="n">
        <f aca="false">IF(A367="제외",0,IF(OR(N(L367)&lt;=0,N(M367)&gt;N(L367)),N(M367)/가정!$B$4,N(L367)))</f>
        <v>14490000</v>
      </c>
      <c r="O367" s="67" t="str">
        <f aca="false">IF(A367="제외","",IF(OR(N(L367)&lt;=0,N(M367)&gt;N(L367)),"택가보정(판매금액÷공급율)",""))</f>
        <v/>
      </c>
    </row>
    <row r="368" customFormat="false" ht="15" hidden="false" customHeight="true" outlineLevel="0" collapsed="false">
      <c r="A368" s="67" t="str">
        <f aca="false">IF(OR(TRIM(C368)="",SUBSTITUTE(C368," ","")="소계"),"제외",IF(ISNUMBER(SEARCH("홍콩",C368)),"HK",IF(ISNUMBER(SEARCH("상해",C368)),"CN",IF(ISNUMBER(SEARCH("대만",C368)),"TW","홀세일"))))</f>
        <v>HK</v>
      </c>
      <c r="B368" s="87" t="s">
        <v>823</v>
      </c>
      <c r="C368" s="88" t="s">
        <v>824</v>
      </c>
      <c r="D368" s="88" t="s">
        <v>178</v>
      </c>
      <c r="E368" s="87" t="n">
        <v>2026</v>
      </c>
      <c r="F368" s="88" t="s">
        <v>277</v>
      </c>
      <c r="G368" s="88" t="s">
        <v>180</v>
      </c>
      <c r="H368" s="87" t="s">
        <v>189</v>
      </c>
      <c r="I368" s="87" t="s">
        <v>879</v>
      </c>
      <c r="J368" s="87" t="s">
        <v>880</v>
      </c>
      <c r="K368" s="89" t="n">
        <v>339</v>
      </c>
      <c r="L368" s="89" t="n">
        <v>20001000</v>
      </c>
      <c r="M368" s="89" t="n">
        <v>7424439</v>
      </c>
      <c r="N368" s="90" t="n">
        <f aca="false">IF(A368="제외",0,IF(OR(N(L368)&lt;=0,N(M368)&gt;N(L368)),N(M368)/가정!$B$4,N(L368)))</f>
        <v>20001000</v>
      </c>
      <c r="O368" s="67" t="str">
        <f aca="false">IF(A368="제외","",IF(OR(N(L368)&lt;=0,N(M368)&gt;N(L368)),"택가보정(판매금액÷공급율)",""))</f>
        <v/>
      </c>
    </row>
    <row r="369" customFormat="false" ht="15" hidden="false" customHeight="true" outlineLevel="0" collapsed="false">
      <c r="A369" s="67" t="str">
        <f aca="false">IF(OR(TRIM(C369)="",SUBSTITUTE(C369," ","")="소계"),"제외",IF(ISNUMBER(SEARCH("홍콩",C369)),"HK",IF(ISNUMBER(SEARCH("상해",C369)),"CN",IF(ISNUMBER(SEARCH("대만",C369)),"TW","홀세일"))))</f>
        <v>HK</v>
      </c>
      <c r="B369" s="87" t="s">
        <v>823</v>
      </c>
      <c r="C369" s="88" t="s">
        <v>824</v>
      </c>
      <c r="D369" s="88" t="s">
        <v>178</v>
      </c>
      <c r="E369" s="87" t="n">
        <v>2026</v>
      </c>
      <c r="F369" s="88" t="s">
        <v>277</v>
      </c>
      <c r="G369" s="88" t="s">
        <v>180</v>
      </c>
      <c r="H369" s="87" t="s">
        <v>189</v>
      </c>
      <c r="I369" s="87" t="s">
        <v>300</v>
      </c>
      <c r="J369" s="87" t="s">
        <v>301</v>
      </c>
      <c r="K369" s="89" t="n">
        <v>80</v>
      </c>
      <c r="L369" s="89" t="n">
        <v>6320000</v>
      </c>
      <c r="M369" s="89" t="n">
        <v>2344000</v>
      </c>
      <c r="N369" s="90" t="n">
        <f aca="false">IF(A369="제외",0,IF(OR(N(L369)&lt;=0,N(M369)&gt;N(L369)),N(M369)/가정!$B$4,N(L369)))</f>
        <v>6320000</v>
      </c>
      <c r="O369" s="67" t="str">
        <f aca="false">IF(A369="제외","",IF(OR(N(L369)&lt;=0,N(M369)&gt;N(L369)),"택가보정(판매금액÷공급율)",""))</f>
        <v/>
      </c>
    </row>
    <row r="370" customFormat="false" ht="15" hidden="false" customHeight="true" outlineLevel="0" collapsed="false">
      <c r="A370" s="67" t="str">
        <f aca="false">IF(OR(TRIM(C370)="",SUBSTITUTE(C370," ","")="소계"),"제외",IF(ISNUMBER(SEARCH("홍콩",C370)),"HK",IF(ISNUMBER(SEARCH("상해",C370)),"CN",IF(ISNUMBER(SEARCH("대만",C370)),"TW","홀세일"))))</f>
        <v>HK</v>
      </c>
      <c r="B370" s="87" t="s">
        <v>823</v>
      </c>
      <c r="C370" s="88" t="s">
        <v>824</v>
      </c>
      <c r="D370" s="88" t="s">
        <v>178</v>
      </c>
      <c r="E370" s="87" t="n">
        <v>2026</v>
      </c>
      <c r="F370" s="88" t="s">
        <v>277</v>
      </c>
      <c r="G370" s="88" t="s">
        <v>180</v>
      </c>
      <c r="H370" s="87" t="s">
        <v>181</v>
      </c>
      <c r="I370" s="87" t="s">
        <v>881</v>
      </c>
      <c r="J370" s="88" t="s">
        <v>882</v>
      </c>
      <c r="K370" s="89" t="n">
        <v>340</v>
      </c>
      <c r="L370" s="89" t="n">
        <v>23460000</v>
      </c>
      <c r="M370" s="89" t="n">
        <v>8490140</v>
      </c>
      <c r="N370" s="90" t="n">
        <f aca="false">IF(A370="제외",0,IF(OR(N(L370)&lt;=0,N(M370)&gt;N(L370)),N(M370)/가정!$B$4,N(L370)))</f>
        <v>23460000</v>
      </c>
      <c r="O370" s="67" t="str">
        <f aca="false">IF(A370="제외","",IF(OR(N(L370)&lt;=0,N(M370)&gt;N(L370)),"택가보정(판매금액÷공급율)",""))</f>
        <v/>
      </c>
    </row>
    <row r="371" customFormat="false" ht="15" hidden="false" customHeight="true" outlineLevel="0" collapsed="false">
      <c r="A371" s="67" t="str">
        <f aca="false">IF(OR(TRIM(C371)="",SUBSTITUTE(C371," ","")="소계"),"제외",IF(ISNUMBER(SEARCH("홍콩",C371)),"HK",IF(ISNUMBER(SEARCH("상해",C371)),"CN",IF(ISNUMBER(SEARCH("대만",C371)),"TW","홀세일"))))</f>
        <v>HK</v>
      </c>
      <c r="B371" s="87" t="s">
        <v>823</v>
      </c>
      <c r="C371" s="88" t="s">
        <v>824</v>
      </c>
      <c r="D371" s="88" t="s">
        <v>178</v>
      </c>
      <c r="E371" s="87" t="n">
        <v>2026</v>
      </c>
      <c r="F371" s="88" t="s">
        <v>277</v>
      </c>
      <c r="G371" s="88" t="s">
        <v>180</v>
      </c>
      <c r="H371" s="87" t="s">
        <v>181</v>
      </c>
      <c r="I371" s="87" t="s">
        <v>302</v>
      </c>
      <c r="J371" s="88" t="s">
        <v>303</v>
      </c>
      <c r="K371" s="89" t="n">
        <v>660</v>
      </c>
      <c r="L371" s="89" t="n">
        <v>52140000</v>
      </c>
      <c r="M371" s="89" t="n">
        <v>19338000</v>
      </c>
      <c r="N371" s="90" t="n">
        <f aca="false">IF(A371="제외",0,IF(OR(N(L371)&lt;=0,N(M371)&gt;N(L371)),N(M371)/가정!$B$4,N(L371)))</f>
        <v>52140000</v>
      </c>
      <c r="O371" s="67" t="str">
        <f aca="false">IF(A371="제외","",IF(OR(N(L371)&lt;=0,N(M371)&gt;N(L371)),"택가보정(판매금액÷공급율)",""))</f>
        <v/>
      </c>
    </row>
    <row r="372" customFormat="false" ht="15" hidden="false" customHeight="true" outlineLevel="0" collapsed="false">
      <c r="A372" s="67" t="str">
        <f aca="false">IF(OR(TRIM(C372)="",SUBSTITUTE(C372," ","")="소계"),"제외",IF(ISNUMBER(SEARCH("홍콩",C372)),"HK",IF(ISNUMBER(SEARCH("상해",C372)),"CN",IF(ISNUMBER(SEARCH("대만",C372)),"TW","홀세일"))))</f>
        <v>HK</v>
      </c>
      <c r="B372" s="87" t="s">
        <v>823</v>
      </c>
      <c r="C372" s="88" t="s">
        <v>824</v>
      </c>
      <c r="D372" s="88" t="s">
        <v>178</v>
      </c>
      <c r="E372" s="87" t="n">
        <v>2026</v>
      </c>
      <c r="F372" s="88" t="s">
        <v>277</v>
      </c>
      <c r="G372" s="88" t="s">
        <v>180</v>
      </c>
      <c r="H372" s="87" t="s">
        <v>189</v>
      </c>
      <c r="I372" s="87" t="s">
        <v>304</v>
      </c>
      <c r="J372" s="88" t="s">
        <v>305</v>
      </c>
      <c r="K372" s="89" t="n">
        <v>260</v>
      </c>
      <c r="L372" s="89" t="n">
        <v>20540000</v>
      </c>
      <c r="M372" s="89" t="n">
        <v>7430540</v>
      </c>
      <c r="N372" s="90" t="n">
        <f aca="false">IF(A372="제외",0,IF(OR(N(L372)&lt;=0,N(M372)&gt;N(L372)),N(M372)/가정!$B$4,N(L372)))</f>
        <v>20540000</v>
      </c>
      <c r="O372" s="67" t="str">
        <f aca="false">IF(A372="제외","",IF(OR(N(L372)&lt;=0,N(M372)&gt;N(L372)),"택가보정(판매금액÷공급율)",""))</f>
        <v/>
      </c>
    </row>
    <row r="373" customFormat="false" ht="15" hidden="false" customHeight="true" outlineLevel="0" collapsed="false">
      <c r="A373" s="67" t="str">
        <f aca="false">IF(OR(TRIM(C373)="",SUBSTITUTE(C373," ","")="소계"),"제외",IF(ISNUMBER(SEARCH("홍콩",C373)),"HK",IF(ISNUMBER(SEARCH("상해",C373)),"CN",IF(ISNUMBER(SEARCH("대만",C373)),"TW","홀세일"))))</f>
        <v>HK</v>
      </c>
      <c r="B373" s="87" t="s">
        <v>823</v>
      </c>
      <c r="C373" s="88" t="s">
        <v>824</v>
      </c>
      <c r="D373" s="88" t="s">
        <v>178</v>
      </c>
      <c r="E373" s="87" t="n">
        <v>2026</v>
      </c>
      <c r="F373" s="88" t="s">
        <v>277</v>
      </c>
      <c r="G373" s="88" t="s">
        <v>180</v>
      </c>
      <c r="H373" s="87" t="s">
        <v>189</v>
      </c>
      <c r="I373" s="87" t="s">
        <v>306</v>
      </c>
      <c r="J373" s="88" t="s">
        <v>307</v>
      </c>
      <c r="K373" s="89" t="n">
        <v>380</v>
      </c>
      <c r="L373" s="89" t="n">
        <v>37620000</v>
      </c>
      <c r="M373" s="89" t="n">
        <v>13424640</v>
      </c>
      <c r="N373" s="90" t="n">
        <f aca="false">IF(A373="제외",0,IF(OR(N(L373)&lt;=0,N(M373)&gt;N(L373)),N(M373)/가정!$B$4,N(L373)))</f>
        <v>37620000</v>
      </c>
      <c r="O373" s="67" t="str">
        <f aca="false">IF(A373="제외","",IF(OR(N(L373)&lt;=0,N(M373)&gt;N(L373)),"택가보정(판매금액÷공급율)",""))</f>
        <v/>
      </c>
    </row>
    <row r="374" customFormat="false" ht="15" hidden="false" customHeight="true" outlineLevel="0" collapsed="false">
      <c r="A374" s="67" t="str">
        <f aca="false">IF(OR(TRIM(C374)="",SUBSTITUTE(C374," ","")="소계"),"제외",IF(ISNUMBER(SEARCH("홍콩",C374)),"HK",IF(ISNUMBER(SEARCH("상해",C374)),"CN",IF(ISNUMBER(SEARCH("대만",C374)),"TW","홀세일"))))</f>
        <v>HK</v>
      </c>
      <c r="B374" s="87" t="s">
        <v>823</v>
      </c>
      <c r="C374" s="88" t="s">
        <v>824</v>
      </c>
      <c r="D374" s="88" t="s">
        <v>178</v>
      </c>
      <c r="E374" s="87" t="n">
        <v>2026</v>
      </c>
      <c r="F374" s="88" t="s">
        <v>277</v>
      </c>
      <c r="G374" s="88" t="s">
        <v>180</v>
      </c>
      <c r="H374" s="87" t="s">
        <v>189</v>
      </c>
      <c r="I374" s="87" t="s">
        <v>308</v>
      </c>
      <c r="J374" s="88" t="s">
        <v>309</v>
      </c>
      <c r="K374" s="89" t="n">
        <v>550</v>
      </c>
      <c r="L374" s="89" t="n">
        <v>48950000</v>
      </c>
      <c r="M374" s="89" t="n">
        <v>17471300</v>
      </c>
      <c r="N374" s="90" t="n">
        <f aca="false">IF(A374="제외",0,IF(OR(N(L374)&lt;=0,N(M374)&gt;N(L374)),N(M374)/가정!$B$4,N(L374)))</f>
        <v>48950000</v>
      </c>
      <c r="O374" s="67" t="str">
        <f aca="false">IF(A374="제외","",IF(OR(N(L374)&lt;=0,N(M374)&gt;N(L374)),"택가보정(판매금액÷공급율)",""))</f>
        <v/>
      </c>
    </row>
    <row r="375" customFormat="false" ht="15" hidden="false" customHeight="true" outlineLevel="0" collapsed="false">
      <c r="A375" s="67" t="str">
        <f aca="false">IF(OR(TRIM(C375)="",SUBSTITUTE(C375," ","")="소계"),"제외",IF(ISNUMBER(SEARCH("홍콩",C375)),"HK",IF(ISNUMBER(SEARCH("상해",C375)),"CN",IF(ISNUMBER(SEARCH("대만",C375)),"TW","홀세일"))))</f>
        <v>HK</v>
      </c>
      <c r="B375" s="87" t="s">
        <v>823</v>
      </c>
      <c r="C375" s="88" t="s">
        <v>824</v>
      </c>
      <c r="D375" s="88" t="s">
        <v>178</v>
      </c>
      <c r="E375" s="87" t="n">
        <v>2026</v>
      </c>
      <c r="F375" s="88" t="s">
        <v>277</v>
      </c>
      <c r="G375" s="88" t="s">
        <v>180</v>
      </c>
      <c r="H375" s="87" t="s">
        <v>189</v>
      </c>
      <c r="I375" s="87" t="s">
        <v>310</v>
      </c>
      <c r="J375" s="88" t="s">
        <v>311</v>
      </c>
      <c r="K375" s="89" t="n">
        <v>340</v>
      </c>
      <c r="L375" s="89" t="n">
        <v>26860000</v>
      </c>
      <c r="M375" s="89" t="n">
        <v>9589700</v>
      </c>
      <c r="N375" s="90" t="n">
        <f aca="false">IF(A375="제외",0,IF(OR(N(L375)&lt;=0,N(M375)&gt;N(L375)),N(M375)/가정!$B$4,N(L375)))</f>
        <v>26860000</v>
      </c>
      <c r="O375" s="67" t="str">
        <f aca="false">IF(A375="제외","",IF(OR(N(L375)&lt;=0,N(M375)&gt;N(L375)),"택가보정(판매금액÷공급율)",""))</f>
        <v/>
      </c>
    </row>
    <row r="376" customFormat="false" ht="15" hidden="false" customHeight="true" outlineLevel="0" collapsed="false">
      <c r="A376" s="67" t="str">
        <f aca="false">IF(OR(TRIM(C376)="",SUBSTITUTE(C376," ","")="소계"),"제외",IF(ISNUMBER(SEARCH("홍콩",C376)),"HK",IF(ISNUMBER(SEARCH("상해",C376)),"CN",IF(ISNUMBER(SEARCH("대만",C376)),"TW","홀세일"))))</f>
        <v>HK</v>
      </c>
      <c r="B376" s="87" t="s">
        <v>823</v>
      </c>
      <c r="C376" s="88" t="s">
        <v>824</v>
      </c>
      <c r="D376" s="88" t="s">
        <v>178</v>
      </c>
      <c r="E376" s="87" t="n">
        <v>2026</v>
      </c>
      <c r="F376" s="88" t="s">
        <v>277</v>
      </c>
      <c r="G376" s="88" t="s">
        <v>180</v>
      </c>
      <c r="H376" s="87" t="s">
        <v>189</v>
      </c>
      <c r="I376" s="87" t="s">
        <v>312</v>
      </c>
      <c r="J376" s="88" t="s">
        <v>313</v>
      </c>
      <c r="K376" s="89" t="n">
        <v>510</v>
      </c>
      <c r="L376" s="89" t="n">
        <v>40290000</v>
      </c>
      <c r="M376" s="89" t="n">
        <v>15077130</v>
      </c>
      <c r="N376" s="90" t="n">
        <f aca="false">IF(A376="제외",0,IF(OR(N(L376)&lt;=0,N(M376)&gt;N(L376)),N(M376)/가정!$B$4,N(L376)))</f>
        <v>40290000</v>
      </c>
      <c r="O376" s="67" t="str">
        <f aca="false">IF(A376="제외","",IF(OR(N(L376)&lt;=0,N(M376)&gt;N(L376)),"택가보정(판매금액÷공급율)",""))</f>
        <v/>
      </c>
    </row>
    <row r="377" customFormat="false" ht="15" hidden="false" customHeight="true" outlineLevel="0" collapsed="false">
      <c r="A377" s="67" t="str">
        <f aca="false">IF(OR(TRIM(C377)="",SUBSTITUTE(C377," ","")="소계"),"제외",IF(ISNUMBER(SEARCH("홍콩",C377)),"HK",IF(ISNUMBER(SEARCH("상해",C377)),"CN",IF(ISNUMBER(SEARCH("대만",C377)),"TW","홀세일"))))</f>
        <v>HK</v>
      </c>
      <c r="B377" s="87" t="s">
        <v>823</v>
      </c>
      <c r="C377" s="88" t="s">
        <v>824</v>
      </c>
      <c r="D377" s="88" t="s">
        <v>178</v>
      </c>
      <c r="E377" s="87" t="n">
        <v>2026</v>
      </c>
      <c r="F377" s="88" t="s">
        <v>277</v>
      </c>
      <c r="G377" s="88" t="s">
        <v>180</v>
      </c>
      <c r="H377" s="87" t="s">
        <v>181</v>
      </c>
      <c r="I377" s="87" t="s">
        <v>883</v>
      </c>
      <c r="J377" s="88" t="s">
        <v>884</v>
      </c>
      <c r="K377" s="89" t="n">
        <v>380</v>
      </c>
      <c r="L377" s="89" t="n">
        <v>33820000</v>
      </c>
      <c r="M377" s="89" t="n">
        <v>9791840</v>
      </c>
      <c r="N377" s="90" t="n">
        <f aca="false">IF(A377="제외",0,IF(OR(N(L377)&lt;=0,N(M377)&gt;N(L377)),N(M377)/가정!$B$4,N(L377)))</f>
        <v>33820000</v>
      </c>
      <c r="O377" s="67" t="str">
        <f aca="false">IF(A377="제외","",IF(OR(N(L377)&lt;=0,N(M377)&gt;N(L377)),"택가보정(판매금액÷공급율)",""))</f>
        <v/>
      </c>
    </row>
    <row r="378" customFormat="false" ht="15" hidden="false" customHeight="true" outlineLevel="0" collapsed="false">
      <c r="A378" s="67" t="str">
        <f aca="false">IF(OR(TRIM(C378)="",SUBSTITUTE(C378," ","")="소계"),"제외",IF(ISNUMBER(SEARCH("홍콩",C378)),"HK",IF(ISNUMBER(SEARCH("상해",C378)),"CN",IF(ISNUMBER(SEARCH("대만",C378)),"TW","홀세일"))))</f>
        <v>HK</v>
      </c>
      <c r="B378" s="87" t="s">
        <v>823</v>
      </c>
      <c r="C378" s="88" t="s">
        <v>824</v>
      </c>
      <c r="D378" s="88" t="s">
        <v>178</v>
      </c>
      <c r="E378" s="87" t="n">
        <v>2026</v>
      </c>
      <c r="F378" s="88" t="s">
        <v>277</v>
      </c>
      <c r="G378" s="88" t="s">
        <v>180</v>
      </c>
      <c r="H378" s="88" t="s">
        <v>185</v>
      </c>
      <c r="I378" s="87" t="s">
        <v>314</v>
      </c>
      <c r="J378" s="87" t="s">
        <v>315</v>
      </c>
      <c r="K378" s="89" t="n">
        <v>50</v>
      </c>
      <c r="L378" s="89" t="n">
        <v>4450000</v>
      </c>
      <c r="M378" s="89" t="n">
        <v>1613200</v>
      </c>
      <c r="N378" s="90" t="n">
        <f aca="false">IF(A378="제외",0,IF(OR(N(L378)&lt;=0,N(M378)&gt;N(L378)),N(M378)/가정!$B$4,N(L378)))</f>
        <v>4450000</v>
      </c>
      <c r="O378" s="67" t="str">
        <f aca="false">IF(A378="제외","",IF(OR(N(L378)&lt;=0,N(M378)&gt;N(L378)),"택가보정(판매금액÷공급율)",""))</f>
        <v/>
      </c>
    </row>
    <row r="379" customFormat="false" ht="15" hidden="false" customHeight="true" outlineLevel="0" collapsed="false">
      <c r="A379" s="67" t="str">
        <f aca="false">IF(OR(TRIM(C379)="",SUBSTITUTE(C379," ","")="소계"),"제외",IF(ISNUMBER(SEARCH("홍콩",C379)),"HK",IF(ISNUMBER(SEARCH("상해",C379)),"CN",IF(ISNUMBER(SEARCH("대만",C379)),"TW","홀세일"))))</f>
        <v>HK</v>
      </c>
      <c r="B379" s="87" t="s">
        <v>823</v>
      </c>
      <c r="C379" s="88" t="s">
        <v>824</v>
      </c>
      <c r="D379" s="88" t="s">
        <v>178</v>
      </c>
      <c r="E379" s="87" t="n">
        <v>2026</v>
      </c>
      <c r="F379" s="88" t="s">
        <v>277</v>
      </c>
      <c r="G379" s="88" t="s">
        <v>180</v>
      </c>
      <c r="H379" s="87" t="s">
        <v>189</v>
      </c>
      <c r="I379" s="87" t="s">
        <v>316</v>
      </c>
      <c r="J379" s="88" t="s">
        <v>317</v>
      </c>
      <c r="K379" s="89" t="n">
        <v>300</v>
      </c>
      <c r="L379" s="89" t="n">
        <v>38700000</v>
      </c>
      <c r="M379" s="89" t="n">
        <v>13986600</v>
      </c>
      <c r="N379" s="90" t="n">
        <f aca="false">IF(A379="제외",0,IF(OR(N(L379)&lt;=0,N(M379)&gt;N(L379)),N(M379)/가정!$B$4,N(L379)))</f>
        <v>38700000</v>
      </c>
      <c r="O379" s="67" t="str">
        <f aca="false">IF(A379="제외","",IF(OR(N(L379)&lt;=0,N(M379)&gt;N(L379)),"택가보정(판매금액÷공급율)",""))</f>
        <v/>
      </c>
    </row>
    <row r="380" customFormat="false" ht="15" hidden="false" customHeight="true" outlineLevel="0" collapsed="false">
      <c r="A380" s="67" t="str">
        <f aca="false">IF(OR(TRIM(C380)="",SUBSTITUTE(C380," ","")="소계"),"제외",IF(ISNUMBER(SEARCH("홍콩",C380)),"HK",IF(ISNUMBER(SEARCH("상해",C380)),"CN",IF(ISNUMBER(SEARCH("대만",C380)),"TW","홀세일"))))</f>
        <v>HK</v>
      </c>
      <c r="B380" s="87" t="s">
        <v>823</v>
      </c>
      <c r="C380" s="88" t="s">
        <v>824</v>
      </c>
      <c r="D380" s="88" t="s">
        <v>178</v>
      </c>
      <c r="E380" s="87" t="n">
        <v>2026</v>
      </c>
      <c r="F380" s="88" t="s">
        <v>277</v>
      </c>
      <c r="G380" s="88" t="s">
        <v>180</v>
      </c>
      <c r="H380" s="87" t="s">
        <v>189</v>
      </c>
      <c r="I380" s="87" t="s">
        <v>318</v>
      </c>
      <c r="J380" s="88" t="s">
        <v>319</v>
      </c>
      <c r="K380" s="89" t="n">
        <v>520</v>
      </c>
      <c r="L380" s="89" t="n">
        <v>72280000</v>
      </c>
      <c r="M380" s="89" t="n">
        <v>26494520</v>
      </c>
      <c r="N380" s="90" t="n">
        <f aca="false">IF(A380="제외",0,IF(OR(N(L380)&lt;=0,N(M380)&gt;N(L380)),N(M380)/가정!$B$4,N(L380)))</f>
        <v>72280000</v>
      </c>
      <c r="O380" s="67" t="str">
        <f aca="false">IF(A380="제외","",IF(OR(N(L380)&lt;=0,N(M380)&gt;N(L380)),"택가보정(판매금액÷공급율)",""))</f>
        <v/>
      </c>
    </row>
    <row r="381" customFormat="false" ht="15" hidden="false" customHeight="true" outlineLevel="0" collapsed="false">
      <c r="A381" s="67" t="str">
        <f aca="false">IF(OR(TRIM(C381)="",SUBSTITUTE(C381," ","")="소계"),"제외",IF(ISNUMBER(SEARCH("홍콩",C381)),"HK",IF(ISNUMBER(SEARCH("상해",C381)),"CN",IF(ISNUMBER(SEARCH("대만",C381)),"TW","홀세일"))))</f>
        <v>HK</v>
      </c>
      <c r="B381" s="87" t="s">
        <v>823</v>
      </c>
      <c r="C381" s="88" t="s">
        <v>824</v>
      </c>
      <c r="D381" s="88" t="s">
        <v>178</v>
      </c>
      <c r="E381" s="87" t="n">
        <v>2026</v>
      </c>
      <c r="F381" s="88" t="s">
        <v>277</v>
      </c>
      <c r="G381" s="88" t="s">
        <v>180</v>
      </c>
      <c r="H381" s="87" t="s">
        <v>189</v>
      </c>
      <c r="I381" s="87" t="s">
        <v>322</v>
      </c>
      <c r="J381" s="88" t="s">
        <v>323</v>
      </c>
      <c r="K381" s="89" t="n">
        <v>180</v>
      </c>
      <c r="L381" s="89" t="n">
        <v>19620000</v>
      </c>
      <c r="M381" s="89" t="n">
        <v>7337160</v>
      </c>
      <c r="N381" s="90" t="n">
        <f aca="false">IF(A381="제외",0,IF(OR(N(L381)&lt;=0,N(M381)&gt;N(L381)),N(M381)/가정!$B$4,N(L381)))</f>
        <v>19620000</v>
      </c>
      <c r="O381" s="67" t="str">
        <f aca="false">IF(A381="제외","",IF(OR(N(L381)&lt;=0,N(M381)&gt;N(L381)),"택가보정(판매금액÷공급율)",""))</f>
        <v/>
      </c>
    </row>
    <row r="382" customFormat="false" ht="15" hidden="false" customHeight="true" outlineLevel="0" collapsed="false">
      <c r="A382" s="67" t="str">
        <f aca="false">IF(OR(TRIM(C382)="",SUBSTITUTE(C382," ","")="소계"),"제외",IF(ISNUMBER(SEARCH("홍콩",C382)),"HK",IF(ISNUMBER(SEARCH("상해",C382)),"CN",IF(ISNUMBER(SEARCH("대만",C382)),"TW","홀세일"))))</f>
        <v>HK</v>
      </c>
      <c r="B382" s="87" t="s">
        <v>823</v>
      </c>
      <c r="C382" s="88" t="s">
        <v>824</v>
      </c>
      <c r="D382" s="88" t="s">
        <v>178</v>
      </c>
      <c r="E382" s="87" t="n">
        <v>2026</v>
      </c>
      <c r="F382" s="88" t="s">
        <v>277</v>
      </c>
      <c r="G382" s="88" t="s">
        <v>180</v>
      </c>
      <c r="H382" s="87" t="s">
        <v>189</v>
      </c>
      <c r="I382" s="87" t="s">
        <v>885</v>
      </c>
      <c r="J382" s="88" t="s">
        <v>886</v>
      </c>
      <c r="K382" s="89" t="n">
        <v>330</v>
      </c>
      <c r="L382" s="89" t="n">
        <v>45870000</v>
      </c>
      <c r="M382" s="89" t="n">
        <v>17828250</v>
      </c>
      <c r="N382" s="90" t="n">
        <f aca="false">IF(A382="제외",0,IF(OR(N(L382)&lt;=0,N(M382)&gt;N(L382)),N(M382)/가정!$B$4,N(L382)))</f>
        <v>45870000</v>
      </c>
      <c r="O382" s="67" t="str">
        <f aca="false">IF(A382="제외","",IF(OR(N(L382)&lt;=0,N(M382)&gt;N(L382)),"택가보정(판매금액÷공급율)",""))</f>
        <v/>
      </c>
    </row>
    <row r="383" customFormat="false" ht="15" hidden="false" customHeight="true" outlineLevel="0" collapsed="false">
      <c r="A383" s="67" t="str">
        <f aca="false">IF(OR(TRIM(C383)="",SUBSTITUTE(C383," ","")="소계"),"제외",IF(ISNUMBER(SEARCH("홍콩",C383)),"HK",IF(ISNUMBER(SEARCH("상해",C383)),"CN",IF(ISNUMBER(SEARCH("대만",C383)),"TW","홀세일"))))</f>
        <v>HK</v>
      </c>
      <c r="B383" s="87" t="s">
        <v>823</v>
      </c>
      <c r="C383" s="88" t="s">
        <v>824</v>
      </c>
      <c r="D383" s="88" t="s">
        <v>178</v>
      </c>
      <c r="E383" s="87" t="n">
        <v>2026</v>
      </c>
      <c r="F383" s="88" t="s">
        <v>277</v>
      </c>
      <c r="G383" s="88" t="s">
        <v>180</v>
      </c>
      <c r="H383" s="87" t="s">
        <v>189</v>
      </c>
      <c r="I383" s="87" t="s">
        <v>326</v>
      </c>
      <c r="J383" s="88" t="s">
        <v>327</v>
      </c>
      <c r="K383" s="89" t="n">
        <v>470</v>
      </c>
      <c r="L383" s="89" t="n">
        <v>79430000</v>
      </c>
      <c r="M383" s="89" t="n">
        <v>30460230</v>
      </c>
      <c r="N383" s="90" t="n">
        <f aca="false">IF(A383="제외",0,IF(OR(N(L383)&lt;=0,N(M383)&gt;N(L383)),N(M383)/가정!$B$4,N(L383)))</f>
        <v>79430000</v>
      </c>
      <c r="O383" s="67" t="str">
        <f aca="false">IF(A383="제외","",IF(OR(N(L383)&lt;=0,N(M383)&gt;N(L383)),"택가보정(판매금액÷공급율)",""))</f>
        <v/>
      </c>
    </row>
    <row r="384" customFormat="false" ht="15" hidden="false" customHeight="true" outlineLevel="0" collapsed="false">
      <c r="A384" s="67" t="str">
        <f aca="false">IF(OR(TRIM(C384)="",SUBSTITUTE(C384," ","")="소계"),"제외",IF(ISNUMBER(SEARCH("홍콩",C384)),"HK",IF(ISNUMBER(SEARCH("상해",C384)),"CN",IF(ISNUMBER(SEARCH("대만",C384)),"TW","홀세일"))))</f>
        <v>HK</v>
      </c>
      <c r="B384" s="87" t="s">
        <v>823</v>
      </c>
      <c r="C384" s="88" t="s">
        <v>824</v>
      </c>
      <c r="D384" s="88" t="s">
        <v>178</v>
      </c>
      <c r="E384" s="87" t="n">
        <v>2026</v>
      </c>
      <c r="F384" s="88" t="s">
        <v>277</v>
      </c>
      <c r="G384" s="88" t="s">
        <v>180</v>
      </c>
      <c r="H384" s="87" t="s">
        <v>189</v>
      </c>
      <c r="I384" s="87" t="s">
        <v>328</v>
      </c>
      <c r="J384" s="88" t="s">
        <v>329</v>
      </c>
      <c r="K384" s="89" t="n">
        <v>130</v>
      </c>
      <c r="L384" s="89" t="n">
        <v>20670000</v>
      </c>
      <c r="M384" s="89" t="n">
        <v>7918430</v>
      </c>
      <c r="N384" s="90" t="n">
        <f aca="false">IF(A384="제외",0,IF(OR(N(L384)&lt;=0,N(M384)&gt;N(L384)),N(M384)/가정!$B$4,N(L384)))</f>
        <v>20670000</v>
      </c>
      <c r="O384" s="67" t="str">
        <f aca="false">IF(A384="제외","",IF(OR(N(L384)&lt;=0,N(M384)&gt;N(L384)),"택가보정(판매금액÷공급율)",""))</f>
        <v/>
      </c>
    </row>
    <row r="385" customFormat="false" ht="15" hidden="false" customHeight="true" outlineLevel="0" collapsed="false">
      <c r="A385" s="67" t="str">
        <f aca="false">IF(OR(TRIM(C385)="",SUBSTITUTE(C385," ","")="소계"),"제외",IF(ISNUMBER(SEARCH("홍콩",C385)),"HK",IF(ISNUMBER(SEARCH("상해",C385)),"CN",IF(ISNUMBER(SEARCH("대만",C385)),"TW","홀세일"))))</f>
        <v>HK</v>
      </c>
      <c r="B385" s="87" t="s">
        <v>823</v>
      </c>
      <c r="C385" s="88" t="s">
        <v>824</v>
      </c>
      <c r="D385" s="88" t="s">
        <v>178</v>
      </c>
      <c r="E385" s="87" t="n">
        <v>2026</v>
      </c>
      <c r="F385" s="88" t="s">
        <v>277</v>
      </c>
      <c r="G385" s="88" t="s">
        <v>180</v>
      </c>
      <c r="H385" s="87" t="s">
        <v>181</v>
      </c>
      <c r="I385" s="87" t="s">
        <v>887</v>
      </c>
      <c r="J385" s="88" t="s">
        <v>888</v>
      </c>
      <c r="K385" s="89" t="n">
        <v>230</v>
      </c>
      <c r="L385" s="89" t="n">
        <v>41170000</v>
      </c>
      <c r="M385" s="89" t="n">
        <v>15802380</v>
      </c>
      <c r="N385" s="90" t="n">
        <f aca="false">IF(A385="제외",0,IF(OR(N(L385)&lt;=0,N(M385)&gt;N(L385)),N(M385)/가정!$B$4,N(L385)))</f>
        <v>41170000</v>
      </c>
      <c r="O385" s="67" t="str">
        <f aca="false">IF(A385="제외","",IF(OR(N(L385)&lt;=0,N(M385)&gt;N(L385)),"택가보정(판매금액÷공급율)",""))</f>
        <v/>
      </c>
    </row>
    <row r="386" customFormat="false" ht="15" hidden="false" customHeight="true" outlineLevel="0" collapsed="false">
      <c r="A386" s="67" t="str">
        <f aca="false">IF(OR(TRIM(C386)="",SUBSTITUTE(C386," ","")="소계"),"제외",IF(ISNUMBER(SEARCH("홍콩",C386)),"HK",IF(ISNUMBER(SEARCH("상해",C386)),"CN",IF(ISNUMBER(SEARCH("대만",C386)),"TW","홀세일"))))</f>
        <v>HK</v>
      </c>
      <c r="B386" s="87" t="s">
        <v>823</v>
      </c>
      <c r="C386" s="88" t="s">
        <v>824</v>
      </c>
      <c r="D386" s="88" t="s">
        <v>178</v>
      </c>
      <c r="E386" s="87" t="n">
        <v>2026</v>
      </c>
      <c r="F386" s="88" t="s">
        <v>277</v>
      </c>
      <c r="G386" s="88" t="s">
        <v>180</v>
      </c>
      <c r="H386" s="87" t="s">
        <v>189</v>
      </c>
      <c r="I386" s="87" t="s">
        <v>330</v>
      </c>
      <c r="J386" s="88" t="s">
        <v>331</v>
      </c>
      <c r="K386" s="89" t="n">
        <v>550</v>
      </c>
      <c r="L386" s="89" t="n">
        <v>103950000</v>
      </c>
      <c r="M386" s="89" t="n">
        <v>38088600</v>
      </c>
      <c r="N386" s="90" t="n">
        <f aca="false">IF(A386="제외",0,IF(OR(N(L386)&lt;=0,N(M386)&gt;N(L386)),N(M386)/가정!$B$4,N(L386)))</f>
        <v>103950000</v>
      </c>
      <c r="O386" s="67" t="str">
        <f aca="false">IF(A386="제외","",IF(OR(N(L386)&lt;=0,N(M386)&gt;N(L386)),"택가보정(판매금액÷공급율)",""))</f>
        <v/>
      </c>
    </row>
    <row r="387" customFormat="false" ht="15" hidden="false" customHeight="true" outlineLevel="0" collapsed="false">
      <c r="A387" s="67" t="str">
        <f aca="false">IF(OR(TRIM(C387)="",SUBSTITUTE(C387," ","")="소계"),"제외",IF(ISNUMBER(SEARCH("홍콩",C387)),"HK",IF(ISNUMBER(SEARCH("상해",C387)),"CN",IF(ISNUMBER(SEARCH("대만",C387)),"TW","홀세일"))))</f>
        <v>HK</v>
      </c>
      <c r="B387" s="87" t="s">
        <v>823</v>
      </c>
      <c r="C387" s="88" t="s">
        <v>824</v>
      </c>
      <c r="D387" s="88" t="s">
        <v>178</v>
      </c>
      <c r="E387" s="87" t="n">
        <v>2026</v>
      </c>
      <c r="F387" s="88" t="s">
        <v>277</v>
      </c>
      <c r="G387" s="88" t="s">
        <v>180</v>
      </c>
      <c r="H387" s="87" t="s">
        <v>189</v>
      </c>
      <c r="I387" s="87" t="s">
        <v>336</v>
      </c>
      <c r="J387" s="88" t="s">
        <v>337</v>
      </c>
      <c r="K387" s="89" t="n">
        <v>260</v>
      </c>
      <c r="L387" s="89" t="n">
        <v>25740000</v>
      </c>
      <c r="M387" s="89" t="n">
        <v>9185280</v>
      </c>
      <c r="N387" s="90" t="n">
        <f aca="false">IF(A387="제외",0,IF(OR(N(L387)&lt;=0,N(M387)&gt;N(L387)),N(M387)/가정!$B$4,N(L387)))</f>
        <v>25740000</v>
      </c>
      <c r="O387" s="67" t="str">
        <f aca="false">IF(A387="제외","",IF(OR(N(L387)&lt;=0,N(M387)&gt;N(L387)),"택가보정(판매금액÷공급율)",""))</f>
        <v/>
      </c>
    </row>
    <row r="388" customFormat="false" ht="15" hidden="false" customHeight="true" outlineLevel="0" collapsed="false">
      <c r="A388" s="67" t="str">
        <f aca="false">IF(OR(TRIM(C388)="",SUBSTITUTE(C388," ","")="소계"),"제외",IF(ISNUMBER(SEARCH("홍콩",C388)),"HK",IF(ISNUMBER(SEARCH("상해",C388)),"CN",IF(ISNUMBER(SEARCH("대만",C388)),"TW","홀세일"))))</f>
        <v>HK</v>
      </c>
      <c r="B388" s="87" t="s">
        <v>823</v>
      </c>
      <c r="C388" s="88" t="s">
        <v>824</v>
      </c>
      <c r="D388" s="88" t="s">
        <v>178</v>
      </c>
      <c r="E388" s="87" t="n">
        <v>2026</v>
      </c>
      <c r="F388" s="88" t="s">
        <v>277</v>
      </c>
      <c r="G388" s="88" t="s">
        <v>180</v>
      </c>
      <c r="H388" s="87" t="s">
        <v>181</v>
      </c>
      <c r="I388" s="87" t="s">
        <v>338</v>
      </c>
      <c r="J388" s="88" t="s">
        <v>339</v>
      </c>
      <c r="K388" s="89" t="n">
        <v>130</v>
      </c>
      <c r="L388" s="89" t="n">
        <v>12870000</v>
      </c>
      <c r="M388" s="89" t="n">
        <v>4653480</v>
      </c>
      <c r="N388" s="90" t="n">
        <f aca="false">IF(A388="제외",0,IF(OR(N(L388)&lt;=0,N(M388)&gt;N(L388)),N(M388)/가정!$B$4,N(L388)))</f>
        <v>12870000</v>
      </c>
      <c r="O388" s="67" t="str">
        <f aca="false">IF(A388="제외","",IF(OR(N(L388)&lt;=0,N(M388)&gt;N(L388)),"택가보정(판매금액÷공급율)",""))</f>
        <v/>
      </c>
    </row>
    <row r="389" customFormat="false" ht="15" hidden="false" customHeight="true" outlineLevel="0" collapsed="false">
      <c r="A389" s="67" t="str">
        <f aca="false">IF(OR(TRIM(C389)="",SUBSTITUTE(C389," ","")="소계"),"제외",IF(ISNUMBER(SEARCH("홍콩",C389)),"HK",IF(ISNUMBER(SEARCH("상해",C389)),"CN",IF(ISNUMBER(SEARCH("대만",C389)),"TW","홀세일"))))</f>
        <v>HK</v>
      </c>
      <c r="B389" s="87" t="s">
        <v>823</v>
      </c>
      <c r="C389" s="88" t="s">
        <v>824</v>
      </c>
      <c r="D389" s="88" t="s">
        <v>178</v>
      </c>
      <c r="E389" s="87" t="n">
        <v>2026</v>
      </c>
      <c r="F389" s="88" t="s">
        <v>277</v>
      </c>
      <c r="G389" s="88" t="s">
        <v>180</v>
      </c>
      <c r="H389" s="87" t="s">
        <v>189</v>
      </c>
      <c r="I389" s="87" t="s">
        <v>340</v>
      </c>
      <c r="J389" s="88" t="s">
        <v>341</v>
      </c>
      <c r="K389" s="89" t="n">
        <v>300</v>
      </c>
      <c r="L389" s="89" t="n">
        <v>38700000</v>
      </c>
      <c r="M389" s="89" t="n">
        <v>13803300</v>
      </c>
      <c r="N389" s="90" t="n">
        <f aca="false">IF(A389="제외",0,IF(OR(N(L389)&lt;=0,N(M389)&gt;N(L389)),N(M389)/가정!$B$4,N(L389)))</f>
        <v>38700000</v>
      </c>
      <c r="O389" s="67" t="str">
        <f aca="false">IF(A389="제외","",IF(OR(N(L389)&lt;=0,N(M389)&gt;N(L389)),"택가보정(판매금액÷공급율)",""))</f>
        <v/>
      </c>
    </row>
    <row r="390" customFormat="false" ht="15" hidden="false" customHeight="true" outlineLevel="0" collapsed="false">
      <c r="A390" s="67" t="str">
        <f aca="false">IF(OR(TRIM(C390)="",SUBSTITUTE(C390," ","")="소계"),"제외",IF(ISNUMBER(SEARCH("홍콩",C390)),"HK",IF(ISNUMBER(SEARCH("상해",C390)),"CN",IF(ISNUMBER(SEARCH("대만",C390)),"TW","홀세일"))))</f>
        <v>HK</v>
      </c>
      <c r="B390" s="87" t="s">
        <v>823</v>
      </c>
      <c r="C390" s="88" t="s">
        <v>824</v>
      </c>
      <c r="D390" s="88" t="s">
        <v>178</v>
      </c>
      <c r="E390" s="87" t="n">
        <v>2026</v>
      </c>
      <c r="F390" s="88" t="s">
        <v>277</v>
      </c>
      <c r="G390" s="88" t="s">
        <v>180</v>
      </c>
      <c r="H390" s="87" t="s">
        <v>189</v>
      </c>
      <c r="I390" s="87" t="s">
        <v>344</v>
      </c>
      <c r="J390" s="88" t="s">
        <v>345</v>
      </c>
      <c r="K390" s="89" t="n">
        <v>660</v>
      </c>
      <c r="L390" s="89" t="n">
        <v>38940000</v>
      </c>
      <c r="M390" s="89" t="n">
        <v>14098920</v>
      </c>
      <c r="N390" s="90" t="n">
        <f aca="false">IF(A390="제외",0,IF(OR(N(L390)&lt;=0,N(M390)&gt;N(L390)),N(M390)/가정!$B$4,N(L390)))</f>
        <v>38940000</v>
      </c>
      <c r="O390" s="67" t="str">
        <f aca="false">IF(A390="제외","",IF(OR(N(L390)&lt;=0,N(M390)&gt;N(L390)),"택가보정(판매금액÷공급율)",""))</f>
        <v/>
      </c>
    </row>
    <row r="391" customFormat="false" ht="15" hidden="false" customHeight="true" outlineLevel="0" collapsed="false">
      <c r="A391" s="67" t="str">
        <f aca="false">IF(OR(TRIM(C391)="",SUBSTITUTE(C391," ","")="소계"),"제외",IF(ISNUMBER(SEARCH("홍콩",C391)),"HK",IF(ISNUMBER(SEARCH("상해",C391)),"CN",IF(ISNUMBER(SEARCH("대만",C391)),"TW","홀세일"))))</f>
        <v>HK</v>
      </c>
      <c r="B391" s="87" t="s">
        <v>823</v>
      </c>
      <c r="C391" s="88" t="s">
        <v>824</v>
      </c>
      <c r="D391" s="88" t="s">
        <v>178</v>
      </c>
      <c r="E391" s="87" t="n">
        <v>2026</v>
      </c>
      <c r="F391" s="88" t="s">
        <v>277</v>
      </c>
      <c r="G391" s="88" t="s">
        <v>180</v>
      </c>
      <c r="H391" s="87" t="s">
        <v>189</v>
      </c>
      <c r="I391" s="87" t="s">
        <v>346</v>
      </c>
      <c r="J391" s="88" t="s">
        <v>347</v>
      </c>
      <c r="K391" s="89" t="n">
        <v>960</v>
      </c>
      <c r="L391" s="89" t="n">
        <v>56640000</v>
      </c>
      <c r="M391" s="89" t="n">
        <v>20507520</v>
      </c>
      <c r="N391" s="90" t="n">
        <f aca="false">IF(A391="제외",0,IF(OR(N(L391)&lt;=0,N(M391)&gt;N(L391)),N(M391)/가정!$B$4,N(L391)))</f>
        <v>56640000</v>
      </c>
      <c r="O391" s="67" t="str">
        <f aca="false">IF(A391="제외","",IF(OR(N(L391)&lt;=0,N(M391)&gt;N(L391)),"택가보정(판매금액÷공급율)",""))</f>
        <v/>
      </c>
    </row>
    <row r="392" customFormat="false" ht="15" hidden="false" customHeight="true" outlineLevel="0" collapsed="false">
      <c r="A392" s="67" t="str">
        <f aca="false">IF(OR(TRIM(C392)="",SUBSTITUTE(C392," ","")="소계"),"제외",IF(ISNUMBER(SEARCH("홍콩",C392)),"HK",IF(ISNUMBER(SEARCH("상해",C392)),"CN",IF(ISNUMBER(SEARCH("대만",C392)),"TW","홀세일"))))</f>
        <v>HK</v>
      </c>
      <c r="B392" s="87" t="s">
        <v>823</v>
      </c>
      <c r="C392" s="88" t="s">
        <v>824</v>
      </c>
      <c r="D392" s="88" t="s">
        <v>178</v>
      </c>
      <c r="E392" s="87" t="n">
        <v>2026</v>
      </c>
      <c r="F392" s="88" t="s">
        <v>277</v>
      </c>
      <c r="G392" s="88" t="s">
        <v>180</v>
      </c>
      <c r="H392" s="87" t="s">
        <v>189</v>
      </c>
      <c r="I392" s="87" t="s">
        <v>348</v>
      </c>
      <c r="J392" s="88" t="s">
        <v>349</v>
      </c>
      <c r="K392" s="89" t="n">
        <v>1140</v>
      </c>
      <c r="L392" s="89" t="n">
        <v>78660000</v>
      </c>
      <c r="M392" s="89" t="n">
        <v>28466940</v>
      </c>
      <c r="N392" s="90" t="n">
        <f aca="false">IF(A392="제외",0,IF(OR(N(L392)&lt;=0,N(M392)&gt;N(L392)),N(M392)/가정!$B$4,N(L392)))</f>
        <v>78660000</v>
      </c>
      <c r="O392" s="67" t="str">
        <f aca="false">IF(A392="제외","",IF(OR(N(L392)&lt;=0,N(M392)&gt;N(L392)),"택가보정(판매금액÷공급율)",""))</f>
        <v/>
      </c>
    </row>
    <row r="393" customFormat="false" ht="15" hidden="false" customHeight="true" outlineLevel="0" collapsed="false">
      <c r="A393" s="67" t="str">
        <f aca="false">IF(OR(TRIM(C393)="",SUBSTITUTE(C393," ","")="소계"),"제외",IF(ISNUMBER(SEARCH("홍콩",C393)),"HK",IF(ISNUMBER(SEARCH("상해",C393)),"CN",IF(ISNUMBER(SEARCH("대만",C393)),"TW","홀세일"))))</f>
        <v>HK</v>
      </c>
      <c r="B393" s="87" t="s">
        <v>823</v>
      </c>
      <c r="C393" s="88" t="s">
        <v>824</v>
      </c>
      <c r="D393" s="88" t="s">
        <v>178</v>
      </c>
      <c r="E393" s="87" t="n">
        <v>2026</v>
      </c>
      <c r="F393" s="88" t="s">
        <v>277</v>
      </c>
      <c r="G393" s="88" t="s">
        <v>180</v>
      </c>
      <c r="H393" s="87" t="s">
        <v>189</v>
      </c>
      <c r="I393" s="87" t="s">
        <v>350</v>
      </c>
      <c r="J393" s="88" t="s">
        <v>351</v>
      </c>
      <c r="K393" s="89" t="n">
        <v>420</v>
      </c>
      <c r="L393" s="89" t="n">
        <v>24780000</v>
      </c>
      <c r="M393" s="89" t="n">
        <v>8972040</v>
      </c>
      <c r="N393" s="90" t="n">
        <f aca="false">IF(A393="제외",0,IF(OR(N(L393)&lt;=0,N(M393)&gt;N(L393)),N(M393)/가정!$B$4,N(L393)))</f>
        <v>24780000</v>
      </c>
      <c r="O393" s="67" t="str">
        <f aca="false">IF(A393="제외","",IF(OR(N(L393)&lt;=0,N(M393)&gt;N(L393)),"택가보정(판매금액÷공급율)",""))</f>
        <v/>
      </c>
    </row>
    <row r="394" customFormat="false" ht="15" hidden="false" customHeight="true" outlineLevel="0" collapsed="false">
      <c r="A394" s="67" t="str">
        <f aca="false">IF(OR(TRIM(C394)="",SUBSTITUTE(C394," ","")="소계"),"제외",IF(ISNUMBER(SEARCH("홍콩",C394)),"HK",IF(ISNUMBER(SEARCH("상해",C394)),"CN",IF(ISNUMBER(SEARCH("대만",C394)),"TW","홀세일"))))</f>
        <v>HK</v>
      </c>
      <c r="B394" s="87" t="s">
        <v>823</v>
      </c>
      <c r="C394" s="88" t="s">
        <v>824</v>
      </c>
      <c r="D394" s="88" t="s">
        <v>178</v>
      </c>
      <c r="E394" s="87" t="n">
        <v>2026</v>
      </c>
      <c r="F394" s="88" t="s">
        <v>277</v>
      </c>
      <c r="G394" s="88" t="s">
        <v>180</v>
      </c>
      <c r="H394" s="87" t="s">
        <v>189</v>
      </c>
      <c r="I394" s="87" t="s">
        <v>352</v>
      </c>
      <c r="J394" s="88" t="s">
        <v>353</v>
      </c>
      <c r="K394" s="89" t="n">
        <v>360</v>
      </c>
      <c r="L394" s="89" t="n">
        <v>21240000</v>
      </c>
      <c r="M394" s="89" t="n">
        <v>7690320</v>
      </c>
      <c r="N394" s="90" t="n">
        <f aca="false">IF(A394="제외",0,IF(OR(N(L394)&lt;=0,N(M394)&gt;N(L394)),N(M394)/가정!$B$4,N(L394)))</f>
        <v>21240000</v>
      </c>
      <c r="O394" s="67" t="str">
        <f aca="false">IF(A394="제외","",IF(OR(N(L394)&lt;=0,N(M394)&gt;N(L394)),"택가보정(판매금액÷공급율)",""))</f>
        <v/>
      </c>
    </row>
    <row r="395" customFormat="false" ht="15" hidden="false" customHeight="true" outlineLevel="0" collapsed="false">
      <c r="A395" s="67" t="str">
        <f aca="false">IF(OR(TRIM(C395)="",SUBSTITUTE(C395," ","")="소계"),"제외",IF(ISNUMBER(SEARCH("홍콩",C395)),"HK",IF(ISNUMBER(SEARCH("상해",C395)),"CN",IF(ISNUMBER(SEARCH("대만",C395)),"TW","홀세일"))))</f>
        <v>HK</v>
      </c>
      <c r="B395" s="87" t="s">
        <v>823</v>
      </c>
      <c r="C395" s="88" t="s">
        <v>824</v>
      </c>
      <c r="D395" s="88" t="s">
        <v>178</v>
      </c>
      <c r="E395" s="87" t="n">
        <v>2026</v>
      </c>
      <c r="F395" s="88" t="s">
        <v>277</v>
      </c>
      <c r="G395" s="88" t="s">
        <v>180</v>
      </c>
      <c r="H395" s="87" t="s">
        <v>189</v>
      </c>
      <c r="I395" s="87" t="s">
        <v>356</v>
      </c>
      <c r="J395" s="88" t="s">
        <v>357</v>
      </c>
      <c r="K395" s="89" t="n">
        <v>480</v>
      </c>
      <c r="L395" s="89" t="n">
        <v>28320000</v>
      </c>
      <c r="M395" s="89" t="n">
        <v>10627680</v>
      </c>
      <c r="N395" s="90" t="n">
        <f aca="false">IF(A395="제외",0,IF(OR(N(L395)&lt;=0,N(M395)&gt;N(L395)),N(M395)/가정!$B$4,N(L395)))</f>
        <v>28320000</v>
      </c>
      <c r="O395" s="67" t="str">
        <f aca="false">IF(A395="제외","",IF(OR(N(L395)&lt;=0,N(M395)&gt;N(L395)),"택가보정(판매금액÷공급율)",""))</f>
        <v/>
      </c>
    </row>
    <row r="396" customFormat="false" ht="15" hidden="false" customHeight="true" outlineLevel="0" collapsed="false">
      <c r="A396" s="67" t="str">
        <f aca="false">IF(OR(TRIM(C396)="",SUBSTITUTE(C396," ","")="소계"),"제외",IF(ISNUMBER(SEARCH("홍콩",C396)),"HK",IF(ISNUMBER(SEARCH("상해",C396)),"CN",IF(ISNUMBER(SEARCH("대만",C396)),"TW","홀세일"))))</f>
        <v>HK</v>
      </c>
      <c r="B396" s="87" t="s">
        <v>823</v>
      </c>
      <c r="C396" s="88" t="s">
        <v>824</v>
      </c>
      <c r="D396" s="88" t="s">
        <v>178</v>
      </c>
      <c r="E396" s="87" t="n">
        <v>2026</v>
      </c>
      <c r="F396" s="88" t="s">
        <v>277</v>
      </c>
      <c r="G396" s="88" t="s">
        <v>180</v>
      </c>
      <c r="H396" s="87" t="s">
        <v>189</v>
      </c>
      <c r="I396" s="87" t="s">
        <v>358</v>
      </c>
      <c r="J396" s="88" t="s">
        <v>359</v>
      </c>
      <c r="K396" s="89" t="n">
        <v>720</v>
      </c>
      <c r="L396" s="89" t="n">
        <v>49680000</v>
      </c>
      <c r="M396" s="89" t="n">
        <v>18634320</v>
      </c>
      <c r="N396" s="90" t="n">
        <f aca="false">IF(A396="제외",0,IF(OR(N(L396)&lt;=0,N(M396)&gt;N(L396)),N(M396)/가정!$B$4,N(L396)))</f>
        <v>49680000</v>
      </c>
      <c r="O396" s="67" t="str">
        <f aca="false">IF(A396="제외","",IF(OR(N(L396)&lt;=0,N(M396)&gt;N(L396)),"택가보정(판매금액÷공급율)",""))</f>
        <v/>
      </c>
    </row>
    <row r="397" customFormat="false" ht="15" hidden="false" customHeight="true" outlineLevel="0" collapsed="false">
      <c r="A397" s="67" t="str">
        <f aca="false">IF(OR(TRIM(C397)="",SUBSTITUTE(C397," ","")="소계"),"제외",IF(ISNUMBER(SEARCH("홍콩",C397)),"HK",IF(ISNUMBER(SEARCH("상해",C397)),"CN",IF(ISNUMBER(SEARCH("대만",C397)),"TW","홀세일"))))</f>
        <v>HK</v>
      </c>
      <c r="B397" s="87" t="s">
        <v>823</v>
      </c>
      <c r="C397" s="88" t="s">
        <v>824</v>
      </c>
      <c r="D397" s="88" t="s">
        <v>178</v>
      </c>
      <c r="E397" s="87" t="n">
        <v>2026</v>
      </c>
      <c r="F397" s="88" t="s">
        <v>277</v>
      </c>
      <c r="G397" s="88" t="s">
        <v>180</v>
      </c>
      <c r="H397" s="87" t="s">
        <v>189</v>
      </c>
      <c r="I397" s="87" t="s">
        <v>360</v>
      </c>
      <c r="J397" s="88" t="s">
        <v>361</v>
      </c>
      <c r="K397" s="89" t="n">
        <v>720</v>
      </c>
      <c r="L397" s="89" t="n">
        <v>49680000</v>
      </c>
      <c r="M397" s="89" t="n">
        <v>18634320</v>
      </c>
      <c r="N397" s="90" t="n">
        <f aca="false">IF(A397="제외",0,IF(OR(N(L397)&lt;=0,N(M397)&gt;N(L397)),N(M397)/가정!$B$4,N(L397)))</f>
        <v>49680000</v>
      </c>
      <c r="O397" s="67" t="str">
        <f aca="false">IF(A397="제외","",IF(OR(N(L397)&lt;=0,N(M397)&gt;N(L397)),"택가보정(판매금액÷공급율)",""))</f>
        <v/>
      </c>
    </row>
    <row r="398" customFormat="false" ht="15" hidden="false" customHeight="true" outlineLevel="0" collapsed="false">
      <c r="A398" s="67" t="str">
        <f aca="false">IF(OR(TRIM(C398)="",SUBSTITUTE(C398," ","")="소계"),"제외",IF(ISNUMBER(SEARCH("홍콩",C398)),"HK",IF(ISNUMBER(SEARCH("상해",C398)),"CN",IF(ISNUMBER(SEARCH("대만",C398)),"TW","홀세일"))))</f>
        <v>HK</v>
      </c>
      <c r="B398" s="87" t="s">
        <v>823</v>
      </c>
      <c r="C398" s="88" t="s">
        <v>824</v>
      </c>
      <c r="D398" s="88" t="s">
        <v>178</v>
      </c>
      <c r="E398" s="87" t="n">
        <v>2026</v>
      </c>
      <c r="F398" s="88" t="s">
        <v>277</v>
      </c>
      <c r="G398" s="88" t="s">
        <v>180</v>
      </c>
      <c r="H398" s="87" t="s">
        <v>189</v>
      </c>
      <c r="I398" s="87" t="s">
        <v>889</v>
      </c>
      <c r="J398" s="88" t="s">
        <v>890</v>
      </c>
      <c r="K398" s="89" t="n">
        <v>660</v>
      </c>
      <c r="L398" s="89" t="n">
        <v>38940000</v>
      </c>
      <c r="M398" s="89" t="n">
        <v>14454660</v>
      </c>
      <c r="N398" s="90" t="n">
        <f aca="false">IF(A398="제외",0,IF(OR(N(L398)&lt;=0,N(M398)&gt;N(L398)),N(M398)/가정!$B$4,N(L398)))</f>
        <v>38940000</v>
      </c>
      <c r="O398" s="67" t="str">
        <f aca="false">IF(A398="제외","",IF(OR(N(L398)&lt;=0,N(M398)&gt;N(L398)),"택가보정(판매금액÷공급율)",""))</f>
        <v/>
      </c>
    </row>
    <row r="399" customFormat="false" ht="15" hidden="false" customHeight="true" outlineLevel="0" collapsed="false">
      <c r="A399" s="67" t="str">
        <f aca="false">IF(OR(TRIM(C399)="",SUBSTITUTE(C399," ","")="소계"),"제외",IF(ISNUMBER(SEARCH("홍콩",C399)),"HK",IF(ISNUMBER(SEARCH("상해",C399)),"CN",IF(ISNUMBER(SEARCH("대만",C399)),"TW","홀세일"))))</f>
        <v>HK</v>
      </c>
      <c r="B399" s="87" t="s">
        <v>823</v>
      </c>
      <c r="C399" s="88" t="s">
        <v>824</v>
      </c>
      <c r="D399" s="88" t="s">
        <v>178</v>
      </c>
      <c r="E399" s="87" t="n">
        <v>2026</v>
      </c>
      <c r="F399" s="88" t="s">
        <v>277</v>
      </c>
      <c r="G399" s="88" t="s">
        <v>180</v>
      </c>
      <c r="H399" s="87" t="s">
        <v>189</v>
      </c>
      <c r="I399" s="87" t="s">
        <v>362</v>
      </c>
      <c r="J399" s="88" t="s">
        <v>363</v>
      </c>
      <c r="K399" s="89" t="n">
        <v>658</v>
      </c>
      <c r="L399" s="89" t="n">
        <v>38822000</v>
      </c>
      <c r="M399" s="89" t="n">
        <v>14569789</v>
      </c>
      <c r="N399" s="90" t="n">
        <f aca="false">IF(A399="제외",0,IF(OR(N(L399)&lt;=0,N(M399)&gt;N(L399)),N(M399)/가정!$B$4,N(L399)))</f>
        <v>38822000</v>
      </c>
      <c r="O399" s="67" t="str">
        <f aca="false">IF(A399="제외","",IF(OR(N(L399)&lt;=0,N(M399)&gt;N(L399)),"택가보정(판매금액÷공급율)",""))</f>
        <v/>
      </c>
    </row>
    <row r="400" customFormat="false" ht="15" hidden="false" customHeight="true" outlineLevel="0" collapsed="false">
      <c r="A400" s="67" t="str">
        <f aca="false">IF(OR(TRIM(C400)="",SUBSTITUTE(C400," ","")="소계"),"제외",IF(ISNUMBER(SEARCH("홍콩",C400)),"HK",IF(ISNUMBER(SEARCH("상해",C400)),"CN",IF(ISNUMBER(SEARCH("대만",C400)),"TW","홀세일"))))</f>
        <v>HK</v>
      </c>
      <c r="B400" s="87" t="s">
        <v>823</v>
      </c>
      <c r="C400" s="88" t="s">
        <v>824</v>
      </c>
      <c r="D400" s="88" t="s">
        <v>178</v>
      </c>
      <c r="E400" s="87" t="n">
        <v>2026</v>
      </c>
      <c r="F400" s="88" t="s">
        <v>277</v>
      </c>
      <c r="G400" s="88" t="s">
        <v>180</v>
      </c>
      <c r="H400" s="87" t="s">
        <v>189</v>
      </c>
      <c r="I400" s="87" t="s">
        <v>364</v>
      </c>
      <c r="J400" s="88" t="s">
        <v>365</v>
      </c>
      <c r="K400" s="89" t="n">
        <v>479</v>
      </c>
      <c r="L400" s="89" t="n">
        <v>33051000</v>
      </c>
      <c r="M400" s="89" t="n">
        <v>12397787</v>
      </c>
      <c r="N400" s="90" t="n">
        <f aca="false">IF(A400="제외",0,IF(OR(N(L400)&lt;=0,N(M400)&gt;N(L400)),N(M400)/가정!$B$4,N(L400)))</f>
        <v>33051000</v>
      </c>
      <c r="O400" s="67" t="str">
        <f aca="false">IF(A400="제외","",IF(OR(N(L400)&lt;=0,N(M400)&gt;N(L400)),"택가보정(판매금액÷공급율)",""))</f>
        <v/>
      </c>
    </row>
    <row r="401" customFormat="false" ht="15" hidden="false" customHeight="true" outlineLevel="0" collapsed="false">
      <c r="A401" s="67" t="str">
        <f aca="false">IF(OR(TRIM(C401)="",SUBSTITUTE(C401," ","")="소계"),"제외",IF(ISNUMBER(SEARCH("홍콩",C401)),"HK",IF(ISNUMBER(SEARCH("상해",C401)),"CN",IF(ISNUMBER(SEARCH("대만",C401)),"TW","홀세일"))))</f>
        <v>HK</v>
      </c>
      <c r="B401" s="87" t="s">
        <v>823</v>
      </c>
      <c r="C401" s="88" t="s">
        <v>824</v>
      </c>
      <c r="D401" s="88" t="s">
        <v>178</v>
      </c>
      <c r="E401" s="87" t="n">
        <v>2026</v>
      </c>
      <c r="F401" s="88" t="s">
        <v>277</v>
      </c>
      <c r="G401" s="88" t="s">
        <v>180</v>
      </c>
      <c r="H401" s="87" t="s">
        <v>189</v>
      </c>
      <c r="I401" s="87" t="s">
        <v>366</v>
      </c>
      <c r="J401" s="88" t="s">
        <v>367</v>
      </c>
      <c r="K401" s="89" t="n">
        <v>600</v>
      </c>
      <c r="L401" s="89" t="n">
        <v>53400000</v>
      </c>
      <c r="M401" s="89" t="n">
        <v>19059600</v>
      </c>
      <c r="N401" s="90" t="n">
        <f aca="false">IF(A401="제외",0,IF(OR(N(L401)&lt;=0,N(M401)&gt;N(L401)),N(M401)/가정!$B$4,N(L401)))</f>
        <v>53400000</v>
      </c>
      <c r="O401" s="67" t="str">
        <f aca="false">IF(A401="제외","",IF(OR(N(L401)&lt;=0,N(M401)&gt;N(L401)),"택가보정(판매금액÷공급율)",""))</f>
        <v/>
      </c>
    </row>
    <row r="402" customFormat="false" ht="15" hidden="false" customHeight="true" outlineLevel="0" collapsed="false">
      <c r="A402" s="67" t="str">
        <f aca="false">IF(OR(TRIM(C402)="",SUBSTITUTE(C402," ","")="소계"),"제외",IF(ISNUMBER(SEARCH("홍콩",C402)),"HK",IF(ISNUMBER(SEARCH("상해",C402)),"CN",IF(ISNUMBER(SEARCH("대만",C402)),"TW","홀세일"))))</f>
        <v>HK</v>
      </c>
      <c r="B402" s="87" t="s">
        <v>823</v>
      </c>
      <c r="C402" s="88" t="s">
        <v>824</v>
      </c>
      <c r="D402" s="88" t="s">
        <v>178</v>
      </c>
      <c r="E402" s="87" t="n">
        <v>2026</v>
      </c>
      <c r="F402" s="88" t="s">
        <v>277</v>
      </c>
      <c r="G402" s="88" t="s">
        <v>180</v>
      </c>
      <c r="H402" s="87" t="s">
        <v>189</v>
      </c>
      <c r="I402" s="87" t="s">
        <v>370</v>
      </c>
      <c r="J402" s="88" t="s">
        <v>371</v>
      </c>
      <c r="K402" s="89" t="n">
        <v>780</v>
      </c>
      <c r="L402" s="89" t="n">
        <v>69420000</v>
      </c>
      <c r="M402" s="89" t="n">
        <v>25970880</v>
      </c>
      <c r="N402" s="90" t="n">
        <f aca="false">IF(A402="제외",0,IF(OR(N(L402)&lt;=0,N(M402)&gt;N(L402)),N(M402)/가정!$B$4,N(L402)))</f>
        <v>69420000</v>
      </c>
      <c r="O402" s="67" t="str">
        <f aca="false">IF(A402="제외","",IF(OR(N(L402)&lt;=0,N(M402)&gt;N(L402)),"택가보정(판매금액÷공급율)",""))</f>
        <v/>
      </c>
    </row>
    <row r="403" customFormat="false" ht="15" hidden="false" customHeight="true" outlineLevel="0" collapsed="false">
      <c r="A403" s="67" t="str">
        <f aca="false">IF(OR(TRIM(C403)="",SUBSTITUTE(C403," ","")="소계"),"제외",IF(ISNUMBER(SEARCH("홍콩",C403)),"HK",IF(ISNUMBER(SEARCH("상해",C403)),"CN",IF(ISNUMBER(SEARCH("대만",C403)),"TW","홀세일"))))</f>
        <v>HK</v>
      </c>
      <c r="B403" s="87" t="s">
        <v>823</v>
      </c>
      <c r="C403" s="88" t="s">
        <v>824</v>
      </c>
      <c r="D403" s="88" t="s">
        <v>178</v>
      </c>
      <c r="E403" s="87" t="n">
        <v>2026</v>
      </c>
      <c r="F403" s="88" t="s">
        <v>277</v>
      </c>
      <c r="G403" s="88" t="s">
        <v>180</v>
      </c>
      <c r="H403" s="87" t="s">
        <v>189</v>
      </c>
      <c r="I403" s="87" t="s">
        <v>891</v>
      </c>
      <c r="J403" s="88" t="s">
        <v>892</v>
      </c>
      <c r="K403" s="89" t="n">
        <v>180</v>
      </c>
      <c r="L403" s="89" t="n">
        <v>12420000</v>
      </c>
      <c r="M403" s="89" t="n">
        <v>3944340</v>
      </c>
      <c r="N403" s="90" t="n">
        <f aca="false">IF(A403="제외",0,IF(OR(N(L403)&lt;=0,N(M403)&gt;N(L403)),N(M403)/가정!$B$4,N(L403)))</f>
        <v>12420000</v>
      </c>
      <c r="O403" s="67" t="str">
        <f aca="false">IF(A403="제외","",IF(OR(N(L403)&lt;=0,N(M403)&gt;N(L403)),"택가보정(판매금액÷공급율)",""))</f>
        <v/>
      </c>
    </row>
    <row r="404" customFormat="false" ht="15" hidden="false" customHeight="true" outlineLevel="0" collapsed="false">
      <c r="A404" s="67" t="str">
        <f aca="false">IF(OR(TRIM(C404)="",SUBSTITUTE(C404," ","")="소계"),"제외",IF(ISNUMBER(SEARCH("홍콩",C404)),"HK",IF(ISNUMBER(SEARCH("상해",C404)),"CN",IF(ISNUMBER(SEARCH("대만",C404)),"TW","홀세일"))))</f>
        <v>HK</v>
      </c>
      <c r="B404" s="87" t="s">
        <v>823</v>
      </c>
      <c r="C404" s="88" t="s">
        <v>824</v>
      </c>
      <c r="D404" s="88" t="s">
        <v>178</v>
      </c>
      <c r="E404" s="87" t="n">
        <v>2026</v>
      </c>
      <c r="F404" s="88" t="s">
        <v>277</v>
      </c>
      <c r="G404" s="88" t="s">
        <v>180</v>
      </c>
      <c r="H404" s="87" t="s">
        <v>181</v>
      </c>
      <c r="I404" s="87" t="s">
        <v>372</v>
      </c>
      <c r="J404" s="88" t="s">
        <v>373</v>
      </c>
      <c r="K404" s="89" t="n">
        <v>956</v>
      </c>
      <c r="L404" s="89" t="n">
        <v>56404000</v>
      </c>
      <c r="M404" s="89" t="n">
        <v>20422072</v>
      </c>
      <c r="N404" s="90" t="n">
        <f aca="false">IF(A404="제외",0,IF(OR(N(L404)&lt;=0,N(M404)&gt;N(L404)),N(M404)/가정!$B$4,N(L404)))</f>
        <v>56404000</v>
      </c>
      <c r="O404" s="67" t="str">
        <f aca="false">IF(A404="제외","",IF(OR(N(L404)&lt;=0,N(M404)&gt;N(L404)),"택가보정(판매금액÷공급율)",""))</f>
        <v/>
      </c>
    </row>
    <row r="405" customFormat="false" ht="15" hidden="false" customHeight="true" outlineLevel="0" collapsed="false">
      <c r="A405" s="67" t="str">
        <f aca="false">IF(OR(TRIM(C405)="",SUBSTITUTE(C405," ","")="소계"),"제외",IF(ISNUMBER(SEARCH("홍콩",C405)),"HK",IF(ISNUMBER(SEARCH("상해",C405)),"CN",IF(ISNUMBER(SEARCH("대만",C405)),"TW","홀세일"))))</f>
        <v>HK</v>
      </c>
      <c r="B405" s="87" t="s">
        <v>823</v>
      </c>
      <c r="C405" s="88" t="s">
        <v>824</v>
      </c>
      <c r="D405" s="88" t="s">
        <v>178</v>
      </c>
      <c r="E405" s="87" t="n">
        <v>2026</v>
      </c>
      <c r="F405" s="88" t="s">
        <v>277</v>
      </c>
      <c r="G405" s="88" t="s">
        <v>180</v>
      </c>
      <c r="H405" s="87" t="s">
        <v>181</v>
      </c>
      <c r="I405" s="87" t="s">
        <v>374</v>
      </c>
      <c r="J405" s="88" t="s">
        <v>375</v>
      </c>
      <c r="K405" s="89" t="n">
        <v>775</v>
      </c>
      <c r="L405" s="89" t="n">
        <v>45725000</v>
      </c>
      <c r="M405" s="89" t="n">
        <v>16555550</v>
      </c>
      <c r="N405" s="90" t="n">
        <f aca="false">IF(A405="제외",0,IF(OR(N(L405)&lt;=0,N(M405)&gt;N(L405)),N(M405)/가정!$B$4,N(L405)))</f>
        <v>45725000</v>
      </c>
      <c r="O405" s="67" t="str">
        <f aca="false">IF(A405="제외","",IF(OR(N(L405)&lt;=0,N(M405)&gt;N(L405)),"택가보정(판매금액÷공급율)",""))</f>
        <v/>
      </c>
    </row>
    <row r="406" customFormat="false" ht="15" hidden="false" customHeight="true" outlineLevel="0" collapsed="false">
      <c r="A406" s="67" t="str">
        <f aca="false">IF(OR(TRIM(C406)="",SUBSTITUTE(C406," ","")="소계"),"제외",IF(ISNUMBER(SEARCH("홍콩",C406)),"HK",IF(ISNUMBER(SEARCH("상해",C406)),"CN",IF(ISNUMBER(SEARCH("대만",C406)),"TW","홀세일"))))</f>
        <v>HK</v>
      </c>
      <c r="B406" s="87" t="s">
        <v>823</v>
      </c>
      <c r="C406" s="88" t="s">
        <v>824</v>
      </c>
      <c r="D406" s="88" t="s">
        <v>178</v>
      </c>
      <c r="E406" s="87" t="n">
        <v>2026</v>
      </c>
      <c r="F406" s="88" t="s">
        <v>277</v>
      </c>
      <c r="G406" s="88" t="s">
        <v>180</v>
      </c>
      <c r="H406" s="87" t="s">
        <v>181</v>
      </c>
      <c r="I406" s="87" t="s">
        <v>376</v>
      </c>
      <c r="J406" s="88" t="s">
        <v>377</v>
      </c>
      <c r="K406" s="89" t="n">
        <v>660</v>
      </c>
      <c r="L406" s="89" t="n">
        <v>38940000</v>
      </c>
      <c r="M406" s="89" t="n">
        <v>14153700</v>
      </c>
      <c r="N406" s="90" t="n">
        <f aca="false">IF(A406="제외",0,IF(OR(N(L406)&lt;=0,N(M406)&gt;N(L406)),N(M406)/가정!$B$4,N(L406)))</f>
        <v>38940000</v>
      </c>
      <c r="O406" s="67" t="str">
        <f aca="false">IF(A406="제외","",IF(OR(N(L406)&lt;=0,N(M406)&gt;N(L406)),"택가보정(판매금액÷공급율)",""))</f>
        <v/>
      </c>
    </row>
    <row r="407" customFormat="false" ht="15" hidden="false" customHeight="true" outlineLevel="0" collapsed="false">
      <c r="A407" s="67" t="str">
        <f aca="false">IF(OR(TRIM(C407)="",SUBSTITUTE(C407," ","")="소계"),"제외",IF(ISNUMBER(SEARCH("홍콩",C407)),"HK",IF(ISNUMBER(SEARCH("상해",C407)),"CN",IF(ISNUMBER(SEARCH("대만",C407)),"TW","홀세일"))))</f>
        <v>HK</v>
      </c>
      <c r="B407" s="87" t="s">
        <v>823</v>
      </c>
      <c r="C407" s="88" t="s">
        <v>824</v>
      </c>
      <c r="D407" s="88" t="s">
        <v>178</v>
      </c>
      <c r="E407" s="87" t="n">
        <v>2026</v>
      </c>
      <c r="F407" s="88" t="s">
        <v>277</v>
      </c>
      <c r="G407" s="88" t="s">
        <v>180</v>
      </c>
      <c r="H407" s="87" t="s">
        <v>181</v>
      </c>
      <c r="I407" s="87" t="s">
        <v>378</v>
      </c>
      <c r="J407" s="88" t="s">
        <v>379</v>
      </c>
      <c r="K407" s="89" t="n">
        <v>780</v>
      </c>
      <c r="L407" s="89" t="n">
        <v>53820000</v>
      </c>
      <c r="M407" s="89" t="n">
        <v>19553040</v>
      </c>
      <c r="N407" s="90" t="n">
        <f aca="false">IF(A407="제외",0,IF(OR(N(L407)&lt;=0,N(M407)&gt;N(L407)),N(M407)/가정!$B$4,N(L407)))</f>
        <v>53820000</v>
      </c>
      <c r="O407" s="67" t="str">
        <f aca="false">IF(A407="제외","",IF(OR(N(L407)&lt;=0,N(M407)&gt;N(L407)),"택가보정(판매금액÷공급율)",""))</f>
        <v/>
      </c>
    </row>
    <row r="408" customFormat="false" ht="15" hidden="false" customHeight="true" outlineLevel="0" collapsed="false">
      <c r="A408" s="67" t="str">
        <f aca="false">IF(OR(TRIM(C408)="",SUBSTITUTE(C408," ","")="소계"),"제외",IF(ISNUMBER(SEARCH("홍콩",C408)),"HK",IF(ISNUMBER(SEARCH("상해",C408)),"CN",IF(ISNUMBER(SEARCH("대만",C408)),"TW","홀세일"))))</f>
        <v>HK</v>
      </c>
      <c r="B408" s="87" t="s">
        <v>823</v>
      </c>
      <c r="C408" s="88" t="s">
        <v>824</v>
      </c>
      <c r="D408" s="88" t="s">
        <v>178</v>
      </c>
      <c r="E408" s="87" t="n">
        <v>2026</v>
      </c>
      <c r="F408" s="88" t="s">
        <v>277</v>
      </c>
      <c r="G408" s="88" t="s">
        <v>418</v>
      </c>
      <c r="H408" s="87" t="s">
        <v>189</v>
      </c>
      <c r="I408" s="87" t="s">
        <v>893</v>
      </c>
      <c r="J408" s="88" t="s">
        <v>894</v>
      </c>
      <c r="K408" s="89" t="n">
        <v>190</v>
      </c>
      <c r="L408" s="89" t="n">
        <v>9310000</v>
      </c>
      <c r="M408" s="89" t="n">
        <v>4068090</v>
      </c>
      <c r="N408" s="90" t="n">
        <f aca="false">IF(A408="제외",0,IF(OR(N(L408)&lt;=0,N(M408)&gt;N(L408)),N(M408)/가정!$B$4,N(L408)))</f>
        <v>9310000</v>
      </c>
      <c r="O408" s="67" t="str">
        <f aca="false">IF(A408="제외","",IF(OR(N(L408)&lt;=0,N(M408)&gt;N(L408)),"택가보정(판매금액÷공급율)",""))</f>
        <v/>
      </c>
    </row>
    <row r="409" customFormat="false" ht="15" hidden="false" customHeight="true" outlineLevel="0" collapsed="false">
      <c r="A409" s="67" t="str">
        <f aca="false">IF(OR(TRIM(C409)="",SUBSTITUTE(C409," ","")="소계"),"제외",IF(ISNUMBER(SEARCH("홍콩",C409)),"HK",IF(ISNUMBER(SEARCH("상해",C409)),"CN",IF(ISNUMBER(SEARCH("대만",C409)),"TW","홀세일"))))</f>
        <v>HK</v>
      </c>
      <c r="B409" s="87" t="s">
        <v>823</v>
      </c>
      <c r="C409" s="88" t="s">
        <v>824</v>
      </c>
      <c r="D409" s="88" t="s">
        <v>178</v>
      </c>
      <c r="E409" s="87" t="n">
        <v>2026</v>
      </c>
      <c r="F409" s="88" t="s">
        <v>277</v>
      </c>
      <c r="G409" s="88" t="s">
        <v>180</v>
      </c>
      <c r="H409" s="87" t="s">
        <v>246</v>
      </c>
      <c r="I409" s="87" t="s">
        <v>380</v>
      </c>
      <c r="J409" s="87" t="s">
        <v>381</v>
      </c>
      <c r="K409" s="89" t="n">
        <v>200</v>
      </c>
      <c r="L409" s="89" t="n">
        <v>15800000</v>
      </c>
      <c r="M409" s="89" t="n">
        <v>5715800</v>
      </c>
      <c r="N409" s="90" t="n">
        <f aca="false">IF(A409="제외",0,IF(OR(N(L409)&lt;=0,N(M409)&gt;N(L409)),N(M409)/가정!$B$4,N(L409)))</f>
        <v>15800000</v>
      </c>
      <c r="O409" s="67" t="str">
        <f aca="false">IF(A409="제외","",IF(OR(N(L409)&lt;=0,N(M409)&gt;N(L409)),"택가보정(판매금액÷공급율)",""))</f>
        <v/>
      </c>
    </row>
    <row r="410" customFormat="false" ht="15" hidden="false" customHeight="true" outlineLevel="0" collapsed="false">
      <c r="A410" s="67" t="str">
        <f aca="false">IF(OR(TRIM(C410)="",SUBSTITUTE(C410," ","")="소계"),"제외",IF(ISNUMBER(SEARCH("홍콩",C410)),"HK",IF(ISNUMBER(SEARCH("상해",C410)),"CN",IF(ISNUMBER(SEARCH("대만",C410)),"TW","홀세일"))))</f>
        <v>HK</v>
      </c>
      <c r="B410" s="87" t="s">
        <v>823</v>
      </c>
      <c r="C410" s="88" t="s">
        <v>824</v>
      </c>
      <c r="D410" s="88" t="s">
        <v>178</v>
      </c>
      <c r="E410" s="87" t="n">
        <v>2026</v>
      </c>
      <c r="F410" s="88" t="s">
        <v>277</v>
      </c>
      <c r="G410" s="88" t="s">
        <v>180</v>
      </c>
      <c r="H410" s="87" t="s">
        <v>246</v>
      </c>
      <c r="I410" s="87" t="s">
        <v>384</v>
      </c>
      <c r="J410" s="87" t="s">
        <v>385</v>
      </c>
      <c r="K410" s="89" t="n">
        <v>295</v>
      </c>
      <c r="L410" s="89" t="n">
        <v>23305000</v>
      </c>
      <c r="M410" s="89" t="n">
        <v>8320475</v>
      </c>
      <c r="N410" s="90" t="n">
        <f aca="false">IF(A410="제외",0,IF(OR(N(L410)&lt;=0,N(M410)&gt;N(L410)),N(M410)/가정!$B$4,N(L410)))</f>
        <v>23305000</v>
      </c>
      <c r="O410" s="67" t="str">
        <f aca="false">IF(A410="제외","",IF(OR(N(L410)&lt;=0,N(M410)&gt;N(L410)),"택가보정(판매금액÷공급율)",""))</f>
        <v/>
      </c>
    </row>
    <row r="411" customFormat="false" ht="15" hidden="false" customHeight="true" outlineLevel="0" collapsed="false">
      <c r="A411" s="67" t="str">
        <f aca="false">IF(OR(TRIM(C411)="",SUBSTITUTE(C411," ","")="소계"),"제외",IF(ISNUMBER(SEARCH("홍콩",C411)),"HK",IF(ISNUMBER(SEARCH("상해",C411)),"CN",IF(ISNUMBER(SEARCH("대만",C411)),"TW","홀세일"))))</f>
        <v>HK</v>
      </c>
      <c r="B411" s="87" t="s">
        <v>823</v>
      </c>
      <c r="C411" s="88" t="s">
        <v>824</v>
      </c>
      <c r="D411" s="88" t="s">
        <v>178</v>
      </c>
      <c r="E411" s="87" t="n">
        <v>2026</v>
      </c>
      <c r="F411" s="88" t="s">
        <v>277</v>
      </c>
      <c r="G411" s="88" t="s">
        <v>180</v>
      </c>
      <c r="H411" s="87" t="s">
        <v>246</v>
      </c>
      <c r="I411" s="87" t="s">
        <v>895</v>
      </c>
      <c r="J411" s="87" t="s">
        <v>896</v>
      </c>
      <c r="K411" s="89" t="n">
        <v>180</v>
      </c>
      <c r="L411" s="89" t="n">
        <v>16020000</v>
      </c>
      <c r="M411" s="89" t="n">
        <v>5940000</v>
      </c>
      <c r="N411" s="90" t="n">
        <f aca="false">IF(A411="제외",0,IF(OR(N(L411)&lt;=0,N(M411)&gt;N(L411)),N(M411)/가정!$B$4,N(L411)))</f>
        <v>16020000</v>
      </c>
      <c r="O411" s="67" t="str">
        <f aca="false">IF(A411="제외","",IF(OR(N(L411)&lt;=0,N(M411)&gt;N(L411)),"택가보정(판매금액÷공급율)",""))</f>
        <v/>
      </c>
    </row>
    <row r="412" customFormat="false" ht="15" hidden="false" customHeight="true" outlineLevel="0" collapsed="false">
      <c r="A412" s="67" t="str">
        <f aca="false">IF(OR(TRIM(C412)="",SUBSTITUTE(C412," ","")="소계"),"제외",IF(ISNUMBER(SEARCH("홍콩",C412)),"HK",IF(ISNUMBER(SEARCH("상해",C412)),"CN",IF(ISNUMBER(SEARCH("대만",C412)),"TW","홀세일"))))</f>
        <v>HK</v>
      </c>
      <c r="B412" s="87" t="s">
        <v>823</v>
      </c>
      <c r="C412" s="88" t="s">
        <v>824</v>
      </c>
      <c r="D412" s="88" t="s">
        <v>178</v>
      </c>
      <c r="E412" s="87" t="n">
        <v>2026</v>
      </c>
      <c r="F412" s="88" t="s">
        <v>277</v>
      </c>
      <c r="G412" s="88" t="s">
        <v>180</v>
      </c>
      <c r="H412" s="87" t="s">
        <v>246</v>
      </c>
      <c r="I412" s="87" t="s">
        <v>388</v>
      </c>
      <c r="J412" s="87" t="s">
        <v>389</v>
      </c>
      <c r="K412" s="89" t="n">
        <v>200</v>
      </c>
      <c r="L412" s="89" t="n">
        <v>27800000</v>
      </c>
      <c r="M412" s="89" t="n">
        <v>10190200</v>
      </c>
      <c r="N412" s="90" t="n">
        <f aca="false">IF(A412="제외",0,IF(OR(N(L412)&lt;=0,N(M412)&gt;N(L412)),N(M412)/가정!$B$4,N(L412)))</f>
        <v>27800000</v>
      </c>
      <c r="O412" s="67" t="str">
        <f aca="false">IF(A412="제외","",IF(OR(N(L412)&lt;=0,N(M412)&gt;N(L412)),"택가보정(판매금액÷공급율)",""))</f>
        <v/>
      </c>
    </row>
    <row r="413" customFormat="false" ht="15" hidden="false" customHeight="true" outlineLevel="0" collapsed="false">
      <c r="A413" s="67" t="str">
        <f aca="false">IF(OR(TRIM(C413)="",SUBSTITUTE(C413," ","")="소계"),"제외",IF(ISNUMBER(SEARCH("홍콩",C413)),"HK",IF(ISNUMBER(SEARCH("상해",C413)),"CN",IF(ISNUMBER(SEARCH("대만",C413)),"TW","홀세일"))))</f>
        <v>HK</v>
      </c>
      <c r="B413" s="87" t="s">
        <v>823</v>
      </c>
      <c r="C413" s="88" t="s">
        <v>824</v>
      </c>
      <c r="D413" s="88" t="s">
        <v>178</v>
      </c>
      <c r="E413" s="87" t="n">
        <v>2026</v>
      </c>
      <c r="F413" s="88" t="s">
        <v>277</v>
      </c>
      <c r="G413" s="88" t="s">
        <v>180</v>
      </c>
      <c r="H413" s="87" t="s">
        <v>246</v>
      </c>
      <c r="I413" s="87" t="s">
        <v>390</v>
      </c>
      <c r="J413" s="87" t="s">
        <v>391</v>
      </c>
      <c r="K413" s="89" t="n">
        <v>200</v>
      </c>
      <c r="L413" s="89" t="n">
        <v>25800000</v>
      </c>
      <c r="M413" s="89" t="n">
        <v>9458000</v>
      </c>
      <c r="N413" s="90" t="n">
        <f aca="false">IF(A413="제외",0,IF(OR(N(L413)&lt;=0,N(M413)&gt;N(L413)),N(M413)/가정!$B$4,N(L413)))</f>
        <v>25800000</v>
      </c>
      <c r="O413" s="67" t="str">
        <f aca="false">IF(A413="제외","",IF(OR(N(L413)&lt;=0,N(M413)&gt;N(L413)),"택가보정(판매금액÷공급율)",""))</f>
        <v/>
      </c>
    </row>
    <row r="414" customFormat="false" ht="15" hidden="false" customHeight="true" outlineLevel="0" collapsed="false">
      <c r="A414" s="67" t="str">
        <f aca="false">IF(OR(TRIM(C414)="",SUBSTITUTE(C414," ","")="소계"),"제외",IF(ISNUMBER(SEARCH("홍콩",C414)),"HK",IF(ISNUMBER(SEARCH("상해",C414)),"CN",IF(ISNUMBER(SEARCH("대만",C414)),"TW","홀세일"))))</f>
        <v>HK</v>
      </c>
      <c r="B414" s="87" t="s">
        <v>823</v>
      </c>
      <c r="C414" s="88" t="s">
        <v>824</v>
      </c>
      <c r="D414" s="88" t="s">
        <v>178</v>
      </c>
      <c r="E414" s="87" t="n">
        <v>2026</v>
      </c>
      <c r="F414" s="88" t="s">
        <v>277</v>
      </c>
      <c r="G414" s="88" t="s">
        <v>180</v>
      </c>
      <c r="H414" s="87" t="s">
        <v>246</v>
      </c>
      <c r="I414" s="87" t="s">
        <v>392</v>
      </c>
      <c r="J414" s="87" t="s">
        <v>393</v>
      </c>
      <c r="K414" s="89" t="n">
        <v>90</v>
      </c>
      <c r="L414" s="89" t="n">
        <v>13410000</v>
      </c>
      <c r="M414" s="89" t="n">
        <v>4782060</v>
      </c>
      <c r="N414" s="90" t="n">
        <f aca="false">IF(A414="제외",0,IF(OR(N(L414)&lt;=0,N(M414)&gt;N(L414)),N(M414)/가정!$B$4,N(L414)))</f>
        <v>13410000</v>
      </c>
      <c r="O414" s="67" t="str">
        <f aca="false">IF(A414="제외","",IF(OR(N(L414)&lt;=0,N(M414)&gt;N(L414)),"택가보정(판매금액÷공급율)",""))</f>
        <v/>
      </c>
    </row>
    <row r="415" customFormat="false" ht="15" hidden="false" customHeight="true" outlineLevel="0" collapsed="false">
      <c r="A415" s="67" t="str">
        <f aca="false">IF(OR(TRIM(C415)="",SUBSTITUTE(C415," ","")="소계"),"제외",IF(ISNUMBER(SEARCH("홍콩",C415)),"HK",IF(ISNUMBER(SEARCH("상해",C415)),"CN",IF(ISNUMBER(SEARCH("대만",C415)),"TW","홀세일"))))</f>
        <v>HK</v>
      </c>
      <c r="B415" s="87" t="s">
        <v>823</v>
      </c>
      <c r="C415" s="88" t="s">
        <v>824</v>
      </c>
      <c r="D415" s="88" t="s">
        <v>178</v>
      </c>
      <c r="E415" s="87" t="n">
        <v>2026</v>
      </c>
      <c r="F415" s="88" t="s">
        <v>277</v>
      </c>
      <c r="G415" s="88" t="s">
        <v>180</v>
      </c>
      <c r="H415" s="87" t="s">
        <v>246</v>
      </c>
      <c r="I415" s="87" t="s">
        <v>394</v>
      </c>
      <c r="J415" s="87" t="s">
        <v>395</v>
      </c>
      <c r="K415" s="89" t="n">
        <v>90</v>
      </c>
      <c r="L415" s="89" t="n">
        <v>9810000</v>
      </c>
      <c r="M415" s="89" t="n">
        <v>3500010</v>
      </c>
      <c r="N415" s="90" t="n">
        <f aca="false">IF(A415="제외",0,IF(OR(N(L415)&lt;=0,N(M415)&gt;N(L415)),N(M415)/가정!$B$4,N(L415)))</f>
        <v>9810000</v>
      </c>
      <c r="O415" s="67" t="str">
        <f aca="false">IF(A415="제외","",IF(OR(N(L415)&lt;=0,N(M415)&gt;N(L415)),"택가보정(판매금액÷공급율)",""))</f>
        <v/>
      </c>
    </row>
    <row r="416" customFormat="false" ht="15" hidden="false" customHeight="true" outlineLevel="0" collapsed="false">
      <c r="A416" s="67" t="str">
        <f aca="false">IF(OR(TRIM(C416)="",SUBSTITUTE(C416," ","")="소계"),"제외",IF(ISNUMBER(SEARCH("홍콩",C416)),"HK",IF(ISNUMBER(SEARCH("상해",C416)),"CN",IF(ISNUMBER(SEARCH("대만",C416)),"TW","홀세일"))))</f>
        <v>HK</v>
      </c>
      <c r="B416" s="87" t="s">
        <v>823</v>
      </c>
      <c r="C416" s="88" t="s">
        <v>824</v>
      </c>
      <c r="D416" s="88" t="s">
        <v>178</v>
      </c>
      <c r="E416" s="87" t="n">
        <v>2026</v>
      </c>
      <c r="F416" s="88" t="s">
        <v>277</v>
      </c>
      <c r="G416" s="88" t="s">
        <v>180</v>
      </c>
      <c r="H416" s="87" t="s">
        <v>246</v>
      </c>
      <c r="I416" s="87" t="s">
        <v>398</v>
      </c>
      <c r="J416" s="87" t="s">
        <v>399</v>
      </c>
      <c r="K416" s="89" t="n">
        <v>90</v>
      </c>
      <c r="L416" s="89" t="n">
        <v>10710000</v>
      </c>
      <c r="M416" s="89" t="n">
        <v>3820500</v>
      </c>
      <c r="N416" s="90" t="n">
        <f aca="false">IF(A416="제외",0,IF(OR(N(L416)&lt;=0,N(M416)&gt;N(L416)),N(M416)/가정!$B$4,N(L416)))</f>
        <v>10710000</v>
      </c>
      <c r="O416" s="67" t="str">
        <f aca="false">IF(A416="제외","",IF(OR(N(L416)&lt;=0,N(M416)&gt;N(L416)),"택가보정(판매금액÷공급율)",""))</f>
        <v/>
      </c>
    </row>
    <row r="417" customFormat="false" ht="15" hidden="false" customHeight="true" outlineLevel="0" collapsed="false">
      <c r="A417" s="67" t="str">
        <f aca="false">IF(OR(TRIM(C417)="",SUBSTITUTE(C417," ","")="소계"),"제외",IF(ISNUMBER(SEARCH("홍콩",C417)),"HK",IF(ISNUMBER(SEARCH("상해",C417)),"CN",IF(ISNUMBER(SEARCH("대만",C417)),"TW","홀세일"))))</f>
        <v>HK</v>
      </c>
      <c r="B417" s="87" t="s">
        <v>823</v>
      </c>
      <c r="C417" s="88" t="s">
        <v>824</v>
      </c>
      <c r="D417" s="88" t="s">
        <v>178</v>
      </c>
      <c r="E417" s="87" t="n">
        <v>2026</v>
      </c>
      <c r="F417" s="88" t="s">
        <v>277</v>
      </c>
      <c r="G417" s="88" t="s">
        <v>180</v>
      </c>
      <c r="H417" s="87" t="s">
        <v>246</v>
      </c>
      <c r="I417" s="87" t="s">
        <v>400</v>
      </c>
      <c r="J417" s="87" t="s">
        <v>401</v>
      </c>
      <c r="K417" s="89" t="n">
        <v>320</v>
      </c>
      <c r="L417" s="89" t="n">
        <v>54080000</v>
      </c>
      <c r="M417" s="89" t="n">
        <v>20738880</v>
      </c>
      <c r="N417" s="90" t="n">
        <f aca="false">IF(A417="제외",0,IF(OR(N(L417)&lt;=0,N(M417)&gt;N(L417)),N(M417)/가정!$B$4,N(L417)))</f>
        <v>54080000</v>
      </c>
      <c r="O417" s="67" t="str">
        <f aca="false">IF(A417="제외","",IF(OR(N(L417)&lt;=0,N(M417)&gt;N(L417)),"택가보정(판매금액÷공급율)",""))</f>
        <v/>
      </c>
    </row>
    <row r="418" customFormat="false" ht="15" hidden="false" customHeight="true" outlineLevel="0" collapsed="false">
      <c r="A418" s="67" t="str">
        <f aca="false">IF(OR(TRIM(C418)="",SUBSTITUTE(C418," ","")="소계"),"제외",IF(ISNUMBER(SEARCH("홍콩",C418)),"HK",IF(ISNUMBER(SEARCH("상해",C418)),"CN",IF(ISNUMBER(SEARCH("대만",C418)),"TW","홀세일"))))</f>
        <v>HK</v>
      </c>
      <c r="B418" s="87" t="s">
        <v>823</v>
      </c>
      <c r="C418" s="88" t="s">
        <v>824</v>
      </c>
      <c r="D418" s="88" t="s">
        <v>178</v>
      </c>
      <c r="E418" s="87" t="n">
        <v>2026</v>
      </c>
      <c r="F418" s="88" t="s">
        <v>277</v>
      </c>
      <c r="G418" s="88" t="s">
        <v>180</v>
      </c>
      <c r="H418" s="87" t="s">
        <v>246</v>
      </c>
      <c r="I418" s="87" t="s">
        <v>897</v>
      </c>
      <c r="J418" s="87" t="s">
        <v>898</v>
      </c>
      <c r="K418" s="89" t="n">
        <v>100</v>
      </c>
      <c r="L418" s="89" t="n">
        <v>17900000</v>
      </c>
      <c r="M418" s="89" t="n">
        <v>7043800</v>
      </c>
      <c r="N418" s="90" t="n">
        <f aca="false">IF(A418="제외",0,IF(OR(N(L418)&lt;=0,N(M418)&gt;N(L418)),N(M418)/가정!$B$4,N(L418)))</f>
        <v>17900000</v>
      </c>
      <c r="O418" s="67" t="str">
        <f aca="false">IF(A418="제외","",IF(OR(N(L418)&lt;=0,N(M418)&gt;N(L418)),"택가보정(판매금액÷공급율)",""))</f>
        <v/>
      </c>
    </row>
    <row r="419" customFormat="false" ht="15" hidden="false" customHeight="true" outlineLevel="0" collapsed="false">
      <c r="A419" s="67" t="str">
        <f aca="false">IF(OR(TRIM(C419)="",SUBSTITUTE(C419," ","")="소계"),"제외",IF(ISNUMBER(SEARCH("홍콩",C419)),"HK",IF(ISNUMBER(SEARCH("상해",C419)),"CN",IF(ISNUMBER(SEARCH("대만",C419)),"TW","홀세일"))))</f>
        <v>HK</v>
      </c>
      <c r="B419" s="87" t="s">
        <v>823</v>
      </c>
      <c r="C419" s="88" t="s">
        <v>824</v>
      </c>
      <c r="D419" s="88" t="s">
        <v>178</v>
      </c>
      <c r="E419" s="87" t="n">
        <v>2026</v>
      </c>
      <c r="F419" s="88" t="s">
        <v>277</v>
      </c>
      <c r="G419" s="88" t="s">
        <v>180</v>
      </c>
      <c r="H419" s="87" t="s">
        <v>246</v>
      </c>
      <c r="I419" s="87" t="s">
        <v>899</v>
      </c>
      <c r="J419" s="87" t="s">
        <v>900</v>
      </c>
      <c r="K419" s="89" t="n">
        <v>240</v>
      </c>
      <c r="L419" s="89" t="n">
        <v>42960000</v>
      </c>
      <c r="M419" s="89" t="n">
        <v>16905120</v>
      </c>
      <c r="N419" s="90" t="n">
        <f aca="false">IF(A419="제외",0,IF(OR(N(L419)&lt;=0,N(M419)&gt;N(L419)),N(M419)/가정!$B$4,N(L419)))</f>
        <v>42960000</v>
      </c>
      <c r="O419" s="67" t="str">
        <f aca="false">IF(A419="제외","",IF(OR(N(L419)&lt;=0,N(M419)&gt;N(L419)),"택가보정(판매금액÷공급율)",""))</f>
        <v/>
      </c>
    </row>
    <row r="420" customFormat="false" ht="15" hidden="false" customHeight="true" outlineLevel="0" collapsed="false">
      <c r="A420" s="67" t="str">
        <f aca="false">IF(OR(TRIM(C420)="",SUBSTITUTE(C420," ","")="소계"),"제외",IF(ISNUMBER(SEARCH("홍콩",C420)),"HK",IF(ISNUMBER(SEARCH("상해",C420)),"CN",IF(ISNUMBER(SEARCH("대만",C420)),"TW","홀세일"))))</f>
        <v>HK</v>
      </c>
      <c r="B420" s="87" t="s">
        <v>823</v>
      </c>
      <c r="C420" s="88" t="s">
        <v>824</v>
      </c>
      <c r="D420" s="88" t="s">
        <v>178</v>
      </c>
      <c r="E420" s="87" t="n">
        <v>2026</v>
      </c>
      <c r="F420" s="88" t="s">
        <v>277</v>
      </c>
      <c r="G420" s="88" t="s">
        <v>180</v>
      </c>
      <c r="H420" s="87" t="s">
        <v>246</v>
      </c>
      <c r="I420" s="87" t="s">
        <v>404</v>
      </c>
      <c r="J420" s="87" t="s">
        <v>405</v>
      </c>
      <c r="K420" s="89" t="n">
        <v>430</v>
      </c>
      <c r="L420" s="89" t="n">
        <v>81270000</v>
      </c>
      <c r="M420" s="89" t="n">
        <v>29778360</v>
      </c>
      <c r="N420" s="90" t="n">
        <f aca="false">IF(A420="제외",0,IF(OR(N(L420)&lt;=0,N(M420)&gt;N(L420)),N(M420)/가정!$B$4,N(L420)))</f>
        <v>81270000</v>
      </c>
      <c r="O420" s="67" t="str">
        <f aca="false">IF(A420="제외","",IF(OR(N(L420)&lt;=0,N(M420)&gt;N(L420)),"택가보정(판매금액÷공급율)",""))</f>
        <v/>
      </c>
    </row>
    <row r="421" customFormat="false" ht="15" hidden="false" customHeight="true" outlineLevel="0" collapsed="false">
      <c r="A421" s="67" t="str">
        <f aca="false">IF(OR(TRIM(C421)="",SUBSTITUTE(C421," ","")="소계"),"제외",IF(ISNUMBER(SEARCH("홍콩",C421)),"HK",IF(ISNUMBER(SEARCH("상해",C421)),"CN",IF(ISNUMBER(SEARCH("대만",C421)),"TW","홀세일"))))</f>
        <v>HK</v>
      </c>
      <c r="B421" s="87" t="s">
        <v>823</v>
      </c>
      <c r="C421" s="88" t="s">
        <v>824</v>
      </c>
      <c r="D421" s="88" t="s">
        <v>178</v>
      </c>
      <c r="E421" s="87" t="n">
        <v>2026</v>
      </c>
      <c r="F421" s="88" t="s">
        <v>277</v>
      </c>
      <c r="G421" s="88" t="s">
        <v>180</v>
      </c>
      <c r="H421" s="87" t="s">
        <v>246</v>
      </c>
      <c r="I421" s="87" t="s">
        <v>406</v>
      </c>
      <c r="J421" s="87" t="s">
        <v>407</v>
      </c>
      <c r="K421" s="89" t="n">
        <v>220</v>
      </c>
      <c r="L421" s="89" t="n">
        <v>32780000</v>
      </c>
      <c r="M421" s="89" t="n">
        <v>12143340</v>
      </c>
      <c r="N421" s="90" t="n">
        <f aca="false">IF(A421="제외",0,IF(OR(N(L421)&lt;=0,N(M421)&gt;N(L421)),N(M421)/가정!$B$4,N(L421)))</f>
        <v>32780000</v>
      </c>
      <c r="O421" s="67" t="str">
        <f aca="false">IF(A421="제외","",IF(OR(N(L421)&lt;=0,N(M421)&gt;N(L421)),"택가보정(판매금액÷공급율)",""))</f>
        <v/>
      </c>
    </row>
    <row r="422" customFormat="false" ht="15" hidden="false" customHeight="true" outlineLevel="0" collapsed="false">
      <c r="A422" s="67" t="str">
        <f aca="false">IF(OR(TRIM(C422)="",SUBSTITUTE(C422," ","")="소계"),"제외",IF(ISNUMBER(SEARCH("홍콩",C422)),"HK",IF(ISNUMBER(SEARCH("상해",C422)),"CN",IF(ISNUMBER(SEARCH("대만",C422)),"TW","홀세일"))))</f>
        <v>HK</v>
      </c>
      <c r="B422" s="87" t="s">
        <v>823</v>
      </c>
      <c r="C422" s="88" t="s">
        <v>824</v>
      </c>
      <c r="D422" s="88" t="s">
        <v>178</v>
      </c>
      <c r="E422" s="87" t="n">
        <v>2026</v>
      </c>
      <c r="F422" s="88" t="s">
        <v>277</v>
      </c>
      <c r="G422" s="88" t="s">
        <v>180</v>
      </c>
      <c r="H422" s="87" t="s">
        <v>246</v>
      </c>
      <c r="I422" s="87" t="s">
        <v>901</v>
      </c>
      <c r="J422" s="87" t="s">
        <v>902</v>
      </c>
      <c r="K422" s="89" t="n">
        <v>140</v>
      </c>
      <c r="L422" s="89" t="n">
        <v>22260000</v>
      </c>
      <c r="M422" s="89" t="n">
        <v>7937300</v>
      </c>
      <c r="N422" s="90" t="n">
        <f aca="false">IF(A422="제외",0,IF(OR(N(L422)&lt;=0,N(M422)&gt;N(L422)),N(M422)/가정!$B$4,N(L422)))</f>
        <v>22260000</v>
      </c>
      <c r="O422" s="67" t="str">
        <f aca="false">IF(A422="제외","",IF(OR(N(L422)&lt;=0,N(M422)&gt;N(L422)),"택가보정(판매금액÷공급율)",""))</f>
        <v/>
      </c>
    </row>
    <row r="423" customFormat="false" ht="15" hidden="false" customHeight="true" outlineLevel="0" collapsed="false">
      <c r="A423" s="67" t="str">
        <f aca="false">IF(OR(TRIM(C423)="",SUBSTITUTE(C423," ","")="소계"),"제외",IF(ISNUMBER(SEARCH("홍콩",C423)),"HK",IF(ISNUMBER(SEARCH("상해",C423)),"CN",IF(ISNUMBER(SEARCH("대만",C423)),"TW","홀세일"))))</f>
        <v>HK</v>
      </c>
      <c r="B423" s="87" t="s">
        <v>823</v>
      </c>
      <c r="C423" s="88" t="s">
        <v>824</v>
      </c>
      <c r="D423" s="88" t="s">
        <v>178</v>
      </c>
      <c r="E423" s="87" t="n">
        <v>2026</v>
      </c>
      <c r="F423" s="88" t="s">
        <v>277</v>
      </c>
      <c r="G423" s="88" t="s">
        <v>180</v>
      </c>
      <c r="H423" s="87" t="s">
        <v>246</v>
      </c>
      <c r="I423" s="87" t="s">
        <v>903</v>
      </c>
      <c r="J423" s="87" t="s">
        <v>904</v>
      </c>
      <c r="K423" s="89" t="n">
        <v>170</v>
      </c>
      <c r="L423" s="89" t="n">
        <v>30430000</v>
      </c>
      <c r="M423" s="89" t="n">
        <v>10849060</v>
      </c>
      <c r="N423" s="90" t="n">
        <f aca="false">IF(A423="제외",0,IF(OR(N(L423)&lt;=0,N(M423)&gt;N(L423)),N(M423)/가정!$B$4,N(L423)))</f>
        <v>30430000</v>
      </c>
      <c r="O423" s="67" t="str">
        <f aca="false">IF(A423="제외","",IF(OR(N(L423)&lt;=0,N(M423)&gt;N(L423)),"택가보정(판매금액÷공급율)",""))</f>
        <v/>
      </c>
    </row>
    <row r="424" customFormat="false" ht="15" hidden="false" customHeight="true" outlineLevel="0" collapsed="false">
      <c r="A424" s="67" t="str">
        <f aca="false">IF(OR(TRIM(C424)="",SUBSTITUTE(C424," ","")="소계"),"제외",IF(ISNUMBER(SEARCH("홍콩",C424)),"HK",IF(ISNUMBER(SEARCH("상해",C424)),"CN",IF(ISNUMBER(SEARCH("대만",C424)),"TW","홀세일"))))</f>
        <v>HK</v>
      </c>
      <c r="B424" s="87" t="s">
        <v>823</v>
      </c>
      <c r="C424" s="88" t="s">
        <v>824</v>
      </c>
      <c r="D424" s="88" t="s">
        <v>178</v>
      </c>
      <c r="E424" s="87" t="n">
        <v>2026</v>
      </c>
      <c r="F424" s="88" t="s">
        <v>277</v>
      </c>
      <c r="G424" s="88" t="s">
        <v>180</v>
      </c>
      <c r="H424" s="87" t="s">
        <v>246</v>
      </c>
      <c r="I424" s="87" t="s">
        <v>410</v>
      </c>
      <c r="J424" s="87" t="s">
        <v>411</v>
      </c>
      <c r="K424" s="89" t="n">
        <v>160</v>
      </c>
      <c r="L424" s="89" t="n">
        <v>15840000</v>
      </c>
      <c r="M424" s="89" t="n">
        <v>5727360</v>
      </c>
      <c r="N424" s="90" t="n">
        <f aca="false">IF(A424="제외",0,IF(OR(N(L424)&lt;=0,N(M424)&gt;N(L424)),N(M424)/가정!$B$4,N(L424)))</f>
        <v>15840000</v>
      </c>
      <c r="O424" s="67" t="str">
        <f aca="false">IF(A424="제외","",IF(OR(N(L424)&lt;=0,N(M424)&gt;N(L424)),"택가보정(판매금액÷공급율)",""))</f>
        <v/>
      </c>
    </row>
    <row r="425" customFormat="false" ht="15" hidden="false" customHeight="true" outlineLevel="0" collapsed="false">
      <c r="A425" s="67" t="str">
        <f aca="false">IF(OR(TRIM(C425)="",SUBSTITUTE(C425," ","")="소계"),"제외",IF(ISNUMBER(SEARCH("홍콩",C425)),"HK",IF(ISNUMBER(SEARCH("상해",C425)),"CN",IF(ISNUMBER(SEARCH("대만",C425)),"TW","홀세일"))))</f>
        <v>HK</v>
      </c>
      <c r="B425" s="87" t="s">
        <v>823</v>
      </c>
      <c r="C425" s="88" t="s">
        <v>824</v>
      </c>
      <c r="D425" s="88" t="s">
        <v>178</v>
      </c>
      <c r="E425" s="87" t="n">
        <v>2026</v>
      </c>
      <c r="F425" s="88" t="s">
        <v>277</v>
      </c>
      <c r="G425" s="88" t="s">
        <v>180</v>
      </c>
      <c r="H425" s="87" t="s">
        <v>246</v>
      </c>
      <c r="I425" s="87" t="s">
        <v>412</v>
      </c>
      <c r="J425" s="87" t="s">
        <v>413</v>
      </c>
      <c r="K425" s="89" t="n">
        <v>90</v>
      </c>
      <c r="L425" s="89" t="n">
        <v>9810000</v>
      </c>
      <c r="M425" s="89" t="n">
        <v>3500010</v>
      </c>
      <c r="N425" s="90" t="n">
        <f aca="false">IF(A425="제외",0,IF(OR(N(L425)&lt;=0,N(M425)&gt;N(L425)),N(M425)/가정!$B$4,N(L425)))</f>
        <v>9810000</v>
      </c>
      <c r="O425" s="67" t="str">
        <f aca="false">IF(A425="제외","",IF(OR(N(L425)&lt;=0,N(M425)&gt;N(L425)),"택가보정(판매금액÷공급율)",""))</f>
        <v/>
      </c>
    </row>
    <row r="426" customFormat="false" ht="15" hidden="false" customHeight="true" outlineLevel="0" collapsed="false">
      <c r="A426" s="67" t="str">
        <f aca="false">IF(OR(TRIM(C426)="",SUBSTITUTE(C426," ","")="소계"),"제외",IF(ISNUMBER(SEARCH("홍콩",C426)),"HK",IF(ISNUMBER(SEARCH("상해",C426)),"CN",IF(ISNUMBER(SEARCH("대만",C426)),"TW","홀세일"))))</f>
        <v>HK</v>
      </c>
      <c r="B426" s="87" t="s">
        <v>823</v>
      </c>
      <c r="C426" s="88" t="s">
        <v>824</v>
      </c>
      <c r="D426" s="88" t="s">
        <v>178</v>
      </c>
      <c r="E426" s="87" t="n">
        <v>2026</v>
      </c>
      <c r="F426" s="88" t="s">
        <v>277</v>
      </c>
      <c r="G426" s="88" t="s">
        <v>180</v>
      </c>
      <c r="H426" s="87" t="s">
        <v>246</v>
      </c>
      <c r="I426" s="87" t="s">
        <v>905</v>
      </c>
      <c r="J426" s="87" t="s">
        <v>906</v>
      </c>
      <c r="K426" s="89" t="n">
        <v>297</v>
      </c>
      <c r="L426" s="89" t="n">
        <v>17523000</v>
      </c>
      <c r="M426" s="89" t="n">
        <v>6344514</v>
      </c>
      <c r="N426" s="90" t="n">
        <f aca="false">IF(A426="제외",0,IF(OR(N(L426)&lt;=0,N(M426)&gt;N(L426)),N(M426)/가정!$B$4,N(L426)))</f>
        <v>17523000</v>
      </c>
      <c r="O426" s="67" t="str">
        <f aca="false">IF(A426="제외","",IF(OR(N(L426)&lt;=0,N(M426)&gt;N(L426)),"택가보정(판매금액÷공급율)",""))</f>
        <v/>
      </c>
    </row>
    <row r="427" customFormat="false" ht="15" hidden="false" customHeight="true" outlineLevel="0" collapsed="false">
      <c r="A427" s="67" t="str">
        <f aca="false">IF(OR(TRIM(C427)="",SUBSTITUTE(C427," ","")="소계"),"제외",IF(ISNUMBER(SEARCH("홍콩",C427)),"HK",IF(ISNUMBER(SEARCH("상해",C427)),"CN",IF(ISNUMBER(SEARCH("대만",C427)),"TW","홀세일"))))</f>
        <v>HK</v>
      </c>
      <c r="B427" s="87" t="s">
        <v>823</v>
      </c>
      <c r="C427" s="88" t="s">
        <v>824</v>
      </c>
      <c r="D427" s="88" t="s">
        <v>178</v>
      </c>
      <c r="E427" s="87" t="n">
        <v>2026</v>
      </c>
      <c r="F427" s="88" t="s">
        <v>277</v>
      </c>
      <c r="G427" s="88" t="s">
        <v>180</v>
      </c>
      <c r="H427" s="87" t="s">
        <v>246</v>
      </c>
      <c r="I427" s="87" t="s">
        <v>907</v>
      </c>
      <c r="J427" s="87" t="s">
        <v>908</v>
      </c>
      <c r="K427" s="89" t="n">
        <v>300</v>
      </c>
      <c r="L427" s="89" t="n">
        <v>20700000</v>
      </c>
      <c r="M427" s="89" t="n">
        <v>7491300</v>
      </c>
      <c r="N427" s="90" t="n">
        <f aca="false">IF(A427="제외",0,IF(OR(N(L427)&lt;=0,N(M427)&gt;N(L427)),N(M427)/가정!$B$4,N(L427)))</f>
        <v>20700000</v>
      </c>
      <c r="O427" s="67" t="str">
        <f aca="false">IF(A427="제외","",IF(OR(N(L427)&lt;=0,N(M427)&gt;N(L427)),"택가보정(판매금액÷공급율)",""))</f>
        <v/>
      </c>
    </row>
    <row r="428" customFormat="false" ht="15" hidden="false" customHeight="true" outlineLevel="0" collapsed="false">
      <c r="A428" s="67" t="str">
        <f aca="false">IF(OR(TRIM(C428)="",SUBSTITUTE(C428," ","")="소계"),"제외",IF(ISNUMBER(SEARCH("홍콩",C428)),"HK",IF(ISNUMBER(SEARCH("상해",C428)),"CN",IF(ISNUMBER(SEARCH("대만",C428)),"TW","홀세일"))))</f>
        <v>HK</v>
      </c>
      <c r="B428" s="87" t="s">
        <v>823</v>
      </c>
      <c r="C428" s="88" t="s">
        <v>824</v>
      </c>
      <c r="D428" s="88" t="s">
        <v>178</v>
      </c>
      <c r="E428" s="87" t="n">
        <v>2026</v>
      </c>
      <c r="F428" s="88" t="s">
        <v>277</v>
      </c>
      <c r="G428" s="88" t="s">
        <v>180</v>
      </c>
      <c r="H428" s="87" t="s">
        <v>246</v>
      </c>
      <c r="I428" s="87" t="s">
        <v>909</v>
      </c>
      <c r="J428" s="87" t="s">
        <v>910</v>
      </c>
      <c r="K428" s="89" t="n">
        <v>150</v>
      </c>
      <c r="L428" s="89" t="n">
        <v>8850000</v>
      </c>
      <c r="M428" s="89" t="n">
        <v>3745650</v>
      </c>
      <c r="N428" s="90" t="n">
        <f aca="false">IF(A428="제외",0,IF(OR(N(L428)&lt;=0,N(M428)&gt;N(L428)),N(M428)/가정!$B$4,N(L428)))</f>
        <v>8850000</v>
      </c>
      <c r="O428" s="67" t="str">
        <f aca="false">IF(A428="제외","",IF(OR(N(L428)&lt;=0,N(M428)&gt;N(L428)),"택가보정(판매금액÷공급율)",""))</f>
        <v/>
      </c>
    </row>
    <row r="429" customFormat="false" ht="15" hidden="false" customHeight="true" outlineLevel="0" collapsed="false">
      <c r="A429" s="67" t="str">
        <f aca="false">IF(OR(TRIM(C429)="",SUBSTITUTE(C429," ","")="소계"),"제외",IF(ISNUMBER(SEARCH("홍콩",C429)),"HK",IF(ISNUMBER(SEARCH("상해",C429)),"CN",IF(ISNUMBER(SEARCH("대만",C429)),"TW","홀세일"))))</f>
        <v>HK</v>
      </c>
      <c r="B429" s="87" t="s">
        <v>823</v>
      </c>
      <c r="C429" s="88" t="s">
        <v>824</v>
      </c>
      <c r="D429" s="88" t="s">
        <v>178</v>
      </c>
      <c r="E429" s="87" t="n">
        <v>2026</v>
      </c>
      <c r="F429" s="88" t="s">
        <v>277</v>
      </c>
      <c r="G429" s="88" t="s">
        <v>180</v>
      </c>
      <c r="H429" s="87" t="s">
        <v>246</v>
      </c>
      <c r="I429" s="87" t="s">
        <v>911</v>
      </c>
      <c r="J429" s="87" t="s">
        <v>912</v>
      </c>
      <c r="K429" s="89" t="n">
        <v>400</v>
      </c>
      <c r="L429" s="89" t="n">
        <v>23600000</v>
      </c>
      <c r="M429" s="89" t="n">
        <v>10355158</v>
      </c>
      <c r="N429" s="90" t="n">
        <f aca="false">IF(A429="제외",0,IF(OR(N(L429)&lt;=0,N(M429)&gt;N(L429)),N(M429)/가정!$B$4,N(L429)))</f>
        <v>23600000</v>
      </c>
      <c r="O429" s="67" t="str">
        <f aca="false">IF(A429="제외","",IF(OR(N(L429)&lt;=0,N(M429)&gt;N(L429)),"택가보정(판매금액÷공급율)",""))</f>
        <v/>
      </c>
    </row>
    <row r="430" customFormat="false" ht="15" hidden="false" customHeight="true" outlineLevel="0" collapsed="false">
      <c r="A430" s="67" t="str">
        <f aca="false">IF(OR(TRIM(C430)="",SUBSTITUTE(C430," ","")="소계"),"제외",IF(ISNUMBER(SEARCH("홍콩",C430)),"HK",IF(ISNUMBER(SEARCH("상해",C430)),"CN",IF(ISNUMBER(SEARCH("대만",C430)),"TW","홀세일"))))</f>
        <v>HK</v>
      </c>
      <c r="B430" s="87" t="s">
        <v>823</v>
      </c>
      <c r="C430" s="88" t="s">
        <v>824</v>
      </c>
      <c r="D430" s="88" t="s">
        <v>178</v>
      </c>
      <c r="E430" s="87" t="n">
        <v>2026</v>
      </c>
      <c r="F430" s="88" t="s">
        <v>277</v>
      </c>
      <c r="G430" s="88" t="s">
        <v>180</v>
      </c>
      <c r="H430" s="87" t="s">
        <v>246</v>
      </c>
      <c r="I430" s="87" t="s">
        <v>913</v>
      </c>
      <c r="J430" s="87" t="s">
        <v>914</v>
      </c>
      <c r="K430" s="89" t="n">
        <v>550</v>
      </c>
      <c r="L430" s="89" t="n">
        <v>32450000</v>
      </c>
      <c r="M430" s="89" t="n">
        <v>12362900</v>
      </c>
      <c r="N430" s="90" t="n">
        <f aca="false">IF(A430="제외",0,IF(OR(N(L430)&lt;=0,N(M430)&gt;N(L430)),N(M430)/가정!$B$4,N(L430)))</f>
        <v>32450000</v>
      </c>
      <c r="O430" s="67" t="str">
        <f aca="false">IF(A430="제외","",IF(OR(N(L430)&lt;=0,N(M430)&gt;N(L430)),"택가보정(판매금액÷공급율)",""))</f>
        <v/>
      </c>
    </row>
    <row r="431" customFormat="false" ht="15" hidden="false" customHeight="true" outlineLevel="0" collapsed="false">
      <c r="A431" s="67" t="str">
        <f aca="false">IF(OR(TRIM(C431)="",SUBSTITUTE(C431," ","")="소계"),"제외",IF(ISNUMBER(SEARCH("홍콩",C431)),"HK",IF(ISNUMBER(SEARCH("상해",C431)),"CN",IF(ISNUMBER(SEARCH("대만",C431)),"TW","홀세일"))))</f>
        <v>HK</v>
      </c>
      <c r="B431" s="87" t="s">
        <v>823</v>
      </c>
      <c r="C431" s="88" t="s">
        <v>824</v>
      </c>
      <c r="D431" s="88" t="s">
        <v>178</v>
      </c>
      <c r="E431" s="87" t="n">
        <v>2026</v>
      </c>
      <c r="F431" s="88" t="s">
        <v>277</v>
      </c>
      <c r="G431" s="88" t="s">
        <v>180</v>
      </c>
      <c r="H431" s="87" t="s">
        <v>246</v>
      </c>
      <c r="I431" s="87" t="s">
        <v>414</v>
      </c>
      <c r="J431" s="87" t="s">
        <v>415</v>
      </c>
      <c r="K431" s="89" t="n">
        <v>300</v>
      </c>
      <c r="L431" s="89" t="n">
        <v>20700000</v>
      </c>
      <c r="M431" s="89" t="n">
        <v>7882500</v>
      </c>
      <c r="N431" s="90" t="n">
        <f aca="false">IF(A431="제외",0,IF(OR(N(L431)&lt;=0,N(M431)&gt;N(L431)),N(M431)/가정!$B$4,N(L431)))</f>
        <v>20700000</v>
      </c>
      <c r="O431" s="67" t="str">
        <f aca="false">IF(A431="제외","",IF(OR(N(L431)&lt;=0,N(M431)&gt;N(L431)),"택가보정(판매금액÷공급율)",""))</f>
        <v/>
      </c>
    </row>
    <row r="432" customFormat="false" ht="15" hidden="false" customHeight="true" outlineLevel="0" collapsed="false">
      <c r="A432" s="67" t="str">
        <f aca="false">IF(OR(TRIM(C432)="",SUBSTITUTE(C432," ","")="소계"),"제외",IF(ISNUMBER(SEARCH("홍콩",C432)),"HK",IF(ISNUMBER(SEARCH("상해",C432)),"CN",IF(ISNUMBER(SEARCH("대만",C432)),"TW","홀세일"))))</f>
        <v>HK</v>
      </c>
      <c r="B432" s="87" t="s">
        <v>823</v>
      </c>
      <c r="C432" s="88" t="s">
        <v>824</v>
      </c>
      <c r="D432" s="88" t="s">
        <v>178</v>
      </c>
      <c r="E432" s="87" t="n">
        <v>2026</v>
      </c>
      <c r="F432" s="88" t="s">
        <v>277</v>
      </c>
      <c r="G432" s="88" t="s">
        <v>180</v>
      </c>
      <c r="H432" s="87" t="s">
        <v>246</v>
      </c>
      <c r="I432" s="87" t="s">
        <v>915</v>
      </c>
      <c r="J432" s="87" t="s">
        <v>916</v>
      </c>
      <c r="K432" s="89" t="n">
        <v>300</v>
      </c>
      <c r="L432" s="89" t="n">
        <v>17700000</v>
      </c>
      <c r="M432" s="89" t="n">
        <v>6743400</v>
      </c>
      <c r="N432" s="90" t="n">
        <f aca="false">IF(A432="제외",0,IF(OR(N(L432)&lt;=0,N(M432)&gt;N(L432)),N(M432)/가정!$B$4,N(L432)))</f>
        <v>17700000</v>
      </c>
      <c r="O432" s="67" t="str">
        <f aca="false">IF(A432="제외","",IF(OR(N(L432)&lt;=0,N(M432)&gt;N(L432)),"택가보정(판매금액÷공급율)",""))</f>
        <v/>
      </c>
    </row>
    <row r="433" customFormat="false" ht="15" hidden="false" customHeight="true" outlineLevel="0" collapsed="false">
      <c r="A433" s="67" t="str">
        <f aca="false">IF(OR(TRIM(C433)="",SUBSTITUTE(C433," ","")="소계"),"제외",IF(ISNUMBER(SEARCH("홍콩",C433)),"HK",IF(ISNUMBER(SEARCH("상해",C433)),"CN",IF(ISNUMBER(SEARCH("대만",C433)),"TW","홀세일"))))</f>
        <v>HK</v>
      </c>
      <c r="B433" s="87" t="s">
        <v>823</v>
      </c>
      <c r="C433" s="88" t="s">
        <v>824</v>
      </c>
      <c r="D433" s="88" t="s">
        <v>178</v>
      </c>
      <c r="E433" s="87" t="n">
        <v>2026</v>
      </c>
      <c r="F433" s="88" t="s">
        <v>277</v>
      </c>
      <c r="G433" s="88" t="s">
        <v>180</v>
      </c>
      <c r="H433" s="87" t="s">
        <v>246</v>
      </c>
      <c r="I433" s="87" t="s">
        <v>416</v>
      </c>
      <c r="J433" s="87" t="s">
        <v>417</v>
      </c>
      <c r="K433" s="89" t="n">
        <v>200</v>
      </c>
      <c r="L433" s="89" t="n">
        <v>15800000</v>
      </c>
      <c r="M433" s="89" t="n">
        <v>5641000</v>
      </c>
      <c r="N433" s="90" t="n">
        <f aca="false">IF(A433="제외",0,IF(OR(N(L433)&lt;=0,N(M433)&gt;N(L433)),N(M433)/가정!$B$4,N(L433)))</f>
        <v>15800000</v>
      </c>
      <c r="O433" s="67" t="str">
        <f aca="false">IF(A433="제외","",IF(OR(N(L433)&lt;=0,N(M433)&gt;N(L433)),"택가보정(판매금액÷공급율)",""))</f>
        <v/>
      </c>
    </row>
    <row r="434" customFormat="false" ht="15" hidden="false" customHeight="true" outlineLevel="0" collapsed="false">
      <c r="A434" s="67" t="str">
        <f aca="false">IF(OR(TRIM(C434)="",SUBSTITUTE(C434," ","")="소계"),"제외",IF(ISNUMBER(SEARCH("홍콩",C434)),"HK",IF(ISNUMBER(SEARCH("상해",C434)),"CN",IF(ISNUMBER(SEARCH("대만",C434)),"TW","홀세일"))))</f>
        <v>HK</v>
      </c>
      <c r="B434" s="87" t="s">
        <v>823</v>
      </c>
      <c r="C434" s="88" t="s">
        <v>824</v>
      </c>
      <c r="D434" s="88" t="s">
        <v>178</v>
      </c>
      <c r="E434" s="87" t="n">
        <v>2026</v>
      </c>
      <c r="F434" s="88" t="s">
        <v>277</v>
      </c>
      <c r="G434" s="88" t="s">
        <v>180</v>
      </c>
      <c r="H434" s="87" t="s">
        <v>246</v>
      </c>
      <c r="I434" s="87" t="s">
        <v>917</v>
      </c>
      <c r="J434" s="87" t="s">
        <v>918</v>
      </c>
      <c r="K434" s="89" t="n">
        <v>300</v>
      </c>
      <c r="L434" s="89" t="n">
        <v>26700000</v>
      </c>
      <c r="M434" s="89" t="n">
        <v>9900000</v>
      </c>
      <c r="N434" s="90" t="n">
        <f aca="false">IF(A434="제외",0,IF(OR(N(L434)&lt;=0,N(M434)&gt;N(L434)),N(M434)/가정!$B$4,N(L434)))</f>
        <v>26700000</v>
      </c>
      <c r="O434" s="67" t="str">
        <f aca="false">IF(A434="제외","",IF(OR(N(L434)&lt;=0,N(M434)&gt;N(L434)),"택가보정(판매금액÷공급율)",""))</f>
        <v/>
      </c>
    </row>
    <row r="435" customFormat="false" ht="15" hidden="false" customHeight="true" outlineLevel="0" collapsed="false">
      <c r="A435" s="67" t="str">
        <f aca="false">IF(OR(TRIM(C435)="",SUBSTITUTE(C435," ","")="소계"),"제외",IF(ISNUMBER(SEARCH("홍콩",C435)),"HK",IF(ISNUMBER(SEARCH("상해",C435)),"CN",IF(ISNUMBER(SEARCH("대만",C435)),"TW","홀세일"))))</f>
        <v>HK</v>
      </c>
      <c r="B435" s="87" t="s">
        <v>823</v>
      </c>
      <c r="C435" s="88" t="s">
        <v>824</v>
      </c>
      <c r="D435" s="88" t="s">
        <v>178</v>
      </c>
      <c r="E435" s="87" t="n">
        <v>2026</v>
      </c>
      <c r="F435" s="88" t="s">
        <v>277</v>
      </c>
      <c r="G435" s="88" t="s">
        <v>180</v>
      </c>
      <c r="H435" s="87" t="s">
        <v>246</v>
      </c>
      <c r="I435" s="87" t="s">
        <v>919</v>
      </c>
      <c r="J435" s="87" t="s">
        <v>920</v>
      </c>
      <c r="K435" s="89" t="n">
        <v>350</v>
      </c>
      <c r="L435" s="89" t="n">
        <v>20650000</v>
      </c>
      <c r="M435" s="89" t="n">
        <v>7669550</v>
      </c>
      <c r="N435" s="90" t="n">
        <f aca="false">IF(A435="제외",0,IF(OR(N(L435)&lt;=0,N(M435)&gt;N(L435)),N(M435)/가정!$B$4,N(L435)))</f>
        <v>20650000</v>
      </c>
      <c r="O435" s="67" t="str">
        <f aca="false">IF(A435="제외","",IF(OR(N(L435)&lt;=0,N(M435)&gt;N(L435)),"택가보정(판매금액÷공급율)",""))</f>
        <v/>
      </c>
    </row>
    <row r="436" customFormat="false" ht="15" hidden="false" customHeight="true" outlineLevel="0" collapsed="false">
      <c r="A436" s="67" t="str">
        <f aca="false">IF(OR(TRIM(C436)="",SUBSTITUTE(C436," ","")="소계"),"제외",IF(ISNUMBER(SEARCH("홍콩",C436)),"HK",IF(ISNUMBER(SEARCH("상해",C436)),"CN",IF(ISNUMBER(SEARCH("대만",C436)),"TW","홀세일"))))</f>
        <v>HK</v>
      </c>
      <c r="B436" s="87" t="s">
        <v>823</v>
      </c>
      <c r="C436" s="88" t="s">
        <v>824</v>
      </c>
      <c r="D436" s="88" t="s">
        <v>178</v>
      </c>
      <c r="E436" s="87" t="n">
        <v>2026</v>
      </c>
      <c r="F436" s="88" t="s">
        <v>277</v>
      </c>
      <c r="G436" s="88" t="s">
        <v>418</v>
      </c>
      <c r="H436" s="87" t="s">
        <v>189</v>
      </c>
      <c r="I436" s="87" t="s">
        <v>419</v>
      </c>
      <c r="J436" s="88" t="s">
        <v>420</v>
      </c>
      <c r="K436" s="89" t="n">
        <v>160</v>
      </c>
      <c r="L436" s="89" t="n">
        <v>17440000</v>
      </c>
      <c r="M436" s="89" t="n">
        <v>7400800</v>
      </c>
      <c r="N436" s="90" t="n">
        <f aca="false">IF(A436="제외",0,IF(OR(N(L436)&lt;=0,N(M436)&gt;N(L436)),N(M436)/가정!$B$4,N(L436)))</f>
        <v>17440000</v>
      </c>
      <c r="O436" s="67" t="str">
        <f aca="false">IF(A436="제외","",IF(OR(N(L436)&lt;=0,N(M436)&gt;N(L436)),"택가보정(판매금액÷공급율)",""))</f>
        <v/>
      </c>
    </row>
    <row r="437" customFormat="false" ht="15" hidden="false" customHeight="true" outlineLevel="0" collapsed="false">
      <c r="A437" s="67" t="str">
        <f aca="false">IF(OR(TRIM(C437)="",SUBSTITUTE(C437," ","")="소계"),"제외",IF(ISNUMBER(SEARCH("홍콩",C437)),"HK",IF(ISNUMBER(SEARCH("상해",C437)),"CN",IF(ISNUMBER(SEARCH("대만",C437)),"TW","홀세일"))))</f>
        <v>HK</v>
      </c>
      <c r="B437" s="87" t="s">
        <v>823</v>
      </c>
      <c r="C437" s="88" t="s">
        <v>824</v>
      </c>
      <c r="D437" s="88" t="s">
        <v>178</v>
      </c>
      <c r="E437" s="87" t="n">
        <v>2026</v>
      </c>
      <c r="F437" s="88" t="s">
        <v>421</v>
      </c>
      <c r="G437" s="88" t="s">
        <v>188</v>
      </c>
      <c r="H437" s="87" t="s">
        <v>189</v>
      </c>
      <c r="I437" s="87" t="s">
        <v>424</v>
      </c>
      <c r="J437" s="88" t="s">
        <v>425</v>
      </c>
      <c r="K437" s="89" t="n">
        <v>140</v>
      </c>
      <c r="L437" s="89" t="n">
        <v>22260000</v>
      </c>
      <c r="M437" s="89" t="n">
        <v>7886060</v>
      </c>
      <c r="N437" s="90" t="n">
        <f aca="false">IF(A437="제외",0,IF(OR(N(L437)&lt;=0,N(M437)&gt;N(L437)),N(M437)/가정!$B$4,N(L437)))</f>
        <v>22260000</v>
      </c>
      <c r="O437" s="67" t="str">
        <f aca="false">IF(A437="제외","",IF(OR(N(L437)&lt;=0,N(M437)&gt;N(L437)),"택가보정(판매금액÷공급율)",""))</f>
        <v/>
      </c>
    </row>
    <row r="438" customFormat="false" ht="15" hidden="false" customHeight="true" outlineLevel="0" collapsed="false">
      <c r="A438" s="67" t="str">
        <f aca="false">IF(OR(TRIM(C438)="",SUBSTITUTE(C438," ","")="소계"),"제외",IF(ISNUMBER(SEARCH("홍콩",C438)),"HK",IF(ISNUMBER(SEARCH("상해",C438)),"CN",IF(ISNUMBER(SEARCH("대만",C438)),"TW","홀세일"))))</f>
        <v>HK</v>
      </c>
      <c r="B438" s="87" t="s">
        <v>823</v>
      </c>
      <c r="C438" s="88" t="s">
        <v>824</v>
      </c>
      <c r="D438" s="88" t="s">
        <v>178</v>
      </c>
      <c r="E438" s="87" t="n">
        <v>2026</v>
      </c>
      <c r="F438" s="88" t="s">
        <v>421</v>
      </c>
      <c r="G438" s="88" t="s">
        <v>188</v>
      </c>
      <c r="H438" s="87" t="s">
        <v>189</v>
      </c>
      <c r="I438" s="87" t="s">
        <v>921</v>
      </c>
      <c r="J438" s="87" t="s">
        <v>922</v>
      </c>
      <c r="K438" s="89" t="n">
        <v>60</v>
      </c>
      <c r="L438" s="89" t="n">
        <v>15540000</v>
      </c>
      <c r="M438" s="89" t="n">
        <v>5511180</v>
      </c>
      <c r="N438" s="90" t="n">
        <f aca="false">IF(A438="제외",0,IF(OR(N(L438)&lt;=0,N(M438)&gt;N(L438)),N(M438)/가정!$B$4,N(L438)))</f>
        <v>15540000</v>
      </c>
      <c r="O438" s="67" t="str">
        <f aca="false">IF(A438="제외","",IF(OR(N(L438)&lt;=0,N(M438)&gt;N(L438)),"택가보정(판매금액÷공급율)",""))</f>
        <v/>
      </c>
    </row>
    <row r="439" customFormat="false" ht="15" hidden="false" customHeight="true" outlineLevel="0" collapsed="false">
      <c r="A439" s="67" t="str">
        <f aca="false">IF(OR(TRIM(C439)="",SUBSTITUTE(C439," ","")="소계"),"제외",IF(ISNUMBER(SEARCH("홍콩",C439)),"HK",IF(ISNUMBER(SEARCH("상해",C439)),"CN",IF(ISNUMBER(SEARCH("대만",C439)),"TW","홀세일"))))</f>
        <v>HK</v>
      </c>
      <c r="B439" s="87" t="s">
        <v>823</v>
      </c>
      <c r="C439" s="88" t="s">
        <v>824</v>
      </c>
      <c r="D439" s="88" t="s">
        <v>178</v>
      </c>
      <c r="E439" s="87" t="n">
        <v>2026</v>
      </c>
      <c r="F439" s="88" t="s">
        <v>421</v>
      </c>
      <c r="G439" s="88" t="s">
        <v>188</v>
      </c>
      <c r="H439" s="87" t="s">
        <v>189</v>
      </c>
      <c r="I439" s="87" t="s">
        <v>923</v>
      </c>
      <c r="J439" s="87" t="s">
        <v>924</v>
      </c>
      <c r="K439" s="89" t="n">
        <v>390</v>
      </c>
      <c r="L439" s="89" t="n">
        <v>42510000</v>
      </c>
      <c r="M439" s="89" t="n">
        <v>15068820</v>
      </c>
      <c r="N439" s="90" t="n">
        <f aca="false">IF(A439="제외",0,IF(OR(N(L439)&lt;=0,N(M439)&gt;N(L439)),N(M439)/가정!$B$4,N(L439)))</f>
        <v>42510000</v>
      </c>
      <c r="O439" s="67" t="str">
        <f aca="false">IF(A439="제외","",IF(OR(N(L439)&lt;=0,N(M439)&gt;N(L439)),"택가보정(판매금액÷공급율)",""))</f>
        <v/>
      </c>
    </row>
    <row r="440" customFormat="false" ht="15" hidden="false" customHeight="true" outlineLevel="0" collapsed="false">
      <c r="A440" s="67" t="str">
        <f aca="false">IF(OR(TRIM(C440)="",SUBSTITUTE(C440," ","")="소계"),"제외",IF(ISNUMBER(SEARCH("홍콩",C440)),"HK",IF(ISNUMBER(SEARCH("상해",C440)),"CN",IF(ISNUMBER(SEARCH("대만",C440)),"TW","홀세일"))))</f>
        <v>HK</v>
      </c>
      <c r="B440" s="87" t="s">
        <v>823</v>
      </c>
      <c r="C440" s="88" t="s">
        <v>824</v>
      </c>
      <c r="D440" s="88" t="s">
        <v>178</v>
      </c>
      <c r="E440" s="87" t="n">
        <v>2026</v>
      </c>
      <c r="F440" s="88" t="s">
        <v>421</v>
      </c>
      <c r="G440" s="88" t="s">
        <v>188</v>
      </c>
      <c r="H440" s="87" t="s">
        <v>189</v>
      </c>
      <c r="I440" s="87" t="s">
        <v>430</v>
      </c>
      <c r="J440" s="87" t="s">
        <v>431</v>
      </c>
      <c r="K440" s="89" t="n">
        <v>200</v>
      </c>
      <c r="L440" s="89" t="n">
        <v>19800000</v>
      </c>
      <c r="M440" s="89" t="n">
        <v>7019800</v>
      </c>
      <c r="N440" s="90" t="n">
        <f aca="false">IF(A440="제외",0,IF(OR(N(L440)&lt;=0,N(M440)&gt;N(L440)),N(M440)/가정!$B$4,N(L440)))</f>
        <v>19800000</v>
      </c>
      <c r="O440" s="67" t="str">
        <f aca="false">IF(A440="제외","",IF(OR(N(L440)&lt;=0,N(M440)&gt;N(L440)),"택가보정(판매금액÷공급율)",""))</f>
        <v/>
      </c>
    </row>
    <row r="441" customFormat="false" ht="15" hidden="false" customHeight="true" outlineLevel="0" collapsed="false">
      <c r="A441" s="67" t="str">
        <f aca="false">IF(OR(TRIM(C441)="",SUBSTITUTE(C441," ","")="소계"),"제외",IF(ISNUMBER(SEARCH("홍콩",C441)),"HK",IF(ISNUMBER(SEARCH("상해",C441)),"CN",IF(ISNUMBER(SEARCH("대만",C441)),"TW","홀세일"))))</f>
        <v>HK</v>
      </c>
      <c r="B441" s="87" t="s">
        <v>823</v>
      </c>
      <c r="C441" s="88" t="s">
        <v>824</v>
      </c>
      <c r="D441" s="88" t="s">
        <v>178</v>
      </c>
      <c r="E441" s="87" t="n">
        <v>2026</v>
      </c>
      <c r="F441" s="88" t="s">
        <v>421</v>
      </c>
      <c r="G441" s="88" t="s">
        <v>188</v>
      </c>
      <c r="H441" s="87" t="s">
        <v>189</v>
      </c>
      <c r="I441" s="87" t="s">
        <v>432</v>
      </c>
      <c r="J441" s="87" t="s">
        <v>433</v>
      </c>
      <c r="K441" s="89" t="n">
        <v>200</v>
      </c>
      <c r="L441" s="89" t="n">
        <v>13800000</v>
      </c>
      <c r="M441" s="89" t="n">
        <v>4897000</v>
      </c>
      <c r="N441" s="90" t="n">
        <f aca="false">IF(A441="제외",0,IF(OR(N(L441)&lt;=0,N(M441)&gt;N(L441)),N(M441)/가정!$B$4,N(L441)))</f>
        <v>13800000</v>
      </c>
      <c r="O441" s="67" t="str">
        <f aca="false">IF(A441="제외","",IF(OR(N(L441)&lt;=0,N(M441)&gt;N(L441)),"택가보정(판매금액÷공급율)",""))</f>
        <v/>
      </c>
    </row>
    <row r="442" customFormat="false" ht="15" hidden="false" customHeight="true" outlineLevel="0" collapsed="false">
      <c r="A442" s="67" t="str">
        <f aca="false">IF(OR(TRIM(C442)="",SUBSTITUTE(C442," ","")="소계"),"제외",IF(ISNUMBER(SEARCH("홍콩",C442)),"HK",IF(ISNUMBER(SEARCH("상해",C442)),"CN",IF(ISNUMBER(SEARCH("대만",C442)),"TW","홀세일"))))</f>
        <v>HK</v>
      </c>
      <c r="B442" s="87" t="s">
        <v>823</v>
      </c>
      <c r="C442" s="88" t="s">
        <v>824</v>
      </c>
      <c r="D442" s="88" t="s">
        <v>178</v>
      </c>
      <c r="E442" s="87" t="n">
        <v>2026</v>
      </c>
      <c r="F442" s="88" t="s">
        <v>421</v>
      </c>
      <c r="G442" s="88" t="s">
        <v>188</v>
      </c>
      <c r="H442" s="87" t="s">
        <v>189</v>
      </c>
      <c r="I442" s="87" t="s">
        <v>434</v>
      </c>
      <c r="J442" s="87" t="s">
        <v>435</v>
      </c>
      <c r="K442" s="89" t="n">
        <v>230</v>
      </c>
      <c r="L442" s="89" t="n">
        <v>20470000</v>
      </c>
      <c r="M442" s="89" t="n">
        <v>7259030</v>
      </c>
      <c r="N442" s="90" t="n">
        <f aca="false">IF(A442="제외",0,IF(OR(N(L442)&lt;=0,N(M442)&gt;N(L442)),N(M442)/가정!$B$4,N(L442)))</f>
        <v>20470000</v>
      </c>
      <c r="O442" s="67" t="str">
        <f aca="false">IF(A442="제외","",IF(OR(N(L442)&lt;=0,N(M442)&gt;N(L442)),"택가보정(판매금액÷공급율)",""))</f>
        <v/>
      </c>
    </row>
    <row r="443" customFormat="false" ht="15" hidden="false" customHeight="true" outlineLevel="0" collapsed="false">
      <c r="A443" s="67" t="str">
        <f aca="false">IF(OR(TRIM(C443)="",SUBSTITUTE(C443," ","")="소계"),"제외",IF(ISNUMBER(SEARCH("홍콩",C443)),"HK",IF(ISNUMBER(SEARCH("상해",C443)),"CN",IF(ISNUMBER(SEARCH("대만",C443)),"TW","홀세일"))))</f>
        <v>HK</v>
      </c>
      <c r="B443" s="87" t="s">
        <v>823</v>
      </c>
      <c r="C443" s="88" t="s">
        <v>824</v>
      </c>
      <c r="D443" s="88" t="s">
        <v>178</v>
      </c>
      <c r="E443" s="87" t="n">
        <v>2026</v>
      </c>
      <c r="F443" s="88" t="s">
        <v>421</v>
      </c>
      <c r="G443" s="88" t="s">
        <v>188</v>
      </c>
      <c r="H443" s="87" t="s">
        <v>189</v>
      </c>
      <c r="I443" s="87" t="s">
        <v>436</v>
      </c>
      <c r="J443" s="87" t="s">
        <v>437</v>
      </c>
      <c r="K443" s="89" t="n">
        <v>210</v>
      </c>
      <c r="L443" s="89" t="n">
        <v>16590000</v>
      </c>
      <c r="M443" s="89" t="n">
        <v>5884830</v>
      </c>
      <c r="N443" s="90" t="n">
        <f aca="false">IF(A443="제외",0,IF(OR(N(L443)&lt;=0,N(M443)&gt;N(L443)),N(M443)/가정!$B$4,N(L443)))</f>
        <v>16590000</v>
      </c>
      <c r="O443" s="67" t="str">
        <f aca="false">IF(A443="제외","",IF(OR(N(L443)&lt;=0,N(M443)&gt;N(L443)),"택가보정(판매금액÷공급율)",""))</f>
        <v/>
      </c>
    </row>
    <row r="444" customFormat="false" ht="15" hidden="false" customHeight="true" outlineLevel="0" collapsed="false">
      <c r="A444" s="67" t="str">
        <f aca="false">IF(OR(TRIM(C444)="",SUBSTITUTE(C444," ","")="소계"),"제외",IF(ISNUMBER(SEARCH("홍콩",C444)),"HK",IF(ISNUMBER(SEARCH("상해",C444)),"CN",IF(ISNUMBER(SEARCH("대만",C444)),"TW","홀세일"))))</f>
        <v>HK</v>
      </c>
      <c r="B444" s="87" t="s">
        <v>823</v>
      </c>
      <c r="C444" s="88" t="s">
        <v>824</v>
      </c>
      <c r="D444" s="88" t="s">
        <v>178</v>
      </c>
      <c r="E444" s="87" t="n">
        <v>2026</v>
      </c>
      <c r="F444" s="88" t="s">
        <v>421</v>
      </c>
      <c r="G444" s="88" t="s">
        <v>188</v>
      </c>
      <c r="H444" s="87" t="s">
        <v>189</v>
      </c>
      <c r="I444" s="87" t="s">
        <v>438</v>
      </c>
      <c r="J444" s="88" t="s">
        <v>439</v>
      </c>
      <c r="K444" s="89" t="n">
        <v>50</v>
      </c>
      <c r="L444" s="89" t="n">
        <v>2950000</v>
      </c>
      <c r="M444" s="89" t="n">
        <v>1006400</v>
      </c>
      <c r="N444" s="90" t="n">
        <f aca="false">IF(A444="제외",0,IF(OR(N(L444)&lt;=0,N(M444)&gt;N(L444)),N(M444)/가정!$B$4,N(L444)))</f>
        <v>2950000</v>
      </c>
      <c r="O444" s="67" t="str">
        <f aca="false">IF(A444="제외","",IF(OR(N(L444)&lt;=0,N(M444)&gt;N(L444)),"택가보정(판매금액÷공급율)",""))</f>
        <v/>
      </c>
    </row>
    <row r="445" customFormat="false" ht="15" hidden="false" customHeight="true" outlineLevel="0" collapsed="false">
      <c r="A445" s="67" t="str">
        <f aca="false">IF(OR(TRIM(C445)="",SUBSTITUTE(C445," ","")="소계"),"제외",IF(ISNUMBER(SEARCH("홍콩",C445)),"HK",IF(ISNUMBER(SEARCH("상해",C445)),"CN",IF(ISNUMBER(SEARCH("대만",C445)),"TW","홀세일"))))</f>
        <v>HK</v>
      </c>
      <c r="B445" s="87" t="s">
        <v>823</v>
      </c>
      <c r="C445" s="88" t="s">
        <v>824</v>
      </c>
      <c r="D445" s="88" t="s">
        <v>178</v>
      </c>
      <c r="E445" s="87" t="n">
        <v>2026</v>
      </c>
      <c r="F445" s="88" t="s">
        <v>421</v>
      </c>
      <c r="G445" s="88" t="s">
        <v>188</v>
      </c>
      <c r="H445" s="87" t="s">
        <v>189</v>
      </c>
      <c r="I445" s="87" t="s">
        <v>440</v>
      </c>
      <c r="J445" s="88" t="s">
        <v>441</v>
      </c>
      <c r="K445" s="89" t="n">
        <v>70</v>
      </c>
      <c r="L445" s="89" t="n">
        <v>4830000</v>
      </c>
      <c r="M445" s="89" t="n">
        <v>1646960</v>
      </c>
      <c r="N445" s="90" t="n">
        <f aca="false">IF(A445="제외",0,IF(OR(N(L445)&lt;=0,N(M445)&gt;N(L445)),N(M445)/가정!$B$4,N(L445)))</f>
        <v>4830000</v>
      </c>
      <c r="O445" s="67" t="str">
        <f aca="false">IF(A445="제외","",IF(OR(N(L445)&lt;=0,N(M445)&gt;N(L445)),"택가보정(판매금액÷공급율)",""))</f>
        <v/>
      </c>
    </row>
    <row r="446" customFormat="false" ht="15" hidden="false" customHeight="true" outlineLevel="0" collapsed="false">
      <c r="A446" s="67" t="str">
        <f aca="false">IF(OR(TRIM(C446)="",SUBSTITUTE(C446," ","")="소계"),"제외",IF(ISNUMBER(SEARCH("홍콩",C446)),"HK",IF(ISNUMBER(SEARCH("상해",C446)),"CN",IF(ISNUMBER(SEARCH("대만",C446)),"TW","홀세일"))))</f>
        <v>HK</v>
      </c>
      <c r="B446" s="87" t="s">
        <v>823</v>
      </c>
      <c r="C446" s="88" t="s">
        <v>824</v>
      </c>
      <c r="D446" s="88" t="s">
        <v>178</v>
      </c>
      <c r="E446" s="87" t="n">
        <v>2026</v>
      </c>
      <c r="F446" s="88" t="s">
        <v>421</v>
      </c>
      <c r="G446" s="88" t="s">
        <v>188</v>
      </c>
      <c r="H446" s="87" t="s">
        <v>189</v>
      </c>
      <c r="I446" s="87" t="s">
        <v>925</v>
      </c>
      <c r="J446" s="88" t="s">
        <v>926</v>
      </c>
      <c r="K446" s="89" t="n">
        <v>260</v>
      </c>
      <c r="L446" s="89" t="n">
        <v>12740000</v>
      </c>
      <c r="M446" s="89" t="n">
        <v>4810520</v>
      </c>
      <c r="N446" s="90" t="n">
        <f aca="false">IF(A446="제외",0,IF(OR(N(L446)&lt;=0,N(M446)&gt;N(L446)),N(M446)/가정!$B$4,N(L446)))</f>
        <v>12740000</v>
      </c>
      <c r="O446" s="67" t="str">
        <f aca="false">IF(A446="제외","",IF(OR(N(L446)&lt;=0,N(M446)&gt;N(L446)),"택가보정(판매금액÷공급율)",""))</f>
        <v/>
      </c>
    </row>
    <row r="447" customFormat="false" ht="15" hidden="false" customHeight="true" outlineLevel="0" collapsed="false">
      <c r="A447" s="67" t="str">
        <f aca="false">IF(OR(TRIM(C447)="",SUBSTITUTE(C447," ","")="소계"),"제외",IF(ISNUMBER(SEARCH("홍콩",C447)),"HK",IF(ISNUMBER(SEARCH("상해",C447)),"CN",IF(ISNUMBER(SEARCH("대만",C447)),"TW","홀세일"))))</f>
        <v>HK</v>
      </c>
      <c r="B447" s="87" t="s">
        <v>823</v>
      </c>
      <c r="C447" s="88" t="s">
        <v>824</v>
      </c>
      <c r="D447" s="88" t="s">
        <v>178</v>
      </c>
      <c r="E447" s="87" t="n">
        <v>2026</v>
      </c>
      <c r="F447" s="88" t="s">
        <v>421</v>
      </c>
      <c r="G447" s="88" t="s">
        <v>188</v>
      </c>
      <c r="H447" s="87" t="s">
        <v>189</v>
      </c>
      <c r="I447" s="87" t="s">
        <v>927</v>
      </c>
      <c r="J447" s="88" t="s">
        <v>928</v>
      </c>
      <c r="K447" s="89" t="n">
        <v>290</v>
      </c>
      <c r="L447" s="89" t="n">
        <v>14210000</v>
      </c>
      <c r="M447" s="89" t="n">
        <v>4849380</v>
      </c>
      <c r="N447" s="90" t="n">
        <f aca="false">IF(A447="제외",0,IF(OR(N(L447)&lt;=0,N(M447)&gt;N(L447)),N(M447)/가정!$B$4,N(L447)))</f>
        <v>14210000</v>
      </c>
      <c r="O447" s="67" t="str">
        <f aca="false">IF(A447="제외","",IF(OR(N(L447)&lt;=0,N(M447)&gt;N(L447)),"택가보정(판매금액÷공급율)",""))</f>
        <v/>
      </c>
    </row>
    <row r="448" customFormat="false" ht="15" hidden="false" customHeight="true" outlineLevel="0" collapsed="false">
      <c r="A448" s="67" t="str">
        <f aca="false">IF(OR(TRIM(C448)="",SUBSTITUTE(C448," ","")="소계"),"제외",IF(ISNUMBER(SEARCH("홍콩",C448)),"HK",IF(ISNUMBER(SEARCH("상해",C448)),"CN",IF(ISNUMBER(SEARCH("대만",C448)),"TW","홀세일"))))</f>
        <v>HK</v>
      </c>
      <c r="B448" s="87" t="s">
        <v>823</v>
      </c>
      <c r="C448" s="88" t="s">
        <v>824</v>
      </c>
      <c r="D448" s="88" t="s">
        <v>178</v>
      </c>
      <c r="E448" s="87" t="n">
        <v>2026</v>
      </c>
      <c r="F448" s="88" t="s">
        <v>421</v>
      </c>
      <c r="G448" s="88" t="s">
        <v>188</v>
      </c>
      <c r="H448" s="87" t="s">
        <v>189</v>
      </c>
      <c r="I448" s="87" t="s">
        <v>929</v>
      </c>
      <c r="J448" s="88" t="s">
        <v>930</v>
      </c>
      <c r="K448" s="89" t="n">
        <v>280</v>
      </c>
      <c r="L448" s="89" t="n">
        <v>16520000</v>
      </c>
      <c r="M448" s="89" t="n">
        <v>5635840</v>
      </c>
      <c r="N448" s="90" t="n">
        <f aca="false">IF(A448="제외",0,IF(OR(N(L448)&lt;=0,N(M448)&gt;N(L448)),N(M448)/가정!$B$4,N(L448)))</f>
        <v>16520000</v>
      </c>
      <c r="O448" s="67" t="str">
        <f aca="false">IF(A448="제외","",IF(OR(N(L448)&lt;=0,N(M448)&gt;N(L448)),"택가보정(판매금액÷공급율)",""))</f>
        <v/>
      </c>
    </row>
    <row r="449" customFormat="false" ht="15" hidden="false" customHeight="true" outlineLevel="0" collapsed="false">
      <c r="A449" s="67" t="str">
        <f aca="false">IF(OR(TRIM(C449)="",SUBSTITUTE(C449," ","")="소계"),"제외",IF(ISNUMBER(SEARCH("홍콩",C449)),"HK",IF(ISNUMBER(SEARCH("상해",C449)),"CN",IF(ISNUMBER(SEARCH("대만",C449)),"TW","홀세일"))))</f>
        <v>HK</v>
      </c>
      <c r="B449" s="87" t="s">
        <v>823</v>
      </c>
      <c r="C449" s="88" t="s">
        <v>824</v>
      </c>
      <c r="D449" s="88" t="s">
        <v>178</v>
      </c>
      <c r="E449" s="87" t="n">
        <v>2026</v>
      </c>
      <c r="F449" s="88" t="s">
        <v>421</v>
      </c>
      <c r="G449" s="88" t="s">
        <v>188</v>
      </c>
      <c r="H449" s="87" t="s">
        <v>189</v>
      </c>
      <c r="I449" s="87" t="s">
        <v>446</v>
      </c>
      <c r="J449" s="87" t="s">
        <v>447</v>
      </c>
      <c r="K449" s="89" t="n">
        <v>200</v>
      </c>
      <c r="L449" s="89" t="n">
        <v>11800000</v>
      </c>
      <c r="M449" s="89" t="n">
        <v>4189200</v>
      </c>
      <c r="N449" s="90" t="n">
        <f aca="false">IF(A449="제외",0,IF(OR(N(L449)&lt;=0,N(M449)&gt;N(L449)),N(M449)/가정!$B$4,N(L449)))</f>
        <v>11800000</v>
      </c>
      <c r="O449" s="67" t="str">
        <f aca="false">IF(A449="제외","",IF(OR(N(L449)&lt;=0,N(M449)&gt;N(L449)),"택가보정(판매금액÷공급율)",""))</f>
        <v/>
      </c>
    </row>
    <row r="450" customFormat="false" ht="15" hidden="false" customHeight="true" outlineLevel="0" collapsed="false">
      <c r="A450" s="67" t="str">
        <f aca="false">IF(OR(TRIM(C450)="",SUBSTITUTE(C450," ","")="소계"),"제외",IF(ISNUMBER(SEARCH("홍콩",C450)),"HK",IF(ISNUMBER(SEARCH("상해",C450)),"CN",IF(ISNUMBER(SEARCH("대만",C450)),"TW","홀세일"))))</f>
        <v>HK</v>
      </c>
      <c r="B450" s="87" t="s">
        <v>823</v>
      </c>
      <c r="C450" s="88" t="s">
        <v>824</v>
      </c>
      <c r="D450" s="88" t="s">
        <v>178</v>
      </c>
      <c r="E450" s="87" t="n">
        <v>2026</v>
      </c>
      <c r="F450" s="88" t="s">
        <v>421</v>
      </c>
      <c r="G450" s="88" t="s">
        <v>188</v>
      </c>
      <c r="H450" s="87" t="s">
        <v>189</v>
      </c>
      <c r="I450" s="87" t="s">
        <v>448</v>
      </c>
      <c r="J450" s="87" t="s">
        <v>449</v>
      </c>
      <c r="K450" s="89" t="n">
        <v>350</v>
      </c>
      <c r="L450" s="89" t="n">
        <v>17150000</v>
      </c>
      <c r="M450" s="89" t="n">
        <v>5854800</v>
      </c>
      <c r="N450" s="90" t="n">
        <f aca="false">IF(A450="제외",0,IF(OR(N(L450)&lt;=0,N(M450)&gt;N(L450)),N(M450)/가정!$B$4,N(L450)))</f>
        <v>17150000</v>
      </c>
      <c r="O450" s="67" t="str">
        <f aca="false">IF(A450="제외","",IF(OR(N(L450)&lt;=0,N(M450)&gt;N(L450)),"택가보정(판매금액÷공급율)",""))</f>
        <v/>
      </c>
    </row>
    <row r="451" customFormat="false" ht="15" hidden="false" customHeight="true" outlineLevel="0" collapsed="false">
      <c r="A451" s="67" t="str">
        <f aca="false">IF(OR(TRIM(C451)="",SUBSTITUTE(C451," ","")="소계"),"제외",IF(ISNUMBER(SEARCH("홍콩",C451)),"HK",IF(ISNUMBER(SEARCH("상해",C451)),"CN",IF(ISNUMBER(SEARCH("대만",C451)),"TW","홀세일"))))</f>
        <v>HK</v>
      </c>
      <c r="B451" s="87" t="s">
        <v>823</v>
      </c>
      <c r="C451" s="88" t="s">
        <v>824</v>
      </c>
      <c r="D451" s="88" t="s">
        <v>178</v>
      </c>
      <c r="E451" s="87" t="n">
        <v>2026</v>
      </c>
      <c r="F451" s="88" t="s">
        <v>421</v>
      </c>
      <c r="G451" s="88" t="s">
        <v>188</v>
      </c>
      <c r="H451" s="87" t="s">
        <v>189</v>
      </c>
      <c r="I451" s="87" t="s">
        <v>450</v>
      </c>
      <c r="J451" s="87" t="s">
        <v>451</v>
      </c>
      <c r="K451" s="89" t="n">
        <v>350</v>
      </c>
      <c r="L451" s="89" t="n">
        <v>17150000</v>
      </c>
      <c r="M451" s="89" t="n">
        <v>5854800</v>
      </c>
      <c r="N451" s="90" t="n">
        <f aca="false">IF(A451="제외",0,IF(OR(N(L451)&lt;=0,N(M451)&gt;N(L451)),N(M451)/가정!$B$4,N(L451)))</f>
        <v>17150000</v>
      </c>
      <c r="O451" s="67" t="str">
        <f aca="false">IF(A451="제외","",IF(OR(N(L451)&lt;=0,N(M451)&gt;N(L451)),"택가보정(판매금액÷공급율)",""))</f>
        <v/>
      </c>
    </row>
    <row r="452" customFormat="false" ht="15" hidden="false" customHeight="true" outlineLevel="0" collapsed="false">
      <c r="A452" s="67" t="str">
        <f aca="false">IF(OR(TRIM(C452)="",SUBSTITUTE(C452," ","")="소계"),"제외",IF(ISNUMBER(SEARCH("홍콩",C452)),"HK",IF(ISNUMBER(SEARCH("상해",C452)),"CN",IF(ISNUMBER(SEARCH("대만",C452)),"TW","홀세일"))))</f>
        <v>HK</v>
      </c>
      <c r="B452" s="87" t="s">
        <v>823</v>
      </c>
      <c r="C452" s="88" t="s">
        <v>824</v>
      </c>
      <c r="D452" s="88" t="s">
        <v>178</v>
      </c>
      <c r="E452" s="87" t="n">
        <v>2026</v>
      </c>
      <c r="F452" s="88" t="s">
        <v>421</v>
      </c>
      <c r="G452" s="88" t="s">
        <v>188</v>
      </c>
      <c r="H452" s="87" t="s">
        <v>189</v>
      </c>
      <c r="I452" s="87" t="s">
        <v>931</v>
      </c>
      <c r="J452" s="87" t="s">
        <v>932</v>
      </c>
      <c r="K452" s="89" t="n">
        <v>200</v>
      </c>
      <c r="L452" s="89" t="n">
        <v>15800000</v>
      </c>
      <c r="M452" s="89" t="n">
        <v>5604600</v>
      </c>
      <c r="N452" s="90" t="n">
        <f aca="false">IF(A452="제외",0,IF(OR(N(L452)&lt;=0,N(M452)&gt;N(L452)),N(M452)/가정!$B$4,N(L452)))</f>
        <v>15800000</v>
      </c>
      <c r="O452" s="67" t="str">
        <f aca="false">IF(A452="제외","",IF(OR(N(L452)&lt;=0,N(M452)&gt;N(L452)),"택가보정(판매금액÷공급율)",""))</f>
        <v/>
      </c>
    </row>
    <row r="453" customFormat="false" ht="15" hidden="false" customHeight="true" outlineLevel="0" collapsed="false">
      <c r="A453" s="67" t="str">
        <f aca="false">IF(OR(TRIM(C453)="",SUBSTITUTE(C453," ","")="소계"),"제외",IF(ISNUMBER(SEARCH("홍콩",C453)),"HK",IF(ISNUMBER(SEARCH("상해",C453)),"CN",IF(ISNUMBER(SEARCH("대만",C453)),"TW","홀세일"))))</f>
        <v>HK</v>
      </c>
      <c r="B453" s="87" t="s">
        <v>823</v>
      </c>
      <c r="C453" s="88" t="s">
        <v>824</v>
      </c>
      <c r="D453" s="88" t="s">
        <v>178</v>
      </c>
      <c r="E453" s="87" t="n">
        <v>2026</v>
      </c>
      <c r="F453" s="88" t="s">
        <v>421</v>
      </c>
      <c r="G453" s="88" t="s">
        <v>180</v>
      </c>
      <c r="H453" s="87" t="s">
        <v>189</v>
      </c>
      <c r="I453" s="87" t="s">
        <v>933</v>
      </c>
      <c r="J453" s="87" t="s">
        <v>934</v>
      </c>
      <c r="K453" s="89" t="n">
        <v>120</v>
      </c>
      <c r="L453" s="89" t="n">
        <v>21480000</v>
      </c>
      <c r="M453" s="89" t="n">
        <v>7167720</v>
      </c>
      <c r="N453" s="90" t="n">
        <f aca="false">IF(A453="제외",0,IF(OR(N(L453)&lt;=0,N(M453)&gt;N(L453)),N(M453)/가정!$B$4,N(L453)))</f>
        <v>21480000</v>
      </c>
      <c r="O453" s="67" t="str">
        <f aca="false">IF(A453="제외","",IF(OR(N(L453)&lt;=0,N(M453)&gt;N(L453)),"택가보정(판매금액÷공급율)",""))</f>
        <v/>
      </c>
    </row>
    <row r="454" customFormat="false" ht="15" hidden="false" customHeight="true" outlineLevel="0" collapsed="false">
      <c r="A454" s="67" t="str">
        <f aca="false">IF(OR(TRIM(C454)="",SUBSTITUTE(C454," ","")="소계"),"제외",IF(ISNUMBER(SEARCH("홍콩",C454)),"HK",IF(ISNUMBER(SEARCH("상해",C454)),"CN",IF(ISNUMBER(SEARCH("대만",C454)),"TW","홀세일"))))</f>
        <v>HK</v>
      </c>
      <c r="B454" s="87" t="s">
        <v>823</v>
      </c>
      <c r="C454" s="88" t="s">
        <v>824</v>
      </c>
      <c r="D454" s="88" t="s">
        <v>178</v>
      </c>
      <c r="E454" s="87" t="n">
        <v>2026</v>
      </c>
      <c r="F454" s="88" t="s">
        <v>421</v>
      </c>
      <c r="G454" s="88" t="s">
        <v>180</v>
      </c>
      <c r="H454" s="87" t="s">
        <v>189</v>
      </c>
      <c r="I454" s="87" t="s">
        <v>935</v>
      </c>
      <c r="J454" s="87" t="s">
        <v>936</v>
      </c>
      <c r="K454" s="89" t="n">
        <v>140</v>
      </c>
      <c r="L454" s="89" t="n">
        <v>36260000</v>
      </c>
      <c r="M454" s="89" t="n">
        <v>12156200</v>
      </c>
      <c r="N454" s="90" t="n">
        <f aca="false">IF(A454="제외",0,IF(OR(N(L454)&lt;=0,N(M454)&gt;N(L454)),N(M454)/가정!$B$4,N(L454)))</f>
        <v>36260000</v>
      </c>
      <c r="O454" s="67" t="str">
        <f aca="false">IF(A454="제외","",IF(OR(N(L454)&lt;=0,N(M454)&gt;N(L454)),"택가보정(판매금액÷공급율)",""))</f>
        <v/>
      </c>
    </row>
    <row r="455" customFormat="false" ht="15" hidden="false" customHeight="true" outlineLevel="0" collapsed="false">
      <c r="A455" s="67" t="str">
        <f aca="false">IF(OR(TRIM(C455)="",SUBSTITUTE(C455," ","")="소계"),"제외",IF(ISNUMBER(SEARCH("홍콩",C455)),"HK",IF(ISNUMBER(SEARCH("상해",C455)),"CN",IF(ISNUMBER(SEARCH("대만",C455)),"TW","홀세일"))))</f>
        <v>HK</v>
      </c>
      <c r="B455" s="87" t="s">
        <v>823</v>
      </c>
      <c r="C455" s="88" t="s">
        <v>824</v>
      </c>
      <c r="D455" s="88" t="s">
        <v>178</v>
      </c>
      <c r="E455" s="87" t="n">
        <v>2026</v>
      </c>
      <c r="F455" s="88" t="s">
        <v>421</v>
      </c>
      <c r="G455" s="88" t="s">
        <v>180</v>
      </c>
      <c r="H455" s="87" t="s">
        <v>189</v>
      </c>
      <c r="I455" s="87" t="s">
        <v>466</v>
      </c>
      <c r="J455" s="87" t="s">
        <v>467</v>
      </c>
      <c r="K455" s="89" t="n">
        <v>90</v>
      </c>
      <c r="L455" s="89" t="n">
        <v>53100000</v>
      </c>
      <c r="M455" s="89" t="n">
        <v>18401490</v>
      </c>
      <c r="N455" s="90" t="n">
        <f aca="false">IF(A455="제외",0,IF(OR(N(L455)&lt;=0,N(M455)&gt;N(L455)),N(M455)/가정!$B$4,N(L455)))</f>
        <v>53100000</v>
      </c>
      <c r="O455" s="67" t="str">
        <f aca="false">IF(A455="제외","",IF(OR(N(L455)&lt;=0,N(M455)&gt;N(L455)),"택가보정(판매금액÷공급율)",""))</f>
        <v/>
      </c>
    </row>
    <row r="456" customFormat="false" ht="15" hidden="false" customHeight="true" outlineLevel="0" collapsed="false">
      <c r="A456" s="67" t="str">
        <f aca="false">IF(OR(TRIM(C456)="",SUBSTITUTE(C456," ","")="소계"),"제외",IF(ISNUMBER(SEARCH("홍콩",C456)),"HK",IF(ISNUMBER(SEARCH("상해",C456)),"CN",IF(ISNUMBER(SEARCH("대만",C456)),"TW","홀세일"))))</f>
        <v>HK</v>
      </c>
      <c r="B456" s="87" t="s">
        <v>823</v>
      </c>
      <c r="C456" s="88" t="s">
        <v>824</v>
      </c>
      <c r="D456" s="88" t="s">
        <v>178</v>
      </c>
      <c r="E456" s="87" t="n">
        <v>2026</v>
      </c>
      <c r="F456" s="88" t="s">
        <v>421</v>
      </c>
      <c r="G456" s="88" t="s">
        <v>180</v>
      </c>
      <c r="H456" s="87" t="s">
        <v>189</v>
      </c>
      <c r="I456" s="87" t="s">
        <v>468</v>
      </c>
      <c r="J456" s="87" t="s">
        <v>469</v>
      </c>
      <c r="K456" s="89" t="n">
        <v>90</v>
      </c>
      <c r="L456" s="89" t="n">
        <v>9810000</v>
      </c>
      <c r="M456" s="89" t="n">
        <v>3451500</v>
      </c>
      <c r="N456" s="90" t="n">
        <f aca="false">IF(A456="제외",0,IF(OR(N(L456)&lt;=0,N(M456)&gt;N(L456)),N(M456)/가정!$B$4,N(L456)))</f>
        <v>9810000</v>
      </c>
      <c r="O456" s="67" t="str">
        <f aca="false">IF(A456="제외","",IF(OR(N(L456)&lt;=0,N(M456)&gt;N(L456)),"택가보정(판매금액÷공급율)",""))</f>
        <v/>
      </c>
    </row>
    <row r="457" customFormat="false" ht="15" hidden="false" customHeight="true" outlineLevel="0" collapsed="false">
      <c r="A457" s="67" t="str">
        <f aca="false">IF(OR(TRIM(C457)="",SUBSTITUTE(C457," ","")="소계"),"제외",IF(ISNUMBER(SEARCH("홍콩",C457)),"HK",IF(ISNUMBER(SEARCH("상해",C457)),"CN",IF(ISNUMBER(SEARCH("대만",C457)),"TW","홀세일"))))</f>
        <v>HK</v>
      </c>
      <c r="B457" s="87" t="s">
        <v>823</v>
      </c>
      <c r="C457" s="88" t="s">
        <v>824</v>
      </c>
      <c r="D457" s="88" t="s">
        <v>178</v>
      </c>
      <c r="E457" s="87" t="n">
        <v>2026</v>
      </c>
      <c r="F457" s="88" t="s">
        <v>421</v>
      </c>
      <c r="G457" s="88" t="s">
        <v>180</v>
      </c>
      <c r="H457" s="87" t="s">
        <v>189</v>
      </c>
      <c r="I457" s="87" t="s">
        <v>470</v>
      </c>
      <c r="J457" s="87" t="s">
        <v>471</v>
      </c>
      <c r="K457" s="89" t="n">
        <v>160</v>
      </c>
      <c r="L457" s="89" t="n">
        <v>14240000</v>
      </c>
      <c r="M457" s="89" t="n">
        <v>4975840</v>
      </c>
      <c r="N457" s="90" t="n">
        <f aca="false">IF(A457="제외",0,IF(OR(N(L457)&lt;=0,N(M457)&gt;N(L457)),N(M457)/가정!$B$4,N(L457)))</f>
        <v>14240000</v>
      </c>
      <c r="O457" s="67" t="str">
        <f aca="false">IF(A457="제외","",IF(OR(N(L457)&lt;=0,N(M457)&gt;N(L457)),"택가보정(판매금액÷공급율)",""))</f>
        <v/>
      </c>
    </row>
    <row r="458" customFormat="false" ht="15" hidden="false" customHeight="true" outlineLevel="0" collapsed="false">
      <c r="A458" s="67" t="str">
        <f aca="false">IF(OR(TRIM(C458)="",SUBSTITUTE(C458," ","")="소계"),"제외",IF(ISNUMBER(SEARCH("홍콩",C458)),"HK",IF(ISNUMBER(SEARCH("상해",C458)),"CN",IF(ISNUMBER(SEARCH("대만",C458)),"TW","홀세일"))))</f>
        <v>HK</v>
      </c>
      <c r="B458" s="87" t="s">
        <v>823</v>
      </c>
      <c r="C458" s="88" t="s">
        <v>824</v>
      </c>
      <c r="D458" s="88" t="s">
        <v>178</v>
      </c>
      <c r="E458" s="87" t="n">
        <v>2026</v>
      </c>
      <c r="F458" s="88" t="s">
        <v>421</v>
      </c>
      <c r="G458" s="88" t="s">
        <v>180</v>
      </c>
      <c r="H458" s="87" t="s">
        <v>189</v>
      </c>
      <c r="I458" s="87" t="s">
        <v>937</v>
      </c>
      <c r="J458" s="88" t="s">
        <v>938</v>
      </c>
      <c r="K458" s="89" t="n">
        <v>180</v>
      </c>
      <c r="L458" s="89" t="n">
        <v>21420000</v>
      </c>
      <c r="M458" s="89" t="n">
        <v>7520760</v>
      </c>
      <c r="N458" s="90" t="n">
        <f aca="false">IF(A458="제외",0,IF(OR(N(L458)&lt;=0,N(M458)&gt;N(L458)),N(M458)/가정!$B$4,N(L458)))</f>
        <v>21420000</v>
      </c>
      <c r="O458" s="67" t="str">
        <f aca="false">IF(A458="제외","",IF(OR(N(L458)&lt;=0,N(M458)&gt;N(L458)),"택가보정(판매금액÷공급율)",""))</f>
        <v/>
      </c>
    </row>
    <row r="459" customFormat="false" ht="15" hidden="false" customHeight="true" outlineLevel="0" collapsed="false">
      <c r="A459" s="67" t="str">
        <f aca="false">IF(OR(TRIM(C459)="",SUBSTITUTE(C459," ","")="소계"),"제외",IF(ISNUMBER(SEARCH("홍콩",C459)),"HK",IF(ISNUMBER(SEARCH("상해",C459)),"CN",IF(ISNUMBER(SEARCH("대만",C459)),"TW","홀세일"))))</f>
        <v>HK</v>
      </c>
      <c r="B459" s="87" t="s">
        <v>823</v>
      </c>
      <c r="C459" s="88" t="s">
        <v>824</v>
      </c>
      <c r="D459" s="88" t="s">
        <v>178</v>
      </c>
      <c r="E459" s="87" t="n">
        <v>2026</v>
      </c>
      <c r="F459" s="88" t="s">
        <v>421</v>
      </c>
      <c r="G459" s="88" t="s">
        <v>180</v>
      </c>
      <c r="H459" s="87" t="s">
        <v>189</v>
      </c>
      <c r="I459" s="87" t="s">
        <v>472</v>
      </c>
      <c r="J459" s="88" t="s">
        <v>473</v>
      </c>
      <c r="K459" s="89" t="n">
        <v>230</v>
      </c>
      <c r="L459" s="89" t="n">
        <v>34270000</v>
      </c>
      <c r="M459" s="89" t="n">
        <v>12143310</v>
      </c>
      <c r="N459" s="90" t="n">
        <f aca="false">IF(A459="제외",0,IF(OR(N(L459)&lt;=0,N(M459)&gt;N(L459)),N(M459)/가정!$B$4,N(L459)))</f>
        <v>34270000</v>
      </c>
      <c r="O459" s="67" t="str">
        <f aca="false">IF(A459="제외","",IF(OR(N(L459)&lt;=0,N(M459)&gt;N(L459)),"택가보정(판매금액÷공급율)",""))</f>
        <v/>
      </c>
    </row>
    <row r="460" customFormat="false" ht="15" hidden="false" customHeight="true" outlineLevel="0" collapsed="false">
      <c r="A460" s="67" t="str">
        <f aca="false">IF(OR(TRIM(C460)="",SUBSTITUTE(C460," ","")="소계"),"제외",IF(ISNUMBER(SEARCH("홍콩",C460)),"HK",IF(ISNUMBER(SEARCH("상해",C460)),"CN",IF(ISNUMBER(SEARCH("대만",C460)),"TW","홀세일"))))</f>
        <v>HK</v>
      </c>
      <c r="B460" s="87" t="s">
        <v>823</v>
      </c>
      <c r="C460" s="88" t="s">
        <v>824</v>
      </c>
      <c r="D460" s="88" t="s">
        <v>178</v>
      </c>
      <c r="E460" s="87" t="n">
        <v>2026</v>
      </c>
      <c r="F460" s="88" t="s">
        <v>421</v>
      </c>
      <c r="G460" s="88" t="s">
        <v>180</v>
      </c>
      <c r="H460" s="87" t="s">
        <v>189</v>
      </c>
      <c r="I460" s="87" t="s">
        <v>474</v>
      </c>
      <c r="J460" s="88" t="s">
        <v>475</v>
      </c>
      <c r="K460" s="89" t="n">
        <v>210</v>
      </c>
      <c r="L460" s="89" t="n">
        <v>31290000</v>
      </c>
      <c r="M460" s="89" t="n">
        <v>11087370</v>
      </c>
      <c r="N460" s="90" t="n">
        <f aca="false">IF(A460="제외",0,IF(OR(N(L460)&lt;=0,N(M460)&gt;N(L460)),N(M460)/가정!$B$4,N(L460)))</f>
        <v>31290000</v>
      </c>
      <c r="O460" s="67" t="str">
        <f aca="false">IF(A460="제외","",IF(OR(N(L460)&lt;=0,N(M460)&gt;N(L460)),"택가보정(판매금액÷공급율)",""))</f>
        <v/>
      </c>
    </row>
    <row r="461" customFormat="false" ht="15" hidden="false" customHeight="true" outlineLevel="0" collapsed="false">
      <c r="A461" s="67" t="str">
        <f aca="false">IF(OR(TRIM(C461)="",SUBSTITUTE(C461," ","")="소계"),"제외",IF(ISNUMBER(SEARCH("홍콩",C461)),"HK",IF(ISNUMBER(SEARCH("상해",C461)),"CN",IF(ISNUMBER(SEARCH("대만",C461)),"TW","홀세일"))))</f>
        <v>HK</v>
      </c>
      <c r="B461" s="87" t="s">
        <v>823</v>
      </c>
      <c r="C461" s="88" t="s">
        <v>824</v>
      </c>
      <c r="D461" s="88" t="s">
        <v>178</v>
      </c>
      <c r="E461" s="87" t="n">
        <v>2026</v>
      </c>
      <c r="F461" s="88" t="s">
        <v>421</v>
      </c>
      <c r="G461" s="88" t="s">
        <v>180</v>
      </c>
      <c r="H461" s="87" t="s">
        <v>189</v>
      </c>
      <c r="I461" s="87" t="s">
        <v>939</v>
      </c>
      <c r="J461" s="88" t="s">
        <v>940</v>
      </c>
      <c r="K461" s="89" t="n">
        <v>230</v>
      </c>
      <c r="L461" s="89" t="n">
        <v>25070000</v>
      </c>
      <c r="M461" s="89" t="n">
        <v>8666630</v>
      </c>
      <c r="N461" s="90" t="n">
        <f aca="false">IF(A461="제외",0,IF(OR(N(L461)&lt;=0,N(M461)&gt;N(L461)),N(M461)/가정!$B$4,N(L461)))</f>
        <v>25070000</v>
      </c>
      <c r="O461" s="67" t="str">
        <f aca="false">IF(A461="제외","",IF(OR(N(L461)&lt;=0,N(M461)&gt;N(L461)),"택가보정(판매금액÷공급율)",""))</f>
        <v/>
      </c>
    </row>
    <row r="462" customFormat="false" ht="15" hidden="false" customHeight="true" outlineLevel="0" collapsed="false">
      <c r="A462" s="67" t="str">
        <f aca="false">IF(OR(TRIM(C462)="",SUBSTITUTE(C462," ","")="소계"),"제외",IF(ISNUMBER(SEARCH("홍콩",C462)),"HK",IF(ISNUMBER(SEARCH("상해",C462)),"CN",IF(ISNUMBER(SEARCH("대만",C462)),"TW","홀세일"))))</f>
        <v>HK</v>
      </c>
      <c r="B462" s="87" t="s">
        <v>823</v>
      </c>
      <c r="C462" s="88" t="s">
        <v>824</v>
      </c>
      <c r="D462" s="88" t="s">
        <v>178</v>
      </c>
      <c r="E462" s="87" t="n">
        <v>2026</v>
      </c>
      <c r="F462" s="88" t="s">
        <v>421</v>
      </c>
      <c r="G462" s="88" t="s">
        <v>180</v>
      </c>
      <c r="H462" s="87" t="s">
        <v>181</v>
      </c>
      <c r="I462" s="87" t="s">
        <v>476</v>
      </c>
      <c r="J462" s="88" t="s">
        <v>477</v>
      </c>
      <c r="K462" s="89" t="n">
        <v>100</v>
      </c>
      <c r="L462" s="89" t="n">
        <v>13900000</v>
      </c>
      <c r="M462" s="89" t="n">
        <v>4639500</v>
      </c>
      <c r="N462" s="90" t="n">
        <f aca="false">IF(A462="제외",0,IF(OR(N(L462)&lt;=0,N(M462)&gt;N(L462)),N(M462)/가정!$B$4,N(L462)))</f>
        <v>13900000</v>
      </c>
      <c r="O462" s="67" t="str">
        <f aca="false">IF(A462="제외","",IF(OR(N(L462)&lt;=0,N(M462)&gt;N(L462)),"택가보정(판매금액÷공급율)",""))</f>
        <v/>
      </c>
    </row>
    <row r="463" customFormat="false" ht="15" hidden="false" customHeight="true" outlineLevel="0" collapsed="false">
      <c r="A463" s="67" t="str">
        <f aca="false">IF(OR(TRIM(C463)="",SUBSTITUTE(C463," ","")="소계"),"제외",IF(ISNUMBER(SEARCH("홍콩",C463)),"HK",IF(ISNUMBER(SEARCH("상해",C463)),"CN",IF(ISNUMBER(SEARCH("대만",C463)),"TW","홀세일"))))</f>
        <v>HK</v>
      </c>
      <c r="B463" s="87" t="s">
        <v>823</v>
      </c>
      <c r="C463" s="88" t="s">
        <v>824</v>
      </c>
      <c r="D463" s="88" t="s">
        <v>178</v>
      </c>
      <c r="E463" s="87" t="n">
        <v>2026</v>
      </c>
      <c r="F463" s="88" t="s">
        <v>421</v>
      </c>
      <c r="G463" s="88" t="s">
        <v>180</v>
      </c>
      <c r="H463" s="87" t="s">
        <v>189</v>
      </c>
      <c r="I463" s="87" t="s">
        <v>478</v>
      </c>
      <c r="J463" s="88" t="s">
        <v>479</v>
      </c>
      <c r="K463" s="89" t="n">
        <v>210</v>
      </c>
      <c r="L463" s="89" t="n">
        <v>54390000</v>
      </c>
      <c r="M463" s="89" t="n">
        <v>15730890</v>
      </c>
      <c r="N463" s="90" t="n">
        <f aca="false">IF(A463="제외",0,IF(OR(N(L463)&lt;=0,N(M463)&gt;N(L463)),N(M463)/가정!$B$4,N(L463)))</f>
        <v>54390000</v>
      </c>
      <c r="O463" s="67" t="str">
        <f aca="false">IF(A463="제외","",IF(OR(N(L463)&lt;=0,N(M463)&gt;N(L463)),"택가보정(판매금액÷공급율)",""))</f>
        <v/>
      </c>
    </row>
    <row r="464" customFormat="false" ht="15" hidden="false" customHeight="true" outlineLevel="0" collapsed="false">
      <c r="A464" s="67" t="str">
        <f aca="false">IF(OR(TRIM(C464)="",SUBSTITUTE(C464," ","")="소계"),"제외",IF(ISNUMBER(SEARCH("홍콩",C464)),"HK",IF(ISNUMBER(SEARCH("상해",C464)),"CN",IF(ISNUMBER(SEARCH("대만",C464)),"TW","홀세일"))))</f>
        <v>HK</v>
      </c>
      <c r="B464" s="87" t="s">
        <v>823</v>
      </c>
      <c r="C464" s="88" t="s">
        <v>824</v>
      </c>
      <c r="D464" s="88" t="s">
        <v>178</v>
      </c>
      <c r="E464" s="87" t="n">
        <v>2026</v>
      </c>
      <c r="F464" s="88" t="s">
        <v>421</v>
      </c>
      <c r="G464" s="88" t="s">
        <v>180</v>
      </c>
      <c r="H464" s="87" t="s">
        <v>181</v>
      </c>
      <c r="I464" s="87" t="s">
        <v>941</v>
      </c>
      <c r="J464" s="87" t="s">
        <v>942</v>
      </c>
      <c r="K464" s="89" t="n">
        <v>210</v>
      </c>
      <c r="L464" s="89" t="n">
        <v>50190000</v>
      </c>
      <c r="M464" s="89" t="n">
        <v>16357320</v>
      </c>
      <c r="N464" s="90" t="n">
        <f aca="false">IF(A464="제외",0,IF(OR(N(L464)&lt;=0,N(M464)&gt;N(L464)),N(M464)/가정!$B$4,N(L464)))</f>
        <v>50190000</v>
      </c>
      <c r="O464" s="67" t="str">
        <f aca="false">IF(A464="제외","",IF(OR(N(L464)&lt;=0,N(M464)&gt;N(L464)),"택가보정(판매금액÷공급율)",""))</f>
        <v/>
      </c>
    </row>
    <row r="465" customFormat="false" ht="15" hidden="false" customHeight="true" outlineLevel="0" collapsed="false">
      <c r="A465" s="67" t="str">
        <f aca="false">IF(OR(TRIM(C465)="",SUBSTITUTE(C465," ","")="소계"),"제외",IF(ISNUMBER(SEARCH("홍콩",C465)),"HK",IF(ISNUMBER(SEARCH("상해",C465)),"CN",IF(ISNUMBER(SEARCH("대만",C465)),"TW","홀세일"))))</f>
        <v>HK</v>
      </c>
      <c r="B465" s="87" t="s">
        <v>823</v>
      </c>
      <c r="C465" s="88" t="s">
        <v>824</v>
      </c>
      <c r="D465" s="88" t="s">
        <v>178</v>
      </c>
      <c r="E465" s="87" t="n">
        <v>2026</v>
      </c>
      <c r="F465" s="88" t="s">
        <v>421</v>
      </c>
      <c r="G465" s="88" t="s">
        <v>180</v>
      </c>
      <c r="H465" s="87" t="s">
        <v>181</v>
      </c>
      <c r="I465" s="87" t="s">
        <v>480</v>
      </c>
      <c r="J465" s="88" t="s">
        <v>481</v>
      </c>
      <c r="K465" s="89" t="n">
        <v>90</v>
      </c>
      <c r="L465" s="89" t="n">
        <v>31410000</v>
      </c>
      <c r="M465" s="89" t="n">
        <v>10523880</v>
      </c>
      <c r="N465" s="90" t="n">
        <f aca="false">IF(A465="제외",0,IF(OR(N(L465)&lt;=0,N(M465)&gt;N(L465)),N(M465)/가정!$B$4,N(L465)))</f>
        <v>31410000</v>
      </c>
      <c r="O465" s="67" t="str">
        <f aca="false">IF(A465="제외","",IF(OR(N(L465)&lt;=0,N(M465)&gt;N(L465)),"택가보정(판매금액÷공급율)",""))</f>
        <v/>
      </c>
    </row>
    <row r="466" customFormat="false" ht="15" hidden="false" customHeight="true" outlineLevel="0" collapsed="false">
      <c r="A466" s="67" t="str">
        <f aca="false">IF(OR(TRIM(C466)="",SUBSTITUTE(C466," ","")="소계"),"제외",IF(ISNUMBER(SEARCH("홍콩",C466)),"HK",IF(ISNUMBER(SEARCH("상해",C466)),"CN",IF(ISNUMBER(SEARCH("대만",C466)),"TW","홀세일"))))</f>
        <v>HK</v>
      </c>
      <c r="B466" s="87" t="s">
        <v>823</v>
      </c>
      <c r="C466" s="88" t="s">
        <v>824</v>
      </c>
      <c r="D466" s="88" t="s">
        <v>178</v>
      </c>
      <c r="E466" s="87" t="n">
        <v>2026</v>
      </c>
      <c r="F466" s="88" t="s">
        <v>421</v>
      </c>
      <c r="G466" s="88" t="s">
        <v>180</v>
      </c>
      <c r="H466" s="87" t="s">
        <v>181</v>
      </c>
      <c r="I466" s="87" t="s">
        <v>482</v>
      </c>
      <c r="J466" s="88" t="s">
        <v>483</v>
      </c>
      <c r="K466" s="89" t="n">
        <v>180</v>
      </c>
      <c r="L466" s="89" t="n">
        <v>32220000</v>
      </c>
      <c r="M466" s="89" t="n">
        <v>11378340</v>
      </c>
      <c r="N466" s="90" t="n">
        <f aca="false">IF(A466="제외",0,IF(OR(N(L466)&lt;=0,N(M466)&gt;N(L466)),N(M466)/가정!$B$4,N(L466)))</f>
        <v>32220000</v>
      </c>
      <c r="O466" s="67" t="str">
        <f aca="false">IF(A466="제외","",IF(OR(N(L466)&lt;=0,N(M466)&gt;N(L466)),"택가보정(판매금액÷공급율)",""))</f>
        <v/>
      </c>
    </row>
    <row r="467" customFormat="false" ht="15" hidden="false" customHeight="true" outlineLevel="0" collapsed="false">
      <c r="A467" s="67" t="str">
        <f aca="false">IF(OR(TRIM(C467)="",SUBSTITUTE(C467," ","")="소계"),"제외",IF(ISNUMBER(SEARCH("홍콩",C467)),"HK",IF(ISNUMBER(SEARCH("상해",C467)),"CN",IF(ISNUMBER(SEARCH("대만",C467)),"TW","홀세일"))))</f>
        <v>HK</v>
      </c>
      <c r="B467" s="87" t="s">
        <v>823</v>
      </c>
      <c r="C467" s="88" t="s">
        <v>824</v>
      </c>
      <c r="D467" s="88" t="s">
        <v>178</v>
      </c>
      <c r="E467" s="87" t="n">
        <v>2026</v>
      </c>
      <c r="F467" s="88" t="s">
        <v>421</v>
      </c>
      <c r="G467" s="88" t="s">
        <v>180</v>
      </c>
      <c r="H467" s="87" t="s">
        <v>181</v>
      </c>
      <c r="I467" s="87" t="s">
        <v>943</v>
      </c>
      <c r="J467" s="88" t="s">
        <v>944</v>
      </c>
      <c r="K467" s="89" t="n">
        <v>90</v>
      </c>
      <c r="L467" s="89" t="n">
        <v>35910000</v>
      </c>
      <c r="M467" s="89" t="n">
        <v>12724020</v>
      </c>
      <c r="N467" s="90" t="n">
        <f aca="false">IF(A467="제외",0,IF(OR(N(L467)&lt;=0,N(M467)&gt;N(L467)),N(M467)/가정!$B$4,N(L467)))</f>
        <v>35910000</v>
      </c>
      <c r="O467" s="67" t="str">
        <f aca="false">IF(A467="제외","",IF(OR(N(L467)&lt;=0,N(M467)&gt;N(L467)),"택가보정(판매금액÷공급율)",""))</f>
        <v/>
      </c>
    </row>
    <row r="468" customFormat="false" ht="15" hidden="false" customHeight="true" outlineLevel="0" collapsed="false">
      <c r="A468" s="67" t="str">
        <f aca="false">IF(OR(TRIM(C468)="",SUBSTITUTE(C468," ","")="소계"),"제외",IF(ISNUMBER(SEARCH("홍콩",C468)),"HK",IF(ISNUMBER(SEARCH("상해",C468)),"CN",IF(ISNUMBER(SEARCH("대만",C468)),"TW","홀세일"))))</f>
        <v>HK</v>
      </c>
      <c r="B468" s="87" t="s">
        <v>823</v>
      </c>
      <c r="C468" s="88" t="s">
        <v>824</v>
      </c>
      <c r="D468" s="88" t="s">
        <v>178</v>
      </c>
      <c r="E468" s="87" t="n">
        <v>2026</v>
      </c>
      <c r="F468" s="88" t="s">
        <v>421</v>
      </c>
      <c r="G468" s="88" t="s">
        <v>180</v>
      </c>
      <c r="H468" s="87" t="s">
        <v>189</v>
      </c>
      <c r="I468" s="87" t="s">
        <v>945</v>
      </c>
      <c r="J468" s="88" t="s">
        <v>946</v>
      </c>
      <c r="K468" s="89" t="n">
        <v>160</v>
      </c>
      <c r="L468" s="89" t="n">
        <v>25440000</v>
      </c>
      <c r="M468" s="89" t="n">
        <v>8773760</v>
      </c>
      <c r="N468" s="90" t="n">
        <f aca="false">IF(A468="제외",0,IF(OR(N(L468)&lt;=0,N(M468)&gt;N(L468)),N(M468)/가정!$B$4,N(L468)))</f>
        <v>25440000</v>
      </c>
      <c r="O468" s="67" t="str">
        <f aca="false">IF(A468="제외","",IF(OR(N(L468)&lt;=0,N(M468)&gt;N(L468)),"택가보정(판매금액÷공급율)",""))</f>
        <v/>
      </c>
    </row>
    <row r="469" customFormat="false" ht="15" hidden="false" customHeight="true" outlineLevel="0" collapsed="false">
      <c r="A469" s="67" t="str">
        <f aca="false">IF(OR(TRIM(C469)="",SUBSTITUTE(C469," ","")="소계"),"제외",IF(ISNUMBER(SEARCH("홍콩",C469)),"HK",IF(ISNUMBER(SEARCH("상해",C469)),"CN",IF(ISNUMBER(SEARCH("대만",C469)),"TW","홀세일"))))</f>
        <v>HK</v>
      </c>
      <c r="B469" s="87" t="s">
        <v>823</v>
      </c>
      <c r="C469" s="88" t="s">
        <v>824</v>
      </c>
      <c r="D469" s="88" t="s">
        <v>178</v>
      </c>
      <c r="E469" s="87" t="n">
        <v>2026</v>
      </c>
      <c r="F469" s="88" t="s">
        <v>421</v>
      </c>
      <c r="G469" s="88" t="s">
        <v>180</v>
      </c>
      <c r="H469" s="87" t="s">
        <v>189</v>
      </c>
      <c r="I469" s="87" t="s">
        <v>486</v>
      </c>
      <c r="J469" s="88" t="s">
        <v>487</v>
      </c>
      <c r="K469" s="89" t="n">
        <v>360</v>
      </c>
      <c r="L469" s="89" t="n">
        <v>68040000</v>
      </c>
      <c r="M469" s="89" t="n">
        <v>24097320</v>
      </c>
      <c r="N469" s="90" t="n">
        <f aca="false">IF(A469="제외",0,IF(OR(N(L469)&lt;=0,N(M469)&gt;N(L469)),N(M469)/가정!$B$4,N(L469)))</f>
        <v>68040000</v>
      </c>
      <c r="O469" s="67" t="str">
        <f aca="false">IF(A469="제외","",IF(OR(N(L469)&lt;=0,N(M469)&gt;N(L469)),"택가보정(판매금액÷공급율)",""))</f>
        <v/>
      </c>
    </row>
    <row r="470" customFormat="false" ht="15" hidden="false" customHeight="true" outlineLevel="0" collapsed="false">
      <c r="A470" s="67" t="str">
        <f aca="false">IF(OR(TRIM(C470)="",SUBSTITUTE(C470," ","")="소계"),"제외",IF(ISNUMBER(SEARCH("홍콩",C470)),"HK",IF(ISNUMBER(SEARCH("상해",C470)),"CN",IF(ISNUMBER(SEARCH("대만",C470)),"TW","홀세일"))))</f>
        <v>HK</v>
      </c>
      <c r="B470" s="87" t="s">
        <v>823</v>
      </c>
      <c r="C470" s="88" t="s">
        <v>824</v>
      </c>
      <c r="D470" s="88" t="s">
        <v>178</v>
      </c>
      <c r="E470" s="87" t="n">
        <v>2026</v>
      </c>
      <c r="F470" s="88" t="s">
        <v>421</v>
      </c>
      <c r="G470" s="88" t="s">
        <v>180</v>
      </c>
      <c r="H470" s="87" t="s">
        <v>189</v>
      </c>
      <c r="I470" s="87" t="s">
        <v>488</v>
      </c>
      <c r="J470" s="88" t="s">
        <v>489</v>
      </c>
      <c r="K470" s="89" t="n">
        <v>280</v>
      </c>
      <c r="L470" s="89" t="n">
        <v>30520000</v>
      </c>
      <c r="M470" s="89" t="n">
        <v>10550680</v>
      </c>
      <c r="N470" s="90" t="n">
        <f aca="false">IF(A470="제외",0,IF(OR(N(L470)&lt;=0,N(M470)&gt;N(L470)),N(M470)/가정!$B$4,N(L470)))</f>
        <v>30520000</v>
      </c>
      <c r="O470" s="67" t="str">
        <f aca="false">IF(A470="제외","",IF(OR(N(L470)&lt;=0,N(M470)&gt;N(L470)),"택가보정(판매금액÷공급율)",""))</f>
        <v/>
      </c>
    </row>
    <row r="471" customFormat="false" ht="15" hidden="false" customHeight="true" outlineLevel="0" collapsed="false">
      <c r="A471" s="67" t="str">
        <f aca="false">IF(OR(TRIM(C471)="",SUBSTITUTE(C471," ","")="소계"),"제외",IF(ISNUMBER(SEARCH("홍콩",C471)),"HK",IF(ISNUMBER(SEARCH("상해",C471)),"CN",IF(ISNUMBER(SEARCH("대만",C471)),"TW","홀세일"))))</f>
        <v>HK</v>
      </c>
      <c r="B471" s="87" t="s">
        <v>823</v>
      </c>
      <c r="C471" s="88" t="s">
        <v>824</v>
      </c>
      <c r="D471" s="88" t="s">
        <v>178</v>
      </c>
      <c r="E471" s="87" t="n">
        <v>2026</v>
      </c>
      <c r="F471" s="88" t="s">
        <v>421</v>
      </c>
      <c r="G471" s="88" t="s">
        <v>180</v>
      </c>
      <c r="H471" s="87" t="s">
        <v>189</v>
      </c>
      <c r="I471" s="87" t="s">
        <v>490</v>
      </c>
      <c r="J471" s="88" t="s">
        <v>491</v>
      </c>
      <c r="K471" s="89" t="n">
        <v>420</v>
      </c>
      <c r="L471" s="89" t="n">
        <v>33180000</v>
      </c>
      <c r="M471" s="89" t="n">
        <v>11453820</v>
      </c>
      <c r="N471" s="90" t="n">
        <f aca="false">IF(A471="제외",0,IF(OR(N(L471)&lt;=0,N(M471)&gt;N(L471)),N(M471)/가정!$B$4,N(L471)))</f>
        <v>33180000</v>
      </c>
      <c r="O471" s="67" t="str">
        <f aca="false">IF(A471="제외","",IF(OR(N(L471)&lt;=0,N(M471)&gt;N(L471)),"택가보정(판매금액÷공급율)",""))</f>
        <v/>
      </c>
    </row>
    <row r="472" customFormat="false" ht="15" hidden="false" customHeight="true" outlineLevel="0" collapsed="false">
      <c r="A472" s="67" t="str">
        <f aca="false">IF(OR(TRIM(C472)="",SUBSTITUTE(C472," ","")="소계"),"제외",IF(ISNUMBER(SEARCH("홍콩",C472)),"HK",IF(ISNUMBER(SEARCH("상해",C472)),"CN",IF(ISNUMBER(SEARCH("대만",C472)),"TW","홀세일"))))</f>
        <v>HK</v>
      </c>
      <c r="B472" s="87" t="s">
        <v>823</v>
      </c>
      <c r="C472" s="88" t="s">
        <v>824</v>
      </c>
      <c r="D472" s="88" t="s">
        <v>178</v>
      </c>
      <c r="E472" s="87" t="n">
        <v>2026</v>
      </c>
      <c r="F472" s="88" t="s">
        <v>421</v>
      </c>
      <c r="G472" s="88" t="s">
        <v>180</v>
      </c>
      <c r="H472" s="87" t="s">
        <v>189</v>
      </c>
      <c r="I472" s="87" t="s">
        <v>947</v>
      </c>
      <c r="J472" s="88" t="s">
        <v>948</v>
      </c>
      <c r="K472" s="89" t="n">
        <v>160</v>
      </c>
      <c r="L472" s="89" t="n">
        <v>17440000</v>
      </c>
      <c r="M472" s="89" t="n">
        <v>6028960</v>
      </c>
      <c r="N472" s="90" t="n">
        <f aca="false">IF(A472="제외",0,IF(OR(N(L472)&lt;=0,N(M472)&gt;N(L472)),N(M472)/가정!$B$4,N(L472)))</f>
        <v>17440000</v>
      </c>
      <c r="O472" s="67" t="str">
        <f aca="false">IF(A472="제외","",IF(OR(N(L472)&lt;=0,N(M472)&gt;N(L472)),"택가보정(판매금액÷공급율)",""))</f>
        <v/>
      </c>
    </row>
    <row r="473" customFormat="false" ht="15" hidden="false" customHeight="true" outlineLevel="0" collapsed="false">
      <c r="A473" s="67" t="str">
        <f aca="false">IF(OR(TRIM(C473)="",SUBSTITUTE(C473," ","")="소계"),"제외",IF(ISNUMBER(SEARCH("홍콩",C473)),"HK",IF(ISNUMBER(SEARCH("상해",C473)),"CN",IF(ISNUMBER(SEARCH("대만",C473)),"TW","홀세일"))))</f>
        <v>HK</v>
      </c>
      <c r="B473" s="87" t="s">
        <v>823</v>
      </c>
      <c r="C473" s="88" t="s">
        <v>824</v>
      </c>
      <c r="D473" s="88" t="s">
        <v>178</v>
      </c>
      <c r="E473" s="87" t="n">
        <v>2026</v>
      </c>
      <c r="F473" s="88" t="s">
        <v>421</v>
      </c>
      <c r="G473" s="88" t="s">
        <v>180</v>
      </c>
      <c r="H473" s="87" t="s">
        <v>189</v>
      </c>
      <c r="I473" s="87" t="s">
        <v>492</v>
      </c>
      <c r="J473" s="88" t="s">
        <v>493</v>
      </c>
      <c r="K473" s="89" t="n">
        <v>600</v>
      </c>
      <c r="L473" s="89" t="n">
        <v>65400000</v>
      </c>
      <c r="M473" s="89" t="n">
        <v>20703000</v>
      </c>
      <c r="N473" s="90" t="n">
        <f aca="false">IF(A473="제외",0,IF(OR(N(L473)&lt;=0,N(M473)&gt;N(L473)),N(M473)/가정!$B$4,N(L473)))</f>
        <v>65400000</v>
      </c>
      <c r="O473" s="67" t="str">
        <f aca="false">IF(A473="제외","",IF(OR(N(L473)&lt;=0,N(M473)&gt;N(L473)),"택가보정(판매금액÷공급율)",""))</f>
        <v/>
      </c>
    </row>
    <row r="474" customFormat="false" ht="15" hidden="false" customHeight="true" outlineLevel="0" collapsed="false">
      <c r="A474" s="67" t="str">
        <f aca="false">IF(OR(TRIM(C474)="",SUBSTITUTE(C474," ","")="소계"),"제외",IF(ISNUMBER(SEARCH("홍콩",C474)),"HK",IF(ISNUMBER(SEARCH("상해",C474)),"CN",IF(ISNUMBER(SEARCH("대만",C474)),"TW","홀세일"))))</f>
        <v>HK</v>
      </c>
      <c r="B474" s="87" t="s">
        <v>823</v>
      </c>
      <c r="C474" s="88" t="s">
        <v>824</v>
      </c>
      <c r="D474" s="88" t="s">
        <v>178</v>
      </c>
      <c r="E474" s="87" t="n">
        <v>2026</v>
      </c>
      <c r="F474" s="88" t="s">
        <v>421</v>
      </c>
      <c r="G474" s="88" t="s">
        <v>180</v>
      </c>
      <c r="H474" s="87" t="s">
        <v>189</v>
      </c>
      <c r="I474" s="87" t="s">
        <v>494</v>
      </c>
      <c r="J474" s="88" t="s">
        <v>495</v>
      </c>
      <c r="K474" s="89" t="n">
        <v>200</v>
      </c>
      <c r="L474" s="89" t="n">
        <v>11800000</v>
      </c>
      <c r="M474" s="89" t="n">
        <v>4076000</v>
      </c>
      <c r="N474" s="90" t="n">
        <f aca="false">IF(A474="제외",0,IF(OR(N(L474)&lt;=0,N(M474)&gt;N(L474)),N(M474)/가정!$B$4,N(L474)))</f>
        <v>11800000</v>
      </c>
      <c r="O474" s="67" t="str">
        <f aca="false">IF(A474="제외","",IF(OR(N(L474)&lt;=0,N(M474)&gt;N(L474)),"택가보정(판매금액÷공급율)",""))</f>
        <v/>
      </c>
    </row>
    <row r="475" customFormat="false" ht="15" hidden="false" customHeight="true" outlineLevel="0" collapsed="false">
      <c r="A475" s="67" t="str">
        <f aca="false">IF(OR(TRIM(C475)="",SUBSTITUTE(C475," ","")="소계"),"제외",IF(ISNUMBER(SEARCH("홍콩",C475)),"HK",IF(ISNUMBER(SEARCH("상해",C475)),"CN",IF(ISNUMBER(SEARCH("대만",C475)),"TW","홀세일"))))</f>
        <v>HK</v>
      </c>
      <c r="B475" s="87" t="s">
        <v>823</v>
      </c>
      <c r="C475" s="88" t="s">
        <v>824</v>
      </c>
      <c r="D475" s="88" t="s">
        <v>178</v>
      </c>
      <c r="E475" s="87" t="n">
        <v>2026</v>
      </c>
      <c r="F475" s="88" t="s">
        <v>421</v>
      </c>
      <c r="G475" s="88" t="s">
        <v>180</v>
      </c>
      <c r="H475" s="87" t="s">
        <v>189</v>
      </c>
      <c r="I475" s="87" t="s">
        <v>496</v>
      </c>
      <c r="J475" s="88" t="s">
        <v>497</v>
      </c>
      <c r="K475" s="89" t="n">
        <v>200</v>
      </c>
      <c r="L475" s="89" t="n">
        <v>15800000</v>
      </c>
      <c r="M475" s="89" t="n">
        <v>4864600</v>
      </c>
      <c r="N475" s="90" t="n">
        <f aca="false">IF(A475="제외",0,IF(OR(N(L475)&lt;=0,N(M475)&gt;N(L475)),N(M475)/가정!$B$4,N(L475)))</f>
        <v>15800000</v>
      </c>
      <c r="O475" s="67" t="str">
        <f aca="false">IF(A475="제외","",IF(OR(N(L475)&lt;=0,N(M475)&gt;N(L475)),"택가보정(판매금액÷공급율)",""))</f>
        <v/>
      </c>
    </row>
    <row r="476" customFormat="false" ht="15" hidden="false" customHeight="true" outlineLevel="0" collapsed="false">
      <c r="A476" s="67" t="str">
        <f aca="false">IF(OR(TRIM(C476)="",SUBSTITUTE(C476," ","")="소계"),"제외",IF(ISNUMBER(SEARCH("홍콩",C476)),"HK",IF(ISNUMBER(SEARCH("상해",C476)),"CN",IF(ISNUMBER(SEARCH("대만",C476)),"TW","홀세일"))))</f>
        <v>HK</v>
      </c>
      <c r="B476" s="87" t="s">
        <v>823</v>
      </c>
      <c r="C476" s="88" t="s">
        <v>824</v>
      </c>
      <c r="D476" s="88" t="s">
        <v>178</v>
      </c>
      <c r="E476" s="87" t="n">
        <v>2026</v>
      </c>
      <c r="F476" s="88" t="s">
        <v>421</v>
      </c>
      <c r="G476" s="88" t="s">
        <v>180</v>
      </c>
      <c r="H476" s="87" t="s">
        <v>189</v>
      </c>
      <c r="I476" s="87" t="s">
        <v>498</v>
      </c>
      <c r="J476" s="88" t="s">
        <v>499</v>
      </c>
      <c r="K476" s="89" t="n">
        <v>400</v>
      </c>
      <c r="L476" s="89" t="n">
        <v>27600000</v>
      </c>
      <c r="M476" s="89" t="n">
        <v>8296800</v>
      </c>
      <c r="N476" s="90" t="n">
        <f aca="false">IF(A476="제외",0,IF(OR(N(L476)&lt;=0,N(M476)&gt;N(L476)),N(M476)/가정!$B$4,N(L476)))</f>
        <v>27600000</v>
      </c>
      <c r="O476" s="67" t="str">
        <f aca="false">IF(A476="제외","",IF(OR(N(L476)&lt;=0,N(M476)&gt;N(L476)),"택가보정(판매금액÷공급율)",""))</f>
        <v/>
      </c>
    </row>
    <row r="477" customFormat="false" ht="15" hidden="false" customHeight="true" outlineLevel="0" collapsed="false">
      <c r="A477" s="67" t="str">
        <f aca="false">IF(OR(TRIM(C477)="",SUBSTITUTE(C477," ","")="소계"),"제외",IF(ISNUMBER(SEARCH("홍콩",C477)),"HK",IF(ISNUMBER(SEARCH("상해",C477)),"CN",IF(ISNUMBER(SEARCH("대만",C477)),"TW","홀세일"))))</f>
        <v>HK</v>
      </c>
      <c r="B477" s="87" t="s">
        <v>823</v>
      </c>
      <c r="C477" s="88" t="s">
        <v>824</v>
      </c>
      <c r="D477" s="88" t="s">
        <v>178</v>
      </c>
      <c r="E477" s="87" t="n">
        <v>2026</v>
      </c>
      <c r="F477" s="88" t="s">
        <v>421</v>
      </c>
      <c r="G477" s="88" t="s">
        <v>180</v>
      </c>
      <c r="H477" s="87" t="s">
        <v>189</v>
      </c>
      <c r="I477" s="87" t="s">
        <v>500</v>
      </c>
      <c r="J477" s="88" t="s">
        <v>501</v>
      </c>
      <c r="K477" s="89" t="n">
        <v>200</v>
      </c>
      <c r="L477" s="89" t="n">
        <v>15800000</v>
      </c>
      <c r="M477" s="89" t="n">
        <v>4613800</v>
      </c>
      <c r="N477" s="90" t="n">
        <f aca="false">IF(A477="제외",0,IF(OR(N(L477)&lt;=0,N(M477)&gt;N(L477)),N(M477)/가정!$B$4,N(L477)))</f>
        <v>15800000</v>
      </c>
      <c r="O477" s="67" t="str">
        <f aca="false">IF(A477="제외","",IF(OR(N(L477)&lt;=0,N(M477)&gt;N(L477)),"택가보정(판매금액÷공급율)",""))</f>
        <v/>
      </c>
    </row>
    <row r="478" customFormat="false" ht="15" hidden="false" customHeight="true" outlineLevel="0" collapsed="false">
      <c r="A478" s="67" t="str">
        <f aca="false">IF(OR(TRIM(C478)="",SUBSTITUTE(C478," ","")="소계"),"제외",IF(ISNUMBER(SEARCH("홍콩",C478)),"HK",IF(ISNUMBER(SEARCH("상해",C478)),"CN",IF(ISNUMBER(SEARCH("대만",C478)),"TW","홀세일"))))</f>
        <v>HK</v>
      </c>
      <c r="B478" s="87" t="s">
        <v>823</v>
      </c>
      <c r="C478" s="88" t="s">
        <v>824</v>
      </c>
      <c r="D478" s="88" t="s">
        <v>178</v>
      </c>
      <c r="E478" s="87" t="n">
        <v>2026</v>
      </c>
      <c r="F478" s="88" t="s">
        <v>421</v>
      </c>
      <c r="G478" s="88" t="s">
        <v>180</v>
      </c>
      <c r="H478" s="87" t="s">
        <v>181</v>
      </c>
      <c r="I478" s="87" t="s">
        <v>504</v>
      </c>
      <c r="J478" s="88" t="s">
        <v>505</v>
      </c>
      <c r="K478" s="89" t="n">
        <v>200</v>
      </c>
      <c r="L478" s="89" t="n">
        <v>13800000</v>
      </c>
      <c r="M478" s="89" t="n">
        <v>4625200</v>
      </c>
      <c r="N478" s="90" t="n">
        <f aca="false">IF(A478="제외",0,IF(OR(N(L478)&lt;=0,N(M478)&gt;N(L478)),N(M478)/가정!$B$4,N(L478)))</f>
        <v>13800000</v>
      </c>
      <c r="O478" s="67" t="str">
        <f aca="false">IF(A478="제외","",IF(OR(N(L478)&lt;=0,N(M478)&gt;N(L478)),"택가보정(판매금액÷공급율)",""))</f>
        <v/>
      </c>
    </row>
    <row r="479" customFormat="false" ht="15" hidden="false" customHeight="true" outlineLevel="0" collapsed="false">
      <c r="A479" s="67" t="str">
        <f aca="false">IF(OR(TRIM(C479)="",SUBSTITUTE(C479," ","")="소계"),"제외",IF(ISNUMBER(SEARCH("홍콩",C479)),"HK",IF(ISNUMBER(SEARCH("상해",C479)),"CN",IF(ISNUMBER(SEARCH("대만",C479)),"TW","홀세일"))))</f>
        <v>HK</v>
      </c>
      <c r="B479" s="87" t="s">
        <v>823</v>
      </c>
      <c r="C479" s="88" t="s">
        <v>824</v>
      </c>
      <c r="D479" s="88" t="s">
        <v>178</v>
      </c>
      <c r="E479" s="87" t="n">
        <v>2026</v>
      </c>
      <c r="F479" s="88" t="s">
        <v>421</v>
      </c>
      <c r="G479" s="88" t="s">
        <v>180</v>
      </c>
      <c r="H479" s="87" t="s">
        <v>181</v>
      </c>
      <c r="I479" s="87" t="s">
        <v>506</v>
      </c>
      <c r="J479" s="88" t="s">
        <v>507</v>
      </c>
      <c r="K479" s="89" t="n">
        <v>70</v>
      </c>
      <c r="L479" s="89" t="n">
        <v>5530000</v>
      </c>
      <c r="M479" s="89" t="n">
        <v>1847300</v>
      </c>
      <c r="N479" s="90" t="n">
        <f aca="false">IF(A479="제외",0,IF(OR(N(L479)&lt;=0,N(M479)&gt;N(L479)),N(M479)/가정!$B$4,N(L479)))</f>
        <v>5530000</v>
      </c>
      <c r="O479" s="67" t="str">
        <f aca="false">IF(A479="제외","",IF(OR(N(L479)&lt;=0,N(M479)&gt;N(L479)),"택가보정(판매금액÷공급율)",""))</f>
        <v/>
      </c>
    </row>
    <row r="480" customFormat="false" ht="15" hidden="false" customHeight="true" outlineLevel="0" collapsed="false">
      <c r="A480" s="67" t="str">
        <f aca="false">IF(OR(TRIM(C480)="",SUBSTITUTE(C480," ","")="소계"),"제외",IF(ISNUMBER(SEARCH("홍콩",C480)),"HK",IF(ISNUMBER(SEARCH("상해",C480)),"CN",IF(ISNUMBER(SEARCH("대만",C480)),"TW","홀세일"))))</f>
        <v>HK</v>
      </c>
      <c r="B480" s="87" t="s">
        <v>823</v>
      </c>
      <c r="C480" s="88" t="s">
        <v>824</v>
      </c>
      <c r="D480" s="88" t="s">
        <v>178</v>
      </c>
      <c r="E480" s="87" t="n">
        <v>2026</v>
      </c>
      <c r="F480" s="88" t="s">
        <v>421</v>
      </c>
      <c r="G480" s="88" t="s">
        <v>180</v>
      </c>
      <c r="H480" s="87" t="s">
        <v>181</v>
      </c>
      <c r="I480" s="87" t="s">
        <v>508</v>
      </c>
      <c r="J480" s="88" t="s">
        <v>509</v>
      </c>
      <c r="K480" s="89" t="n">
        <v>280</v>
      </c>
      <c r="L480" s="89" t="n">
        <v>19320000</v>
      </c>
      <c r="M480" s="89" t="n">
        <v>6691720</v>
      </c>
      <c r="N480" s="90" t="n">
        <f aca="false">IF(A480="제외",0,IF(OR(N(L480)&lt;=0,N(M480)&gt;N(L480)),N(M480)/가정!$B$4,N(L480)))</f>
        <v>19320000</v>
      </c>
      <c r="O480" s="67" t="str">
        <f aca="false">IF(A480="제외","",IF(OR(N(L480)&lt;=0,N(M480)&gt;N(L480)),"택가보정(판매금액÷공급율)",""))</f>
        <v/>
      </c>
    </row>
    <row r="481" customFormat="false" ht="15" hidden="false" customHeight="true" outlineLevel="0" collapsed="false">
      <c r="A481" s="67" t="str">
        <f aca="false">IF(OR(TRIM(C481)="",SUBSTITUTE(C481," ","")="소계"),"제외",IF(ISNUMBER(SEARCH("홍콩",C481)),"HK",IF(ISNUMBER(SEARCH("상해",C481)),"CN",IF(ISNUMBER(SEARCH("대만",C481)),"TW","홀세일"))))</f>
        <v>HK</v>
      </c>
      <c r="B481" s="87" t="s">
        <v>823</v>
      </c>
      <c r="C481" s="88" t="s">
        <v>824</v>
      </c>
      <c r="D481" s="88" t="s">
        <v>178</v>
      </c>
      <c r="E481" s="87" t="n">
        <v>2026</v>
      </c>
      <c r="F481" s="88" t="s">
        <v>421</v>
      </c>
      <c r="G481" s="88" t="s">
        <v>180</v>
      </c>
      <c r="H481" s="87" t="s">
        <v>246</v>
      </c>
      <c r="I481" s="87" t="s">
        <v>949</v>
      </c>
      <c r="J481" s="87" t="s">
        <v>950</v>
      </c>
      <c r="K481" s="89" t="n">
        <v>90</v>
      </c>
      <c r="L481" s="89" t="n">
        <v>9810000</v>
      </c>
      <c r="M481" s="89" t="n">
        <v>3391290</v>
      </c>
      <c r="N481" s="90" t="n">
        <f aca="false">IF(A481="제외",0,IF(OR(N(L481)&lt;=0,N(M481)&gt;N(L481)),N(M481)/가정!$B$4,N(L481)))</f>
        <v>9810000</v>
      </c>
      <c r="O481" s="67" t="str">
        <f aca="false">IF(A481="제외","",IF(OR(N(L481)&lt;=0,N(M481)&gt;N(L481)),"택가보정(판매금액÷공급율)",""))</f>
        <v/>
      </c>
    </row>
    <row r="482" customFormat="false" ht="15" hidden="false" customHeight="true" outlineLevel="0" collapsed="false">
      <c r="A482" s="67" t="str">
        <f aca="false">IF(OR(TRIM(C482)="",SUBSTITUTE(C482," ","")="소계"),"제외",IF(ISNUMBER(SEARCH("홍콩",C482)),"HK",IF(ISNUMBER(SEARCH("상해",C482)),"CN",IF(ISNUMBER(SEARCH("대만",C482)),"TW","홀세일"))))</f>
        <v>HK</v>
      </c>
      <c r="B482" s="87" t="s">
        <v>823</v>
      </c>
      <c r="C482" s="88" t="s">
        <v>824</v>
      </c>
      <c r="D482" s="88" t="s">
        <v>178</v>
      </c>
      <c r="E482" s="87" t="n">
        <v>2026</v>
      </c>
      <c r="F482" s="88" t="s">
        <v>421</v>
      </c>
      <c r="G482" s="88" t="s">
        <v>180</v>
      </c>
      <c r="H482" s="87" t="s">
        <v>246</v>
      </c>
      <c r="I482" s="87" t="s">
        <v>512</v>
      </c>
      <c r="J482" s="87" t="s">
        <v>513</v>
      </c>
      <c r="K482" s="89" t="n">
        <v>160</v>
      </c>
      <c r="L482" s="89" t="n">
        <v>17440000</v>
      </c>
      <c r="M482" s="89" t="n">
        <v>6089440</v>
      </c>
      <c r="N482" s="90" t="n">
        <f aca="false">IF(A482="제외",0,IF(OR(N(L482)&lt;=0,N(M482)&gt;N(L482)),N(M482)/가정!$B$4,N(L482)))</f>
        <v>17440000</v>
      </c>
      <c r="O482" s="67" t="str">
        <f aca="false">IF(A482="제외","",IF(OR(N(L482)&lt;=0,N(M482)&gt;N(L482)),"택가보정(판매금액÷공급율)",""))</f>
        <v/>
      </c>
    </row>
    <row r="483" customFormat="false" ht="15" hidden="false" customHeight="true" outlineLevel="0" collapsed="false">
      <c r="A483" s="67" t="str">
        <f aca="false">IF(OR(TRIM(C483)="",SUBSTITUTE(C483," ","")="소계"),"제외",IF(ISNUMBER(SEARCH("홍콩",C483)),"HK",IF(ISNUMBER(SEARCH("상해",C483)),"CN",IF(ISNUMBER(SEARCH("대만",C483)),"TW","홀세일"))))</f>
        <v>HK</v>
      </c>
      <c r="B483" s="87" t="s">
        <v>823</v>
      </c>
      <c r="C483" s="88" t="s">
        <v>824</v>
      </c>
      <c r="D483" s="88" t="s">
        <v>178</v>
      </c>
      <c r="E483" s="87" t="n">
        <v>2026</v>
      </c>
      <c r="F483" s="88" t="s">
        <v>421</v>
      </c>
      <c r="G483" s="88" t="s">
        <v>180</v>
      </c>
      <c r="H483" s="87" t="s">
        <v>246</v>
      </c>
      <c r="I483" s="87" t="s">
        <v>514</v>
      </c>
      <c r="J483" s="87" t="s">
        <v>515</v>
      </c>
      <c r="K483" s="89" t="n">
        <v>90</v>
      </c>
      <c r="L483" s="89" t="n">
        <v>13410000</v>
      </c>
      <c r="M483" s="89" t="n">
        <v>4482000</v>
      </c>
      <c r="N483" s="90" t="n">
        <f aca="false">IF(A483="제외",0,IF(OR(N(L483)&lt;=0,N(M483)&gt;N(L483)),N(M483)/가정!$B$4,N(L483)))</f>
        <v>13410000</v>
      </c>
      <c r="O483" s="67" t="str">
        <f aca="false">IF(A483="제외","",IF(OR(N(L483)&lt;=0,N(M483)&gt;N(L483)),"택가보정(판매금액÷공급율)",""))</f>
        <v/>
      </c>
    </row>
    <row r="484" customFormat="false" ht="15" hidden="false" customHeight="true" outlineLevel="0" collapsed="false">
      <c r="A484" s="67" t="str">
        <f aca="false">IF(OR(TRIM(C484)="",SUBSTITUTE(C484," ","")="소계"),"제외",IF(ISNUMBER(SEARCH("홍콩",C484)),"HK",IF(ISNUMBER(SEARCH("상해",C484)),"CN",IF(ISNUMBER(SEARCH("대만",C484)),"TW","홀세일"))))</f>
        <v>HK</v>
      </c>
      <c r="B484" s="87" t="s">
        <v>823</v>
      </c>
      <c r="C484" s="88" t="s">
        <v>824</v>
      </c>
      <c r="D484" s="88" t="s">
        <v>178</v>
      </c>
      <c r="E484" s="87" t="n">
        <v>2026</v>
      </c>
      <c r="F484" s="88" t="s">
        <v>421</v>
      </c>
      <c r="G484" s="88" t="s">
        <v>180</v>
      </c>
      <c r="H484" s="87" t="s">
        <v>246</v>
      </c>
      <c r="I484" s="87" t="s">
        <v>516</v>
      </c>
      <c r="J484" s="87" t="s">
        <v>517</v>
      </c>
      <c r="K484" s="89" t="n">
        <v>90</v>
      </c>
      <c r="L484" s="89" t="n">
        <v>13410000</v>
      </c>
      <c r="M484" s="89" t="n">
        <v>4751730</v>
      </c>
      <c r="N484" s="90" t="n">
        <f aca="false">IF(A484="제외",0,IF(OR(N(L484)&lt;=0,N(M484)&gt;N(L484)),N(M484)/가정!$B$4,N(L484)))</f>
        <v>13410000</v>
      </c>
      <c r="O484" s="67" t="str">
        <f aca="false">IF(A484="제외","",IF(OR(N(L484)&lt;=0,N(M484)&gt;N(L484)),"택가보정(판매금액÷공급율)",""))</f>
        <v/>
      </c>
    </row>
    <row r="485" customFormat="false" ht="15" hidden="false" customHeight="true" outlineLevel="0" collapsed="false">
      <c r="A485" s="67" t="str">
        <f aca="false">IF(OR(TRIM(C485)="",SUBSTITUTE(C485," ","")="소계"),"제외",IF(ISNUMBER(SEARCH("홍콩",C485)),"HK",IF(ISNUMBER(SEARCH("상해",C485)),"CN",IF(ISNUMBER(SEARCH("대만",C485)),"TW","홀세일"))))</f>
        <v>HK</v>
      </c>
      <c r="B485" s="87" t="s">
        <v>823</v>
      </c>
      <c r="C485" s="88" t="s">
        <v>824</v>
      </c>
      <c r="D485" s="88" t="s">
        <v>178</v>
      </c>
      <c r="E485" s="87" t="n">
        <v>2026</v>
      </c>
      <c r="F485" s="88" t="s">
        <v>421</v>
      </c>
      <c r="G485" s="88" t="s">
        <v>180</v>
      </c>
      <c r="H485" s="87" t="s">
        <v>246</v>
      </c>
      <c r="I485" s="87" t="s">
        <v>951</v>
      </c>
      <c r="J485" s="87" t="s">
        <v>952</v>
      </c>
      <c r="K485" s="89" t="n">
        <v>70</v>
      </c>
      <c r="L485" s="89" t="n">
        <v>9730000</v>
      </c>
      <c r="M485" s="89" t="n">
        <v>3247650</v>
      </c>
      <c r="N485" s="90" t="n">
        <f aca="false">IF(A485="제외",0,IF(OR(N(L485)&lt;=0,N(M485)&gt;N(L485)),N(M485)/가정!$B$4,N(L485)))</f>
        <v>9730000</v>
      </c>
      <c r="O485" s="67" t="str">
        <f aca="false">IF(A485="제외","",IF(OR(N(L485)&lt;=0,N(M485)&gt;N(L485)),"택가보정(판매금액÷공급율)",""))</f>
        <v/>
      </c>
    </row>
    <row r="486" customFormat="false" ht="15" hidden="false" customHeight="true" outlineLevel="0" collapsed="false">
      <c r="A486" s="67" t="str">
        <f aca="false">IF(OR(TRIM(C486)="",SUBSTITUTE(C486," ","")="소계"),"제외",IF(ISNUMBER(SEARCH("홍콩",C486)),"HK",IF(ISNUMBER(SEARCH("상해",C486)),"CN",IF(ISNUMBER(SEARCH("대만",C486)),"TW","홀세일"))))</f>
        <v>HK</v>
      </c>
      <c r="B486" s="87" t="s">
        <v>823</v>
      </c>
      <c r="C486" s="88" t="s">
        <v>824</v>
      </c>
      <c r="D486" s="88" t="s">
        <v>178</v>
      </c>
      <c r="E486" s="87" t="n">
        <v>2026</v>
      </c>
      <c r="F486" s="88" t="s">
        <v>421</v>
      </c>
      <c r="G486" s="88" t="s">
        <v>180</v>
      </c>
      <c r="H486" s="87" t="s">
        <v>246</v>
      </c>
      <c r="I486" s="87" t="s">
        <v>522</v>
      </c>
      <c r="J486" s="87" t="s">
        <v>523</v>
      </c>
      <c r="K486" s="89" t="n">
        <v>180</v>
      </c>
      <c r="L486" s="89" t="n">
        <v>46620000</v>
      </c>
      <c r="M486" s="89" t="n">
        <v>16124580</v>
      </c>
      <c r="N486" s="90" t="n">
        <f aca="false">IF(A486="제외",0,IF(OR(N(L486)&lt;=0,N(M486)&gt;N(L486)),N(M486)/가정!$B$4,N(L486)))</f>
        <v>46620000</v>
      </c>
      <c r="O486" s="67" t="str">
        <f aca="false">IF(A486="제외","",IF(OR(N(L486)&lt;=0,N(M486)&gt;N(L486)),"택가보정(판매금액÷공급율)",""))</f>
        <v/>
      </c>
    </row>
    <row r="487" customFormat="false" ht="15" hidden="false" customHeight="true" outlineLevel="0" collapsed="false">
      <c r="A487" s="67" t="str">
        <f aca="false">IF(OR(TRIM(C487)="",SUBSTITUTE(C487," ","")="소계"),"제외",IF(ISNUMBER(SEARCH("홍콩",C487)),"HK",IF(ISNUMBER(SEARCH("상해",C487)),"CN",IF(ISNUMBER(SEARCH("대만",C487)),"TW","홀세일"))))</f>
        <v>HK</v>
      </c>
      <c r="B487" s="87" t="s">
        <v>823</v>
      </c>
      <c r="C487" s="88" t="s">
        <v>824</v>
      </c>
      <c r="D487" s="88" t="s">
        <v>178</v>
      </c>
      <c r="E487" s="87" t="n">
        <v>2026</v>
      </c>
      <c r="F487" s="88" t="s">
        <v>421</v>
      </c>
      <c r="G487" s="88" t="s">
        <v>180</v>
      </c>
      <c r="H487" s="87" t="s">
        <v>246</v>
      </c>
      <c r="I487" s="87" t="s">
        <v>953</v>
      </c>
      <c r="J487" s="87" t="s">
        <v>954</v>
      </c>
      <c r="K487" s="89" t="n">
        <v>160</v>
      </c>
      <c r="L487" s="89" t="n">
        <v>28640000</v>
      </c>
      <c r="M487" s="89" t="n">
        <v>10142720</v>
      </c>
      <c r="N487" s="90" t="n">
        <f aca="false">IF(A487="제외",0,IF(OR(N(L487)&lt;=0,N(M487)&gt;N(L487)),N(M487)/가정!$B$4,N(L487)))</f>
        <v>28640000</v>
      </c>
      <c r="O487" s="67" t="str">
        <f aca="false">IF(A487="제외","",IF(OR(N(L487)&lt;=0,N(M487)&gt;N(L487)),"택가보정(판매금액÷공급율)",""))</f>
        <v/>
      </c>
    </row>
    <row r="488" customFormat="false" ht="15" hidden="false" customHeight="true" outlineLevel="0" collapsed="false">
      <c r="A488" s="67" t="str">
        <f aca="false">IF(OR(TRIM(C488)="",SUBSTITUTE(C488," ","")="소계"),"제외",IF(ISNUMBER(SEARCH("홍콩",C488)),"HK",IF(ISNUMBER(SEARCH("상해",C488)),"CN",IF(ISNUMBER(SEARCH("대만",C488)),"TW","홀세일"))))</f>
        <v>HK</v>
      </c>
      <c r="B488" s="87" t="s">
        <v>823</v>
      </c>
      <c r="C488" s="88" t="s">
        <v>824</v>
      </c>
      <c r="D488" s="88" t="s">
        <v>178</v>
      </c>
      <c r="E488" s="87" t="n">
        <v>2026</v>
      </c>
      <c r="F488" s="88" t="s">
        <v>421</v>
      </c>
      <c r="G488" s="88" t="s">
        <v>180</v>
      </c>
      <c r="H488" s="87" t="s">
        <v>246</v>
      </c>
      <c r="I488" s="87" t="s">
        <v>524</v>
      </c>
      <c r="J488" s="87" t="s">
        <v>525</v>
      </c>
      <c r="K488" s="89" t="n">
        <v>180</v>
      </c>
      <c r="L488" s="89" t="n">
        <v>28620000</v>
      </c>
      <c r="M488" s="89" t="n">
        <v>9356400</v>
      </c>
      <c r="N488" s="90" t="n">
        <f aca="false">IF(A488="제외",0,IF(OR(N(L488)&lt;=0,N(M488)&gt;N(L488)),N(M488)/가정!$B$4,N(L488)))</f>
        <v>28620000</v>
      </c>
      <c r="O488" s="67" t="str">
        <f aca="false">IF(A488="제외","",IF(OR(N(L488)&lt;=0,N(M488)&gt;N(L488)),"택가보정(판매금액÷공급율)",""))</f>
        <v/>
      </c>
    </row>
    <row r="489" customFormat="false" ht="15" hidden="false" customHeight="true" outlineLevel="0" collapsed="false">
      <c r="A489" s="67" t="str">
        <f aca="false">IF(OR(TRIM(C489)="",SUBSTITUTE(C489," ","")="소계"),"제외",IF(ISNUMBER(SEARCH("홍콩",C489)),"HK",IF(ISNUMBER(SEARCH("상해",C489)),"CN",IF(ISNUMBER(SEARCH("대만",C489)),"TW","홀세일"))))</f>
        <v>HK</v>
      </c>
      <c r="B489" s="87" t="s">
        <v>823</v>
      </c>
      <c r="C489" s="88" t="s">
        <v>824</v>
      </c>
      <c r="D489" s="88" t="s">
        <v>178</v>
      </c>
      <c r="E489" s="87" t="n">
        <v>2026</v>
      </c>
      <c r="F489" s="88" t="s">
        <v>421</v>
      </c>
      <c r="G489" s="88" t="s">
        <v>180</v>
      </c>
      <c r="H489" s="87" t="s">
        <v>246</v>
      </c>
      <c r="I489" s="87" t="s">
        <v>526</v>
      </c>
      <c r="J489" s="87" t="s">
        <v>527</v>
      </c>
      <c r="K489" s="89" t="n">
        <v>100</v>
      </c>
      <c r="L489" s="89" t="n">
        <v>18900000</v>
      </c>
      <c r="M489" s="89" t="n">
        <v>6693700</v>
      </c>
      <c r="N489" s="90" t="n">
        <f aca="false">IF(A489="제외",0,IF(OR(N(L489)&lt;=0,N(M489)&gt;N(L489)),N(M489)/가정!$B$4,N(L489)))</f>
        <v>18900000</v>
      </c>
      <c r="O489" s="67" t="str">
        <f aca="false">IF(A489="제외","",IF(OR(N(L489)&lt;=0,N(M489)&gt;N(L489)),"택가보정(판매금액÷공급율)",""))</f>
        <v/>
      </c>
    </row>
    <row r="490" customFormat="false" ht="15" hidden="false" customHeight="true" outlineLevel="0" collapsed="false">
      <c r="A490" s="67" t="str">
        <f aca="false">IF(OR(TRIM(C490)="",SUBSTITUTE(C490," ","")="소계"),"제외",IF(ISNUMBER(SEARCH("홍콩",C490)),"HK",IF(ISNUMBER(SEARCH("상해",C490)),"CN",IF(ISNUMBER(SEARCH("대만",C490)),"TW","홀세일"))))</f>
        <v>HK</v>
      </c>
      <c r="B490" s="87" t="s">
        <v>823</v>
      </c>
      <c r="C490" s="88" t="s">
        <v>824</v>
      </c>
      <c r="D490" s="88" t="s">
        <v>178</v>
      </c>
      <c r="E490" s="87" t="n">
        <v>2026</v>
      </c>
      <c r="F490" s="88" t="s">
        <v>421</v>
      </c>
      <c r="G490" s="88" t="s">
        <v>180</v>
      </c>
      <c r="H490" s="87" t="s">
        <v>246</v>
      </c>
      <c r="I490" s="87" t="s">
        <v>528</v>
      </c>
      <c r="J490" s="87" t="s">
        <v>529</v>
      </c>
      <c r="K490" s="89" t="n">
        <v>180</v>
      </c>
      <c r="L490" s="89" t="n">
        <v>14220000</v>
      </c>
      <c r="M490" s="89" t="n">
        <v>4908780</v>
      </c>
      <c r="N490" s="90" t="n">
        <f aca="false">IF(A490="제외",0,IF(OR(N(L490)&lt;=0,N(M490)&gt;N(L490)),N(M490)/가정!$B$4,N(L490)))</f>
        <v>14220000</v>
      </c>
      <c r="O490" s="67" t="str">
        <f aca="false">IF(A490="제외","",IF(OR(N(L490)&lt;=0,N(M490)&gt;N(L490)),"택가보정(판매금액÷공급율)",""))</f>
        <v/>
      </c>
    </row>
    <row r="491" customFormat="false" ht="15" hidden="false" customHeight="true" outlineLevel="0" collapsed="false">
      <c r="A491" s="67" t="str">
        <f aca="false">IF(OR(TRIM(C491)="",SUBSTITUTE(C491," ","")="소계"),"제외",IF(ISNUMBER(SEARCH("홍콩",C491)),"HK",IF(ISNUMBER(SEARCH("상해",C491)),"CN",IF(ISNUMBER(SEARCH("대만",C491)),"TW","홀세일"))))</f>
        <v>HK</v>
      </c>
      <c r="B491" s="87" t="s">
        <v>823</v>
      </c>
      <c r="C491" s="88" t="s">
        <v>824</v>
      </c>
      <c r="D491" s="88" t="s">
        <v>178</v>
      </c>
      <c r="E491" s="87" t="n">
        <v>2026</v>
      </c>
      <c r="F491" s="88" t="s">
        <v>421</v>
      </c>
      <c r="G491" s="88" t="s">
        <v>180</v>
      </c>
      <c r="H491" s="87" t="s">
        <v>246</v>
      </c>
      <c r="I491" s="87" t="s">
        <v>955</v>
      </c>
      <c r="J491" s="87" t="s">
        <v>956</v>
      </c>
      <c r="K491" s="89" t="n">
        <v>200</v>
      </c>
      <c r="L491" s="89" t="n">
        <v>21800000</v>
      </c>
      <c r="M491" s="89" t="n">
        <v>7491200</v>
      </c>
      <c r="N491" s="90" t="n">
        <f aca="false">IF(A491="제외",0,IF(OR(N(L491)&lt;=0,N(M491)&gt;N(L491)),N(M491)/가정!$B$4,N(L491)))</f>
        <v>21800000</v>
      </c>
      <c r="O491" s="67" t="str">
        <f aca="false">IF(A491="제외","",IF(OR(N(L491)&lt;=0,N(M491)&gt;N(L491)),"택가보정(판매금액÷공급율)",""))</f>
        <v/>
      </c>
    </row>
    <row r="492" customFormat="false" ht="15" hidden="false" customHeight="true" outlineLevel="0" collapsed="false">
      <c r="A492" s="67" t="str">
        <f aca="false">IF(OR(TRIM(C492)="",SUBSTITUTE(C492," ","")="소계"),"제외",IF(ISNUMBER(SEARCH("홍콩",C492)),"HK",IF(ISNUMBER(SEARCH("상해",C492)),"CN",IF(ISNUMBER(SEARCH("대만",C492)),"TW","홀세일"))))</f>
        <v>HK</v>
      </c>
      <c r="B492" s="87" t="s">
        <v>823</v>
      </c>
      <c r="C492" s="88" t="s">
        <v>824</v>
      </c>
      <c r="D492" s="88" t="s">
        <v>178</v>
      </c>
      <c r="E492" s="87" t="n">
        <v>2026</v>
      </c>
      <c r="F492" s="88" t="s">
        <v>421</v>
      </c>
      <c r="G492" s="88" t="s">
        <v>180</v>
      </c>
      <c r="H492" s="87" t="s">
        <v>246</v>
      </c>
      <c r="I492" s="87" t="s">
        <v>957</v>
      </c>
      <c r="J492" s="87" t="s">
        <v>958</v>
      </c>
      <c r="K492" s="89" t="n">
        <v>200</v>
      </c>
      <c r="L492" s="89" t="n">
        <v>13800000</v>
      </c>
      <c r="M492" s="89" t="n">
        <v>4864600</v>
      </c>
      <c r="N492" s="90" t="n">
        <f aca="false">IF(A492="제외",0,IF(OR(N(L492)&lt;=0,N(M492)&gt;N(L492)),N(M492)/가정!$B$4,N(L492)))</f>
        <v>13800000</v>
      </c>
      <c r="O492" s="67" t="str">
        <f aca="false">IF(A492="제외","",IF(OR(N(L492)&lt;=0,N(M492)&gt;N(L492)),"택가보정(판매금액÷공급율)",""))</f>
        <v/>
      </c>
    </row>
    <row r="493" customFormat="false" ht="15" hidden="false" customHeight="true" outlineLevel="0" collapsed="false">
      <c r="A493" s="67" t="str">
        <f aca="false">IF(OR(TRIM(C493)="",SUBSTITUTE(C493," ","")="소계"),"제외",IF(ISNUMBER(SEARCH("홍콩",C493)),"HK",IF(ISNUMBER(SEARCH("상해",C493)),"CN",IF(ISNUMBER(SEARCH("대만",C493)),"TW","홀세일"))))</f>
        <v>HK</v>
      </c>
      <c r="B493" s="87" t="s">
        <v>823</v>
      </c>
      <c r="C493" s="88" t="s">
        <v>824</v>
      </c>
      <c r="D493" s="88" t="s">
        <v>178</v>
      </c>
      <c r="E493" s="87" t="n">
        <v>2026</v>
      </c>
      <c r="F493" s="88" t="s">
        <v>421</v>
      </c>
      <c r="G493" s="88" t="s">
        <v>180</v>
      </c>
      <c r="H493" s="87" t="s">
        <v>246</v>
      </c>
      <c r="I493" s="87" t="s">
        <v>530</v>
      </c>
      <c r="J493" s="87" t="s">
        <v>531</v>
      </c>
      <c r="K493" s="89" t="n">
        <v>350</v>
      </c>
      <c r="L493" s="89" t="n">
        <v>24150000</v>
      </c>
      <c r="M493" s="89" t="n">
        <v>7259700</v>
      </c>
      <c r="N493" s="90" t="n">
        <f aca="false">IF(A493="제외",0,IF(OR(N(L493)&lt;=0,N(M493)&gt;N(L493)),N(M493)/가정!$B$4,N(L493)))</f>
        <v>24150000</v>
      </c>
      <c r="O493" s="67" t="str">
        <f aca="false">IF(A493="제외","",IF(OR(N(L493)&lt;=0,N(M493)&gt;N(L493)),"택가보정(판매금액÷공급율)",""))</f>
        <v/>
      </c>
    </row>
    <row r="494" customFormat="false" ht="15" hidden="false" customHeight="true" outlineLevel="0" collapsed="false">
      <c r="A494" s="67" t="str">
        <f aca="false">IF(OR(TRIM(C494)="",SUBSTITUTE(C494," ","")="소계"),"제외",IF(ISNUMBER(SEARCH("홍콩",C494)),"HK",IF(ISNUMBER(SEARCH("상해",C494)),"CN",IF(ISNUMBER(SEARCH("대만",C494)),"TW","홀세일"))))</f>
        <v>HK</v>
      </c>
      <c r="B494" s="87" t="s">
        <v>823</v>
      </c>
      <c r="C494" s="88" t="s">
        <v>824</v>
      </c>
      <c r="D494" s="88" t="s">
        <v>178</v>
      </c>
      <c r="E494" s="87" t="n">
        <v>2026</v>
      </c>
      <c r="F494" s="88" t="s">
        <v>532</v>
      </c>
      <c r="G494" s="88" t="s">
        <v>188</v>
      </c>
      <c r="H494" s="87" t="s">
        <v>189</v>
      </c>
      <c r="I494" s="87" t="s">
        <v>533</v>
      </c>
      <c r="J494" s="88" t="s">
        <v>534</v>
      </c>
      <c r="K494" s="89" t="n">
        <v>120</v>
      </c>
      <c r="L494" s="89" t="n">
        <v>9480000</v>
      </c>
      <c r="M494" s="89" t="n">
        <v>3279600</v>
      </c>
      <c r="N494" s="90" t="n">
        <f aca="false">IF(A494="제외",0,IF(OR(N(L494)&lt;=0,N(M494)&gt;N(L494)),N(M494)/가정!$B$4,N(L494)))</f>
        <v>9480000</v>
      </c>
      <c r="O494" s="67" t="str">
        <f aca="false">IF(A494="제외","",IF(OR(N(L494)&lt;=0,N(M494)&gt;N(L494)),"택가보정(판매금액÷공급율)",""))</f>
        <v/>
      </c>
    </row>
    <row r="495" customFormat="false" ht="15" hidden="false" customHeight="true" outlineLevel="0" collapsed="false">
      <c r="A495" s="67" t="str">
        <f aca="false">IF(OR(TRIM(C495)="",SUBSTITUTE(C495," ","")="소계"),"제외",IF(ISNUMBER(SEARCH("홍콩",C495)),"HK",IF(ISNUMBER(SEARCH("상해",C495)),"CN",IF(ISNUMBER(SEARCH("대만",C495)),"TW","홀세일"))))</f>
        <v>HK</v>
      </c>
      <c r="B495" s="87" t="s">
        <v>823</v>
      </c>
      <c r="C495" s="88" t="s">
        <v>824</v>
      </c>
      <c r="D495" s="88" t="s">
        <v>178</v>
      </c>
      <c r="E495" s="87" t="n">
        <v>2026</v>
      </c>
      <c r="F495" s="88" t="s">
        <v>532</v>
      </c>
      <c r="G495" s="88" t="s">
        <v>180</v>
      </c>
      <c r="H495" s="87" t="s">
        <v>189</v>
      </c>
      <c r="I495" s="87" t="s">
        <v>959</v>
      </c>
      <c r="J495" s="88" t="s">
        <v>960</v>
      </c>
      <c r="K495" s="89" t="n">
        <v>220</v>
      </c>
      <c r="L495" s="89" t="n">
        <v>32780000</v>
      </c>
      <c r="M495" s="89" t="n">
        <v>10926740</v>
      </c>
      <c r="N495" s="90" t="n">
        <f aca="false">IF(A495="제외",0,IF(OR(N(L495)&lt;=0,N(M495)&gt;N(L495)),N(M495)/가정!$B$4,N(L495)))</f>
        <v>32780000</v>
      </c>
      <c r="O495" s="67" t="str">
        <f aca="false">IF(A495="제외","",IF(OR(N(L495)&lt;=0,N(M495)&gt;N(L495)),"택가보정(판매금액÷공급율)",""))</f>
        <v/>
      </c>
    </row>
    <row r="496" customFormat="false" ht="15" hidden="false" customHeight="true" outlineLevel="0" collapsed="false">
      <c r="A496" s="67" t="str">
        <f aca="false">IF(OR(TRIM(C496)="",SUBSTITUTE(C496," ","")="소계"),"제외",IF(ISNUMBER(SEARCH("홍콩",C496)),"HK",IF(ISNUMBER(SEARCH("상해",C496)),"CN",IF(ISNUMBER(SEARCH("대만",C496)),"TW","홀세일"))))</f>
        <v>HK</v>
      </c>
      <c r="B496" s="87" t="s">
        <v>823</v>
      </c>
      <c r="C496" s="88" t="s">
        <v>824</v>
      </c>
      <c r="D496" s="88" t="s">
        <v>178</v>
      </c>
      <c r="E496" s="87" t="n">
        <v>2026</v>
      </c>
      <c r="F496" s="88" t="s">
        <v>532</v>
      </c>
      <c r="G496" s="88" t="s">
        <v>180</v>
      </c>
      <c r="H496" s="87" t="s">
        <v>189</v>
      </c>
      <c r="I496" s="87" t="s">
        <v>961</v>
      </c>
      <c r="J496" s="88" t="s">
        <v>962</v>
      </c>
      <c r="K496" s="89" t="n">
        <v>180</v>
      </c>
      <c r="L496" s="89" t="n">
        <v>26820000</v>
      </c>
      <c r="M496" s="89" t="n">
        <v>9168660</v>
      </c>
      <c r="N496" s="90" t="n">
        <f aca="false">IF(A496="제외",0,IF(OR(N(L496)&lt;=0,N(M496)&gt;N(L496)),N(M496)/가정!$B$4,N(L496)))</f>
        <v>26820000</v>
      </c>
      <c r="O496" s="67" t="str">
        <f aca="false">IF(A496="제외","",IF(OR(N(L496)&lt;=0,N(M496)&gt;N(L496)),"택가보정(판매금액÷공급율)",""))</f>
        <v/>
      </c>
    </row>
    <row r="497" customFormat="false" ht="15" hidden="false" customHeight="true" outlineLevel="0" collapsed="false">
      <c r="A497" s="67" t="str">
        <f aca="false">IF(OR(TRIM(C497)="",SUBSTITUTE(C497," ","")="소계"),"제외",IF(ISNUMBER(SEARCH("홍콩",C497)),"HK",IF(ISNUMBER(SEARCH("상해",C497)),"CN",IF(ISNUMBER(SEARCH("대만",C497)),"TW","홀세일"))))</f>
        <v>HK</v>
      </c>
      <c r="B497" s="87" t="s">
        <v>823</v>
      </c>
      <c r="C497" s="88" t="s">
        <v>824</v>
      </c>
      <c r="D497" s="88" t="s">
        <v>178</v>
      </c>
      <c r="E497" s="87" t="n">
        <v>2026</v>
      </c>
      <c r="F497" s="88" t="s">
        <v>532</v>
      </c>
      <c r="G497" s="88" t="s">
        <v>180</v>
      </c>
      <c r="H497" s="87" t="s">
        <v>181</v>
      </c>
      <c r="I497" s="87" t="s">
        <v>963</v>
      </c>
      <c r="J497" s="87" t="s">
        <v>964</v>
      </c>
      <c r="K497" s="89" t="n">
        <v>200</v>
      </c>
      <c r="L497" s="89" t="n">
        <v>39800000</v>
      </c>
      <c r="M497" s="89" t="n">
        <v>13325400</v>
      </c>
      <c r="N497" s="90" t="n">
        <f aca="false">IF(A497="제외",0,IF(OR(N(L497)&lt;=0,N(M497)&gt;N(L497)),N(M497)/가정!$B$4,N(L497)))</f>
        <v>39800000</v>
      </c>
      <c r="O497" s="67" t="str">
        <f aca="false">IF(A497="제외","",IF(OR(N(L497)&lt;=0,N(M497)&gt;N(L497)),"택가보정(판매금액÷공급율)",""))</f>
        <v/>
      </c>
    </row>
    <row r="498" customFormat="false" ht="15" hidden="false" customHeight="true" outlineLevel="0" collapsed="false">
      <c r="A498" s="67" t="str">
        <f aca="false">IF(OR(TRIM(C498)="",SUBSTITUTE(C498," ","")="소계"),"제외",IF(ISNUMBER(SEARCH("홍콩",C498)),"HK",IF(ISNUMBER(SEARCH("상해",C498)),"CN",IF(ISNUMBER(SEARCH("대만",C498)),"TW","홀세일"))))</f>
        <v>HK</v>
      </c>
      <c r="B498" s="87" t="s">
        <v>823</v>
      </c>
      <c r="C498" s="88" t="s">
        <v>824</v>
      </c>
      <c r="D498" s="88" t="s">
        <v>178</v>
      </c>
      <c r="E498" s="87" t="n">
        <v>2026</v>
      </c>
      <c r="F498" s="88" t="s">
        <v>532</v>
      </c>
      <c r="G498" s="88" t="s">
        <v>180</v>
      </c>
      <c r="H498" s="87" t="s">
        <v>181</v>
      </c>
      <c r="I498" s="87" t="s">
        <v>539</v>
      </c>
      <c r="J498" s="88" t="s">
        <v>540</v>
      </c>
      <c r="K498" s="89" t="n">
        <v>220</v>
      </c>
      <c r="L498" s="89" t="n">
        <v>43780000</v>
      </c>
      <c r="M498" s="89" t="n">
        <v>14657940</v>
      </c>
      <c r="N498" s="90" t="n">
        <f aca="false">IF(A498="제외",0,IF(OR(N(L498)&lt;=0,N(M498)&gt;N(L498)),N(M498)/가정!$B$4,N(L498)))</f>
        <v>43780000</v>
      </c>
      <c r="O498" s="67" t="str">
        <f aca="false">IF(A498="제외","",IF(OR(N(L498)&lt;=0,N(M498)&gt;N(L498)),"택가보정(판매금액÷공급율)",""))</f>
        <v/>
      </c>
    </row>
    <row r="499" customFormat="false" ht="15" hidden="false" customHeight="true" outlineLevel="0" collapsed="false">
      <c r="A499" s="67" t="str">
        <f aca="false">IF(OR(TRIM(C499)="",SUBSTITUTE(C499," ","")="소계"),"제외",IF(ISNUMBER(SEARCH("홍콩",C499)),"HK",IF(ISNUMBER(SEARCH("상해",C499)),"CN",IF(ISNUMBER(SEARCH("대만",C499)),"TW","홀세일"))))</f>
        <v>HK</v>
      </c>
      <c r="B499" s="87" t="s">
        <v>823</v>
      </c>
      <c r="C499" s="88" t="s">
        <v>824</v>
      </c>
      <c r="D499" s="88" t="s">
        <v>178</v>
      </c>
      <c r="E499" s="87" t="n">
        <v>2026</v>
      </c>
      <c r="F499" s="88" t="s">
        <v>532</v>
      </c>
      <c r="G499" s="88" t="s">
        <v>180</v>
      </c>
      <c r="H499" s="87" t="s">
        <v>181</v>
      </c>
      <c r="I499" s="87" t="s">
        <v>965</v>
      </c>
      <c r="J499" s="88" t="s">
        <v>966</v>
      </c>
      <c r="K499" s="89" t="n">
        <v>280</v>
      </c>
      <c r="L499" s="89" t="n">
        <v>122920000</v>
      </c>
      <c r="M499" s="89" t="n">
        <v>41849920</v>
      </c>
      <c r="N499" s="90" t="n">
        <f aca="false">IF(A499="제외",0,IF(OR(N(L499)&lt;=0,N(M499)&gt;N(L499)),N(M499)/가정!$B$4,N(L499)))</f>
        <v>122920000</v>
      </c>
      <c r="O499" s="67" t="str">
        <f aca="false">IF(A499="제외","",IF(OR(N(L499)&lt;=0,N(M499)&gt;N(L499)),"택가보정(판매금액÷공급율)",""))</f>
        <v/>
      </c>
    </row>
    <row r="500" customFormat="false" ht="15" hidden="false" customHeight="true" outlineLevel="0" collapsed="false">
      <c r="A500" s="67" t="str">
        <f aca="false">IF(OR(TRIM(C500)="",SUBSTITUTE(C500," ","")="소계"),"제외",IF(ISNUMBER(SEARCH("홍콩",C500)),"HK",IF(ISNUMBER(SEARCH("상해",C500)),"CN",IF(ISNUMBER(SEARCH("대만",C500)),"TW","홀세일"))))</f>
        <v>HK</v>
      </c>
      <c r="B500" s="87" t="s">
        <v>823</v>
      </c>
      <c r="C500" s="88" t="s">
        <v>824</v>
      </c>
      <c r="D500" s="88" t="s">
        <v>178</v>
      </c>
      <c r="E500" s="87" t="n">
        <v>2026</v>
      </c>
      <c r="F500" s="88" t="s">
        <v>532</v>
      </c>
      <c r="G500" s="88" t="s">
        <v>180</v>
      </c>
      <c r="H500" s="87" t="s">
        <v>189</v>
      </c>
      <c r="I500" s="87" t="s">
        <v>541</v>
      </c>
      <c r="J500" s="87" t="s">
        <v>542</v>
      </c>
      <c r="K500" s="89" t="n">
        <v>140</v>
      </c>
      <c r="L500" s="89" t="n">
        <v>36260000</v>
      </c>
      <c r="M500" s="89" t="n">
        <v>12156200</v>
      </c>
      <c r="N500" s="90" t="n">
        <f aca="false">IF(A500="제외",0,IF(OR(N(L500)&lt;=0,N(M500)&gt;N(L500)),N(M500)/가정!$B$4,N(L500)))</f>
        <v>36260000</v>
      </c>
      <c r="O500" s="67" t="str">
        <f aca="false">IF(A500="제외","",IF(OR(N(L500)&lt;=0,N(M500)&gt;N(L500)),"택가보정(판매금액÷공급율)",""))</f>
        <v/>
      </c>
    </row>
    <row r="501" customFormat="false" ht="15" hidden="false" customHeight="true" outlineLevel="0" collapsed="false">
      <c r="A501" s="67" t="str">
        <f aca="false">IF(OR(TRIM(C501)="",SUBSTITUTE(C501," ","")="소계"),"제외",IF(ISNUMBER(SEARCH("홍콩",C501)),"HK",IF(ISNUMBER(SEARCH("상해",C501)),"CN",IF(ISNUMBER(SEARCH("대만",C501)),"TW","홀세일"))))</f>
        <v>HK</v>
      </c>
      <c r="B501" s="87" t="s">
        <v>823</v>
      </c>
      <c r="C501" s="88" t="s">
        <v>824</v>
      </c>
      <c r="D501" s="88" t="s">
        <v>178</v>
      </c>
      <c r="E501" s="87" t="n">
        <v>2026</v>
      </c>
      <c r="F501" s="88" t="s">
        <v>532</v>
      </c>
      <c r="G501" s="88" t="s">
        <v>180</v>
      </c>
      <c r="H501" s="87" t="s">
        <v>189</v>
      </c>
      <c r="I501" s="87" t="s">
        <v>967</v>
      </c>
      <c r="J501" s="87" t="s">
        <v>968</v>
      </c>
      <c r="K501" s="89" t="n">
        <v>50</v>
      </c>
      <c r="L501" s="89" t="n">
        <v>12950000</v>
      </c>
      <c r="M501" s="89" t="n">
        <v>4578700</v>
      </c>
      <c r="N501" s="90" t="n">
        <f aca="false">IF(A501="제외",0,IF(OR(N(L501)&lt;=0,N(M501)&gt;N(L501)),N(M501)/가정!$B$4,N(L501)))</f>
        <v>12950000</v>
      </c>
      <c r="O501" s="67" t="str">
        <f aca="false">IF(A501="제외","",IF(OR(N(L501)&lt;=0,N(M501)&gt;N(L501)),"택가보정(판매금액÷공급율)",""))</f>
        <v/>
      </c>
    </row>
    <row r="502" customFormat="false" ht="15" hidden="false" customHeight="true" outlineLevel="0" collapsed="false">
      <c r="A502" s="67" t="str">
        <f aca="false">IF(OR(TRIM(C502)="",SUBSTITUTE(C502," ","")="소계"),"제외",IF(ISNUMBER(SEARCH("홍콩",C502)),"HK",IF(ISNUMBER(SEARCH("상해",C502)),"CN",IF(ISNUMBER(SEARCH("대만",C502)),"TW","홀세일"))))</f>
        <v>HK</v>
      </c>
      <c r="B502" s="87" t="s">
        <v>823</v>
      </c>
      <c r="C502" s="88" t="s">
        <v>824</v>
      </c>
      <c r="D502" s="88" t="s">
        <v>178</v>
      </c>
      <c r="E502" s="87" t="n">
        <v>2026</v>
      </c>
      <c r="F502" s="88" t="s">
        <v>532</v>
      </c>
      <c r="G502" s="88" t="s">
        <v>180</v>
      </c>
      <c r="H502" s="87" t="s">
        <v>189</v>
      </c>
      <c r="I502" s="87" t="s">
        <v>969</v>
      </c>
      <c r="J502" s="87" t="s">
        <v>970</v>
      </c>
      <c r="K502" s="89" t="n">
        <v>115</v>
      </c>
      <c r="L502" s="89" t="n">
        <v>15985000</v>
      </c>
      <c r="M502" s="89" t="n">
        <v>5335425</v>
      </c>
      <c r="N502" s="90" t="n">
        <f aca="false">IF(A502="제외",0,IF(OR(N(L502)&lt;=0,N(M502)&gt;N(L502)),N(M502)/가정!$B$4,N(L502)))</f>
        <v>15985000</v>
      </c>
      <c r="O502" s="67" t="str">
        <f aca="false">IF(A502="제외","",IF(OR(N(L502)&lt;=0,N(M502)&gt;N(L502)),"택가보정(판매금액÷공급율)",""))</f>
        <v/>
      </c>
    </row>
    <row r="503" customFormat="false" ht="15" hidden="false" customHeight="true" outlineLevel="0" collapsed="false">
      <c r="A503" s="67" t="str">
        <f aca="false">IF(OR(TRIM(C503)="",SUBSTITUTE(C503," ","")="소계"),"제외",IF(ISNUMBER(SEARCH("홍콩",C503)),"HK",IF(ISNUMBER(SEARCH("상해",C503)),"CN",IF(ISNUMBER(SEARCH("대만",C503)),"TW","홀세일"))))</f>
        <v>HK</v>
      </c>
      <c r="B503" s="87" t="s">
        <v>823</v>
      </c>
      <c r="C503" s="88" t="s">
        <v>824</v>
      </c>
      <c r="D503" s="88" t="s">
        <v>178</v>
      </c>
      <c r="E503" s="87" t="n">
        <v>2026</v>
      </c>
      <c r="F503" s="88" t="s">
        <v>532</v>
      </c>
      <c r="G503" s="88" t="s">
        <v>180</v>
      </c>
      <c r="H503" s="87" t="s">
        <v>189</v>
      </c>
      <c r="I503" s="87" t="s">
        <v>545</v>
      </c>
      <c r="J503" s="87" t="s">
        <v>546</v>
      </c>
      <c r="K503" s="89" t="n">
        <v>70</v>
      </c>
      <c r="L503" s="89" t="n">
        <v>6930000</v>
      </c>
      <c r="M503" s="89" t="n">
        <v>2245040</v>
      </c>
      <c r="N503" s="90" t="n">
        <f aca="false">IF(A503="제외",0,IF(OR(N(L503)&lt;=0,N(M503)&gt;N(L503)),N(M503)/가정!$B$4,N(L503)))</f>
        <v>6930000</v>
      </c>
      <c r="O503" s="67" t="str">
        <f aca="false">IF(A503="제외","",IF(OR(N(L503)&lt;=0,N(M503)&gt;N(L503)),"택가보정(판매금액÷공급율)",""))</f>
        <v/>
      </c>
    </row>
    <row r="504" customFormat="false" ht="15" hidden="false" customHeight="true" outlineLevel="0" collapsed="false">
      <c r="A504" s="67" t="str">
        <f aca="false">IF(OR(TRIM(C504)="",SUBSTITUTE(C504," ","")="소계"),"제외",IF(ISNUMBER(SEARCH("홍콩",C504)),"HK",IF(ISNUMBER(SEARCH("상해",C504)),"CN",IF(ISNUMBER(SEARCH("대만",C504)),"TW","홀세일"))))</f>
        <v>HK</v>
      </c>
      <c r="B504" s="87" t="s">
        <v>823</v>
      </c>
      <c r="C504" s="88" t="s">
        <v>824</v>
      </c>
      <c r="D504" s="88" t="s">
        <v>178</v>
      </c>
      <c r="E504" s="87" t="n">
        <v>2026</v>
      </c>
      <c r="F504" s="88" t="s">
        <v>532</v>
      </c>
      <c r="G504" s="88" t="s">
        <v>180</v>
      </c>
      <c r="H504" s="87" t="s">
        <v>189</v>
      </c>
      <c r="I504" s="87" t="s">
        <v>547</v>
      </c>
      <c r="J504" s="88" t="s">
        <v>548</v>
      </c>
      <c r="K504" s="89" t="n">
        <v>280</v>
      </c>
      <c r="L504" s="89" t="n">
        <v>44520000</v>
      </c>
      <c r="M504" s="89" t="n">
        <v>14857640</v>
      </c>
      <c r="N504" s="90" t="n">
        <f aca="false">IF(A504="제외",0,IF(OR(N(L504)&lt;=0,N(M504)&gt;N(L504)),N(M504)/가정!$B$4,N(L504)))</f>
        <v>44520000</v>
      </c>
      <c r="O504" s="67" t="str">
        <f aca="false">IF(A504="제외","",IF(OR(N(L504)&lt;=0,N(M504)&gt;N(L504)),"택가보정(판매금액÷공급율)",""))</f>
        <v/>
      </c>
    </row>
    <row r="505" customFormat="false" ht="15" hidden="false" customHeight="true" outlineLevel="0" collapsed="false">
      <c r="A505" s="67" t="str">
        <f aca="false">IF(OR(TRIM(C505)="",SUBSTITUTE(C505," ","")="소계"),"제외",IF(ISNUMBER(SEARCH("홍콩",C505)),"HK",IF(ISNUMBER(SEARCH("상해",C505)),"CN",IF(ISNUMBER(SEARCH("대만",C505)),"TW","홀세일"))))</f>
        <v>HK</v>
      </c>
      <c r="B505" s="87" t="s">
        <v>823</v>
      </c>
      <c r="C505" s="88" t="s">
        <v>824</v>
      </c>
      <c r="D505" s="88" t="s">
        <v>178</v>
      </c>
      <c r="E505" s="87" t="n">
        <v>2026</v>
      </c>
      <c r="F505" s="88" t="s">
        <v>532</v>
      </c>
      <c r="G505" s="88" t="s">
        <v>180</v>
      </c>
      <c r="H505" s="87" t="s">
        <v>189</v>
      </c>
      <c r="I505" s="87" t="s">
        <v>549</v>
      </c>
      <c r="J505" s="88" t="s">
        <v>550</v>
      </c>
      <c r="K505" s="89" t="n">
        <v>240</v>
      </c>
      <c r="L505" s="89" t="n">
        <v>38160000</v>
      </c>
      <c r="M505" s="89" t="n">
        <v>12700080</v>
      </c>
      <c r="N505" s="90" t="n">
        <f aca="false">IF(A505="제외",0,IF(OR(N(L505)&lt;=0,N(M505)&gt;N(L505)),N(M505)/가정!$B$4,N(L505)))</f>
        <v>38160000</v>
      </c>
      <c r="O505" s="67" t="str">
        <f aca="false">IF(A505="제외","",IF(OR(N(L505)&lt;=0,N(M505)&gt;N(L505)),"택가보정(판매금액÷공급율)",""))</f>
        <v/>
      </c>
    </row>
    <row r="506" customFormat="false" ht="15" hidden="false" customHeight="true" outlineLevel="0" collapsed="false">
      <c r="A506" s="67" t="str">
        <f aca="false">IF(OR(TRIM(C506)="",SUBSTITUTE(C506," ","")="소계"),"제외",IF(ISNUMBER(SEARCH("홍콩",C506)),"HK",IF(ISNUMBER(SEARCH("상해",C506)),"CN",IF(ISNUMBER(SEARCH("대만",C506)),"TW","홀세일"))))</f>
        <v>HK</v>
      </c>
      <c r="B506" s="87" t="s">
        <v>823</v>
      </c>
      <c r="C506" s="88" t="s">
        <v>824</v>
      </c>
      <c r="D506" s="88" t="s">
        <v>178</v>
      </c>
      <c r="E506" s="87" t="n">
        <v>2026</v>
      </c>
      <c r="F506" s="88" t="s">
        <v>532</v>
      </c>
      <c r="G506" s="88" t="s">
        <v>180</v>
      </c>
      <c r="H506" s="87" t="s">
        <v>189</v>
      </c>
      <c r="I506" s="87" t="s">
        <v>971</v>
      </c>
      <c r="J506" s="88" t="s">
        <v>972</v>
      </c>
      <c r="K506" s="89" t="n">
        <v>120</v>
      </c>
      <c r="L506" s="89" t="n">
        <v>14280000</v>
      </c>
      <c r="M506" s="89" t="n">
        <v>4521720</v>
      </c>
      <c r="N506" s="90" t="n">
        <f aca="false">IF(A506="제외",0,IF(OR(N(L506)&lt;=0,N(M506)&gt;N(L506)),N(M506)/가정!$B$4,N(L506)))</f>
        <v>14280000</v>
      </c>
      <c r="O506" s="67" t="str">
        <f aca="false">IF(A506="제외","",IF(OR(N(L506)&lt;=0,N(M506)&gt;N(L506)),"택가보정(판매금액÷공급율)",""))</f>
        <v/>
      </c>
    </row>
    <row r="507" customFormat="false" ht="15" hidden="false" customHeight="true" outlineLevel="0" collapsed="false">
      <c r="A507" s="67" t="str">
        <f aca="false">IF(OR(TRIM(C507)="",SUBSTITUTE(C507," ","")="소계"),"제외",IF(ISNUMBER(SEARCH("홍콩",C507)),"HK",IF(ISNUMBER(SEARCH("상해",C507)),"CN",IF(ISNUMBER(SEARCH("대만",C507)),"TW","홀세일"))))</f>
        <v>HK</v>
      </c>
      <c r="B507" s="87" t="s">
        <v>823</v>
      </c>
      <c r="C507" s="88" t="s">
        <v>824</v>
      </c>
      <c r="D507" s="88" t="s">
        <v>178</v>
      </c>
      <c r="E507" s="87" t="n">
        <v>2026</v>
      </c>
      <c r="F507" s="88" t="s">
        <v>532</v>
      </c>
      <c r="G507" s="88" t="s">
        <v>180</v>
      </c>
      <c r="H507" s="87" t="s">
        <v>189</v>
      </c>
      <c r="I507" s="87" t="s">
        <v>973</v>
      </c>
      <c r="J507" s="88" t="s">
        <v>974</v>
      </c>
      <c r="K507" s="89" t="n">
        <v>180</v>
      </c>
      <c r="L507" s="89" t="n">
        <v>35820000</v>
      </c>
      <c r="M507" s="89" t="n">
        <v>10802700</v>
      </c>
      <c r="N507" s="90" t="n">
        <f aca="false">IF(A507="제외",0,IF(OR(N(L507)&lt;=0,N(M507)&gt;N(L507)),N(M507)/가정!$B$4,N(L507)))</f>
        <v>35820000</v>
      </c>
      <c r="O507" s="67" t="str">
        <f aca="false">IF(A507="제외","",IF(OR(N(L507)&lt;=0,N(M507)&gt;N(L507)),"택가보정(판매금액÷공급율)",""))</f>
        <v/>
      </c>
    </row>
    <row r="508" customFormat="false" ht="15" hidden="false" customHeight="true" outlineLevel="0" collapsed="false">
      <c r="A508" s="67" t="str">
        <f aca="false">IF(OR(TRIM(C508)="",SUBSTITUTE(C508," ","")="소계"),"제외",IF(ISNUMBER(SEARCH("홍콩",C508)),"HK",IF(ISNUMBER(SEARCH("상해",C508)),"CN",IF(ISNUMBER(SEARCH("대만",C508)),"TW","홀세일"))))</f>
        <v>HK</v>
      </c>
      <c r="B508" s="87" t="s">
        <v>823</v>
      </c>
      <c r="C508" s="88" t="s">
        <v>824</v>
      </c>
      <c r="D508" s="88" t="s">
        <v>178</v>
      </c>
      <c r="E508" s="87" t="n">
        <v>2026</v>
      </c>
      <c r="F508" s="88" t="s">
        <v>532</v>
      </c>
      <c r="G508" s="88" t="s">
        <v>180</v>
      </c>
      <c r="H508" s="87" t="s">
        <v>189</v>
      </c>
      <c r="I508" s="87" t="s">
        <v>551</v>
      </c>
      <c r="J508" s="88" t="s">
        <v>552</v>
      </c>
      <c r="K508" s="89" t="n">
        <v>210</v>
      </c>
      <c r="L508" s="89" t="n">
        <v>31290000</v>
      </c>
      <c r="M508" s="89" t="n">
        <v>10726590</v>
      </c>
      <c r="N508" s="90" t="n">
        <f aca="false">IF(A508="제외",0,IF(OR(N(L508)&lt;=0,N(M508)&gt;N(L508)),N(M508)/가정!$B$4,N(L508)))</f>
        <v>31290000</v>
      </c>
      <c r="O508" s="67" t="str">
        <f aca="false">IF(A508="제외","",IF(OR(N(L508)&lt;=0,N(M508)&gt;N(L508)),"택가보정(판매금액÷공급율)",""))</f>
        <v/>
      </c>
    </row>
    <row r="509" customFormat="false" ht="15" hidden="false" customHeight="true" outlineLevel="0" collapsed="false">
      <c r="A509" s="67" t="str">
        <f aca="false">IF(OR(TRIM(C509)="",SUBSTITUTE(C509," ","")="소계"),"제외",IF(ISNUMBER(SEARCH("홍콩",C509)),"HK",IF(ISNUMBER(SEARCH("상해",C509)),"CN",IF(ISNUMBER(SEARCH("대만",C509)),"TW","홀세일"))))</f>
        <v>HK</v>
      </c>
      <c r="B509" s="87" t="s">
        <v>823</v>
      </c>
      <c r="C509" s="88" t="s">
        <v>824</v>
      </c>
      <c r="D509" s="88" t="s">
        <v>178</v>
      </c>
      <c r="E509" s="87" t="n">
        <v>2026</v>
      </c>
      <c r="F509" s="88" t="s">
        <v>532</v>
      </c>
      <c r="G509" s="88" t="s">
        <v>180</v>
      </c>
      <c r="H509" s="87" t="s">
        <v>189</v>
      </c>
      <c r="I509" s="87" t="s">
        <v>555</v>
      </c>
      <c r="J509" s="88" t="s">
        <v>556</v>
      </c>
      <c r="K509" s="89" t="n">
        <v>340</v>
      </c>
      <c r="L509" s="89" t="n">
        <v>88060000</v>
      </c>
      <c r="M509" s="89" t="n">
        <v>24023040</v>
      </c>
      <c r="N509" s="90" t="n">
        <f aca="false">IF(A509="제외",0,IF(OR(N(L509)&lt;=0,N(M509)&gt;N(L509)),N(M509)/가정!$B$4,N(L509)))</f>
        <v>88060000</v>
      </c>
      <c r="O509" s="67" t="str">
        <f aca="false">IF(A509="제외","",IF(OR(N(L509)&lt;=0,N(M509)&gt;N(L509)),"택가보정(판매금액÷공급율)",""))</f>
        <v/>
      </c>
    </row>
    <row r="510" customFormat="false" ht="15" hidden="false" customHeight="true" outlineLevel="0" collapsed="false">
      <c r="A510" s="67" t="str">
        <f aca="false">IF(OR(TRIM(C510)="",SUBSTITUTE(C510," ","")="소계"),"제외",IF(ISNUMBER(SEARCH("홍콩",C510)),"HK",IF(ISNUMBER(SEARCH("상해",C510)),"CN",IF(ISNUMBER(SEARCH("대만",C510)),"TW","홀세일"))))</f>
        <v>HK</v>
      </c>
      <c r="B510" s="87" t="s">
        <v>823</v>
      </c>
      <c r="C510" s="88" t="s">
        <v>824</v>
      </c>
      <c r="D510" s="88" t="s">
        <v>178</v>
      </c>
      <c r="E510" s="87" t="n">
        <v>2026</v>
      </c>
      <c r="F510" s="88" t="s">
        <v>532</v>
      </c>
      <c r="G510" s="88" t="s">
        <v>180</v>
      </c>
      <c r="H510" s="87" t="s">
        <v>189</v>
      </c>
      <c r="I510" s="87" t="s">
        <v>557</v>
      </c>
      <c r="J510" s="88" t="s">
        <v>558</v>
      </c>
      <c r="K510" s="89" t="n">
        <v>200</v>
      </c>
      <c r="L510" s="89" t="n">
        <v>33800000</v>
      </c>
      <c r="M510" s="89" t="n">
        <v>12003000</v>
      </c>
      <c r="N510" s="90" t="n">
        <f aca="false">IF(A510="제외",0,IF(OR(N(L510)&lt;=0,N(M510)&gt;N(L510)),N(M510)/가정!$B$4,N(L510)))</f>
        <v>33800000</v>
      </c>
      <c r="O510" s="67" t="str">
        <f aca="false">IF(A510="제외","",IF(OR(N(L510)&lt;=0,N(M510)&gt;N(L510)),"택가보정(판매금액÷공급율)",""))</f>
        <v/>
      </c>
    </row>
    <row r="511" customFormat="false" ht="15" hidden="false" customHeight="true" outlineLevel="0" collapsed="false">
      <c r="A511" s="67" t="str">
        <f aca="false">IF(OR(TRIM(C511)="",SUBSTITUTE(C511," ","")="소계"),"제외",IF(ISNUMBER(SEARCH("홍콩",C511)),"HK",IF(ISNUMBER(SEARCH("상해",C511)),"CN",IF(ISNUMBER(SEARCH("대만",C511)),"TW","홀세일"))))</f>
        <v>HK</v>
      </c>
      <c r="B511" s="87" t="s">
        <v>823</v>
      </c>
      <c r="C511" s="88" t="s">
        <v>824</v>
      </c>
      <c r="D511" s="88" t="s">
        <v>178</v>
      </c>
      <c r="E511" s="87" t="n">
        <v>2026</v>
      </c>
      <c r="F511" s="88" t="s">
        <v>532</v>
      </c>
      <c r="G511" s="88" t="s">
        <v>180</v>
      </c>
      <c r="H511" s="87" t="s">
        <v>189</v>
      </c>
      <c r="I511" s="87" t="s">
        <v>559</v>
      </c>
      <c r="J511" s="88" t="s">
        <v>560</v>
      </c>
      <c r="K511" s="89" t="n">
        <v>270</v>
      </c>
      <c r="L511" s="89" t="n">
        <v>51030000</v>
      </c>
      <c r="M511" s="89" t="n">
        <v>18119430</v>
      </c>
      <c r="N511" s="90" t="n">
        <f aca="false">IF(A511="제외",0,IF(OR(N(L511)&lt;=0,N(M511)&gt;N(L511)),N(M511)/가정!$B$4,N(L511)))</f>
        <v>51030000</v>
      </c>
      <c r="O511" s="67" t="str">
        <f aca="false">IF(A511="제외","",IF(OR(N(L511)&lt;=0,N(M511)&gt;N(L511)),"택가보정(판매금액÷공급율)",""))</f>
        <v/>
      </c>
    </row>
    <row r="512" customFormat="false" ht="15" hidden="false" customHeight="true" outlineLevel="0" collapsed="false">
      <c r="A512" s="67" t="str">
        <f aca="false">IF(OR(TRIM(C512)="",SUBSTITUTE(C512," ","")="소계"),"제외",IF(ISNUMBER(SEARCH("홍콩",C512)),"HK",IF(ISNUMBER(SEARCH("상해",C512)),"CN",IF(ISNUMBER(SEARCH("대만",C512)),"TW","홀세일"))))</f>
        <v>HK</v>
      </c>
      <c r="B512" s="87" t="s">
        <v>823</v>
      </c>
      <c r="C512" s="88" t="s">
        <v>824</v>
      </c>
      <c r="D512" s="88" t="s">
        <v>178</v>
      </c>
      <c r="E512" s="87" t="n">
        <v>2026</v>
      </c>
      <c r="F512" s="88" t="s">
        <v>532</v>
      </c>
      <c r="G512" s="88" t="s">
        <v>180</v>
      </c>
      <c r="H512" s="87" t="s">
        <v>189</v>
      </c>
      <c r="I512" s="87" t="s">
        <v>975</v>
      </c>
      <c r="J512" s="88" t="s">
        <v>976</v>
      </c>
      <c r="K512" s="89" t="n">
        <v>420</v>
      </c>
      <c r="L512" s="89" t="n">
        <v>100380000</v>
      </c>
      <c r="M512" s="89" t="n">
        <v>30849420</v>
      </c>
      <c r="N512" s="90" t="n">
        <f aca="false">IF(A512="제외",0,IF(OR(N(L512)&lt;=0,N(M512)&gt;N(L512)),N(M512)/가정!$B$4,N(L512)))</f>
        <v>100380000</v>
      </c>
      <c r="O512" s="67" t="str">
        <f aca="false">IF(A512="제외","",IF(OR(N(L512)&lt;=0,N(M512)&gt;N(L512)),"택가보정(판매금액÷공급율)",""))</f>
        <v/>
      </c>
    </row>
    <row r="513" customFormat="false" ht="15" hidden="false" customHeight="true" outlineLevel="0" collapsed="false">
      <c r="A513" s="67" t="str">
        <f aca="false">IF(OR(TRIM(C513)="",SUBSTITUTE(C513," ","")="소계"),"제외",IF(ISNUMBER(SEARCH("홍콩",C513)),"HK",IF(ISNUMBER(SEARCH("상해",C513)),"CN",IF(ISNUMBER(SEARCH("대만",C513)),"TW","홀세일"))))</f>
        <v>HK</v>
      </c>
      <c r="B513" s="87" t="s">
        <v>823</v>
      </c>
      <c r="C513" s="88" t="s">
        <v>824</v>
      </c>
      <c r="D513" s="88" t="s">
        <v>178</v>
      </c>
      <c r="E513" s="87" t="n">
        <v>2026</v>
      </c>
      <c r="F513" s="88" t="s">
        <v>532</v>
      </c>
      <c r="G513" s="88" t="s">
        <v>180</v>
      </c>
      <c r="H513" s="87" t="s">
        <v>189</v>
      </c>
      <c r="I513" s="87" t="s">
        <v>977</v>
      </c>
      <c r="J513" s="88" t="s">
        <v>978</v>
      </c>
      <c r="K513" s="89" t="n">
        <v>194</v>
      </c>
      <c r="L513" s="89" t="n">
        <v>63826000</v>
      </c>
      <c r="M513" s="89" t="n">
        <v>19188346</v>
      </c>
      <c r="N513" s="90" t="n">
        <f aca="false">IF(A513="제외",0,IF(OR(N(L513)&lt;=0,N(M513)&gt;N(L513)),N(M513)/가정!$B$4,N(L513)))</f>
        <v>63826000</v>
      </c>
      <c r="O513" s="67" t="str">
        <f aca="false">IF(A513="제외","",IF(OR(N(L513)&lt;=0,N(M513)&gt;N(L513)),"택가보정(판매금액÷공급율)",""))</f>
        <v/>
      </c>
    </row>
    <row r="514" customFormat="false" ht="15" hidden="false" customHeight="true" outlineLevel="0" collapsed="false">
      <c r="A514" s="67" t="str">
        <f aca="false">IF(OR(TRIM(C514)="",SUBSTITUTE(C514," ","")="소계"),"제외",IF(ISNUMBER(SEARCH("홍콩",C514)),"HK",IF(ISNUMBER(SEARCH("상해",C514)),"CN",IF(ISNUMBER(SEARCH("대만",C514)),"TW","홀세일"))))</f>
        <v>HK</v>
      </c>
      <c r="B514" s="87" t="s">
        <v>823</v>
      </c>
      <c r="C514" s="88" t="s">
        <v>824</v>
      </c>
      <c r="D514" s="88" t="s">
        <v>178</v>
      </c>
      <c r="E514" s="87" t="n">
        <v>2026</v>
      </c>
      <c r="F514" s="88" t="s">
        <v>532</v>
      </c>
      <c r="G514" s="88" t="s">
        <v>180</v>
      </c>
      <c r="H514" s="87" t="s">
        <v>189</v>
      </c>
      <c r="I514" s="87" t="s">
        <v>561</v>
      </c>
      <c r="J514" s="88" t="s">
        <v>562</v>
      </c>
      <c r="K514" s="89" t="n">
        <v>280</v>
      </c>
      <c r="L514" s="89" t="n">
        <v>72520000</v>
      </c>
      <c r="M514" s="89" t="n">
        <v>23796080</v>
      </c>
      <c r="N514" s="90" t="n">
        <f aca="false">IF(A514="제외",0,IF(OR(N(L514)&lt;=0,N(M514)&gt;N(L514)),N(M514)/가정!$B$4,N(L514)))</f>
        <v>72520000</v>
      </c>
      <c r="O514" s="67" t="str">
        <f aca="false">IF(A514="제외","",IF(OR(N(L514)&lt;=0,N(M514)&gt;N(L514)),"택가보정(판매금액÷공급율)",""))</f>
        <v/>
      </c>
    </row>
    <row r="515" customFormat="false" ht="15" hidden="false" customHeight="true" outlineLevel="0" collapsed="false">
      <c r="A515" s="67" t="str">
        <f aca="false">IF(OR(TRIM(C515)="",SUBSTITUTE(C515," ","")="소계"),"제외",IF(ISNUMBER(SEARCH("홍콩",C515)),"HK",IF(ISNUMBER(SEARCH("상해",C515)),"CN",IF(ISNUMBER(SEARCH("대만",C515)),"TW","홀세일"))))</f>
        <v>HK</v>
      </c>
      <c r="B515" s="87" t="s">
        <v>823</v>
      </c>
      <c r="C515" s="88" t="s">
        <v>824</v>
      </c>
      <c r="D515" s="88" t="s">
        <v>178</v>
      </c>
      <c r="E515" s="87" t="n">
        <v>2026</v>
      </c>
      <c r="F515" s="88" t="s">
        <v>532</v>
      </c>
      <c r="G515" s="88" t="s">
        <v>180</v>
      </c>
      <c r="H515" s="87" t="s">
        <v>189</v>
      </c>
      <c r="I515" s="87" t="s">
        <v>563</v>
      </c>
      <c r="J515" s="88" t="s">
        <v>564</v>
      </c>
      <c r="K515" s="89" t="n">
        <v>310</v>
      </c>
      <c r="L515" s="89" t="n">
        <v>92690000</v>
      </c>
      <c r="M515" s="89" t="n">
        <v>31064790</v>
      </c>
      <c r="N515" s="90" t="n">
        <f aca="false">IF(A515="제외",0,IF(OR(N(L515)&lt;=0,N(M515)&gt;N(L515)),N(M515)/가정!$B$4,N(L515)))</f>
        <v>92690000</v>
      </c>
      <c r="O515" s="67" t="str">
        <f aca="false">IF(A515="제외","",IF(OR(N(L515)&lt;=0,N(M515)&gt;N(L515)),"택가보정(판매금액÷공급율)",""))</f>
        <v/>
      </c>
    </row>
    <row r="516" customFormat="false" ht="15" hidden="false" customHeight="true" outlineLevel="0" collapsed="false">
      <c r="A516" s="67" t="str">
        <f aca="false">IF(OR(TRIM(C516)="",SUBSTITUTE(C516," ","")="소계"),"제외",IF(ISNUMBER(SEARCH("홍콩",C516)),"HK",IF(ISNUMBER(SEARCH("상해",C516)),"CN",IF(ISNUMBER(SEARCH("대만",C516)),"TW","홀세일"))))</f>
        <v>HK</v>
      </c>
      <c r="B516" s="87" t="s">
        <v>823</v>
      </c>
      <c r="C516" s="88" t="s">
        <v>824</v>
      </c>
      <c r="D516" s="88" t="s">
        <v>178</v>
      </c>
      <c r="E516" s="87" t="n">
        <v>2026</v>
      </c>
      <c r="F516" s="88" t="s">
        <v>532</v>
      </c>
      <c r="G516" s="88" t="s">
        <v>180</v>
      </c>
      <c r="H516" s="87" t="s">
        <v>189</v>
      </c>
      <c r="I516" s="87" t="s">
        <v>979</v>
      </c>
      <c r="J516" s="88" t="s">
        <v>980</v>
      </c>
      <c r="K516" s="89" t="n">
        <v>100</v>
      </c>
      <c r="L516" s="89" t="n">
        <v>32900000</v>
      </c>
      <c r="M516" s="89" t="n">
        <v>11402500</v>
      </c>
      <c r="N516" s="90" t="n">
        <f aca="false">IF(A516="제외",0,IF(OR(N(L516)&lt;=0,N(M516)&gt;N(L516)),N(M516)/가정!$B$4,N(L516)))</f>
        <v>32900000</v>
      </c>
      <c r="O516" s="67" t="str">
        <f aca="false">IF(A516="제외","",IF(OR(N(L516)&lt;=0,N(M516)&gt;N(L516)),"택가보정(판매금액÷공급율)",""))</f>
        <v/>
      </c>
    </row>
    <row r="517" customFormat="false" ht="15" hidden="false" customHeight="true" outlineLevel="0" collapsed="false">
      <c r="A517" s="67" t="str">
        <f aca="false">IF(OR(TRIM(C517)="",SUBSTITUTE(C517," ","")="소계"),"제외",IF(ISNUMBER(SEARCH("홍콩",C517)),"HK",IF(ISNUMBER(SEARCH("상해",C517)),"CN",IF(ISNUMBER(SEARCH("대만",C517)),"TW","홀세일"))))</f>
        <v>HK</v>
      </c>
      <c r="B517" s="87" t="s">
        <v>823</v>
      </c>
      <c r="C517" s="88" t="s">
        <v>824</v>
      </c>
      <c r="D517" s="88" t="s">
        <v>178</v>
      </c>
      <c r="E517" s="87" t="n">
        <v>2026</v>
      </c>
      <c r="F517" s="88" t="s">
        <v>532</v>
      </c>
      <c r="G517" s="88" t="s">
        <v>180</v>
      </c>
      <c r="H517" s="87" t="s">
        <v>189</v>
      </c>
      <c r="I517" s="87" t="s">
        <v>565</v>
      </c>
      <c r="J517" s="88" t="s">
        <v>566</v>
      </c>
      <c r="K517" s="89" t="n">
        <v>100</v>
      </c>
      <c r="L517" s="89" t="n">
        <v>43900000</v>
      </c>
      <c r="M517" s="89" t="n">
        <v>13365600</v>
      </c>
      <c r="N517" s="90" t="n">
        <f aca="false">IF(A517="제외",0,IF(OR(N(L517)&lt;=0,N(M517)&gt;N(L517)),N(M517)/가정!$B$4,N(L517)))</f>
        <v>43900000</v>
      </c>
      <c r="O517" s="67" t="str">
        <f aca="false">IF(A517="제외","",IF(OR(N(L517)&lt;=0,N(M517)&gt;N(L517)),"택가보정(판매금액÷공급율)",""))</f>
        <v/>
      </c>
    </row>
    <row r="518" customFormat="false" ht="15" hidden="false" customHeight="true" outlineLevel="0" collapsed="false">
      <c r="A518" s="67" t="str">
        <f aca="false">IF(OR(TRIM(C518)="",SUBSTITUTE(C518," ","")="소계"),"제외",IF(ISNUMBER(SEARCH("홍콩",C518)),"HK",IF(ISNUMBER(SEARCH("상해",C518)),"CN",IF(ISNUMBER(SEARCH("대만",C518)),"TW","홀세일"))))</f>
        <v>HK</v>
      </c>
      <c r="B518" s="87" t="s">
        <v>823</v>
      </c>
      <c r="C518" s="88" t="s">
        <v>824</v>
      </c>
      <c r="D518" s="88" t="s">
        <v>178</v>
      </c>
      <c r="E518" s="87" t="n">
        <v>2026</v>
      </c>
      <c r="F518" s="88" t="s">
        <v>532</v>
      </c>
      <c r="G518" s="88" t="s">
        <v>180</v>
      </c>
      <c r="H518" s="87" t="s">
        <v>189</v>
      </c>
      <c r="I518" s="87" t="s">
        <v>567</v>
      </c>
      <c r="J518" s="88" t="s">
        <v>568</v>
      </c>
      <c r="K518" s="89" t="n">
        <v>186</v>
      </c>
      <c r="L518" s="89" t="n">
        <v>74214000</v>
      </c>
      <c r="M518" s="89" t="n">
        <v>22371522</v>
      </c>
      <c r="N518" s="90" t="n">
        <f aca="false">IF(A518="제외",0,IF(OR(N(L518)&lt;=0,N(M518)&gt;N(L518)),N(M518)/가정!$B$4,N(L518)))</f>
        <v>74214000</v>
      </c>
      <c r="O518" s="67" t="str">
        <f aca="false">IF(A518="제외","",IF(OR(N(L518)&lt;=0,N(M518)&gt;N(L518)),"택가보정(판매금액÷공급율)",""))</f>
        <v/>
      </c>
    </row>
    <row r="519" customFormat="false" ht="15" hidden="false" customHeight="true" outlineLevel="0" collapsed="false">
      <c r="A519" s="67" t="str">
        <f aca="false">IF(OR(TRIM(C519)="",SUBSTITUTE(C519," ","")="소계"),"제외",IF(ISNUMBER(SEARCH("홍콩",C519)),"HK",IF(ISNUMBER(SEARCH("상해",C519)),"CN",IF(ISNUMBER(SEARCH("대만",C519)),"TW","홀세일"))))</f>
        <v>HK</v>
      </c>
      <c r="B519" s="87" t="s">
        <v>823</v>
      </c>
      <c r="C519" s="88" t="s">
        <v>824</v>
      </c>
      <c r="D519" s="88" t="s">
        <v>178</v>
      </c>
      <c r="E519" s="87" t="n">
        <v>2026</v>
      </c>
      <c r="F519" s="88" t="s">
        <v>532</v>
      </c>
      <c r="G519" s="88" t="s">
        <v>180</v>
      </c>
      <c r="H519" s="87" t="s">
        <v>189</v>
      </c>
      <c r="I519" s="87" t="s">
        <v>981</v>
      </c>
      <c r="J519" s="88" t="s">
        <v>982</v>
      </c>
      <c r="K519" s="89" t="n">
        <v>240</v>
      </c>
      <c r="L519" s="89" t="n">
        <v>86160000</v>
      </c>
      <c r="M519" s="89" t="n">
        <v>28866480</v>
      </c>
      <c r="N519" s="90" t="n">
        <f aca="false">IF(A519="제외",0,IF(OR(N(L519)&lt;=0,N(M519)&gt;N(L519)),N(M519)/가정!$B$4,N(L519)))</f>
        <v>86160000</v>
      </c>
      <c r="O519" s="67" t="str">
        <f aca="false">IF(A519="제외","",IF(OR(N(L519)&lt;=0,N(M519)&gt;N(L519)),"택가보정(판매금액÷공급율)",""))</f>
        <v/>
      </c>
    </row>
    <row r="520" customFormat="false" ht="15" hidden="false" customHeight="true" outlineLevel="0" collapsed="false">
      <c r="A520" s="67" t="str">
        <f aca="false">IF(OR(TRIM(C520)="",SUBSTITUTE(C520," ","")="소계"),"제외",IF(ISNUMBER(SEARCH("홍콩",C520)),"HK",IF(ISNUMBER(SEARCH("상해",C520)),"CN",IF(ISNUMBER(SEARCH("대만",C520)),"TW","홀세일"))))</f>
        <v>HK</v>
      </c>
      <c r="B520" s="87" t="s">
        <v>823</v>
      </c>
      <c r="C520" s="88" t="s">
        <v>824</v>
      </c>
      <c r="D520" s="88" t="s">
        <v>178</v>
      </c>
      <c r="E520" s="87" t="n">
        <v>2026</v>
      </c>
      <c r="F520" s="88" t="s">
        <v>532</v>
      </c>
      <c r="G520" s="88" t="s">
        <v>180</v>
      </c>
      <c r="H520" s="87" t="s">
        <v>189</v>
      </c>
      <c r="I520" s="87" t="s">
        <v>573</v>
      </c>
      <c r="J520" s="88" t="s">
        <v>574</v>
      </c>
      <c r="K520" s="89" t="n">
        <v>360</v>
      </c>
      <c r="L520" s="89" t="n">
        <v>68040000</v>
      </c>
      <c r="M520" s="89" t="n">
        <v>22781880</v>
      </c>
      <c r="N520" s="90" t="n">
        <f aca="false">IF(A520="제외",0,IF(OR(N(L520)&lt;=0,N(M520)&gt;N(L520)),N(M520)/가정!$B$4,N(L520)))</f>
        <v>68040000</v>
      </c>
      <c r="O520" s="67" t="str">
        <f aca="false">IF(A520="제외","",IF(OR(N(L520)&lt;=0,N(M520)&gt;N(L520)),"택가보정(판매금액÷공급율)",""))</f>
        <v/>
      </c>
    </row>
    <row r="521" customFormat="false" ht="15" hidden="false" customHeight="true" outlineLevel="0" collapsed="false">
      <c r="A521" s="67" t="str">
        <f aca="false">IF(OR(TRIM(C521)="",SUBSTITUTE(C521," ","")="소계"),"제외",IF(ISNUMBER(SEARCH("홍콩",C521)),"HK",IF(ISNUMBER(SEARCH("상해",C521)),"CN",IF(ISNUMBER(SEARCH("대만",C521)),"TW","홀세일"))))</f>
        <v>HK</v>
      </c>
      <c r="B521" s="87" t="s">
        <v>823</v>
      </c>
      <c r="C521" s="88" t="s">
        <v>824</v>
      </c>
      <c r="D521" s="88" t="s">
        <v>178</v>
      </c>
      <c r="E521" s="87" t="n">
        <v>2026</v>
      </c>
      <c r="F521" s="88" t="s">
        <v>532</v>
      </c>
      <c r="G521" s="88" t="s">
        <v>180</v>
      </c>
      <c r="H521" s="87" t="s">
        <v>189</v>
      </c>
      <c r="I521" s="87" t="s">
        <v>575</v>
      </c>
      <c r="J521" s="88" t="s">
        <v>576</v>
      </c>
      <c r="K521" s="89" t="n">
        <v>110</v>
      </c>
      <c r="L521" s="89" t="n">
        <v>19690000</v>
      </c>
      <c r="M521" s="89" t="n">
        <v>6593180</v>
      </c>
      <c r="N521" s="90" t="n">
        <f aca="false">IF(A521="제외",0,IF(OR(N(L521)&lt;=0,N(M521)&gt;N(L521)),N(M521)/가정!$B$4,N(L521)))</f>
        <v>19690000</v>
      </c>
      <c r="O521" s="67" t="str">
        <f aca="false">IF(A521="제외","",IF(OR(N(L521)&lt;=0,N(M521)&gt;N(L521)),"택가보정(판매금액÷공급율)",""))</f>
        <v/>
      </c>
    </row>
    <row r="522" customFormat="false" ht="15" hidden="false" customHeight="true" outlineLevel="0" collapsed="false">
      <c r="A522" s="67" t="str">
        <f aca="false">IF(OR(TRIM(C522)="",SUBSTITUTE(C522," ","")="소계"),"제외",IF(ISNUMBER(SEARCH("홍콩",C522)),"HK",IF(ISNUMBER(SEARCH("상해",C522)),"CN",IF(ISNUMBER(SEARCH("대만",C522)),"TW","홀세일"))))</f>
        <v>HK</v>
      </c>
      <c r="B522" s="87" t="s">
        <v>823</v>
      </c>
      <c r="C522" s="88" t="s">
        <v>824</v>
      </c>
      <c r="D522" s="88" t="s">
        <v>178</v>
      </c>
      <c r="E522" s="87" t="n">
        <v>2026</v>
      </c>
      <c r="F522" s="88" t="s">
        <v>532</v>
      </c>
      <c r="G522" s="88" t="s">
        <v>180</v>
      </c>
      <c r="H522" s="87" t="s">
        <v>189</v>
      </c>
      <c r="I522" s="87" t="s">
        <v>983</v>
      </c>
      <c r="J522" s="88" t="s">
        <v>984</v>
      </c>
      <c r="K522" s="89" t="n">
        <v>240</v>
      </c>
      <c r="L522" s="89" t="n">
        <v>28560000</v>
      </c>
      <c r="M522" s="89" t="n">
        <v>10486320</v>
      </c>
      <c r="N522" s="90" t="n">
        <f aca="false">IF(A522="제외",0,IF(OR(N(L522)&lt;=0,N(M522)&gt;N(L522)),N(M522)/가정!$B$4,N(L522)))</f>
        <v>28560000</v>
      </c>
      <c r="O522" s="67" t="str">
        <f aca="false">IF(A522="제외","",IF(OR(N(L522)&lt;=0,N(M522)&gt;N(L522)),"택가보정(판매금액÷공급율)",""))</f>
        <v/>
      </c>
    </row>
    <row r="523" customFormat="false" ht="15" hidden="false" customHeight="true" outlineLevel="0" collapsed="false">
      <c r="A523" s="67" t="str">
        <f aca="false">IF(OR(TRIM(C523)="",SUBSTITUTE(C523," ","")="소계"),"제외",IF(ISNUMBER(SEARCH("홍콩",C523)),"HK",IF(ISNUMBER(SEARCH("상해",C523)),"CN",IF(ISNUMBER(SEARCH("대만",C523)),"TW","홀세일"))))</f>
        <v>HK</v>
      </c>
      <c r="B523" s="87" t="s">
        <v>823</v>
      </c>
      <c r="C523" s="88" t="s">
        <v>824</v>
      </c>
      <c r="D523" s="88" t="s">
        <v>178</v>
      </c>
      <c r="E523" s="87" t="n">
        <v>2026</v>
      </c>
      <c r="F523" s="88" t="s">
        <v>532</v>
      </c>
      <c r="G523" s="88" t="s">
        <v>180</v>
      </c>
      <c r="H523" s="87" t="s">
        <v>189</v>
      </c>
      <c r="I523" s="87" t="s">
        <v>579</v>
      </c>
      <c r="J523" s="88" t="s">
        <v>580</v>
      </c>
      <c r="K523" s="89" t="n">
        <v>360</v>
      </c>
      <c r="L523" s="89" t="n">
        <v>53640000</v>
      </c>
      <c r="M523" s="89" t="n">
        <v>17965440</v>
      </c>
      <c r="N523" s="90" t="n">
        <f aca="false">IF(A523="제외",0,IF(OR(N(L523)&lt;=0,N(M523)&gt;N(L523)),N(M523)/가정!$B$4,N(L523)))</f>
        <v>53640000</v>
      </c>
      <c r="O523" s="67" t="str">
        <f aca="false">IF(A523="제외","",IF(OR(N(L523)&lt;=0,N(M523)&gt;N(L523)),"택가보정(판매금액÷공급율)",""))</f>
        <v/>
      </c>
    </row>
    <row r="524" customFormat="false" ht="15" hidden="false" customHeight="true" outlineLevel="0" collapsed="false">
      <c r="A524" s="67" t="str">
        <f aca="false">IF(OR(TRIM(C524)="",SUBSTITUTE(C524," ","")="소계"),"제외",IF(ISNUMBER(SEARCH("홍콩",C524)),"HK",IF(ISNUMBER(SEARCH("상해",C524)),"CN",IF(ISNUMBER(SEARCH("대만",C524)),"TW","홀세일"))))</f>
        <v>HK</v>
      </c>
      <c r="B524" s="87" t="s">
        <v>823</v>
      </c>
      <c r="C524" s="88" t="s">
        <v>824</v>
      </c>
      <c r="D524" s="88" t="s">
        <v>178</v>
      </c>
      <c r="E524" s="87" t="n">
        <v>2026</v>
      </c>
      <c r="F524" s="88" t="s">
        <v>532</v>
      </c>
      <c r="G524" s="88" t="s">
        <v>180</v>
      </c>
      <c r="H524" s="87" t="s">
        <v>189</v>
      </c>
      <c r="I524" s="87" t="s">
        <v>985</v>
      </c>
      <c r="J524" s="88" t="s">
        <v>986</v>
      </c>
      <c r="K524" s="89" t="n">
        <v>240</v>
      </c>
      <c r="L524" s="89" t="n">
        <v>52560000</v>
      </c>
      <c r="M524" s="89" t="n">
        <v>16106160</v>
      </c>
      <c r="N524" s="90" t="n">
        <f aca="false">IF(A524="제외",0,IF(OR(N(L524)&lt;=0,N(M524)&gt;N(L524)),N(M524)/가정!$B$4,N(L524)))</f>
        <v>52560000</v>
      </c>
      <c r="O524" s="67" t="str">
        <f aca="false">IF(A524="제외","",IF(OR(N(L524)&lt;=0,N(M524)&gt;N(L524)),"택가보정(판매금액÷공급율)",""))</f>
        <v/>
      </c>
    </row>
    <row r="525" customFormat="false" ht="15" hidden="false" customHeight="true" outlineLevel="0" collapsed="false">
      <c r="A525" s="67" t="str">
        <f aca="false">IF(OR(TRIM(C525)="",SUBSTITUTE(C525," ","")="소계"),"제외",IF(ISNUMBER(SEARCH("홍콩",C525)),"HK",IF(ISNUMBER(SEARCH("상해",C525)),"CN",IF(ISNUMBER(SEARCH("대만",C525)),"TW","홀세일"))))</f>
        <v>HK</v>
      </c>
      <c r="B525" s="87" t="s">
        <v>823</v>
      </c>
      <c r="C525" s="88" t="s">
        <v>824</v>
      </c>
      <c r="D525" s="88" t="s">
        <v>178</v>
      </c>
      <c r="E525" s="87" t="n">
        <v>2026</v>
      </c>
      <c r="F525" s="88" t="s">
        <v>532</v>
      </c>
      <c r="G525" s="88" t="s">
        <v>180</v>
      </c>
      <c r="H525" s="87" t="s">
        <v>189</v>
      </c>
      <c r="I525" s="87" t="s">
        <v>585</v>
      </c>
      <c r="J525" s="88" t="s">
        <v>586</v>
      </c>
      <c r="K525" s="89" t="n">
        <v>130</v>
      </c>
      <c r="L525" s="89" t="n">
        <v>25870000</v>
      </c>
      <c r="M525" s="89" t="n">
        <v>8588328</v>
      </c>
      <c r="N525" s="90" t="n">
        <f aca="false">IF(A525="제외",0,IF(OR(N(L525)&lt;=0,N(M525)&gt;N(L525)),N(M525)/가정!$B$4,N(L525)))</f>
        <v>25870000</v>
      </c>
      <c r="O525" s="67" t="str">
        <f aca="false">IF(A525="제외","",IF(OR(N(L525)&lt;=0,N(M525)&gt;N(L525)),"택가보정(판매금액÷공급율)",""))</f>
        <v/>
      </c>
    </row>
    <row r="526" customFormat="false" ht="15" hidden="false" customHeight="true" outlineLevel="0" collapsed="false">
      <c r="A526" s="67" t="str">
        <f aca="false">IF(OR(TRIM(C526)="",SUBSTITUTE(C526," ","")="소계"),"제외",IF(ISNUMBER(SEARCH("홍콩",C526)),"HK",IF(ISNUMBER(SEARCH("상해",C526)),"CN",IF(ISNUMBER(SEARCH("대만",C526)),"TW","홀세일"))))</f>
        <v>HK</v>
      </c>
      <c r="B526" s="87" t="s">
        <v>823</v>
      </c>
      <c r="C526" s="88" t="s">
        <v>824</v>
      </c>
      <c r="D526" s="88" t="s">
        <v>178</v>
      </c>
      <c r="E526" s="87" t="n">
        <v>2026</v>
      </c>
      <c r="F526" s="88" t="s">
        <v>532</v>
      </c>
      <c r="G526" s="88" t="s">
        <v>180</v>
      </c>
      <c r="H526" s="87" t="s">
        <v>189</v>
      </c>
      <c r="I526" s="87" t="s">
        <v>987</v>
      </c>
      <c r="J526" s="88" t="s">
        <v>988</v>
      </c>
      <c r="K526" s="89" t="n">
        <v>285</v>
      </c>
      <c r="L526" s="89" t="n">
        <v>36765000</v>
      </c>
      <c r="M526" s="89" t="n">
        <v>12312855</v>
      </c>
      <c r="N526" s="90" t="n">
        <f aca="false">IF(A526="제외",0,IF(OR(N(L526)&lt;=0,N(M526)&gt;N(L526)),N(M526)/가정!$B$4,N(L526)))</f>
        <v>36765000</v>
      </c>
      <c r="O526" s="67" t="str">
        <f aca="false">IF(A526="제외","",IF(OR(N(L526)&lt;=0,N(M526)&gt;N(L526)),"택가보정(판매금액÷공급율)",""))</f>
        <v/>
      </c>
    </row>
    <row r="527" customFormat="false" ht="15" hidden="false" customHeight="true" outlineLevel="0" collapsed="false">
      <c r="A527" s="67" t="str">
        <f aca="false">IF(OR(TRIM(C527)="",SUBSTITUTE(C527," ","")="소계"),"제외",IF(ISNUMBER(SEARCH("홍콩",C527)),"HK",IF(ISNUMBER(SEARCH("상해",C527)),"CN",IF(ISNUMBER(SEARCH("대만",C527)),"TW","홀세일"))))</f>
        <v>HK</v>
      </c>
      <c r="B527" s="87" t="s">
        <v>823</v>
      </c>
      <c r="C527" s="88" t="s">
        <v>824</v>
      </c>
      <c r="D527" s="88" t="s">
        <v>178</v>
      </c>
      <c r="E527" s="87" t="n">
        <v>2026</v>
      </c>
      <c r="F527" s="88" t="s">
        <v>532</v>
      </c>
      <c r="G527" s="88" t="s">
        <v>180</v>
      </c>
      <c r="H527" s="87" t="s">
        <v>189</v>
      </c>
      <c r="I527" s="87" t="s">
        <v>591</v>
      </c>
      <c r="J527" s="88" t="s">
        <v>592</v>
      </c>
      <c r="K527" s="89" t="n">
        <v>500</v>
      </c>
      <c r="L527" s="89" t="n">
        <v>44500000</v>
      </c>
      <c r="M527" s="89" t="n">
        <v>14897500</v>
      </c>
      <c r="N527" s="90" t="n">
        <f aca="false">IF(A527="제외",0,IF(OR(N(L527)&lt;=0,N(M527)&gt;N(L527)),N(M527)/가정!$B$4,N(L527)))</f>
        <v>44500000</v>
      </c>
      <c r="O527" s="67" t="str">
        <f aca="false">IF(A527="제외","",IF(OR(N(L527)&lt;=0,N(M527)&gt;N(L527)),"택가보정(판매금액÷공급율)",""))</f>
        <v/>
      </c>
    </row>
    <row r="528" customFormat="false" ht="15" hidden="false" customHeight="true" outlineLevel="0" collapsed="false">
      <c r="A528" s="67" t="str">
        <f aca="false">IF(OR(TRIM(C528)="",SUBSTITUTE(C528," ","")="소계"),"제외",IF(ISNUMBER(SEARCH("홍콩",C528)),"HK",IF(ISNUMBER(SEARCH("상해",C528)),"CN",IF(ISNUMBER(SEARCH("대만",C528)),"TW","홀세일"))))</f>
        <v>HK</v>
      </c>
      <c r="B528" s="87" t="s">
        <v>823</v>
      </c>
      <c r="C528" s="88" t="s">
        <v>824</v>
      </c>
      <c r="D528" s="88" t="s">
        <v>178</v>
      </c>
      <c r="E528" s="87" t="n">
        <v>2026</v>
      </c>
      <c r="F528" s="88" t="s">
        <v>532</v>
      </c>
      <c r="G528" s="88" t="s">
        <v>180</v>
      </c>
      <c r="H528" s="87" t="s">
        <v>189</v>
      </c>
      <c r="I528" s="87" t="s">
        <v>989</v>
      </c>
      <c r="J528" s="88" t="s">
        <v>990</v>
      </c>
      <c r="K528" s="89" t="n">
        <v>310</v>
      </c>
      <c r="L528" s="89" t="n">
        <v>33790000</v>
      </c>
      <c r="M528" s="89" t="n">
        <v>11296400</v>
      </c>
      <c r="N528" s="90" t="n">
        <f aca="false">IF(A528="제외",0,IF(OR(N(L528)&lt;=0,N(M528)&gt;N(L528)),N(M528)/가정!$B$4,N(L528)))</f>
        <v>33790000</v>
      </c>
      <c r="O528" s="67" t="str">
        <f aca="false">IF(A528="제외","",IF(OR(N(L528)&lt;=0,N(M528)&gt;N(L528)),"택가보정(판매금액÷공급율)",""))</f>
        <v/>
      </c>
    </row>
    <row r="529" customFormat="false" ht="15" hidden="false" customHeight="true" outlineLevel="0" collapsed="false">
      <c r="A529" s="67" t="str">
        <f aca="false">IF(OR(TRIM(C529)="",SUBSTITUTE(C529," ","")="소계"),"제외",IF(ISNUMBER(SEARCH("홍콩",C529)),"HK",IF(ISNUMBER(SEARCH("상해",C529)),"CN",IF(ISNUMBER(SEARCH("대만",C529)),"TW","홀세일"))))</f>
        <v>HK</v>
      </c>
      <c r="B529" s="87" t="s">
        <v>823</v>
      </c>
      <c r="C529" s="88" t="s">
        <v>824</v>
      </c>
      <c r="D529" s="88" t="s">
        <v>178</v>
      </c>
      <c r="E529" s="87" t="n">
        <v>2026</v>
      </c>
      <c r="F529" s="88" t="s">
        <v>532</v>
      </c>
      <c r="G529" s="88" t="s">
        <v>180</v>
      </c>
      <c r="H529" s="87" t="s">
        <v>189</v>
      </c>
      <c r="I529" s="87" t="s">
        <v>593</v>
      </c>
      <c r="J529" s="88" t="s">
        <v>594</v>
      </c>
      <c r="K529" s="89" t="n">
        <v>100</v>
      </c>
      <c r="L529" s="89" t="n">
        <v>14900000</v>
      </c>
      <c r="M529" s="89" t="n">
        <v>4966300</v>
      </c>
      <c r="N529" s="90" t="n">
        <f aca="false">IF(A529="제외",0,IF(OR(N(L529)&lt;=0,N(M529)&gt;N(L529)),N(M529)/가정!$B$4,N(L529)))</f>
        <v>14900000</v>
      </c>
      <c r="O529" s="67" t="str">
        <f aca="false">IF(A529="제외","",IF(OR(N(L529)&lt;=0,N(M529)&gt;N(L529)),"택가보정(판매금액÷공급율)",""))</f>
        <v/>
      </c>
    </row>
    <row r="530" customFormat="false" ht="15" hidden="false" customHeight="true" outlineLevel="0" collapsed="false">
      <c r="A530" s="67" t="str">
        <f aca="false">IF(OR(TRIM(C530)="",SUBSTITUTE(C530," ","")="소계"),"제외",IF(ISNUMBER(SEARCH("홍콩",C530)),"HK",IF(ISNUMBER(SEARCH("상해",C530)),"CN",IF(ISNUMBER(SEARCH("대만",C530)),"TW","홀세일"))))</f>
        <v>HK</v>
      </c>
      <c r="B530" s="87" t="s">
        <v>823</v>
      </c>
      <c r="C530" s="88" t="s">
        <v>824</v>
      </c>
      <c r="D530" s="88" t="s">
        <v>178</v>
      </c>
      <c r="E530" s="87" t="n">
        <v>2026</v>
      </c>
      <c r="F530" s="88" t="s">
        <v>532</v>
      </c>
      <c r="G530" s="88" t="s">
        <v>418</v>
      </c>
      <c r="H530" s="87" t="s">
        <v>189</v>
      </c>
      <c r="I530" s="87" t="s">
        <v>597</v>
      </c>
      <c r="J530" s="88" t="s">
        <v>598</v>
      </c>
      <c r="K530" s="89" t="n">
        <v>180</v>
      </c>
      <c r="L530" s="89" t="n">
        <v>17820000</v>
      </c>
      <c r="M530" s="89" t="n">
        <v>6385320</v>
      </c>
      <c r="N530" s="90" t="n">
        <f aca="false">IF(A530="제외",0,IF(OR(N(L530)&lt;=0,N(M530)&gt;N(L530)),N(M530)/가정!$B$4,N(L530)))</f>
        <v>17820000</v>
      </c>
      <c r="O530" s="67" t="str">
        <f aca="false">IF(A530="제외","",IF(OR(N(L530)&lt;=0,N(M530)&gt;N(L530)),"택가보정(판매금액÷공급율)",""))</f>
        <v/>
      </c>
    </row>
    <row r="531" customFormat="false" ht="15" hidden="false" customHeight="true" outlineLevel="0" collapsed="false">
      <c r="A531" s="67" t="str">
        <f aca="false">IF(OR(TRIM(C531)="",SUBSTITUTE(C531," ","")="소계"),"제외",IF(ISNUMBER(SEARCH("홍콩",C531)),"HK",IF(ISNUMBER(SEARCH("상해",C531)),"CN",IF(ISNUMBER(SEARCH("대만",C531)),"TW","홀세일"))))</f>
        <v>HK</v>
      </c>
      <c r="B531" s="87" t="s">
        <v>823</v>
      </c>
      <c r="C531" s="88" t="s">
        <v>824</v>
      </c>
      <c r="D531" s="88" t="s">
        <v>178</v>
      </c>
      <c r="E531" s="87" t="n">
        <v>2026</v>
      </c>
      <c r="F531" s="88" t="s">
        <v>532</v>
      </c>
      <c r="G531" s="88" t="s">
        <v>180</v>
      </c>
      <c r="H531" s="87" t="s">
        <v>246</v>
      </c>
      <c r="I531" s="87" t="s">
        <v>599</v>
      </c>
      <c r="J531" s="87" t="s">
        <v>600</v>
      </c>
      <c r="K531" s="89" t="n">
        <v>90</v>
      </c>
      <c r="L531" s="89" t="n">
        <v>14310000</v>
      </c>
      <c r="M531" s="89" t="n">
        <v>4763520</v>
      </c>
      <c r="N531" s="90" t="n">
        <f aca="false">IF(A531="제외",0,IF(OR(N(L531)&lt;=0,N(M531)&gt;N(L531)),N(M531)/가정!$B$4,N(L531)))</f>
        <v>14310000</v>
      </c>
      <c r="O531" s="67" t="str">
        <f aca="false">IF(A531="제외","",IF(OR(N(L531)&lt;=0,N(M531)&gt;N(L531)),"택가보정(판매금액÷공급율)",""))</f>
        <v/>
      </c>
    </row>
    <row r="532" customFormat="false" ht="15" hidden="false" customHeight="true" outlineLevel="0" collapsed="false">
      <c r="A532" s="67" t="str">
        <f aca="false">IF(OR(TRIM(C532)="",SUBSTITUTE(C532," ","")="소계"),"제외",IF(ISNUMBER(SEARCH("홍콩",C532)),"HK",IF(ISNUMBER(SEARCH("상해",C532)),"CN",IF(ISNUMBER(SEARCH("대만",C532)),"TW","홀세일"))))</f>
        <v>HK</v>
      </c>
      <c r="B532" s="87" t="s">
        <v>823</v>
      </c>
      <c r="C532" s="88" t="s">
        <v>824</v>
      </c>
      <c r="D532" s="88" t="s">
        <v>178</v>
      </c>
      <c r="E532" s="87" t="n">
        <v>2026</v>
      </c>
      <c r="F532" s="88" t="s">
        <v>532</v>
      </c>
      <c r="G532" s="88" t="s">
        <v>180</v>
      </c>
      <c r="H532" s="87" t="s">
        <v>246</v>
      </c>
      <c r="I532" s="87" t="s">
        <v>991</v>
      </c>
      <c r="J532" s="87" t="s">
        <v>992</v>
      </c>
      <c r="K532" s="89" t="n">
        <v>90</v>
      </c>
      <c r="L532" s="89" t="n">
        <v>11610000</v>
      </c>
      <c r="M532" s="89" t="n">
        <v>3881880</v>
      </c>
      <c r="N532" s="90" t="n">
        <f aca="false">IF(A532="제외",0,IF(OR(N(L532)&lt;=0,N(M532)&gt;N(L532)),N(M532)/가정!$B$4,N(L532)))</f>
        <v>11610000</v>
      </c>
      <c r="O532" s="67" t="str">
        <f aca="false">IF(A532="제외","",IF(OR(N(L532)&lt;=0,N(M532)&gt;N(L532)),"택가보정(판매금액÷공급율)",""))</f>
        <v/>
      </c>
    </row>
    <row r="533" customFormat="false" ht="15" hidden="false" customHeight="true" outlineLevel="0" collapsed="false">
      <c r="A533" s="67" t="str">
        <f aca="false">IF(OR(TRIM(C533)="",SUBSTITUTE(C533," ","")="소계"),"제외",IF(ISNUMBER(SEARCH("홍콩",C533)),"HK",IF(ISNUMBER(SEARCH("상해",C533)),"CN",IF(ISNUMBER(SEARCH("대만",C533)),"TW","홀세일"))))</f>
        <v>HK</v>
      </c>
      <c r="B533" s="87" t="s">
        <v>823</v>
      </c>
      <c r="C533" s="88" t="s">
        <v>824</v>
      </c>
      <c r="D533" s="88" t="s">
        <v>178</v>
      </c>
      <c r="E533" s="87" t="n">
        <v>2026</v>
      </c>
      <c r="F533" s="88" t="s">
        <v>532</v>
      </c>
      <c r="G533" s="88" t="s">
        <v>180</v>
      </c>
      <c r="H533" s="87" t="s">
        <v>246</v>
      </c>
      <c r="I533" s="87" t="s">
        <v>993</v>
      </c>
      <c r="J533" s="87" t="s">
        <v>994</v>
      </c>
      <c r="K533" s="89" t="n">
        <v>70</v>
      </c>
      <c r="L533" s="89" t="n">
        <v>11830000</v>
      </c>
      <c r="M533" s="89" t="n">
        <v>3952760</v>
      </c>
      <c r="N533" s="90" t="n">
        <f aca="false">IF(A533="제외",0,IF(OR(N(L533)&lt;=0,N(M533)&gt;N(L533)),N(M533)/가정!$B$4,N(L533)))</f>
        <v>11830000</v>
      </c>
      <c r="O533" s="67" t="str">
        <f aca="false">IF(A533="제외","",IF(OR(N(L533)&lt;=0,N(M533)&gt;N(L533)),"택가보정(판매금액÷공급율)",""))</f>
        <v/>
      </c>
    </row>
    <row r="534" customFormat="false" ht="15" hidden="false" customHeight="true" outlineLevel="0" collapsed="false">
      <c r="A534" s="67" t="str">
        <f aca="false">IF(OR(TRIM(C534)="",SUBSTITUTE(C534," ","")="소계"),"제외",IF(ISNUMBER(SEARCH("홍콩",C534)),"HK",IF(ISNUMBER(SEARCH("상해",C534)),"CN",IF(ISNUMBER(SEARCH("대만",C534)),"TW","홀세일"))))</f>
        <v>HK</v>
      </c>
      <c r="B534" s="87" t="s">
        <v>823</v>
      </c>
      <c r="C534" s="88" t="s">
        <v>824</v>
      </c>
      <c r="D534" s="88" t="s">
        <v>178</v>
      </c>
      <c r="E534" s="87" t="n">
        <v>2026</v>
      </c>
      <c r="F534" s="88" t="s">
        <v>532</v>
      </c>
      <c r="G534" s="88" t="s">
        <v>180</v>
      </c>
      <c r="H534" s="87" t="s">
        <v>246</v>
      </c>
      <c r="I534" s="87" t="s">
        <v>995</v>
      </c>
      <c r="J534" s="87" t="s">
        <v>996</v>
      </c>
      <c r="K534" s="89" t="n">
        <v>160</v>
      </c>
      <c r="L534" s="89" t="n">
        <v>31840000</v>
      </c>
      <c r="M534" s="89" t="n">
        <v>9602400</v>
      </c>
      <c r="N534" s="90" t="n">
        <f aca="false">IF(A534="제외",0,IF(OR(N(L534)&lt;=0,N(M534)&gt;N(L534)),N(M534)/가정!$B$4,N(L534)))</f>
        <v>31840000</v>
      </c>
      <c r="O534" s="67" t="str">
        <f aca="false">IF(A534="제외","",IF(OR(N(L534)&lt;=0,N(M534)&gt;N(L534)),"택가보정(판매금액÷공급율)",""))</f>
        <v/>
      </c>
    </row>
    <row r="535" customFormat="false" ht="15" hidden="false" customHeight="true" outlineLevel="0" collapsed="false">
      <c r="A535" s="67" t="str">
        <f aca="false">IF(OR(TRIM(C535)="",SUBSTITUTE(C535," ","")="소계"),"제외",IF(ISNUMBER(SEARCH("홍콩",C535)),"HK",IF(ISNUMBER(SEARCH("상해",C535)),"CN",IF(ISNUMBER(SEARCH("대만",C535)),"TW","홀세일"))))</f>
        <v>HK</v>
      </c>
      <c r="B535" s="87" t="s">
        <v>823</v>
      </c>
      <c r="C535" s="88" t="s">
        <v>824</v>
      </c>
      <c r="D535" s="88" t="s">
        <v>178</v>
      </c>
      <c r="E535" s="87" t="n">
        <v>2026</v>
      </c>
      <c r="F535" s="88" t="s">
        <v>532</v>
      </c>
      <c r="G535" s="88" t="s">
        <v>180</v>
      </c>
      <c r="H535" s="87" t="s">
        <v>246</v>
      </c>
      <c r="I535" s="87" t="s">
        <v>603</v>
      </c>
      <c r="J535" s="87" t="s">
        <v>604</v>
      </c>
      <c r="K535" s="89" t="n">
        <v>380</v>
      </c>
      <c r="L535" s="89" t="n">
        <v>56620000</v>
      </c>
      <c r="M535" s="89" t="n">
        <v>19410020</v>
      </c>
      <c r="N535" s="90" t="n">
        <f aca="false">IF(A535="제외",0,IF(OR(N(L535)&lt;=0,N(M535)&gt;N(L535)),N(M535)/가정!$B$4,N(L535)))</f>
        <v>56620000</v>
      </c>
      <c r="O535" s="67" t="str">
        <f aca="false">IF(A535="제외","",IF(OR(N(L535)&lt;=0,N(M535)&gt;N(L535)),"택가보정(판매금액÷공급율)",""))</f>
        <v/>
      </c>
    </row>
    <row r="536" customFormat="false" ht="15" hidden="false" customHeight="true" outlineLevel="0" collapsed="false">
      <c r="A536" s="67" t="str">
        <f aca="false">IF(OR(TRIM(C536)="",SUBSTITUTE(C536," ","")="소계"),"제외",IF(ISNUMBER(SEARCH("홍콩",C536)),"HK",IF(ISNUMBER(SEARCH("상해",C536)),"CN",IF(ISNUMBER(SEARCH("대만",C536)),"TW","홀세일"))))</f>
        <v>HK</v>
      </c>
      <c r="B536" s="87" t="s">
        <v>823</v>
      </c>
      <c r="C536" s="88" t="s">
        <v>824</v>
      </c>
      <c r="D536" s="88" t="s">
        <v>178</v>
      </c>
      <c r="E536" s="87" t="n">
        <v>2026</v>
      </c>
      <c r="F536" s="88" t="s">
        <v>532</v>
      </c>
      <c r="G536" s="88" t="s">
        <v>180</v>
      </c>
      <c r="H536" s="87" t="s">
        <v>246</v>
      </c>
      <c r="I536" s="87" t="s">
        <v>997</v>
      </c>
      <c r="J536" s="87" t="s">
        <v>998</v>
      </c>
      <c r="K536" s="89" t="n">
        <v>80</v>
      </c>
      <c r="L536" s="89" t="n">
        <v>17520000</v>
      </c>
      <c r="M536" s="89" t="n">
        <v>6214720</v>
      </c>
      <c r="N536" s="90" t="n">
        <f aca="false">IF(A536="제외",0,IF(OR(N(L536)&lt;=0,N(M536)&gt;N(L536)),N(M536)/가정!$B$4,N(L536)))</f>
        <v>17520000</v>
      </c>
      <c r="O536" s="67" t="str">
        <f aca="false">IF(A536="제외","",IF(OR(N(L536)&lt;=0,N(M536)&gt;N(L536)),"택가보정(판매금액÷공급율)",""))</f>
        <v/>
      </c>
    </row>
    <row r="537" customFormat="false" ht="15" hidden="false" customHeight="true" outlineLevel="0" collapsed="false">
      <c r="A537" s="67" t="str">
        <f aca="false">IF(OR(TRIM(C537)="",SUBSTITUTE(C537," ","")="소계"),"제외",IF(ISNUMBER(SEARCH("홍콩",C537)),"HK",IF(ISNUMBER(SEARCH("상해",C537)),"CN",IF(ISNUMBER(SEARCH("대만",C537)),"TW","홀세일"))))</f>
        <v>HK</v>
      </c>
      <c r="B537" s="87" t="s">
        <v>823</v>
      </c>
      <c r="C537" s="88" t="s">
        <v>824</v>
      </c>
      <c r="D537" s="88" t="s">
        <v>178</v>
      </c>
      <c r="E537" s="87" t="n">
        <v>2026</v>
      </c>
      <c r="F537" s="88" t="s">
        <v>532</v>
      </c>
      <c r="G537" s="88" t="s">
        <v>180</v>
      </c>
      <c r="H537" s="87" t="s">
        <v>246</v>
      </c>
      <c r="I537" s="87" t="s">
        <v>605</v>
      </c>
      <c r="J537" s="87" t="s">
        <v>606</v>
      </c>
      <c r="K537" s="89" t="n">
        <v>190</v>
      </c>
      <c r="L537" s="89" t="n">
        <v>45410000</v>
      </c>
      <c r="M537" s="89" t="n">
        <v>16104210</v>
      </c>
      <c r="N537" s="90" t="n">
        <f aca="false">IF(A537="제외",0,IF(OR(N(L537)&lt;=0,N(M537)&gt;N(L537)),N(M537)/가정!$B$4,N(L537)))</f>
        <v>45410000</v>
      </c>
      <c r="O537" s="67" t="str">
        <f aca="false">IF(A537="제외","",IF(OR(N(L537)&lt;=0,N(M537)&gt;N(L537)),"택가보정(판매금액÷공급율)",""))</f>
        <v/>
      </c>
    </row>
    <row r="538" customFormat="false" ht="15" hidden="false" customHeight="true" outlineLevel="0" collapsed="false">
      <c r="A538" s="67" t="str">
        <f aca="false">IF(OR(TRIM(C538)="",SUBSTITUTE(C538," ","")="소계"),"제외",IF(ISNUMBER(SEARCH("홍콩",C538)),"HK",IF(ISNUMBER(SEARCH("상해",C538)),"CN",IF(ISNUMBER(SEARCH("대만",C538)),"TW","홀세일"))))</f>
        <v>HK</v>
      </c>
      <c r="B538" s="87" t="s">
        <v>823</v>
      </c>
      <c r="C538" s="88" t="s">
        <v>824</v>
      </c>
      <c r="D538" s="88" t="s">
        <v>178</v>
      </c>
      <c r="E538" s="87" t="n">
        <v>2026</v>
      </c>
      <c r="F538" s="88" t="s">
        <v>532</v>
      </c>
      <c r="G538" s="88" t="s">
        <v>180</v>
      </c>
      <c r="H538" s="87" t="s">
        <v>246</v>
      </c>
      <c r="I538" s="87" t="s">
        <v>607</v>
      </c>
      <c r="J538" s="87" t="s">
        <v>608</v>
      </c>
      <c r="K538" s="89" t="n">
        <v>205</v>
      </c>
      <c r="L538" s="89" t="n">
        <v>53095000</v>
      </c>
      <c r="M538" s="89" t="n">
        <v>14484480</v>
      </c>
      <c r="N538" s="90" t="n">
        <f aca="false">IF(A538="제외",0,IF(OR(N(L538)&lt;=0,N(M538)&gt;N(L538)),N(M538)/가정!$B$4,N(L538)))</f>
        <v>53095000</v>
      </c>
      <c r="O538" s="67" t="str">
        <f aca="false">IF(A538="제외","",IF(OR(N(L538)&lt;=0,N(M538)&gt;N(L538)),"택가보정(판매금액÷공급율)",""))</f>
        <v/>
      </c>
    </row>
    <row r="539" customFormat="false" ht="15" hidden="false" customHeight="true" outlineLevel="0" collapsed="false">
      <c r="A539" s="67" t="str">
        <f aca="false">IF(OR(TRIM(C539)="",SUBSTITUTE(C539," ","")="소계"),"제외",IF(ISNUMBER(SEARCH("홍콩",C539)),"HK",IF(ISNUMBER(SEARCH("상해",C539)),"CN",IF(ISNUMBER(SEARCH("대만",C539)),"TW","홀세일"))))</f>
        <v>HK</v>
      </c>
      <c r="B539" s="87" t="s">
        <v>823</v>
      </c>
      <c r="C539" s="88" t="s">
        <v>824</v>
      </c>
      <c r="D539" s="88" t="s">
        <v>178</v>
      </c>
      <c r="E539" s="87" t="n">
        <v>2026</v>
      </c>
      <c r="F539" s="88" t="s">
        <v>532</v>
      </c>
      <c r="G539" s="88" t="s">
        <v>180</v>
      </c>
      <c r="H539" s="87" t="s">
        <v>246</v>
      </c>
      <c r="I539" s="87" t="s">
        <v>609</v>
      </c>
      <c r="J539" s="87" t="s">
        <v>610</v>
      </c>
      <c r="K539" s="89" t="n">
        <v>551</v>
      </c>
      <c r="L539" s="89" t="n">
        <v>93119000</v>
      </c>
      <c r="M539" s="89" t="n">
        <v>33068265</v>
      </c>
      <c r="N539" s="90" t="n">
        <f aca="false">IF(A539="제외",0,IF(OR(N(L539)&lt;=0,N(M539)&gt;N(L539)),N(M539)/가정!$B$4,N(L539)))</f>
        <v>93119000</v>
      </c>
      <c r="O539" s="67" t="str">
        <f aca="false">IF(A539="제외","",IF(OR(N(L539)&lt;=0,N(M539)&gt;N(L539)),"택가보정(판매금액÷공급율)",""))</f>
        <v/>
      </c>
    </row>
    <row r="540" customFormat="false" ht="15" hidden="false" customHeight="true" outlineLevel="0" collapsed="false">
      <c r="A540" s="67" t="str">
        <f aca="false">IF(OR(TRIM(C540)="",SUBSTITUTE(C540," ","")="소계"),"제외",IF(ISNUMBER(SEARCH("홍콩",C540)),"HK",IF(ISNUMBER(SEARCH("상해",C540)),"CN",IF(ISNUMBER(SEARCH("대만",C540)),"TW","홀세일"))))</f>
        <v>HK</v>
      </c>
      <c r="B540" s="87" t="s">
        <v>823</v>
      </c>
      <c r="C540" s="88" t="s">
        <v>824</v>
      </c>
      <c r="D540" s="88" t="s">
        <v>178</v>
      </c>
      <c r="E540" s="87" t="n">
        <v>2026</v>
      </c>
      <c r="F540" s="88" t="s">
        <v>532</v>
      </c>
      <c r="G540" s="88" t="s">
        <v>180</v>
      </c>
      <c r="H540" s="87" t="s">
        <v>246</v>
      </c>
      <c r="I540" s="87" t="s">
        <v>999</v>
      </c>
      <c r="J540" s="87" t="s">
        <v>1000</v>
      </c>
      <c r="K540" s="89" t="n">
        <v>160</v>
      </c>
      <c r="L540" s="89" t="n">
        <v>52640000</v>
      </c>
      <c r="M540" s="89" t="n">
        <v>14963040</v>
      </c>
      <c r="N540" s="90" t="n">
        <f aca="false">IF(A540="제외",0,IF(OR(N(L540)&lt;=0,N(M540)&gt;N(L540)),N(M540)/가정!$B$4,N(L540)))</f>
        <v>52640000</v>
      </c>
      <c r="O540" s="67" t="str">
        <f aca="false">IF(A540="제외","",IF(OR(N(L540)&lt;=0,N(M540)&gt;N(L540)),"택가보정(판매금액÷공급율)",""))</f>
        <v/>
      </c>
    </row>
    <row r="541" customFormat="false" ht="15" hidden="false" customHeight="true" outlineLevel="0" collapsed="false">
      <c r="A541" s="67" t="str">
        <f aca="false">IF(OR(TRIM(C541)="",SUBSTITUTE(C541," ","")="소계"),"제외",IF(ISNUMBER(SEARCH("홍콩",C541)),"HK",IF(ISNUMBER(SEARCH("상해",C541)),"CN",IF(ISNUMBER(SEARCH("대만",C541)),"TW","홀세일"))))</f>
        <v>HK</v>
      </c>
      <c r="B541" s="87" t="s">
        <v>823</v>
      </c>
      <c r="C541" s="88" t="s">
        <v>824</v>
      </c>
      <c r="D541" s="88" t="s">
        <v>178</v>
      </c>
      <c r="E541" s="87" t="n">
        <v>2026</v>
      </c>
      <c r="F541" s="88" t="s">
        <v>532</v>
      </c>
      <c r="G541" s="88" t="s">
        <v>180</v>
      </c>
      <c r="H541" s="87" t="s">
        <v>246</v>
      </c>
      <c r="I541" s="87" t="s">
        <v>615</v>
      </c>
      <c r="J541" s="87" t="s">
        <v>616</v>
      </c>
      <c r="K541" s="89" t="n">
        <v>280</v>
      </c>
      <c r="L541" s="89" t="n">
        <v>92120000</v>
      </c>
      <c r="M541" s="89" t="n">
        <v>30875040</v>
      </c>
      <c r="N541" s="90" t="n">
        <f aca="false">IF(A541="제외",0,IF(OR(N(L541)&lt;=0,N(M541)&gt;N(L541)),N(M541)/가정!$B$4,N(L541)))</f>
        <v>92120000</v>
      </c>
      <c r="O541" s="67" t="str">
        <f aca="false">IF(A541="제외","",IF(OR(N(L541)&lt;=0,N(M541)&gt;N(L541)),"택가보정(판매금액÷공급율)",""))</f>
        <v/>
      </c>
    </row>
    <row r="542" customFormat="false" ht="15" hidden="false" customHeight="true" outlineLevel="0" collapsed="false">
      <c r="A542" s="67" t="str">
        <f aca="false">IF(OR(TRIM(C542)="",SUBSTITUTE(C542," ","")="소계"),"제외",IF(ISNUMBER(SEARCH("홍콩",C542)),"HK",IF(ISNUMBER(SEARCH("상해",C542)),"CN",IF(ISNUMBER(SEARCH("대만",C542)),"TW","홀세일"))))</f>
        <v>HK</v>
      </c>
      <c r="B542" s="87" t="s">
        <v>823</v>
      </c>
      <c r="C542" s="88" t="s">
        <v>824</v>
      </c>
      <c r="D542" s="88" t="s">
        <v>178</v>
      </c>
      <c r="E542" s="87" t="n">
        <v>2026</v>
      </c>
      <c r="F542" s="88" t="s">
        <v>532</v>
      </c>
      <c r="G542" s="88" t="s">
        <v>180</v>
      </c>
      <c r="H542" s="87" t="s">
        <v>246</v>
      </c>
      <c r="I542" s="87" t="s">
        <v>617</v>
      </c>
      <c r="J542" s="87" t="s">
        <v>618</v>
      </c>
      <c r="K542" s="89" t="n">
        <v>300</v>
      </c>
      <c r="L542" s="89" t="n">
        <v>119700000</v>
      </c>
      <c r="M542" s="89" t="n">
        <v>41472600</v>
      </c>
      <c r="N542" s="90" t="n">
        <f aca="false">IF(A542="제외",0,IF(OR(N(L542)&lt;=0,N(M542)&gt;N(L542)),N(M542)/가정!$B$4,N(L542)))</f>
        <v>119700000</v>
      </c>
      <c r="O542" s="67" t="str">
        <f aca="false">IF(A542="제외","",IF(OR(N(L542)&lt;=0,N(M542)&gt;N(L542)),"택가보정(판매금액÷공급율)",""))</f>
        <v/>
      </c>
    </row>
    <row r="543" customFormat="false" ht="15" hidden="false" customHeight="true" outlineLevel="0" collapsed="false">
      <c r="A543" s="67" t="str">
        <f aca="false">IF(OR(TRIM(C543)="",SUBSTITUTE(C543," ","")="소계"),"제외",IF(ISNUMBER(SEARCH("홍콩",C543)),"HK",IF(ISNUMBER(SEARCH("상해",C543)),"CN",IF(ISNUMBER(SEARCH("대만",C543)),"TW","홀세일"))))</f>
        <v>HK</v>
      </c>
      <c r="B543" s="87" t="s">
        <v>823</v>
      </c>
      <c r="C543" s="88" t="s">
        <v>824</v>
      </c>
      <c r="D543" s="88" t="s">
        <v>178</v>
      </c>
      <c r="E543" s="87" t="n">
        <v>2026</v>
      </c>
      <c r="F543" s="88" t="s">
        <v>532</v>
      </c>
      <c r="G543" s="88" t="s">
        <v>180</v>
      </c>
      <c r="H543" s="87" t="s">
        <v>246</v>
      </c>
      <c r="I543" s="87" t="s">
        <v>619</v>
      </c>
      <c r="J543" s="87" t="s">
        <v>620</v>
      </c>
      <c r="K543" s="89" t="n">
        <v>160</v>
      </c>
      <c r="L543" s="89" t="n">
        <v>63840000</v>
      </c>
      <c r="M543" s="89" t="n">
        <v>19244320</v>
      </c>
      <c r="N543" s="90" t="n">
        <f aca="false">IF(A543="제외",0,IF(OR(N(L543)&lt;=0,N(M543)&gt;N(L543)),N(M543)/가정!$B$4,N(L543)))</f>
        <v>63840000</v>
      </c>
      <c r="O543" s="67" t="str">
        <f aca="false">IF(A543="제외","",IF(OR(N(L543)&lt;=0,N(M543)&gt;N(L543)),"택가보정(판매금액÷공급율)",""))</f>
        <v/>
      </c>
    </row>
    <row r="544" customFormat="false" ht="15" hidden="false" customHeight="true" outlineLevel="0" collapsed="false">
      <c r="A544" s="67" t="str">
        <f aca="false">IF(OR(TRIM(C544)="",SUBSTITUTE(C544," ","")="소계"),"제외",IF(ISNUMBER(SEARCH("홍콩",C544)),"HK",IF(ISNUMBER(SEARCH("상해",C544)),"CN",IF(ISNUMBER(SEARCH("대만",C544)),"TW","홀세일"))))</f>
        <v>HK</v>
      </c>
      <c r="B544" s="87" t="s">
        <v>823</v>
      </c>
      <c r="C544" s="88" t="s">
        <v>824</v>
      </c>
      <c r="D544" s="88" t="s">
        <v>178</v>
      </c>
      <c r="E544" s="87" t="n">
        <v>2026</v>
      </c>
      <c r="F544" s="88" t="s">
        <v>532</v>
      </c>
      <c r="G544" s="88" t="s">
        <v>180</v>
      </c>
      <c r="H544" s="87" t="s">
        <v>246</v>
      </c>
      <c r="I544" s="87" t="s">
        <v>621</v>
      </c>
      <c r="J544" s="87" t="s">
        <v>622</v>
      </c>
      <c r="K544" s="89" t="n">
        <v>50</v>
      </c>
      <c r="L544" s="89" t="n">
        <v>22950000</v>
      </c>
      <c r="M544" s="89" t="n">
        <v>8017200</v>
      </c>
      <c r="N544" s="90" t="n">
        <f aca="false">IF(A544="제외",0,IF(OR(N(L544)&lt;=0,N(M544)&gt;N(L544)),N(M544)/가정!$B$4,N(L544)))</f>
        <v>22950000</v>
      </c>
      <c r="O544" s="67" t="str">
        <f aca="false">IF(A544="제외","",IF(OR(N(L544)&lt;=0,N(M544)&gt;N(L544)),"택가보정(판매금액÷공급율)",""))</f>
        <v/>
      </c>
    </row>
    <row r="545" customFormat="false" ht="15" hidden="false" customHeight="true" outlineLevel="0" collapsed="false">
      <c r="A545" s="67" t="str">
        <f aca="false">IF(OR(TRIM(C545)="",SUBSTITUTE(C545," ","")="소계"),"제외",IF(ISNUMBER(SEARCH("홍콩",C545)),"HK",IF(ISNUMBER(SEARCH("상해",C545)),"CN",IF(ISNUMBER(SEARCH("대만",C545)),"TW","홀세일"))))</f>
        <v>HK</v>
      </c>
      <c r="B545" s="87" t="s">
        <v>823</v>
      </c>
      <c r="C545" s="88" t="s">
        <v>824</v>
      </c>
      <c r="D545" s="88" t="s">
        <v>178</v>
      </c>
      <c r="E545" s="87" t="n">
        <v>2026</v>
      </c>
      <c r="F545" s="88" t="s">
        <v>532</v>
      </c>
      <c r="G545" s="88" t="s">
        <v>180</v>
      </c>
      <c r="H545" s="87" t="s">
        <v>246</v>
      </c>
      <c r="I545" s="87" t="s">
        <v>625</v>
      </c>
      <c r="J545" s="87" t="s">
        <v>626</v>
      </c>
      <c r="K545" s="89" t="n">
        <v>200</v>
      </c>
      <c r="L545" s="89" t="n">
        <v>65800000</v>
      </c>
      <c r="M545" s="89" t="n">
        <v>25393400</v>
      </c>
      <c r="N545" s="90" t="n">
        <f aca="false">IF(A545="제외",0,IF(OR(N(L545)&lt;=0,N(M545)&gt;N(L545)),N(M545)/가정!$B$4,N(L545)))</f>
        <v>65800000</v>
      </c>
      <c r="O545" s="67" t="str">
        <f aca="false">IF(A545="제외","",IF(OR(N(L545)&lt;=0,N(M545)&gt;N(L545)),"택가보정(판매금액÷공급율)",""))</f>
        <v/>
      </c>
    </row>
    <row r="546" customFormat="false" ht="15" hidden="false" customHeight="true" outlineLevel="0" collapsed="false">
      <c r="A546" s="67" t="str">
        <f aca="false">IF(OR(TRIM(C546)="",SUBSTITUTE(C546," ","")="소계"),"제외",IF(ISNUMBER(SEARCH("홍콩",C546)),"HK",IF(ISNUMBER(SEARCH("상해",C546)),"CN",IF(ISNUMBER(SEARCH("대만",C546)),"TW","홀세일"))))</f>
        <v>HK</v>
      </c>
      <c r="B546" s="87" t="s">
        <v>823</v>
      </c>
      <c r="C546" s="88" t="s">
        <v>824</v>
      </c>
      <c r="D546" s="88" t="s">
        <v>178</v>
      </c>
      <c r="E546" s="87" t="n">
        <v>2026</v>
      </c>
      <c r="F546" s="88" t="s">
        <v>532</v>
      </c>
      <c r="G546" s="88" t="s">
        <v>180</v>
      </c>
      <c r="H546" s="87" t="s">
        <v>246</v>
      </c>
      <c r="I546" s="87" t="s">
        <v>1001</v>
      </c>
      <c r="J546" s="87" t="s">
        <v>1002</v>
      </c>
      <c r="K546" s="89" t="n">
        <v>240</v>
      </c>
      <c r="L546" s="89" t="n">
        <v>47760000</v>
      </c>
      <c r="M546" s="89" t="n">
        <v>16864320</v>
      </c>
      <c r="N546" s="90" t="n">
        <f aca="false">IF(A546="제외",0,IF(OR(N(L546)&lt;=0,N(M546)&gt;N(L546)),N(M546)/가정!$B$4,N(L546)))</f>
        <v>47760000</v>
      </c>
      <c r="O546" s="67" t="str">
        <f aca="false">IF(A546="제외","",IF(OR(N(L546)&lt;=0,N(M546)&gt;N(L546)),"택가보정(판매금액÷공급율)",""))</f>
        <v/>
      </c>
    </row>
    <row r="547" customFormat="false" ht="15" hidden="false" customHeight="true" outlineLevel="0" collapsed="false">
      <c r="A547" s="67" t="str">
        <f aca="false">IF(OR(TRIM(C547)="",SUBSTITUTE(C547," ","")="소계"),"제외",IF(ISNUMBER(SEARCH("홍콩",C547)),"HK",IF(ISNUMBER(SEARCH("상해",C547)),"CN",IF(ISNUMBER(SEARCH("대만",C547)),"TW","홀세일"))))</f>
        <v>HK</v>
      </c>
      <c r="B547" s="87" t="s">
        <v>823</v>
      </c>
      <c r="C547" s="88" t="s">
        <v>824</v>
      </c>
      <c r="D547" s="88" t="s">
        <v>178</v>
      </c>
      <c r="E547" s="87" t="n">
        <v>2026</v>
      </c>
      <c r="F547" s="88" t="s">
        <v>532</v>
      </c>
      <c r="G547" s="88" t="s">
        <v>180</v>
      </c>
      <c r="H547" s="87" t="s">
        <v>246</v>
      </c>
      <c r="I547" s="87" t="s">
        <v>627</v>
      </c>
      <c r="J547" s="87" t="s">
        <v>628</v>
      </c>
      <c r="K547" s="89" t="n">
        <v>360</v>
      </c>
      <c r="L547" s="89" t="n">
        <v>68040000</v>
      </c>
      <c r="M547" s="89" t="n">
        <v>22781880</v>
      </c>
      <c r="N547" s="90" t="n">
        <f aca="false">IF(A547="제외",0,IF(OR(N(L547)&lt;=0,N(M547)&gt;N(L547)),N(M547)/가정!$B$4,N(L547)))</f>
        <v>68040000</v>
      </c>
      <c r="O547" s="67" t="str">
        <f aca="false">IF(A547="제외","",IF(OR(N(L547)&lt;=0,N(M547)&gt;N(L547)),"택가보정(판매금액÷공급율)",""))</f>
        <v/>
      </c>
    </row>
    <row r="548" customFormat="false" ht="15" hidden="false" customHeight="true" outlineLevel="0" collapsed="false">
      <c r="A548" s="67" t="str">
        <f aca="false">IF(OR(TRIM(C548)="",SUBSTITUTE(C548," ","")="소계"),"제외",IF(ISNUMBER(SEARCH("홍콩",C548)),"HK",IF(ISNUMBER(SEARCH("상해",C548)),"CN",IF(ISNUMBER(SEARCH("대만",C548)),"TW","홀세일"))))</f>
        <v>HK</v>
      </c>
      <c r="B548" s="87" t="s">
        <v>823</v>
      </c>
      <c r="C548" s="88" t="s">
        <v>824</v>
      </c>
      <c r="D548" s="88" t="s">
        <v>178</v>
      </c>
      <c r="E548" s="87" t="n">
        <v>2026</v>
      </c>
      <c r="F548" s="88" t="s">
        <v>532</v>
      </c>
      <c r="G548" s="88" t="s">
        <v>180</v>
      </c>
      <c r="H548" s="87" t="s">
        <v>246</v>
      </c>
      <c r="I548" s="87" t="s">
        <v>631</v>
      </c>
      <c r="J548" s="87" t="s">
        <v>632</v>
      </c>
      <c r="K548" s="89" t="n">
        <v>400</v>
      </c>
      <c r="L548" s="89" t="n">
        <v>79600000</v>
      </c>
      <c r="M548" s="89" t="n">
        <v>27091200</v>
      </c>
      <c r="N548" s="90" t="n">
        <f aca="false">IF(A548="제외",0,IF(OR(N(L548)&lt;=0,N(M548)&gt;N(L548)),N(M548)/가정!$B$4,N(L548)))</f>
        <v>79600000</v>
      </c>
      <c r="O548" s="67" t="str">
        <f aca="false">IF(A548="제외","",IF(OR(N(L548)&lt;=0,N(M548)&gt;N(L548)),"택가보정(판매금액÷공급율)",""))</f>
        <v/>
      </c>
    </row>
    <row r="549" customFormat="false" ht="15" hidden="false" customHeight="true" outlineLevel="0" collapsed="false">
      <c r="A549" s="67" t="str">
        <f aca="false">IF(OR(TRIM(C549)="",SUBSTITUTE(C549," ","")="소계"),"제외",IF(ISNUMBER(SEARCH("홍콩",C549)),"HK",IF(ISNUMBER(SEARCH("상해",C549)),"CN",IF(ISNUMBER(SEARCH("대만",C549)),"TW","홀세일"))))</f>
        <v>HK</v>
      </c>
      <c r="B549" s="87" t="s">
        <v>823</v>
      </c>
      <c r="C549" s="88" t="s">
        <v>824</v>
      </c>
      <c r="D549" s="88" t="s">
        <v>178</v>
      </c>
      <c r="E549" s="87" t="n">
        <v>2026</v>
      </c>
      <c r="F549" s="88" t="s">
        <v>532</v>
      </c>
      <c r="G549" s="88" t="s">
        <v>180</v>
      </c>
      <c r="H549" s="87" t="s">
        <v>246</v>
      </c>
      <c r="I549" s="87" t="s">
        <v>633</v>
      </c>
      <c r="J549" s="87" t="s">
        <v>634</v>
      </c>
      <c r="K549" s="89" t="n">
        <v>80</v>
      </c>
      <c r="L549" s="89" t="n">
        <v>11920000</v>
      </c>
      <c r="M549" s="89" t="n">
        <v>3992320</v>
      </c>
      <c r="N549" s="90" t="n">
        <f aca="false">IF(A549="제외",0,IF(OR(N(L549)&lt;=0,N(M549)&gt;N(L549)),N(M549)/가정!$B$4,N(L549)))</f>
        <v>11920000</v>
      </c>
      <c r="O549" s="67" t="str">
        <f aca="false">IF(A549="제외","",IF(OR(N(L549)&lt;=0,N(M549)&gt;N(L549)),"택가보정(판매금액÷공급율)",""))</f>
        <v/>
      </c>
    </row>
    <row r="550" customFormat="false" ht="15" hidden="false" customHeight="true" outlineLevel="0" collapsed="false">
      <c r="A550" s="67" t="str">
        <f aca="false">IF(OR(TRIM(C550)="",SUBSTITUTE(C550," ","")="소계"),"제외",IF(ISNUMBER(SEARCH("홍콩",C550)),"HK",IF(ISNUMBER(SEARCH("상해",C550)),"CN",IF(ISNUMBER(SEARCH("대만",C550)),"TW","홀세일"))))</f>
        <v>HK</v>
      </c>
      <c r="B550" s="87" t="s">
        <v>823</v>
      </c>
      <c r="C550" s="88" t="s">
        <v>824</v>
      </c>
      <c r="D550" s="88" t="s">
        <v>178</v>
      </c>
      <c r="E550" s="87" t="n">
        <v>2026</v>
      </c>
      <c r="F550" s="88" t="s">
        <v>532</v>
      </c>
      <c r="G550" s="88" t="s">
        <v>180</v>
      </c>
      <c r="H550" s="87" t="s">
        <v>246</v>
      </c>
      <c r="I550" s="87" t="s">
        <v>1003</v>
      </c>
      <c r="J550" s="87" t="s">
        <v>1004</v>
      </c>
      <c r="K550" s="89" t="n">
        <v>200</v>
      </c>
      <c r="L550" s="89" t="n">
        <v>31800000</v>
      </c>
      <c r="M550" s="89" t="n">
        <v>10612600</v>
      </c>
      <c r="N550" s="90" t="n">
        <f aca="false">IF(A550="제외",0,IF(OR(N(L550)&lt;=0,N(M550)&gt;N(L550)),N(M550)/가정!$B$4,N(L550)))</f>
        <v>31800000</v>
      </c>
      <c r="O550" s="67" t="str">
        <f aca="false">IF(A550="제외","",IF(OR(N(L550)&lt;=0,N(M550)&gt;N(L550)),"택가보정(판매금액÷공급율)",""))</f>
        <v/>
      </c>
    </row>
    <row r="551" customFormat="false" ht="15" hidden="false" customHeight="true" outlineLevel="0" collapsed="false">
      <c r="A551" s="67" t="str">
        <f aca="false">IF(OR(TRIM(C551)="",SUBSTITUTE(C551," ","")="소계"),"제외",IF(ISNUMBER(SEARCH("홍콩",C551)),"HK",IF(ISNUMBER(SEARCH("상해",C551)),"CN",IF(ISNUMBER(SEARCH("대만",C551)),"TW","홀세일"))))</f>
        <v>HK</v>
      </c>
      <c r="B551" s="87" t="s">
        <v>823</v>
      </c>
      <c r="C551" s="88" t="s">
        <v>824</v>
      </c>
      <c r="D551" s="88" t="s">
        <v>178</v>
      </c>
      <c r="E551" s="87" t="n">
        <v>2026</v>
      </c>
      <c r="F551" s="88" t="s">
        <v>532</v>
      </c>
      <c r="G551" s="88" t="s">
        <v>180</v>
      </c>
      <c r="H551" s="87" t="s">
        <v>246</v>
      </c>
      <c r="I551" s="87" t="s">
        <v>1005</v>
      </c>
      <c r="J551" s="87" t="s">
        <v>1006</v>
      </c>
      <c r="K551" s="89" t="n">
        <v>180</v>
      </c>
      <c r="L551" s="89" t="n">
        <v>21420000</v>
      </c>
      <c r="M551" s="89" t="n">
        <v>7160580</v>
      </c>
      <c r="N551" s="90" t="n">
        <f aca="false">IF(A551="제외",0,IF(OR(N(L551)&lt;=0,N(M551)&gt;N(L551)),N(M551)/가정!$B$4,N(L551)))</f>
        <v>21420000</v>
      </c>
      <c r="O551" s="67" t="str">
        <f aca="false">IF(A551="제외","",IF(OR(N(L551)&lt;=0,N(M551)&gt;N(L551)),"택가보정(판매금액÷공급율)",""))</f>
        <v/>
      </c>
    </row>
    <row r="552" customFormat="false" ht="15" hidden="false" customHeight="true" outlineLevel="0" collapsed="false">
      <c r="A552" s="67" t="str">
        <f aca="false">IF(OR(TRIM(C552)="",SUBSTITUTE(C552," ","")="소계"),"제외",IF(ISNUMBER(SEARCH("홍콩",C552)),"HK",IF(ISNUMBER(SEARCH("상해",C552)),"CN",IF(ISNUMBER(SEARCH("대만",C552)),"TW","홀세일"))))</f>
        <v>HK</v>
      </c>
      <c r="B552" s="87" t="s">
        <v>823</v>
      </c>
      <c r="C552" s="88" t="s">
        <v>824</v>
      </c>
      <c r="D552" s="88" t="s">
        <v>178</v>
      </c>
      <c r="E552" s="87" t="n">
        <v>2026</v>
      </c>
      <c r="F552" s="87" t="s">
        <v>639</v>
      </c>
      <c r="G552" s="88" t="s">
        <v>188</v>
      </c>
      <c r="H552" s="87" t="s">
        <v>189</v>
      </c>
      <c r="I552" s="87" t="s">
        <v>644</v>
      </c>
      <c r="J552" s="87" t="s">
        <v>645</v>
      </c>
      <c r="K552" s="89" t="n">
        <v>300</v>
      </c>
      <c r="L552" s="89" t="n">
        <v>35700000</v>
      </c>
      <c r="M552" s="89" t="n">
        <v>13683300</v>
      </c>
      <c r="N552" s="90" t="n">
        <f aca="false">IF(A552="제외",0,IF(OR(N(L552)&lt;=0,N(M552)&gt;N(L552)),N(M552)/가정!$B$4,N(L552)))</f>
        <v>35700000</v>
      </c>
      <c r="O552" s="67" t="str">
        <f aca="false">IF(A552="제외","",IF(OR(N(L552)&lt;=0,N(M552)&gt;N(L552)),"택가보정(판매금액÷공급율)",""))</f>
        <v/>
      </c>
    </row>
    <row r="553" customFormat="false" ht="15" hidden="false" customHeight="true" outlineLevel="0" collapsed="false">
      <c r="A553" s="67" t="str">
        <f aca="false">IF(OR(TRIM(C553)="",SUBSTITUTE(C553," ","")="소계"),"제외",IF(ISNUMBER(SEARCH("홍콩",C553)),"HK",IF(ISNUMBER(SEARCH("상해",C553)),"CN",IF(ISNUMBER(SEARCH("대만",C553)),"TW","홀세일"))))</f>
        <v>HK</v>
      </c>
      <c r="B553" s="87" t="s">
        <v>823</v>
      </c>
      <c r="C553" s="88" t="s">
        <v>824</v>
      </c>
      <c r="D553" s="88" t="s">
        <v>178</v>
      </c>
      <c r="E553" s="87" t="n">
        <v>2026</v>
      </c>
      <c r="F553" s="87" t="s">
        <v>639</v>
      </c>
      <c r="G553" s="88" t="s">
        <v>188</v>
      </c>
      <c r="H553" s="87" t="s">
        <v>189</v>
      </c>
      <c r="I553" s="87" t="s">
        <v>1007</v>
      </c>
      <c r="J553" s="88" t="s">
        <v>1008</v>
      </c>
      <c r="K553" s="89" t="n">
        <v>210</v>
      </c>
      <c r="L553" s="89" t="n">
        <v>24990000</v>
      </c>
      <c r="M553" s="89" t="n">
        <v>9898350</v>
      </c>
      <c r="N553" s="90" t="n">
        <f aca="false">IF(A553="제외",0,IF(OR(N(L553)&lt;=0,N(M553)&gt;N(L553)),N(M553)/가정!$B$4,N(L553)))</f>
        <v>24990000</v>
      </c>
      <c r="O553" s="67" t="str">
        <f aca="false">IF(A553="제외","",IF(OR(N(L553)&lt;=0,N(M553)&gt;N(L553)),"택가보정(판매금액÷공급율)",""))</f>
        <v/>
      </c>
    </row>
    <row r="554" customFormat="false" ht="15" hidden="false" customHeight="true" outlineLevel="0" collapsed="false">
      <c r="A554" s="67" t="str">
        <f aca="false">IF(OR(TRIM(C554)="",SUBSTITUTE(C554," ","")="소계"),"제외",IF(ISNUMBER(SEARCH("홍콩",C554)),"HK",IF(ISNUMBER(SEARCH("상해",C554)),"CN",IF(ISNUMBER(SEARCH("대만",C554)),"TW","홀세일"))))</f>
        <v>HK</v>
      </c>
      <c r="B554" s="87" t="s">
        <v>823</v>
      </c>
      <c r="C554" s="88" t="s">
        <v>824</v>
      </c>
      <c r="D554" s="88" t="s">
        <v>178</v>
      </c>
      <c r="E554" s="87" t="n">
        <v>2026</v>
      </c>
      <c r="F554" s="87" t="s">
        <v>639</v>
      </c>
      <c r="G554" s="88" t="s">
        <v>188</v>
      </c>
      <c r="H554" s="87" t="s">
        <v>189</v>
      </c>
      <c r="I554" s="87" t="s">
        <v>1009</v>
      </c>
      <c r="J554" s="88" t="s">
        <v>1010</v>
      </c>
      <c r="K554" s="89" t="n">
        <v>60</v>
      </c>
      <c r="L554" s="89" t="n">
        <v>4140000</v>
      </c>
      <c r="M554" s="89" t="n">
        <v>1638660</v>
      </c>
      <c r="N554" s="90" t="n">
        <f aca="false">IF(A554="제외",0,IF(OR(N(L554)&lt;=0,N(M554)&gt;N(L554)),N(M554)/가정!$B$4,N(L554)))</f>
        <v>4140000</v>
      </c>
      <c r="O554" s="67" t="str">
        <f aca="false">IF(A554="제외","",IF(OR(N(L554)&lt;=0,N(M554)&gt;N(L554)),"택가보정(판매금액÷공급율)",""))</f>
        <v/>
      </c>
    </row>
    <row r="555" customFormat="false" ht="15" hidden="false" customHeight="true" outlineLevel="0" collapsed="false">
      <c r="A555" s="67" t="str">
        <f aca="false">IF(OR(TRIM(C555)="",SUBSTITUTE(C555," ","")="소계"),"제외",IF(ISNUMBER(SEARCH("홍콩",C555)),"HK",IF(ISNUMBER(SEARCH("상해",C555)),"CN",IF(ISNUMBER(SEARCH("대만",C555)),"TW","홀세일"))))</f>
        <v>HK</v>
      </c>
      <c r="B555" s="87" t="s">
        <v>823</v>
      </c>
      <c r="C555" s="88" t="s">
        <v>824</v>
      </c>
      <c r="D555" s="88" t="s">
        <v>178</v>
      </c>
      <c r="E555" s="87" t="n">
        <v>2026</v>
      </c>
      <c r="F555" s="87" t="s">
        <v>639</v>
      </c>
      <c r="G555" s="88" t="s">
        <v>188</v>
      </c>
      <c r="H555" s="87" t="s">
        <v>189</v>
      </c>
      <c r="I555" s="87" t="s">
        <v>1011</v>
      </c>
      <c r="J555" s="88" t="s">
        <v>1012</v>
      </c>
      <c r="K555" s="89" t="n">
        <v>60</v>
      </c>
      <c r="L555" s="89" t="n">
        <v>10740000</v>
      </c>
      <c r="M555" s="89" t="n">
        <v>4239180</v>
      </c>
      <c r="N555" s="90" t="n">
        <f aca="false">IF(A555="제외",0,IF(OR(N(L555)&lt;=0,N(M555)&gt;N(L555)),N(M555)/가정!$B$4,N(L555)))</f>
        <v>10740000</v>
      </c>
      <c r="O555" s="67" t="str">
        <f aca="false">IF(A555="제외","",IF(OR(N(L555)&lt;=0,N(M555)&gt;N(L555)),"택가보정(판매금액÷공급율)",""))</f>
        <v/>
      </c>
    </row>
    <row r="556" customFormat="false" ht="15" hidden="false" customHeight="true" outlineLevel="0" collapsed="false">
      <c r="A556" s="67" t="str">
        <f aca="false">IF(OR(TRIM(C556)="",SUBSTITUTE(C556," ","")="소계"),"제외",IF(ISNUMBER(SEARCH("홍콩",C556)),"HK",IF(ISNUMBER(SEARCH("상해",C556)),"CN",IF(ISNUMBER(SEARCH("대만",C556)),"TW","홀세일"))))</f>
        <v>HK</v>
      </c>
      <c r="B556" s="87" t="s">
        <v>823</v>
      </c>
      <c r="C556" s="88" t="s">
        <v>824</v>
      </c>
      <c r="D556" s="88" t="s">
        <v>178</v>
      </c>
      <c r="E556" s="87" t="n">
        <v>2026</v>
      </c>
      <c r="F556" s="87" t="s">
        <v>639</v>
      </c>
      <c r="G556" s="88" t="s">
        <v>188</v>
      </c>
      <c r="H556" s="87" t="s">
        <v>181</v>
      </c>
      <c r="I556" s="87" t="s">
        <v>648</v>
      </c>
      <c r="J556" s="88" t="s">
        <v>649</v>
      </c>
      <c r="K556" s="89" t="n">
        <v>210</v>
      </c>
      <c r="L556" s="89" t="n">
        <v>31290000</v>
      </c>
      <c r="M556" s="89" t="n">
        <v>12404070</v>
      </c>
      <c r="N556" s="90" t="n">
        <f aca="false">IF(A556="제외",0,IF(OR(N(L556)&lt;=0,N(M556)&gt;N(L556)),N(M556)/가정!$B$4,N(L556)))</f>
        <v>31290000</v>
      </c>
      <c r="O556" s="67" t="str">
        <f aca="false">IF(A556="제외","",IF(OR(N(L556)&lt;=0,N(M556)&gt;N(L556)),"택가보정(판매금액÷공급율)",""))</f>
        <v/>
      </c>
    </row>
    <row r="557" customFormat="false" ht="15" hidden="false" customHeight="true" outlineLevel="0" collapsed="false">
      <c r="A557" s="67" t="str">
        <f aca="false">IF(OR(TRIM(C557)="",SUBSTITUTE(C557," ","")="소계"),"제외",IF(ISNUMBER(SEARCH("홍콩",C557)),"HK",IF(ISNUMBER(SEARCH("상해",C557)),"CN",IF(ISNUMBER(SEARCH("대만",C557)),"TW","홀세일"))))</f>
        <v>HK</v>
      </c>
      <c r="B557" s="87" t="s">
        <v>823</v>
      </c>
      <c r="C557" s="88" t="s">
        <v>824</v>
      </c>
      <c r="D557" s="88" t="s">
        <v>178</v>
      </c>
      <c r="E557" s="87" t="n">
        <v>2026</v>
      </c>
      <c r="F557" s="87" t="s">
        <v>639</v>
      </c>
      <c r="G557" s="88" t="s">
        <v>188</v>
      </c>
      <c r="H557" s="87" t="s">
        <v>189</v>
      </c>
      <c r="I557" s="87" t="s">
        <v>658</v>
      </c>
      <c r="J557" s="88" t="s">
        <v>659</v>
      </c>
      <c r="K557" s="89" t="n">
        <v>300</v>
      </c>
      <c r="L557" s="89" t="n">
        <v>23700000</v>
      </c>
      <c r="M557" s="89" t="n">
        <v>9128700</v>
      </c>
      <c r="N557" s="90" t="n">
        <f aca="false">IF(A557="제외",0,IF(OR(N(L557)&lt;=0,N(M557)&gt;N(L557)),N(M557)/가정!$B$4,N(L557)))</f>
        <v>23700000</v>
      </c>
      <c r="O557" s="67" t="str">
        <f aca="false">IF(A557="제외","",IF(OR(N(L557)&lt;=0,N(M557)&gt;N(L557)),"택가보정(판매금액÷공급율)",""))</f>
        <v/>
      </c>
    </row>
    <row r="558" customFormat="false" ht="15" hidden="false" customHeight="true" outlineLevel="0" collapsed="false">
      <c r="A558" s="67" t="str">
        <f aca="false">IF(OR(TRIM(C558)="",SUBSTITUTE(C558," ","")="소계"),"제외",IF(ISNUMBER(SEARCH("홍콩",C558)),"HK",IF(ISNUMBER(SEARCH("상해",C558)),"CN",IF(ISNUMBER(SEARCH("대만",C558)),"TW","홀세일"))))</f>
        <v>HK</v>
      </c>
      <c r="B558" s="87" t="s">
        <v>823</v>
      </c>
      <c r="C558" s="88" t="s">
        <v>824</v>
      </c>
      <c r="D558" s="88" t="s">
        <v>178</v>
      </c>
      <c r="E558" s="87" t="n">
        <v>2026</v>
      </c>
      <c r="F558" s="87" t="s">
        <v>639</v>
      </c>
      <c r="G558" s="88" t="s">
        <v>188</v>
      </c>
      <c r="H558" s="87" t="s">
        <v>189</v>
      </c>
      <c r="I558" s="87" t="s">
        <v>1013</v>
      </c>
      <c r="J558" s="88" t="s">
        <v>1014</v>
      </c>
      <c r="K558" s="89" t="n">
        <v>500</v>
      </c>
      <c r="L558" s="89" t="n">
        <v>44500000</v>
      </c>
      <c r="M558" s="89" t="n">
        <v>17003500</v>
      </c>
      <c r="N558" s="90" t="n">
        <f aca="false">IF(A558="제외",0,IF(OR(N(L558)&lt;=0,N(M558)&gt;N(L558)),N(M558)/가정!$B$4,N(L558)))</f>
        <v>44500000</v>
      </c>
      <c r="O558" s="67" t="str">
        <f aca="false">IF(A558="제외","",IF(OR(N(L558)&lt;=0,N(M558)&gt;N(L558)),"택가보정(판매금액÷공급율)",""))</f>
        <v/>
      </c>
    </row>
    <row r="559" customFormat="false" ht="15" hidden="false" customHeight="true" outlineLevel="0" collapsed="false">
      <c r="A559" s="67" t="str">
        <f aca="false">IF(OR(TRIM(C559)="",SUBSTITUTE(C559," ","")="소계"),"제외",IF(ISNUMBER(SEARCH("홍콩",C559)),"HK",IF(ISNUMBER(SEARCH("상해",C559)),"CN",IF(ISNUMBER(SEARCH("대만",C559)),"TW","홀세일"))))</f>
        <v>HK</v>
      </c>
      <c r="B559" s="87" t="s">
        <v>823</v>
      </c>
      <c r="C559" s="88" t="s">
        <v>824</v>
      </c>
      <c r="D559" s="88" t="s">
        <v>178</v>
      </c>
      <c r="E559" s="87" t="n">
        <v>2026</v>
      </c>
      <c r="F559" s="87" t="s">
        <v>639</v>
      </c>
      <c r="G559" s="88" t="s">
        <v>188</v>
      </c>
      <c r="H559" s="87" t="s">
        <v>189</v>
      </c>
      <c r="I559" s="87" t="s">
        <v>660</v>
      </c>
      <c r="J559" s="88" t="s">
        <v>661</v>
      </c>
      <c r="K559" s="89" t="n">
        <v>550</v>
      </c>
      <c r="L559" s="89" t="n">
        <v>43450000</v>
      </c>
      <c r="M559" s="89" t="n">
        <v>16573150</v>
      </c>
      <c r="N559" s="90" t="n">
        <f aca="false">IF(A559="제외",0,IF(OR(N(L559)&lt;=0,N(M559)&gt;N(L559)),N(M559)/가정!$B$4,N(L559)))</f>
        <v>43450000</v>
      </c>
      <c r="O559" s="67" t="str">
        <f aca="false">IF(A559="제외","",IF(OR(N(L559)&lt;=0,N(M559)&gt;N(L559)),"택가보정(판매금액÷공급율)",""))</f>
        <v/>
      </c>
    </row>
    <row r="560" customFormat="false" ht="15" hidden="false" customHeight="true" outlineLevel="0" collapsed="false">
      <c r="A560" s="67" t="str">
        <f aca="false">IF(OR(TRIM(C560)="",SUBSTITUTE(C560," ","")="소계"),"제외",IF(ISNUMBER(SEARCH("홍콩",C560)),"HK",IF(ISNUMBER(SEARCH("상해",C560)),"CN",IF(ISNUMBER(SEARCH("대만",C560)),"TW","홀세일"))))</f>
        <v>HK</v>
      </c>
      <c r="B560" s="87" t="s">
        <v>823</v>
      </c>
      <c r="C560" s="88" t="s">
        <v>824</v>
      </c>
      <c r="D560" s="88" t="s">
        <v>178</v>
      </c>
      <c r="E560" s="87" t="n">
        <v>2026</v>
      </c>
      <c r="F560" s="87" t="s">
        <v>639</v>
      </c>
      <c r="G560" s="88" t="s">
        <v>188</v>
      </c>
      <c r="H560" s="87" t="s">
        <v>189</v>
      </c>
      <c r="I560" s="87" t="s">
        <v>664</v>
      </c>
      <c r="J560" s="88" t="s">
        <v>665</v>
      </c>
      <c r="K560" s="89" t="n">
        <v>300</v>
      </c>
      <c r="L560" s="89" t="n">
        <v>20700000</v>
      </c>
      <c r="M560" s="89" t="n">
        <v>7998600</v>
      </c>
      <c r="N560" s="90" t="n">
        <f aca="false">IF(A560="제외",0,IF(OR(N(L560)&lt;=0,N(M560)&gt;N(L560)),N(M560)/가정!$B$4,N(L560)))</f>
        <v>20700000</v>
      </c>
      <c r="O560" s="67" t="str">
        <f aca="false">IF(A560="제외","",IF(OR(N(L560)&lt;=0,N(M560)&gt;N(L560)),"택가보정(판매금액÷공급율)",""))</f>
        <v/>
      </c>
    </row>
    <row r="561" customFormat="false" ht="15" hidden="false" customHeight="true" outlineLevel="0" collapsed="false">
      <c r="A561" s="67" t="str">
        <f aca="false">IF(OR(TRIM(C561)="",SUBSTITUTE(C561," ","")="소계"),"제외",IF(ISNUMBER(SEARCH("홍콩",C561)),"HK",IF(ISNUMBER(SEARCH("상해",C561)),"CN",IF(ISNUMBER(SEARCH("대만",C561)),"TW","홀세일"))))</f>
        <v>HK</v>
      </c>
      <c r="B561" s="87" t="s">
        <v>823</v>
      </c>
      <c r="C561" s="88" t="s">
        <v>824</v>
      </c>
      <c r="D561" s="88" t="s">
        <v>178</v>
      </c>
      <c r="E561" s="87" t="n">
        <v>2026</v>
      </c>
      <c r="F561" s="87" t="s">
        <v>639</v>
      </c>
      <c r="G561" s="88" t="s">
        <v>188</v>
      </c>
      <c r="H561" s="87" t="s">
        <v>189</v>
      </c>
      <c r="I561" s="87" t="s">
        <v>1015</v>
      </c>
      <c r="J561" s="88" t="s">
        <v>1016</v>
      </c>
      <c r="K561" s="89" t="n">
        <v>350</v>
      </c>
      <c r="L561" s="89" t="n">
        <v>17150000</v>
      </c>
      <c r="M561" s="89" t="n">
        <v>6839000</v>
      </c>
      <c r="N561" s="90" t="n">
        <f aca="false">IF(A561="제외",0,IF(OR(N(L561)&lt;=0,N(M561)&gt;N(L561)),N(M561)/가정!$B$4,N(L561)))</f>
        <v>17150000</v>
      </c>
      <c r="O561" s="67" t="str">
        <f aca="false">IF(A561="제외","",IF(OR(N(L561)&lt;=0,N(M561)&gt;N(L561)),"택가보정(판매금액÷공급율)",""))</f>
        <v/>
      </c>
    </row>
    <row r="562" customFormat="false" ht="15" hidden="false" customHeight="true" outlineLevel="0" collapsed="false">
      <c r="A562" s="67" t="str">
        <f aca="false">IF(OR(TRIM(C562)="",SUBSTITUTE(C562," ","")="소계"),"제외",IF(ISNUMBER(SEARCH("홍콩",C562)),"HK",IF(ISNUMBER(SEARCH("상해",C562)),"CN",IF(ISNUMBER(SEARCH("대만",C562)),"TW","홀세일"))))</f>
        <v>HK</v>
      </c>
      <c r="B562" s="87" t="s">
        <v>823</v>
      </c>
      <c r="C562" s="88" t="s">
        <v>824</v>
      </c>
      <c r="D562" s="88" t="s">
        <v>178</v>
      </c>
      <c r="E562" s="87" t="n">
        <v>2026</v>
      </c>
      <c r="F562" s="87" t="s">
        <v>639</v>
      </c>
      <c r="G562" s="88" t="s">
        <v>188</v>
      </c>
      <c r="H562" s="87" t="s">
        <v>189</v>
      </c>
      <c r="I562" s="87" t="s">
        <v>666</v>
      </c>
      <c r="J562" s="88" t="s">
        <v>667</v>
      </c>
      <c r="K562" s="89" t="n">
        <v>550</v>
      </c>
      <c r="L562" s="89" t="n">
        <v>43450000</v>
      </c>
      <c r="M562" s="89" t="n">
        <v>16735950</v>
      </c>
      <c r="N562" s="90" t="n">
        <f aca="false">IF(A562="제외",0,IF(OR(N(L562)&lt;=0,N(M562)&gt;N(L562)),N(M562)/가정!$B$4,N(L562)))</f>
        <v>43450000</v>
      </c>
      <c r="O562" s="67" t="str">
        <f aca="false">IF(A562="제외","",IF(OR(N(L562)&lt;=0,N(M562)&gt;N(L562)),"택가보정(판매금액÷공급율)",""))</f>
        <v/>
      </c>
    </row>
    <row r="563" customFormat="false" ht="15" hidden="false" customHeight="true" outlineLevel="0" collapsed="false">
      <c r="A563" s="67" t="str">
        <f aca="false">IF(OR(TRIM(C563)="",SUBSTITUTE(C563," ","")="소계"),"제외",IF(ISNUMBER(SEARCH("홍콩",C563)),"HK",IF(ISNUMBER(SEARCH("상해",C563)),"CN",IF(ISNUMBER(SEARCH("대만",C563)),"TW","홀세일"))))</f>
        <v>HK</v>
      </c>
      <c r="B563" s="87" t="s">
        <v>823</v>
      </c>
      <c r="C563" s="88" t="s">
        <v>824</v>
      </c>
      <c r="D563" s="88" t="s">
        <v>178</v>
      </c>
      <c r="E563" s="87" t="n">
        <v>2026</v>
      </c>
      <c r="F563" s="87" t="s">
        <v>639</v>
      </c>
      <c r="G563" s="88" t="s">
        <v>188</v>
      </c>
      <c r="H563" s="87" t="s">
        <v>189</v>
      </c>
      <c r="I563" s="87" t="s">
        <v>668</v>
      </c>
      <c r="J563" s="87" t="s">
        <v>669</v>
      </c>
      <c r="K563" s="89" t="n">
        <v>250</v>
      </c>
      <c r="L563" s="89" t="n">
        <v>14750000</v>
      </c>
      <c r="M563" s="89" t="n">
        <v>5665250</v>
      </c>
      <c r="N563" s="90" t="n">
        <f aca="false">IF(A563="제외",0,IF(OR(N(L563)&lt;=0,N(M563)&gt;N(L563)),N(M563)/가정!$B$4,N(L563)))</f>
        <v>14750000</v>
      </c>
      <c r="O563" s="67" t="str">
        <f aca="false">IF(A563="제외","",IF(OR(N(L563)&lt;=0,N(M563)&gt;N(L563)),"택가보정(판매금액÷공급율)",""))</f>
        <v/>
      </c>
    </row>
    <row r="564" customFormat="false" ht="15" hidden="false" customHeight="true" outlineLevel="0" collapsed="false">
      <c r="A564" s="67" t="str">
        <f aca="false">IF(OR(TRIM(C564)="",SUBSTITUTE(C564," ","")="소계"),"제외",IF(ISNUMBER(SEARCH("홍콩",C564)),"HK",IF(ISNUMBER(SEARCH("상해",C564)),"CN",IF(ISNUMBER(SEARCH("대만",C564)),"TW","홀세일"))))</f>
        <v>HK</v>
      </c>
      <c r="B564" s="87" t="s">
        <v>823</v>
      </c>
      <c r="C564" s="88" t="s">
        <v>824</v>
      </c>
      <c r="D564" s="88" t="s">
        <v>178</v>
      </c>
      <c r="E564" s="87" t="n">
        <v>2026</v>
      </c>
      <c r="F564" s="87" t="s">
        <v>639</v>
      </c>
      <c r="G564" s="88" t="s">
        <v>188</v>
      </c>
      <c r="H564" s="87" t="s">
        <v>189</v>
      </c>
      <c r="I564" s="87" t="s">
        <v>1017</v>
      </c>
      <c r="J564" s="87" t="s">
        <v>1018</v>
      </c>
      <c r="K564" s="89" t="n">
        <v>350</v>
      </c>
      <c r="L564" s="89" t="n">
        <v>27650000</v>
      </c>
      <c r="M564" s="89" t="n">
        <v>10608850</v>
      </c>
      <c r="N564" s="90" t="n">
        <f aca="false">IF(A564="제외",0,IF(OR(N(L564)&lt;=0,N(M564)&gt;N(L564)),N(M564)/가정!$B$4,N(L564)))</f>
        <v>27650000</v>
      </c>
      <c r="O564" s="67" t="str">
        <f aca="false">IF(A564="제외","",IF(OR(N(L564)&lt;=0,N(M564)&gt;N(L564)),"택가보정(판매금액÷공급율)",""))</f>
        <v/>
      </c>
    </row>
    <row r="565" customFormat="false" ht="15" hidden="false" customHeight="true" outlineLevel="0" collapsed="false">
      <c r="A565" s="67" t="str">
        <f aca="false">IF(OR(TRIM(C565)="",SUBSTITUTE(C565," ","")="소계"),"제외",IF(ISNUMBER(SEARCH("홍콩",C565)),"HK",IF(ISNUMBER(SEARCH("상해",C565)),"CN",IF(ISNUMBER(SEARCH("대만",C565)),"TW","홀세일"))))</f>
        <v>HK</v>
      </c>
      <c r="B565" s="87" t="s">
        <v>823</v>
      </c>
      <c r="C565" s="88" t="s">
        <v>824</v>
      </c>
      <c r="D565" s="88" t="s">
        <v>178</v>
      </c>
      <c r="E565" s="87" t="n">
        <v>2026</v>
      </c>
      <c r="F565" s="87" t="s">
        <v>639</v>
      </c>
      <c r="G565" s="88" t="s">
        <v>188</v>
      </c>
      <c r="H565" s="87" t="s">
        <v>189</v>
      </c>
      <c r="I565" s="87" t="s">
        <v>670</v>
      </c>
      <c r="J565" s="87" t="s">
        <v>671</v>
      </c>
      <c r="K565" s="89" t="n">
        <v>350</v>
      </c>
      <c r="L565" s="89" t="n">
        <v>24150000</v>
      </c>
      <c r="M565" s="89" t="n">
        <v>9295650</v>
      </c>
      <c r="N565" s="90" t="n">
        <f aca="false">IF(A565="제외",0,IF(OR(N(L565)&lt;=0,N(M565)&gt;N(L565)),N(M565)/가정!$B$4,N(L565)))</f>
        <v>24150000</v>
      </c>
      <c r="O565" s="67" t="str">
        <f aca="false">IF(A565="제외","",IF(OR(N(L565)&lt;=0,N(M565)&gt;N(L565)),"택가보정(판매금액÷공급율)",""))</f>
        <v/>
      </c>
    </row>
    <row r="566" customFormat="false" ht="15" hidden="false" customHeight="true" outlineLevel="0" collapsed="false">
      <c r="A566" s="67" t="str">
        <f aca="false">IF(OR(TRIM(C566)="",SUBSTITUTE(C566," ","")="소계"),"제외",IF(ISNUMBER(SEARCH("홍콩",C566)),"HK",IF(ISNUMBER(SEARCH("상해",C566)),"CN",IF(ISNUMBER(SEARCH("대만",C566)),"TW","홀세일"))))</f>
        <v>HK</v>
      </c>
      <c r="B566" s="87" t="s">
        <v>823</v>
      </c>
      <c r="C566" s="88" t="s">
        <v>824</v>
      </c>
      <c r="D566" s="88" t="s">
        <v>178</v>
      </c>
      <c r="E566" s="87" t="n">
        <v>2026</v>
      </c>
      <c r="F566" s="87" t="s">
        <v>639</v>
      </c>
      <c r="G566" s="88" t="s">
        <v>188</v>
      </c>
      <c r="H566" s="87" t="s">
        <v>189</v>
      </c>
      <c r="I566" s="87" t="s">
        <v>1019</v>
      </c>
      <c r="J566" s="88" t="s">
        <v>1020</v>
      </c>
      <c r="K566" s="89" t="n">
        <v>100</v>
      </c>
      <c r="L566" s="89" t="n">
        <v>3900000</v>
      </c>
      <c r="M566" s="89" t="n">
        <v>1543700</v>
      </c>
      <c r="N566" s="90" t="n">
        <f aca="false">IF(A566="제외",0,IF(OR(N(L566)&lt;=0,N(M566)&gt;N(L566)),N(M566)/가정!$B$4,N(L566)))</f>
        <v>3900000</v>
      </c>
      <c r="O566" s="67" t="str">
        <f aca="false">IF(A566="제외","",IF(OR(N(L566)&lt;=0,N(M566)&gt;N(L566)),"택가보정(판매금액÷공급율)",""))</f>
        <v/>
      </c>
    </row>
    <row r="567" customFormat="false" ht="15" hidden="false" customHeight="true" outlineLevel="0" collapsed="false">
      <c r="A567" s="67" t="str">
        <f aca="false">IF(OR(TRIM(C567)="",SUBSTITUTE(C567," ","")="소계"),"제외",IF(ISNUMBER(SEARCH("홍콩",C567)),"HK",IF(ISNUMBER(SEARCH("상해",C567)),"CN",IF(ISNUMBER(SEARCH("대만",C567)),"TW","홀세일"))))</f>
        <v>HK</v>
      </c>
      <c r="B567" s="87" t="s">
        <v>823</v>
      </c>
      <c r="C567" s="88" t="s">
        <v>824</v>
      </c>
      <c r="D567" s="88" t="s">
        <v>178</v>
      </c>
      <c r="E567" s="87" t="n">
        <v>2026</v>
      </c>
      <c r="F567" s="87" t="s">
        <v>639</v>
      </c>
      <c r="G567" s="88" t="s">
        <v>188</v>
      </c>
      <c r="H567" s="87" t="s">
        <v>189</v>
      </c>
      <c r="I567" s="87" t="s">
        <v>1021</v>
      </c>
      <c r="J567" s="88" t="s">
        <v>1022</v>
      </c>
      <c r="K567" s="89" t="n">
        <v>100</v>
      </c>
      <c r="L567" s="89" t="n">
        <v>4900000</v>
      </c>
      <c r="M567" s="89" t="n">
        <v>1944400</v>
      </c>
      <c r="N567" s="90" t="n">
        <f aca="false">IF(A567="제외",0,IF(OR(N(L567)&lt;=0,N(M567)&gt;N(L567)),N(M567)/가정!$B$4,N(L567)))</f>
        <v>4900000</v>
      </c>
      <c r="O567" s="67" t="str">
        <f aca="false">IF(A567="제외","",IF(OR(N(L567)&lt;=0,N(M567)&gt;N(L567)),"택가보정(판매금액÷공급율)",""))</f>
        <v/>
      </c>
    </row>
    <row r="568" customFormat="false" ht="15" hidden="false" customHeight="true" outlineLevel="0" collapsed="false">
      <c r="A568" s="67" t="str">
        <f aca="false">IF(OR(TRIM(C568)="",SUBSTITUTE(C568," ","")="소계"),"제외",IF(ISNUMBER(SEARCH("홍콩",C568)),"HK",IF(ISNUMBER(SEARCH("상해",C568)),"CN",IF(ISNUMBER(SEARCH("대만",C568)),"TW","홀세일"))))</f>
        <v>HK</v>
      </c>
      <c r="B568" s="87" t="s">
        <v>823</v>
      </c>
      <c r="C568" s="88" t="s">
        <v>824</v>
      </c>
      <c r="D568" s="88" t="s">
        <v>178</v>
      </c>
      <c r="E568" s="87" t="n">
        <v>2026</v>
      </c>
      <c r="F568" s="87" t="s">
        <v>639</v>
      </c>
      <c r="G568" s="88" t="s">
        <v>188</v>
      </c>
      <c r="H568" s="87" t="s">
        <v>189</v>
      </c>
      <c r="I568" s="87" t="s">
        <v>1023</v>
      </c>
      <c r="J568" s="88" t="s">
        <v>1024</v>
      </c>
      <c r="K568" s="89" t="n">
        <v>80</v>
      </c>
      <c r="L568" s="89" t="n">
        <v>4720000</v>
      </c>
      <c r="M568" s="89" t="n">
        <v>1864320</v>
      </c>
      <c r="N568" s="90" t="n">
        <f aca="false">IF(A568="제외",0,IF(OR(N(L568)&lt;=0,N(M568)&gt;N(L568)),N(M568)/가정!$B$4,N(L568)))</f>
        <v>4720000</v>
      </c>
      <c r="O568" s="67" t="str">
        <f aca="false">IF(A568="제외","",IF(OR(N(L568)&lt;=0,N(M568)&gt;N(L568)),"택가보정(판매금액÷공급율)",""))</f>
        <v/>
      </c>
    </row>
    <row r="569" customFormat="false" ht="15" hidden="false" customHeight="true" outlineLevel="0" collapsed="false">
      <c r="A569" s="67" t="str">
        <f aca="false">IF(OR(TRIM(C569)="",SUBSTITUTE(C569," ","")="소계"),"제외",IF(ISNUMBER(SEARCH("홍콩",C569)),"HK",IF(ISNUMBER(SEARCH("상해",C569)),"CN",IF(ISNUMBER(SEARCH("대만",C569)),"TW","홀세일"))))</f>
        <v>HK</v>
      </c>
      <c r="B569" s="87" t="s">
        <v>823</v>
      </c>
      <c r="C569" s="88" t="s">
        <v>824</v>
      </c>
      <c r="D569" s="88" t="s">
        <v>178</v>
      </c>
      <c r="E569" s="87" t="n">
        <v>2026</v>
      </c>
      <c r="F569" s="87" t="s">
        <v>639</v>
      </c>
      <c r="G569" s="88" t="s">
        <v>188</v>
      </c>
      <c r="H569" s="87" t="s">
        <v>189</v>
      </c>
      <c r="I569" s="87" t="s">
        <v>678</v>
      </c>
      <c r="J569" s="88" t="s">
        <v>679</v>
      </c>
      <c r="K569" s="89" t="n">
        <v>530</v>
      </c>
      <c r="L569" s="89" t="n">
        <v>20670000</v>
      </c>
      <c r="M569" s="89" t="n">
        <v>7989220</v>
      </c>
      <c r="N569" s="90" t="n">
        <f aca="false">IF(A569="제외",0,IF(OR(N(L569)&lt;=0,N(M569)&gt;N(L569)),N(M569)/가정!$B$4,N(L569)))</f>
        <v>20670000</v>
      </c>
      <c r="O569" s="67" t="str">
        <f aca="false">IF(A569="제외","",IF(OR(N(L569)&lt;=0,N(M569)&gt;N(L569)),"택가보정(판매금액÷공급율)",""))</f>
        <v/>
      </c>
    </row>
    <row r="570" customFormat="false" ht="15" hidden="false" customHeight="true" outlineLevel="0" collapsed="false">
      <c r="A570" s="67" t="str">
        <f aca="false">IF(OR(TRIM(C570)="",SUBSTITUTE(C570," ","")="소계"),"제외",IF(ISNUMBER(SEARCH("홍콩",C570)),"HK",IF(ISNUMBER(SEARCH("상해",C570)),"CN",IF(ISNUMBER(SEARCH("대만",C570)),"TW","홀세일"))))</f>
        <v>HK</v>
      </c>
      <c r="B570" s="87" t="s">
        <v>823</v>
      </c>
      <c r="C570" s="88" t="s">
        <v>824</v>
      </c>
      <c r="D570" s="88" t="s">
        <v>178</v>
      </c>
      <c r="E570" s="87" t="n">
        <v>2026</v>
      </c>
      <c r="F570" s="87" t="s">
        <v>639</v>
      </c>
      <c r="G570" s="88" t="s">
        <v>188</v>
      </c>
      <c r="H570" s="87" t="s">
        <v>189</v>
      </c>
      <c r="I570" s="87" t="s">
        <v>680</v>
      </c>
      <c r="J570" s="88" t="s">
        <v>681</v>
      </c>
      <c r="K570" s="89" t="n">
        <v>470</v>
      </c>
      <c r="L570" s="89" t="n">
        <v>18330000</v>
      </c>
      <c r="M570" s="89" t="n">
        <v>7072090</v>
      </c>
      <c r="N570" s="90" t="n">
        <f aca="false">IF(A570="제외",0,IF(OR(N(L570)&lt;=0,N(M570)&gt;N(L570)),N(M570)/가정!$B$4,N(L570)))</f>
        <v>18330000</v>
      </c>
      <c r="O570" s="67" t="str">
        <f aca="false">IF(A570="제외","",IF(OR(N(L570)&lt;=0,N(M570)&gt;N(L570)),"택가보정(판매금액÷공급율)",""))</f>
        <v/>
      </c>
    </row>
    <row r="571" customFormat="false" ht="15" hidden="false" customHeight="true" outlineLevel="0" collapsed="false">
      <c r="A571" s="67" t="str">
        <f aca="false">IF(OR(TRIM(C571)="",SUBSTITUTE(C571," ","")="소계"),"제외",IF(ISNUMBER(SEARCH("홍콩",C571)),"HK",IF(ISNUMBER(SEARCH("상해",C571)),"CN",IF(ISNUMBER(SEARCH("대만",C571)),"TW","홀세일"))))</f>
        <v>HK</v>
      </c>
      <c r="B571" s="87" t="s">
        <v>823</v>
      </c>
      <c r="C571" s="88" t="s">
        <v>824</v>
      </c>
      <c r="D571" s="88" t="s">
        <v>178</v>
      </c>
      <c r="E571" s="87" t="n">
        <v>2026</v>
      </c>
      <c r="F571" s="87" t="s">
        <v>639</v>
      </c>
      <c r="G571" s="88" t="s">
        <v>188</v>
      </c>
      <c r="H571" s="87" t="s">
        <v>189</v>
      </c>
      <c r="I571" s="87" t="s">
        <v>1025</v>
      </c>
      <c r="J571" s="88" t="s">
        <v>1026</v>
      </c>
      <c r="K571" s="89" t="n">
        <v>200</v>
      </c>
      <c r="L571" s="89" t="n">
        <v>9800000</v>
      </c>
      <c r="M571" s="89" t="n">
        <v>3797400</v>
      </c>
      <c r="N571" s="90" t="n">
        <f aca="false">IF(A571="제외",0,IF(OR(N(L571)&lt;=0,N(M571)&gt;N(L571)),N(M571)/가정!$B$4,N(L571)))</f>
        <v>9800000</v>
      </c>
      <c r="O571" s="67" t="str">
        <f aca="false">IF(A571="제외","",IF(OR(N(L571)&lt;=0,N(M571)&gt;N(L571)),"택가보정(판매금액÷공급율)",""))</f>
        <v/>
      </c>
    </row>
    <row r="572" customFormat="false" ht="15" hidden="false" customHeight="true" outlineLevel="0" collapsed="false">
      <c r="A572" s="67" t="str">
        <f aca="false">IF(OR(TRIM(C572)="",SUBSTITUTE(C572," ","")="소계"),"제외",IF(ISNUMBER(SEARCH("홍콩",C572)),"HK",IF(ISNUMBER(SEARCH("상해",C572)),"CN",IF(ISNUMBER(SEARCH("대만",C572)),"TW","홀세일"))))</f>
        <v>HK</v>
      </c>
      <c r="B572" s="87" t="s">
        <v>823</v>
      </c>
      <c r="C572" s="88" t="s">
        <v>824</v>
      </c>
      <c r="D572" s="88" t="s">
        <v>178</v>
      </c>
      <c r="E572" s="87" t="n">
        <v>2026</v>
      </c>
      <c r="F572" s="87" t="s">
        <v>639</v>
      </c>
      <c r="G572" s="88" t="s">
        <v>188</v>
      </c>
      <c r="H572" s="87" t="s">
        <v>189</v>
      </c>
      <c r="I572" s="87" t="s">
        <v>686</v>
      </c>
      <c r="J572" s="88" t="s">
        <v>687</v>
      </c>
      <c r="K572" s="89" t="n">
        <v>130</v>
      </c>
      <c r="L572" s="89" t="n">
        <v>10270000</v>
      </c>
      <c r="M572" s="89" t="n">
        <v>3947060</v>
      </c>
      <c r="N572" s="90" t="n">
        <f aca="false">IF(A572="제외",0,IF(OR(N(L572)&lt;=0,N(M572)&gt;N(L572)),N(M572)/가정!$B$4,N(L572)))</f>
        <v>10270000</v>
      </c>
      <c r="O572" s="67" t="str">
        <f aca="false">IF(A572="제외","",IF(OR(N(L572)&lt;=0,N(M572)&gt;N(L572)),"택가보정(판매금액÷공급율)",""))</f>
        <v/>
      </c>
    </row>
    <row r="573" customFormat="false" ht="15" hidden="false" customHeight="true" outlineLevel="0" collapsed="false">
      <c r="A573" s="67" t="str">
        <f aca="false">IF(OR(TRIM(C573)="",SUBSTITUTE(C573," ","")="소계"),"제외",IF(ISNUMBER(SEARCH("홍콩",C573)),"HK",IF(ISNUMBER(SEARCH("상해",C573)),"CN",IF(ISNUMBER(SEARCH("대만",C573)),"TW","홀세일"))))</f>
        <v>HK</v>
      </c>
      <c r="B573" s="87" t="s">
        <v>823</v>
      </c>
      <c r="C573" s="88" t="s">
        <v>824</v>
      </c>
      <c r="D573" s="88" t="s">
        <v>178</v>
      </c>
      <c r="E573" s="87" t="n">
        <v>2026</v>
      </c>
      <c r="F573" s="87" t="s">
        <v>639</v>
      </c>
      <c r="G573" s="88" t="s">
        <v>188</v>
      </c>
      <c r="H573" s="87" t="s">
        <v>189</v>
      </c>
      <c r="I573" s="87" t="s">
        <v>688</v>
      </c>
      <c r="J573" s="88" t="s">
        <v>689</v>
      </c>
      <c r="K573" s="89" t="n">
        <v>230</v>
      </c>
      <c r="L573" s="89" t="n">
        <v>11270000</v>
      </c>
      <c r="M573" s="89" t="n">
        <v>4462460</v>
      </c>
      <c r="N573" s="90" t="n">
        <f aca="false">IF(A573="제외",0,IF(OR(N(L573)&lt;=0,N(M573)&gt;N(L573)),N(M573)/가정!$B$4,N(L573)))</f>
        <v>11270000</v>
      </c>
      <c r="O573" s="67" t="str">
        <f aca="false">IF(A573="제외","",IF(OR(N(L573)&lt;=0,N(M573)&gt;N(L573)),"택가보정(판매금액÷공급율)",""))</f>
        <v/>
      </c>
    </row>
    <row r="574" customFormat="false" ht="15" hidden="false" customHeight="true" outlineLevel="0" collapsed="false">
      <c r="A574" s="67" t="str">
        <f aca="false">IF(OR(TRIM(C574)="",SUBSTITUTE(C574," ","")="소계"),"제외",IF(ISNUMBER(SEARCH("홍콩",C574)),"HK",IF(ISNUMBER(SEARCH("상해",C574)),"CN",IF(ISNUMBER(SEARCH("대만",C574)),"TW","홀세일"))))</f>
        <v>HK</v>
      </c>
      <c r="B574" s="87" t="s">
        <v>823</v>
      </c>
      <c r="C574" s="88" t="s">
        <v>824</v>
      </c>
      <c r="D574" s="88" t="s">
        <v>178</v>
      </c>
      <c r="E574" s="87" t="n">
        <v>2026</v>
      </c>
      <c r="F574" s="87" t="s">
        <v>639</v>
      </c>
      <c r="G574" s="88" t="s">
        <v>188</v>
      </c>
      <c r="H574" s="87" t="s">
        <v>189</v>
      </c>
      <c r="I574" s="87" t="s">
        <v>690</v>
      </c>
      <c r="J574" s="88" t="s">
        <v>691</v>
      </c>
      <c r="K574" s="89" t="n">
        <v>200</v>
      </c>
      <c r="L574" s="89" t="n">
        <v>11800000</v>
      </c>
      <c r="M574" s="89" t="n">
        <v>4532200</v>
      </c>
      <c r="N574" s="90" t="n">
        <f aca="false">IF(A574="제외",0,IF(OR(N(L574)&lt;=0,N(M574)&gt;N(L574)),N(M574)/가정!$B$4,N(L574)))</f>
        <v>11800000</v>
      </c>
      <c r="O574" s="67" t="str">
        <f aca="false">IF(A574="제외","",IF(OR(N(L574)&lt;=0,N(M574)&gt;N(L574)),"택가보정(판매금액÷공급율)",""))</f>
        <v/>
      </c>
    </row>
    <row r="575" customFormat="false" ht="15" hidden="false" customHeight="true" outlineLevel="0" collapsed="false">
      <c r="A575" s="67" t="str">
        <f aca="false">IF(OR(TRIM(C575)="",SUBSTITUTE(C575," ","")="소계"),"제외",IF(ISNUMBER(SEARCH("홍콩",C575)),"HK",IF(ISNUMBER(SEARCH("상해",C575)),"CN",IF(ISNUMBER(SEARCH("대만",C575)),"TW","홀세일"))))</f>
        <v>HK</v>
      </c>
      <c r="B575" s="87" t="s">
        <v>823</v>
      </c>
      <c r="C575" s="88" t="s">
        <v>824</v>
      </c>
      <c r="D575" s="88" t="s">
        <v>178</v>
      </c>
      <c r="E575" s="87" t="n">
        <v>2026</v>
      </c>
      <c r="F575" s="87" t="s">
        <v>639</v>
      </c>
      <c r="G575" s="88" t="s">
        <v>188</v>
      </c>
      <c r="H575" s="87" t="s">
        <v>189</v>
      </c>
      <c r="I575" s="87" t="s">
        <v>1027</v>
      </c>
      <c r="J575" s="88" t="s">
        <v>1028</v>
      </c>
      <c r="K575" s="89" t="n">
        <v>200</v>
      </c>
      <c r="L575" s="89" t="n">
        <v>15800000</v>
      </c>
      <c r="M575" s="89" t="n">
        <v>6085800</v>
      </c>
      <c r="N575" s="90" t="n">
        <f aca="false">IF(A575="제외",0,IF(OR(N(L575)&lt;=0,N(M575)&gt;N(L575)),N(M575)/가정!$B$4,N(L575)))</f>
        <v>15800000</v>
      </c>
      <c r="O575" s="67" t="str">
        <f aca="false">IF(A575="제외","",IF(OR(N(L575)&lt;=0,N(M575)&gt;N(L575)),"택가보정(판매금액÷공급율)",""))</f>
        <v/>
      </c>
    </row>
    <row r="576" customFormat="false" ht="15" hidden="false" customHeight="true" outlineLevel="0" collapsed="false">
      <c r="A576" s="67" t="str">
        <f aca="false">IF(OR(TRIM(C576)="",SUBSTITUTE(C576," ","")="소계"),"제외",IF(ISNUMBER(SEARCH("홍콩",C576)),"HK",IF(ISNUMBER(SEARCH("상해",C576)),"CN",IF(ISNUMBER(SEARCH("대만",C576)),"TW","홀세일"))))</f>
        <v>HK</v>
      </c>
      <c r="B576" s="87" t="s">
        <v>823</v>
      </c>
      <c r="C576" s="88" t="s">
        <v>824</v>
      </c>
      <c r="D576" s="88" t="s">
        <v>178</v>
      </c>
      <c r="E576" s="87" t="n">
        <v>2026</v>
      </c>
      <c r="F576" s="87" t="s">
        <v>639</v>
      </c>
      <c r="G576" s="88" t="s">
        <v>188</v>
      </c>
      <c r="H576" s="87" t="s">
        <v>189</v>
      </c>
      <c r="I576" s="87" t="s">
        <v>694</v>
      </c>
      <c r="J576" s="88" t="s">
        <v>695</v>
      </c>
      <c r="K576" s="89" t="n">
        <v>280</v>
      </c>
      <c r="L576" s="89" t="n">
        <v>5880000</v>
      </c>
      <c r="M576" s="89" t="n">
        <v>2304400</v>
      </c>
      <c r="N576" s="90" t="n">
        <f aca="false">IF(A576="제외",0,IF(OR(N(L576)&lt;=0,N(M576)&gt;N(L576)),N(M576)/가정!$B$4,N(L576)))</f>
        <v>5880000</v>
      </c>
      <c r="O576" s="67" t="str">
        <f aca="false">IF(A576="제외","",IF(OR(N(L576)&lt;=0,N(M576)&gt;N(L576)),"택가보정(판매금액÷공급율)",""))</f>
        <v/>
      </c>
    </row>
    <row r="577" customFormat="false" ht="15" hidden="false" customHeight="true" outlineLevel="0" collapsed="false">
      <c r="A577" s="67" t="str">
        <f aca="false">IF(OR(TRIM(C577)="",SUBSTITUTE(C577," ","")="소계"),"제외",IF(ISNUMBER(SEARCH("홍콩",C577)),"HK",IF(ISNUMBER(SEARCH("상해",C577)),"CN",IF(ISNUMBER(SEARCH("대만",C577)),"TW","홀세일"))))</f>
        <v>HK</v>
      </c>
      <c r="B577" s="87" t="s">
        <v>823</v>
      </c>
      <c r="C577" s="88" t="s">
        <v>824</v>
      </c>
      <c r="D577" s="88" t="s">
        <v>178</v>
      </c>
      <c r="E577" s="87" t="n">
        <v>2026</v>
      </c>
      <c r="F577" s="87" t="s">
        <v>639</v>
      </c>
      <c r="G577" s="88" t="s">
        <v>188</v>
      </c>
      <c r="H577" s="87" t="s">
        <v>189</v>
      </c>
      <c r="I577" s="87" t="s">
        <v>696</v>
      </c>
      <c r="J577" s="88" t="s">
        <v>697</v>
      </c>
      <c r="K577" s="89" t="n">
        <v>280</v>
      </c>
      <c r="L577" s="89" t="n">
        <v>5320000</v>
      </c>
      <c r="M577" s="89" t="n">
        <v>2098600</v>
      </c>
      <c r="N577" s="90" t="n">
        <f aca="false">IF(A577="제외",0,IF(OR(N(L577)&lt;=0,N(M577)&gt;N(L577)),N(M577)/가정!$B$4,N(L577)))</f>
        <v>5320000</v>
      </c>
      <c r="O577" s="67" t="str">
        <f aca="false">IF(A577="제외","",IF(OR(N(L577)&lt;=0,N(M577)&gt;N(L577)),"택가보정(판매금액÷공급율)",""))</f>
        <v/>
      </c>
    </row>
    <row r="578" customFormat="false" ht="15" hidden="false" customHeight="true" outlineLevel="0" collapsed="false">
      <c r="A578" s="67" t="str">
        <f aca="false">IF(OR(TRIM(C578)="",SUBSTITUTE(C578," ","")="소계"),"제외",IF(ISNUMBER(SEARCH("홍콩",C578)),"HK",IF(ISNUMBER(SEARCH("상해",C578)),"CN",IF(ISNUMBER(SEARCH("대만",C578)),"TW","홀세일"))))</f>
        <v>HK</v>
      </c>
      <c r="B578" s="87" t="s">
        <v>823</v>
      </c>
      <c r="C578" s="88" t="s">
        <v>824</v>
      </c>
      <c r="D578" s="88" t="s">
        <v>178</v>
      </c>
      <c r="E578" s="87" t="n">
        <v>2026</v>
      </c>
      <c r="F578" s="87" t="s">
        <v>639</v>
      </c>
      <c r="G578" s="88" t="s">
        <v>188</v>
      </c>
      <c r="H578" s="87" t="s">
        <v>189</v>
      </c>
      <c r="I578" s="87" t="s">
        <v>698</v>
      </c>
      <c r="J578" s="88" t="s">
        <v>699</v>
      </c>
      <c r="K578" s="89" t="n">
        <v>280</v>
      </c>
      <c r="L578" s="89" t="n">
        <v>5572000</v>
      </c>
      <c r="M578" s="89" t="n">
        <v>2180920</v>
      </c>
      <c r="N578" s="90" t="n">
        <f aca="false">IF(A578="제외",0,IF(OR(N(L578)&lt;=0,N(M578)&gt;N(L578)),N(M578)/가정!$B$4,N(L578)))</f>
        <v>5572000</v>
      </c>
      <c r="O578" s="67" t="str">
        <f aca="false">IF(A578="제외","",IF(OR(N(L578)&lt;=0,N(M578)&gt;N(L578)),"택가보정(판매금액÷공급율)",""))</f>
        <v/>
      </c>
    </row>
    <row r="579" customFormat="false" ht="15" hidden="false" customHeight="true" outlineLevel="0" collapsed="false">
      <c r="A579" s="67" t="str">
        <f aca="false">IF(OR(TRIM(C579)="",SUBSTITUTE(C579," ","")="소계"),"제외",IF(ISNUMBER(SEARCH("홍콩",C579)),"HK",IF(ISNUMBER(SEARCH("상해",C579)),"CN",IF(ISNUMBER(SEARCH("대만",C579)),"TW","홀세일"))))</f>
        <v>HK</v>
      </c>
      <c r="B579" s="87" t="s">
        <v>823</v>
      </c>
      <c r="C579" s="88" t="s">
        <v>824</v>
      </c>
      <c r="D579" s="88" t="s">
        <v>178</v>
      </c>
      <c r="E579" s="87" t="n">
        <v>2026</v>
      </c>
      <c r="F579" s="87" t="s">
        <v>639</v>
      </c>
      <c r="G579" s="88" t="s">
        <v>188</v>
      </c>
      <c r="H579" s="87" t="s">
        <v>189</v>
      </c>
      <c r="I579" s="87" t="s">
        <v>700</v>
      </c>
      <c r="J579" s="88" t="s">
        <v>701</v>
      </c>
      <c r="K579" s="89" t="n">
        <v>340</v>
      </c>
      <c r="L579" s="89" t="n">
        <v>3706000</v>
      </c>
      <c r="M579" s="89" t="n">
        <v>1449080</v>
      </c>
      <c r="N579" s="90" t="n">
        <f aca="false">IF(A579="제외",0,IF(OR(N(L579)&lt;=0,N(M579)&gt;N(L579)),N(M579)/가정!$B$4,N(L579)))</f>
        <v>3706000</v>
      </c>
      <c r="O579" s="67" t="str">
        <f aca="false">IF(A579="제외","",IF(OR(N(L579)&lt;=0,N(M579)&gt;N(L579)),"택가보정(판매금액÷공급율)",""))</f>
        <v/>
      </c>
    </row>
    <row r="580" customFormat="false" ht="15" hidden="false" customHeight="true" outlineLevel="0" collapsed="false">
      <c r="A580" s="67" t="str">
        <f aca="false">IF(OR(TRIM(C580)="",SUBSTITUTE(C580," ","")="소계"),"제외",IF(ISNUMBER(SEARCH("홍콩",C580)),"HK",IF(ISNUMBER(SEARCH("상해",C580)),"CN",IF(ISNUMBER(SEARCH("대만",C580)),"TW","홀세일"))))</f>
        <v>HK</v>
      </c>
      <c r="B580" s="87" t="s">
        <v>823</v>
      </c>
      <c r="C580" s="88" t="s">
        <v>824</v>
      </c>
      <c r="D580" s="88" t="s">
        <v>178</v>
      </c>
      <c r="E580" s="87" t="n">
        <v>2026</v>
      </c>
      <c r="F580" s="87" t="s">
        <v>639</v>
      </c>
      <c r="G580" s="88" t="s">
        <v>188</v>
      </c>
      <c r="H580" s="87" t="s">
        <v>189</v>
      </c>
      <c r="I580" s="87" t="s">
        <v>702</v>
      </c>
      <c r="J580" s="88" t="s">
        <v>703</v>
      </c>
      <c r="K580" s="89" t="n">
        <v>170</v>
      </c>
      <c r="L580" s="89" t="n">
        <v>1853000</v>
      </c>
      <c r="M580" s="89" t="n">
        <v>724540</v>
      </c>
      <c r="N580" s="90" t="n">
        <f aca="false">IF(A580="제외",0,IF(OR(N(L580)&lt;=0,N(M580)&gt;N(L580)),N(M580)/가정!$B$4,N(L580)))</f>
        <v>1853000</v>
      </c>
      <c r="O580" s="67" t="str">
        <f aca="false">IF(A580="제외","",IF(OR(N(L580)&lt;=0,N(M580)&gt;N(L580)),"택가보정(판매금액÷공급율)",""))</f>
        <v/>
      </c>
    </row>
    <row r="581" customFormat="false" ht="15" hidden="false" customHeight="true" outlineLevel="0" collapsed="false">
      <c r="A581" s="67" t="str">
        <f aca="false">IF(OR(TRIM(C581)="",SUBSTITUTE(C581," ","")="소계"),"제외",IF(ISNUMBER(SEARCH("홍콩",C581)),"HK",IF(ISNUMBER(SEARCH("상해",C581)),"CN",IF(ISNUMBER(SEARCH("대만",C581)),"TW","홀세일"))))</f>
        <v>HK</v>
      </c>
      <c r="B581" s="87" t="s">
        <v>823</v>
      </c>
      <c r="C581" s="88" t="s">
        <v>824</v>
      </c>
      <c r="D581" s="88" t="s">
        <v>178</v>
      </c>
      <c r="E581" s="87" t="n">
        <v>2026</v>
      </c>
      <c r="F581" s="87" t="s">
        <v>639</v>
      </c>
      <c r="G581" s="88" t="s">
        <v>180</v>
      </c>
      <c r="H581" s="87" t="s">
        <v>181</v>
      </c>
      <c r="I581" s="87" t="s">
        <v>711</v>
      </c>
      <c r="J581" s="88" t="s">
        <v>712</v>
      </c>
      <c r="K581" s="89" t="n">
        <v>240</v>
      </c>
      <c r="L581" s="89" t="n">
        <v>119760000</v>
      </c>
      <c r="M581" s="89" t="n">
        <v>46860480</v>
      </c>
      <c r="N581" s="90" t="n">
        <f aca="false">IF(A581="제외",0,IF(OR(N(L581)&lt;=0,N(M581)&gt;N(L581)),N(M581)/가정!$B$4,N(L581)))</f>
        <v>119760000</v>
      </c>
      <c r="O581" s="67" t="str">
        <f aca="false">IF(A581="제외","",IF(OR(N(L581)&lt;=0,N(M581)&gt;N(L581)),"택가보정(판매금액÷공급율)",""))</f>
        <v/>
      </c>
    </row>
    <row r="582" customFormat="false" ht="15" hidden="false" customHeight="true" outlineLevel="0" collapsed="false">
      <c r="A582" s="67" t="str">
        <f aca="false">IF(OR(TRIM(C582)="",SUBSTITUTE(C582," ","")="소계"),"제외",IF(ISNUMBER(SEARCH("홍콩",C582)),"HK",IF(ISNUMBER(SEARCH("상해",C582)),"CN",IF(ISNUMBER(SEARCH("대만",C582)),"TW","홀세일"))))</f>
        <v>HK</v>
      </c>
      <c r="B582" s="87" t="s">
        <v>823</v>
      </c>
      <c r="C582" s="88" t="s">
        <v>824</v>
      </c>
      <c r="D582" s="88" t="s">
        <v>178</v>
      </c>
      <c r="E582" s="87" t="n">
        <v>2026</v>
      </c>
      <c r="F582" s="87" t="s">
        <v>639</v>
      </c>
      <c r="G582" s="88" t="s">
        <v>418</v>
      </c>
      <c r="H582" s="87" t="s">
        <v>189</v>
      </c>
      <c r="I582" s="87" t="s">
        <v>717</v>
      </c>
      <c r="J582" s="88" t="s">
        <v>718</v>
      </c>
      <c r="K582" s="89" t="n">
        <v>260</v>
      </c>
      <c r="L582" s="89" t="n">
        <v>36140000</v>
      </c>
      <c r="M582" s="89" t="n">
        <v>15264600</v>
      </c>
      <c r="N582" s="90" t="n">
        <f aca="false">IF(A582="제외",0,IF(OR(N(L582)&lt;=0,N(M582)&gt;N(L582)),N(M582)/가정!$B$4,N(L582)))</f>
        <v>36140000</v>
      </c>
      <c r="O582" s="67" t="str">
        <f aca="false">IF(A582="제외","",IF(OR(N(L582)&lt;=0,N(M582)&gt;N(L582)),"택가보정(판매금액÷공급율)",""))</f>
        <v/>
      </c>
    </row>
    <row r="583" customFormat="false" ht="15" hidden="false" customHeight="true" outlineLevel="0" collapsed="false">
      <c r="A583" s="67" t="str">
        <f aca="false">IF(OR(TRIM(C583)="",SUBSTITUTE(C583," ","")="소계"),"제외",IF(ISNUMBER(SEARCH("홍콩",C583)),"HK",IF(ISNUMBER(SEARCH("상해",C583)),"CN",IF(ISNUMBER(SEARCH("대만",C583)),"TW","홀세일"))))</f>
        <v>HK</v>
      </c>
      <c r="B583" s="87" t="s">
        <v>823</v>
      </c>
      <c r="C583" s="88" t="s">
        <v>824</v>
      </c>
      <c r="D583" s="88" t="s">
        <v>178</v>
      </c>
      <c r="E583" s="87" t="n">
        <v>2026</v>
      </c>
      <c r="F583" s="87" t="s">
        <v>639</v>
      </c>
      <c r="G583" s="88" t="s">
        <v>418</v>
      </c>
      <c r="H583" s="87" t="s">
        <v>189</v>
      </c>
      <c r="I583" s="87" t="s">
        <v>1029</v>
      </c>
      <c r="J583" s="88" t="s">
        <v>1030</v>
      </c>
      <c r="K583" s="89" t="n">
        <v>390</v>
      </c>
      <c r="L583" s="89" t="n">
        <v>50310000</v>
      </c>
      <c r="M583" s="89" t="n">
        <v>20990190</v>
      </c>
      <c r="N583" s="90" t="n">
        <f aca="false">IF(A583="제외",0,IF(OR(N(L583)&lt;=0,N(M583)&gt;N(L583)),N(M583)/가정!$B$4,N(L583)))</f>
        <v>50310000</v>
      </c>
      <c r="O583" s="67" t="str">
        <f aca="false">IF(A583="제외","",IF(OR(N(L583)&lt;=0,N(M583)&gt;N(L583)),"택가보정(판매금액÷공급율)",""))</f>
        <v/>
      </c>
    </row>
    <row r="584" customFormat="false" ht="15" hidden="false" customHeight="true" outlineLevel="0" collapsed="false">
      <c r="A584" s="67" t="str">
        <f aca="false">IF(OR(TRIM(C584)="",SUBSTITUTE(C584," ","")="소계"),"제외",IF(ISNUMBER(SEARCH("홍콩",C584)),"HK",IF(ISNUMBER(SEARCH("상해",C584)),"CN",IF(ISNUMBER(SEARCH("대만",C584)),"TW","홀세일"))))</f>
        <v>HK</v>
      </c>
      <c r="B584" s="87" t="s">
        <v>823</v>
      </c>
      <c r="C584" s="88" t="s">
        <v>824</v>
      </c>
      <c r="D584" s="88" t="s">
        <v>178</v>
      </c>
      <c r="E584" s="87" t="n">
        <v>2026</v>
      </c>
      <c r="F584" s="87" t="s">
        <v>639</v>
      </c>
      <c r="G584" s="88" t="s">
        <v>418</v>
      </c>
      <c r="H584" s="87" t="s">
        <v>189</v>
      </c>
      <c r="I584" s="87" t="s">
        <v>1031</v>
      </c>
      <c r="J584" s="88" t="s">
        <v>1032</v>
      </c>
      <c r="K584" s="89" t="n">
        <v>190</v>
      </c>
      <c r="L584" s="89" t="n">
        <v>22610000</v>
      </c>
      <c r="M584" s="89" t="n">
        <v>9569540</v>
      </c>
      <c r="N584" s="90" t="n">
        <f aca="false">IF(A584="제외",0,IF(OR(N(L584)&lt;=0,N(M584)&gt;N(L584)),N(M584)/가정!$B$4,N(L584)))</f>
        <v>22610000</v>
      </c>
      <c r="O584" s="67" t="str">
        <f aca="false">IF(A584="제외","",IF(OR(N(L584)&lt;=0,N(M584)&gt;N(L584)),"택가보정(판매금액÷공급율)",""))</f>
        <v/>
      </c>
    </row>
    <row r="585" customFormat="false" ht="15" hidden="false" customHeight="true" outlineLevel="0" collapsed="false">
      <c r="A585" s="67" t="str">
        <f aca="false">IF(OR(TRIM(C585)="",SUBSTITUTE(C585," ","")="소계"),"제외",IF(ISNUMBER(SEARCH("홍콩",C585)),"HK",IF(ISNUMBER(SEARCH("상해",C585)),"CN",IF(ISNUMBER(SEARCH("대만",C585)),"TW","홀세일"))))</f>
        <v>HK</v>
      </c>
      <c r="B585" s="87" t="s">
        <v>823</v>
      </c>
      <c r="C585" s="88" t="s">
        <v>824</v>
      </c>
      <c r="D585" s="88" t="s">
        <v>178</v>
      </c>
      <c r="E585" s="87" t="n">
        <v>2026</v>
      </c>
      <c r="F585" s="87" t="s">
        <v>639</v>
      </c>
      <c r="G585" s="88" t="s">
        <v>418</v>
      </c>
      <c r="H585" s="87" t="s">
        <v>189</v>
      </c>
      <c r="I585" s="87" t="s">
        <v>719</v>
      </c>
      <c r="J585" s="88" t="s">
        <v>720</v>
      </c>
      <c r="K585" s="89" t="n">
        <v>130</v>
      </c>
      <c r="L585" s="89" t="n">
        <v>12870000</v>
      </c>
      <c r="M585" s="89" t="n">
        <v>5388890</v>
      </c>
      <c r="N585" s="90" t="n">
        <f aca="false">IF(A585="제외",0,IF(OR(N(L585)&lt;=0,N(M585)&gt;N(L585)),N(M585)/가정!$B$4,N(L585)))</f>
        <v>12870000</v>
      </c>
      <c r="O585" s="67" t="str">
        <f aca="false">IF(A585="제외","",IF(OR(N(L585)&lt;=0,N(M585)&gt;N(L585)),"택가보정(판매금액÷공급율)",""))</f>
        <v/>
      </c>
    </row>
    <row r="586" customFormat="false" ht="15" hidden="false" customHeight="true" outlineLevel="0" collapsed="false">
      <c r="A586" s="67" t="str">
        <f aca="false">IF(OR(TRIM(C586)="",SUBSTITUTE(C586," ","")="소계"),"제외",IF(ISNUMBER(SEARCH("홍콩",C586)),"HK",IF(ISNUMBER(SEARCH("상해",C586)),"CN",IF(ISNUMBER(SEARCH("대만",C586)),"TW","홀세일"))))</f>
        <v>HK</v>
      </c>
      <c r="B586" s="87" t="s">
        <v>823</v>
      </c>
      <c r="C586" s="88" t="s">
        <v>824</v>
      </c>
      <c r="D586" s="88" t="s">
        <v>178</v>
      </c>
      <c r="E586" s="87" t="n">
        <v>2026</v>
      </c>
      <c r="F586" s="87" t="s">
        <v>639</v>
      </c>
      <c r="G586" s="88" t="s">
        <v>180</v>
      </c>
      <c r="H586" s="87" t="s">
        <v>246</v>
      </c>
      <c r="I586" s="87" t="s">
        <v>721</v>
      </c>
      <c r="J586" s="87" t="s">
        <v>722</v>
      </c>
      <c r="K586" s="89" t="n">
        <v>240</v>
      </c>
      <c r="L586" s="89" t="n">
        <v>95760000</v>
      </c>
      <c r="M586" s="89" t="n">
        <v>37452960</v>
      </c>
      <c r="N586" s="90" t="n">
        <f aca="false">IF(A586="제외",0,IF(OR(N(L586)&lt;=0,N(M586)&gt;N(L586)),N(M586)/가정!$B$4,N(L586)))</f>
        <v>95760000</v>
      </c>
      <c r="O586" s="67" t="str">
        <f aca="false">IF(A586="제외","",IF(OR(N(L586)&lt;=0,N(M586)&gt;N(L586)),"택가보정(판매금액÷공급율)",""))</f>
        <v/>
      </c>
    </row>
    <row r="587" customFormat="false" ht="15" hidden="false" customHeight="true" outlineLevel="0" collapsed="false">
      <c r="A587" s="67" t="str">
        <f aca="false">IF(OR(TRIM(C587)="",SUBSTITUTE(C587," ","")="소계"),"제외",IF(ISNUMBER(SEARCH("홍콩",C587)),"HK",IF(ISNUMBER(SEARCH("상해",C587)),"CN",IF(ISNUMBER(SEARCH("대만",C587)),"TW","홀세일"))))</f>
        <v>HK</v>
      </c>
      <c r="B587" s="87" t="s">
        <v>823</v>
      </c>
      <c r="C587" s="88" t="s">
        <v>824</v>
      </c>
      <c r="D587" s="88" t="s">
        <v>723</v>
      </c>
      <c r="E587" s="87" t="n">
        <v>2026</v>
      </c>
      <c r="F587" s="88" t="s">
        <v>179</v>
      </c>
      <c r="G587" s="88" t="s">
        <v>180</v>
      </c>
      <c r="H587" s="87" t="s">
        <v>189</v>
      </c>
      <c r="I587" s="87" t="s">
        <v>1033</v>
      </c>
      <c r="J587" s="88" t="s">
        <v>225</v>
      </c>
      <c r="K587" s="89" t="n">
        <v>389</v>
      </c>
      <c r="L587" s="89" t="n">
        <v>69631000</v>
      </c>
      <c r="M587" s="89" t="n">
        <v>27285627</v>
      </c>
      <c r="N587" s="90" t="n">
        <f aca="false">IF(A587="제외",0,IF(OR(N(L587)&lt;=0,N(M587)&gt;N(L587)),N(M587)/가정!$B$4,N(L587)))</f>
        <v>69631000</v>
      </c>
      <c r="O587" s="67" t="str">
        <f aca="false">IF(A587="제외","",IF(OR(N(L587)&lt;=0,N(M587)&gt;N(L587)),"택가보정(판매금액÷공급율)",""))</f>
        <v/>
      </c>
    </row>
    <row r="588" customFormat="false" ht="15" hidden="false" customHeight="true" outlineLevel="0" collapsed="false">
      <c r="A588" s="67" t="str">
        <f aca="false">IF(OR(TRIM(C588)="",SUBSTITUTE(C588," ","")="소계"),"제외",IF(ISNUMBER(SEARCH("홍콩",C588)),"HK",IF(ISNUMBER(SEARCH("상해",C588)),"CN",IF(ISNUMBER(SEARCH("대만",C588)),"TW","홀세일"))))</f>
        <v>HK</v>
      </c>
      <c r="B588" s="87" t="s">
        <v>823</v>
      </c>
      <c r="C588" s="88" t="s">
        <v>824</v>
      </c>
      <c r="D588" s="88" t="s">
        <v>723</v>
      </c>
      <c r="E588" s="87" t="n">
        <v>2026</v>
      </c>
      <c r="F588" s="88" t="s">
        <v>277</v>
      </c>
      <c r="G588" s="88" t="s">
        <v>180</v>
      </c>
      <c r="H588" s="87" t="s">
        <v>189</v>
      </c>
      <c r="I588" s="87" t="s">
        <v>726</v>
      </c>
      <c r="J588" s="88" t="s">
        <v>727</v>
      </c>
      <c r="K588" s="89" t="n">
        <v>240</v>
      </c>
      <c r="L588" s="89" t="n">
        <v>23760000</v>
      </c>
      <c r="M588" s="89" t="n">
        <v>9340560</v>
      </c>
      <c r="N588" s="90" t="n">
        <f aca="false">IF(A588="제외",0,IF(OR(N(L588)&lt;=0,N(M588)&gt;N(L588)),N(M588)/가정!$B$4,N(L588)))</f>
        <v>23760000</v>
      </c>
      <c r="O588" s="67" t="str">
        <f aca="false">IF(A588="제외","",IF(OR(N(L588)&lt;=0,N(M588)&gt;N(L588)),"택가보정(판매금액÷공급율)",""))</f>
        <v/>
      </c>
    </row>
    <row r="589" customFormat="false" ht="15" hidden="false" customHeight="true" outlineLevel="0" collapsed="false">
      <c r="A589" s="67" t="str">
        <f aca="false">IF(OR(TRIM(C589)="",SUBSTITUTE(C589," ","")="소계"),"제외",IF(ISNUMBER(SEARCH("홍콩",C589)),"HK",IF(ISNUMBER(SEARCH("상해",C589)),"CN",IF(ISNUMBER(SEARCH("대만",C589)),"TW","홀세일"))))</f>
        <v>HK</v>
      </c>
      <c r="B589" s="87" t="s">
        <v>823</v>
      </c>
      <c r="C589" s="88" t="s">
        <v>824</v>
      </c>
      <c r="D589" s="88" t="s">
        <v>723</v>
      </c>
      <c r="E589" s="87" t="n">
        <v>2026</v>
      </c>
      <c r="F589" s="88" t="s">
        <v>277</v>
      </c>
      <c r="G589" s="88" t="s">
        <v>180</v>
      </c>
      <c r="H589" s="87" t="s">
        <v>189</v>
      </c>
      <c r="I589" s="87" t="s">
        <v>1034</v>
      </c>
      <c r="J589" s="88" t="s">
        <v>1035</v>
      </c>
      <c r="K589" s="89" t="n">
        <v>240</v>
      </c>
      <c r="L589" s="89" t="n">
        <v>28560000</v>
      </c>
      <c r="M589" s="89" t="n">
        <v>11222880</v>
      </c>
      <c r="N589" s="90" t="n">
        <f aca="false">IF(A589="제외",0,IF(OR(N(L589)&lt;=0,N(M589)&gt;N(L589)),N(M589)/가정!$B$4,N(L589)))</f>
        <v>28560000</v>
      </c>
      <c r="O589" s="67" t="str">
        <f aca="false">IF(A589="제외","",IF(OR(N(L589)&lt;=0,N(M589)&gt;N(L589)),"택가보정(판매금액÷공급율)",""))</f>
        <v/>
      </c>
    </row>
    <row r="590" customFormat="false" ht="15" hidden="false" customHeight="true" outlineLevel="0" collapsed="false">
      <c r="A590" s="67" t="str">
        <f aca="false">IF(OR(TRIM(C590)="",SUBSTITUTE(C590," ","")="소계"),"제외",IF(ISNUMBER(SEARCH("홍콩",C590)),"HK",IF(ISNUMBER(SEARCH("상해",C590)),"CN",IF(ISNUMBER(SEARCH("대만",C590)),"TW","홀세일"))))</f>
        <v>HK</v>
      </c>
      <c r="B590" s="87" t="s">
        <v>823</v>
      </c>
      <c r="C590" s="88" t="s">
        <v>824</v>
      </c>
      <c r="D590" s="88" t="s">
        <v>723</v>
      </c>
      <c r="E590" s="87" t="n">
        <v>2026</v>
      </c>
      <c r="F590" s="88" t="s">
        <v>277</v>
      </c>
      <c r="G590" s="88" t="s">
        <v>180</v>
      </c>
      <c r="H590" s="87" t="s">
        <v>189</v>
      </c>
      <c r="I590" s="87" t="s">
        <v>1036</v>
      </c>
      <c r="J590" s="88" t="s">
        <v>335</v>
      </c>
      <c r="K590" s="89" t="n">
        <v>747</v>
      </c>
      <c r="L590" s="89" t="n">
        <v>111303000</v>
      </c>
      <c r="M590" s="89" t="n">
        <v>39691098</v>
      </c>
      <c r="N590" s="90" t="n">
        <f aca="false">IF(A590="제외",0,IF(OR(N(L590)&lt;=0,N(M590)&gt;N(L590)),N(M590)/가정!$B$4,N(L590)))</f>
        <v>111303000</v>
      </c>
      <c r="O590" s="67" t="str">
        <f aca="false">IF(A590="제외","",IF(OR(N(L590)&lt;=0,N(M590)&gt;N(L590)),"택가보정(판매금액÷공급율)",""))</f>
        <v/>
      </c>
    </row>
    <row r="591" customFormat="false" ht="15" hidden="false" customHeight="true" outlineLevel="0" collapsed="false">
      <c r="A591" s="67" t="str">
        <f aca="false">IF(OR(TRIM(C591)="",SUBSTITUTE(C591," ","")="소계"),"제외",IF(ISNUMBER(SEARCH("홍콩",C591)),"HK",IF(ISNUMBER(SEARCH("상해",C591)),"CN",IF(ISNUMBER(SEARCH("대만",C591)),"TW","홀세일"))))</f>
        <v>HK</v>
      </c>
      <c r="B591" s="87" t="s">
        <v>823</v>
      </c>
      <c r="C591" s="88" t="s">
        <v>824</v>
      </c>
      <c r="D591" s="88" t="s">
        <v>723</v>
      </c>
      <c r="E591" s="87" t="n">
        <v>2026</v>
      </c>
      <c r="F591" s="88" t="s">
        <v>277</v>
      </c>
      <c r="G591" s="88" t="s">
        <v>180</v>
      </c>
      <c r="H591" s="87" t="s">
        <v>189</v>
      </c>
      <c r="I591" s="87" t="s">
        <v>1037</v>
      </c>
      <c r="J591" s="88" t="s">
        <v>369</v>
      </c>
      <c r="K591" s="89" t="n">
        <v>720</v>
      </c>
      <c r="L591" s="89" t="n">
        <v>64080000</v>
      </c>
      <c r="M591" s="89" t="n">
        <v>22871520</v>
      </c>
      <c r="N591" s="90" t="n">
        <f aca="false">IF(A591="제외",0,IF(OR(N(L591)&lt;=0,N(M591)&gt;N(L591)),N(M591)/가정!$B$4,N(L591)))</f>
        <v>64080000</v>
      </c>
      <c r="O591" s="67" t="str">
        <f aca="false">IF(A591="제외","",IF(OR(N(L591)&lt;=0,N(M591)&gt;N(L591)),"택가보정(판매금액÷공급율)",""))</f>
        <v/>
      </c>
    </row>
    <row r="592" customFormat="false" ht="15" hidden="false" customHeight="true" outlineLevel="0" collapsed="false">
      <c r="A592" s="67" t="str">
        <f aca="false">IF(OR(TRIM(C592)="",SUBSTITUTE(C592," ","")="소계"),"제외",IF(ISNUMBER(SEARCH("홍콩",C592)),"HK",IF(ISNUMBER(SEARCH("상해",C592)),"CN",IF(ISNUMBER(SEARCH("대만",C592)),"TW","홀세일"))))</f>
        <v>HK</v>
      </c>
      <c r="B592" s="87" t="s">
        <v>823</v>
      </c>
      <c r="C592" s="88" t="s">
        <v>824</v>
      </c>
      <c r="D592" s="88" t="s">
        <v>723</v>
      </c>
      <c r="E592" s="87" t="n">
        <v>2026</v>
      </c>
      <c r="F592" s="88" t="s">
        <v>277</v>
      </c>
      <c r="G592" s="88" t="s">
        <v>180</v>
      </c>
      <c r="H592" s="87" t="s">
        <v>189</v>
      </c>
      <c r="I592" s="87" t="s">
        <v>730</v>
      </c>
      <c r="J592" s="88" t="s">
        <v>731</v>
      </c>
      <c r="K592" s="89" t="n">
        <v>100</v>
      </c>
      <c r="L592" s="89" t="n">
        <v>6900000</v>
      </c>
      <c r="M592" s="89" t="n">
        <v>2752600</v>
      </c>
      <c r="N592" s="90" t="n">
        <f aca="false">IF(A592="제외",0,IF(OR(N(L592)&lt;=0,N(M592)&gt;N(L592)),N(M592)/가정!$B$4,N(L592)))</f>
        <v>6900000</v>
      </c>
      <c r="O592" s="67" t="str">
        <f aca="false">IF(A592="제외","",IF(OR(N(L592)&lt;=0,N(M592)&gt;N(L592)),"택가보정(판매금액÷공급율)",""))</f>
        <v/>
      </c>
    </row>
    <row r="593" customFormat="false" ht="15" hidden="false" customHeight="true" outlineLevel="0" collapsed="false">
      <c r="A593" s="67" t="str">
        <f aca="false">IF(OR(TRIM(C593)="",SUBSTITUTE(C593," ","")="소계"),"제외",IF(ISNUMBER(SEARCH("홍콩",C593)),"HK",IF(ISNUMBER(SEARCH("상해",C593)),"CN",IF(ISNUMBER(SEARCH("대만",C593)),"TW","홀세일"))))</f>
        <v>HK</v>
      </c>
      <c r="B593" s="87" t="s">
        <v>823</v>
      </c>
      <c r="C593" s="88" t="s">
        <v>824</v>
      </c>
      <c r="D593" s="88" t="s">
        <v>723</v>
      </c>
      <c r="E593" s="87" t="n">
        <v>2026</v>
      </c>
      <c r="F593" s="88" t="s">
        <v>277</v>
      </c>
      <c r="G593" s="88" t="s">
        <v>180</v>
      </c>
      <c r="H593" s="87" t="s">
        <v>732</v>
      </c>
      <c r="I593" s="87" t="s">
        <v>1038</v>
      </c>
      <c r="J593" s="88" t="s">
        <v>1039</v>
      </c>
      <c r="K593" s="89" t="n">
        <v>400</v>
      </c>
      <c r="L593" s="89" t="n">
        <v>23600000</v>
      </c>
      <c r="M593" s="89" t="n">
        <v>10332400</v>
      </c>
      <c r="N593" s="90" t="n">
        <f aca="false">IF(A593="제외",0,IF(OR(N(L593)&lt;=0,N(M593)&gt;N(L593)),N(M593)/가정!$B$4,N(L593)))</f>
        <v>23600000</v>
      </c>
      <c r="O593" s="67" t="str">
        <f aca="false">IF(A593="제외","",IF(OR(N(L593)&lt;=0,N(M593)&gt;N(L593)),"택가보정(판매금액÷공급율)",""))</f>
        <v/>
      </c>
    </row>
    <row r="594" customFormat="false" ht="15" hidden="false" customHeight="true" outlineLevel="0" collapsed="false">
      <c r="A594" s="67" t="str">
        <f aca="false">IF(OR(TRIM(C594)="",SUBSTITUTE(C594," ","")="소계"),"제외",IF(ISNUMBER(SEARCH("홍콩",C594)),"HK",IF(ISNUMBER(SEARCH("상해",C594)),"CN",IF(ISNUMBER(SEARCH("대만",C594)),"TW","홀세일"))))</f>
        <v>HK</v>
      </c>
      <c r="B594" s="87" t="s">
        <v>823</v>
      </c>
      <c r="C594" s="88" t="s">
        <v>824</v>
      </c>
      <c r="D594" s="88" t="s">
        <v>723</v>
      </c>
      <c r="E594" s="87" t="n">
        <v>2026</v>
      </c>
      <c r="F594" s="88" t="s">
        <v>277</v>
      </c>
      <c r="G594" s="88" t="s">
        <v>180</v>
      </c>
      <c r="H594" s="87" t="s">
        <v>732</v>
      </c>
      <c r="I594" s="87" t="s">
        <v>1040</v>
      </c>
      <c r="J594" s="88" t="s">
        <v>1041</v>
      </c>
      <c r="K594" s="89" t="n">
        <v>400</v>
      </c>
      <c r="L594" s="89" t="n">
        <v>23600000</v>
      </c>
      <c r="M594" s="89" t="n">
        <v>10332400</v>
      </c>
      <c r="N594" s="90" t="n">
        <f aca="false">IF(A594="제외",0,IF(OR(N(L594)&lt;=0,N(M594)&gt;N(L594)),N(M594)/가정!$B$4,N(L594)))</f>
        <v>23600000</v>
      </c>
      <c r="O594" s="67" t="str">
        <f aca="false">IF(A594="제외","",IF(OR(N(L594)&lt;=0,N(M594)&gt;N(L594)),"택가보정(판매금액÷공급율)",""))</f>
        <v/>
      </c>
    </row>
    <row r="595" customFormat="false" ht="15" hidden="false" customHeight="true" outlineLevel="0" collapsed="false">
      <c r="A595" s="67" t="str">
        <f aca="false">IF(OR(TRIM(C595)="",SUBSTITUTE(C595," ","")="소계"),"제외",IF(ISNUMBER(SEARCH("홍콩",C595)),"HK",IF(ISNUMBER(SEARCH("상해",C595)),"CN",IF(ISNUMBER(SEARCH("대만",C595)),"TW","홀세일"))))</f>
        <v>HK</v>
      </c>
      <c r="B595" s="87" t="s">
        <v>823</v>
      </c>
      <c r="C595" s="88" t="s">
        <v>824</v>
      </c>
      <c r="D595" s="88" t="s">
        <v>723</v>
      </c>
      <c r="E595" s="87" t="n">
        <v>2026</v>
      </c>
      <c r="F595" s="88" t="s">
        <v>277</v>
      </c>
      <c r="G595" s="88" t="s">
        <v>180</v>
      </c>
      <c r="H595" s="87" t="s">
        <v>732</v>
      </c>
      <c r="I595" s="87" t="s">
        <v>1042</v>
      </c>
      <c r="J595" s="88" t="s">
        <v>1043</v>
      </c>
      <c r="K595" s="89" t="n">
        <v>400</v>
      </c>
      <c r="L595" s="89" t="n">
        <v>23600000</v>
      </c>
      <c r="M595" s="89" t="n">
        <v>10241600</v>
      </c>
      <c r="N595" s="90" t="n">
        <f aca="false">IF(A595="제외",0,IF(OR(N(L595)&lt;=0,N(M595)&gt;N(L595)),N(M595)/가정!$B$4,N(L595)))</f>
        <v>23600000</v>
      </c>
      <c r="O595" s="67" t="str">
        <f aca="false">IF(A595="제외","",IF(OR(N(L595)&lt;=0,N(M595)&gt;N(L595)),"택가보정(판매금액÷공급율)",""))</f>
        <v/>
      </c>
    </row>
    <row r="596" customFormat="false" ht="15" hidden="false" customHeight="true" outlineLevel="0" collapsed="false">
      <c r="A596" s="67" t="str">
        <f aca="false">IF(OR(TRIM(C596)="",SUBSTITUTE(C596," ","")="소계"),"제외",IF(ISNUMBER(SEARCH("홍콩",C596)),"HK",IF(ISNUMBER(SEARCH("상해",C596)),"CN",IF(ISNUMBER(SEARCH("대만",C596)),"TW","홀세일"))))</f>
        <v>HK</v>
      </c>
      <c r="B596" s="87" t="s">
        <v>823</v>
      </c>
      <c r="C596" s="88" t="s">
        <v>824</v>
      </c>
      <c r="D596" s="88" t="s">
        <v>723</v>
      </c>
      <c r="E596" s="87" t="n">
        <v>2026</v>
      </c>
      <c r="F596" s="88" t="s">
        <v>277</v>
      </c>
      <c r="G596" s="88" t="s">
        <v>180</v>
      </c>
      <c r="H596" s="87" t="s">
        <v>732</v>
      </c>
      <c r="I596" s="87" t="s">
        <v>1044</v>
      </c>
      <c r="J596" s="88" t="s">
        <v>1045</v>
      </c>
      <c r="K596" s="89" t="n">
        <v>400</v>
      </c>
      <c r="L596" s="89" t="n">
        <v>23600000</v>
      </c>
      <c r="M596" s="89" t="n">
        <v>10332400</v>
      </c>
      <c r="N596" s="90" t="n">
        <f aca="false">IF(A596="제외",0,IF(OR(N(L596)&lt;=0,N(M596)&gt;N(L596)),N(M596)/가정!$B$4,N(L596)))</f>
        <v>23600000</v>
      </c>
      <c r="O596" s="67" t="str">
        <f aca="false">IF(A596="제외","",IF(OR(N(L596)&lt;=0,N(M596)&gt;N(L596)),"택가보정(판매금액÷공급율)",""))</f>
        <v/>
      </c>
    </row>
    <row r="597" customFormat="false" ht="15" hidden="false" customHeight="true" outlineLevel="0" collapsed="false">
      <c r="A597" s="67" t="str">
        <f aca="false">IF(OR(TRIM(C597)="",SUBSTITUTE(C597," ","")="소계"),"제외",IF(ISNUMBER(SEARCH("홍콩",C597)),"HK",IF(ISNUMBER(SEARCH("상해",C597)),"CN",IF(ISNUMBER(SEARCH("대만",C597)),"TW","홀세일"))))</f>
        <v>HK</v>
      </c>
      <c r="B597" s="87" t="s">
        <v>823</v>
      </c>
      <c r="C597" s="88" t="s">
        <v>824</v>
      </c>
      <c r="D597" s="88" t="s">
        <v>723</v>
      </c>
      <c r="E597" s="87" t="n">
        <v>2026</v>
      </c>
      <c r="F597" s="88" t="s">
        <v>277</v>
      </c>
      <c r="G597" s="88" t="s">
        <v>180</v>
      </c>
      <c r="H597" s="87" t="s">
        <v>732</v>
      </c>
      <c r="I597" s="87" t="s">
        <v>1046</v>
      </c>
      <c r="J597" s="88" t="s">
        <v>1047</v>
      </c>
      <c r="K597" s="89" t="n">
        <v>400</v>
      </c>
      <c r="L597" s="89" t="n">
        <v>27600000</v>
      </c>
      <c r="M597" s="89" t="n">
        <v>10332400</v>
      </c>
      <c r="N597" s="90" t="n">
        <f aca="false">IF(A597="제외",0,IF(OR(N(L597)&lt;=0,N(M597)&gt;N(L597)),N(M597)/가정!$B$4,N(L597)))</f>
        <v>27600000</v>
      </c>
      <c r="O597" s="67" t="str">
        <f aca="false">IF(A597="제외","",IF(OR(N(L597)&lt;=0,N(M597)&gt;N(L597)),"택가보정(판매금액÷공급율)",""))</f>
        <v/>
      </c>
    </row>
    <row r="598" customFormat="false" ht="15" hidden="false" customHeight="true" outlineLevel="0" collapsed="false">
      <c r="A598" s="67" t="str">
        <f aca="false">IF(OR(TRIM(C598)="",SUBSTITUTE(C598," ","")="소계"),"제외",IF(ISNUMBER(SEARCH("홍콩",C598)),"HK",IF(ISNUMBER(SEARCH("상해",C598)),"CN",IF(ISNUMBER(SEARCH("대만",C598)),"TW","홀세일"))))</f>
        <v>HK</v>
      </c>
      <c r="B598" s="87" t="s">
        <v>823</v>
      </c>
      <c r="C598" s="88" t="s">
        <v>824</v>
      </c>
      <c r="D598" s="88" t="s">
        <v>723</v>
      </c>
      <c r="E598" s="87" t="n">
        <v>2026</v>
      </c>
      <c r="F598" s="88" t="s">
        <v>277</v>
      </c>
      <c r="G598" s="88" t="s">
        <v>180</v>
      </c>
      <c r="H598" s="87" t="s">
        <v>732</v>
      </c>
      <c r="I598" s="87" t="s">
        <v>1048</v>
      </c>
      <c r="J598" s="88" t="s">
        <v>1049</v>
      </c>
      <c r="K598" s="89" t="n">
        <v>395</v>
      </c>
      <c r="L598" s="89" t="n">
        <v>27255000</v>
      </c>
      <c r="M598" s="89" t="n">
        <v>10203245</v>
      </c>
      <c r="N598" s="90" t="n">
        <f aca="false">IF(A598="제외",0,IF(OR(N(L598)&lt;=0,N(M598)&gt;N(L598)),N(M598)/가정!$B$4,N(L598)))</f>
        <v>27255000</v>
      </c>
      <c r="O598" s="67" t="str">
        <f aca="false">IF(A598="제외","",IF(OR(N(L598)&lt;=0,N(M598)&gt;N(L598)),"택가보정(판매금액÷공급율)",""))</f>
        <v/>
      </c>
    </row>
    <row r="599" customFormat="false" ht="15" hidden="false" customHeight="true" outlineLevel="0" collapsed="false">
      <c r="A599" s="67" t="str">
        <f aca="false">IF(OR(TRIM(C599)="",SUBSTITUTE(C599," ","")="소계"),"제외",IF(ISNUMBER(SEARCH("홍콩",C599)),"HK",IF(ISNUMBER(SEARCH("상해",C599)),"CN",IF(ISNUMBER(SEARCH("대만",C599)),"TW","홀세일"))))</f>
        <v>HK</v>
      </c>
      <c r="B599" s="87" t="s">
        <v>823</v>
      </c>
      <c r="C599" s="88" t="s">
        <v>824</v>
      </c>
      <c r="D599" s="88" t="s">
        <v>723</v>
      </c>
      <c r="E599" s="87" t="n">
        <v>2026</v>
      </c>
      <c r="F599" s="88" t="s">
        <v>277</v>
      </c>
      <c r="G599" s="88" t="s">
        <v>180</v>
      </c>
      <c r="H599" s="88" t="s">
        <v>708</v>
      </c>
      <c r="I599" s="87" t="s">
        <v>1050</v>
      </c>
      <c r="J599" s="88" t="s">
        <v>1051</v>
      </c>
      <c r="K599" s="89" t="n">
        <v>790</v>
      </c>
      <c r="L599" s="89" t="n">
        <v>54510000</v>
      </c>
      <c r="M599" s="89" t="n">
        <v>19727090</v>
      </c>
      <c r="N599" s="90" t="n">
        <f aca="false">IF(A599="제외",0,IF(OR(N(L599)&lt;=0,N(M599)&gt;N(L599)),N(M599)/가정!$B$4,N(L599)))</f>
        <v>54510000</v>
      </c>
      <c r="O599" s="67" t="str">
        <f aca="false">IF(A599="제외","",IF(OR(N(L599)&lt;=0,N(M599)&gt;N(L599)),"택가보정(판매금액÷공급율)",""))</f>
        <v/>
      </c>
    </row>
    <row r="600" customFormat="false" ht="15" hidden="false" customHeight="true" outlineLevel="0" collapsed="false">
      <c r="A600" s="67" t="str">
        <f aca="false">IF(OR(TRIM(C600)="",SUBSTITUTE(C600," ","")="소계"),"제외",IF(ISNUMBER(SEARCH("홍콩",C600)),"HK",IF(ISNUMBER(SEARCH("상해",C600)),"CN",IF(ISNUMBER(SEARCH("대만",C600)),"TW","홀세일"))))</f>
        <v>HK</v>
      </c>
      <c r="B600" s="87" t="s">
        <v>823</v>
      </c>
      <c r="C600" s="88" t="s">
        <v>824</v>
      </c>
      <c r="D600" s="88" t="s">
        <v>723</v>
      </c>
      <c r="E600" s="87" t="n">
        <v>2026</v>
      </c>
      <c r="F600" s="88" t="s">
        <v>277</v>
      </c>
      <c r="G600" s="88" t="s">
        <v>180</v>
      </c>
      <c r="H600" s="88" t="s">
        <v>708</v>
      </c>
      <c r="I600" s="87" t="s">
        <v>1052</v>
      </c>
      <c r="J600" s="88" t="s">
        <v>1053</v>
      </c>
      <c r="K600" s="89" t="n">
        <v>400</v>
      </c>
      <c r="L600" s="89" t="n">
        <v>23600000</v>
      </c>
      <c r="M600" s="89" t="n">
        <v>8544800</v>
      </c>
      <c r="N600" s="90" t="n">
        <f aca="false">IF(A600="제외",0,IF(OR(N(L600)&lt;=0,N(M600)&gt;N(L600)),N(M600)/가정!$B$4,N(L600)))</f>
        <v>23600000</v>
      </c>
      <c r="O600" s="67" t="str">
        <f aca="false">IF(A600="제외","",IF(OR(N(L600)&lt;=0,N(M600)&gt;N(L600)),"택가보정(판매금액÷공급율)",""))</f>
        <v/>
      </c>
    </row>
    <row r="601" customFormat="false" ht="15" hidden="false" customHeight="true" outlineLevel="0" collapsed="false">
      <c r="A601" s="67" t="str">
        <f aca="false">IF(OR(TRIM(C601)="",SUBSTITUTE(C601," ","")="소계"),"제외",IF(ISNUMBER(SEARCH("홍콩",C601)),"HK",IF(ISNUMBER(SEARCH("상해",C601)),"CN",IF(ISNUMBER(SEARCH("대만",C601)),"TW","홀세일"))))</f>
        <v>HK</v>
      </c>
      <c r="B601" s="87" t="s">
        <v>823</v>
      </c>
      <c r="C601" s="88" t="s">
        <v>824</v>
      </c>
      <c r="D601" s="88" t="s">
        <v>723</v>
      </c>
      <c r="E601" s="87" t="n">
        <v>2026</v>
      </c>
      <c r="F601" s="88" t="s">
        <v>277</v>
      </c>
      <c r="G601" s="88" t="s">
        <v>180</v>
      </c>
      <c r="H601" s="88" t="s">
        <v>708</v>
      </c>
      <c r="I601" s="87" t="s">
        <v>1054</v>
      </c>
      <c r="J601" s="88" t="s">
        <v>1055</v>
      </c>
      <c r="K601" s="89" t="n">
        <v>400</v>
      </c>
      <c r="L601" s="89" t="n">
        <v>23600000</v>
      </c>
      <c r="M601" s="89" t="n">
        <v>8544800</v>
      </c>
      <c r="N601" s="90" t="n">
        <f aca="false">IF(A601="제외",0,IF(OR(N(L601)&lt;=0,N(M601)&gt;N(L601)),N(M601)/가정!$B$4,N(L601)))</f>
        <v>23600000</v>
      </c>
      <c r="O601" s="67" t="str">
        <f aca="false">IF(A601="제외","",IF(OR(N(L601)&lt;=0,N(M601)&gt;N(L601)),"택가보정(판매금액÷공급율)",""))</f>
        <v/>
      </c>
    </row>
    <row r="602" customFormat="false" ht="15" hidden="false" customHeight="true" outlineLevel="0" collapsed="false">
      <c r="A602" s="67" t="str">
        <f aca="false">IF(OR(TRIM(C602)="",SUBSTITUTE(C602," ","")="소계"),"제외",IF(ISNUMBER(SEARCH("홍콩",C602)),"HK",IF(ISNUMBER(SEARCH("상해",C602)),"CN",IF(ISNUMBER(SEARCH("대만",C602)),"TW","홀세일"))))</f>
        <v>HK</v>
      </c>
      <c r="B602" s="87" t="s">
        <v>823</v>
      </c>
      <c r="C602" s="88" t="s">
        <v>824</v>
      </c>
      <c r="D602" s="88" t="s">
        <v>723</v>
      </c>
      <c r="E602" s="87" t="n">
        <v>2026</v>
      </c>
      <c r="F602" s="88" t="s">
        <v>277</v>
      </c>
      <c r="G602" s="88" t="s">
        <v>180</v>
      </c>
      <c r="H602" s="88" t="s">
        <v>708</v>
      </c>
      <c r="I602" s="87" t="s">
        <v>1056</v>
      </c>
      <c r="J602" s="88" t="s">
        <v>1057</v>
      </c>
      <c r="K602" s="89" t="n">
        <v>400</v>
      </c>
      <c r="L602" s="89" t="n">
        <v>23600000</v>
      </c>
      <c r="M602" s="89" t="n">
        <v>8544800</v>
      </c>
      <c r="N602" s="90" t="n">
        <f aca="false">IF(A602="제외",0,IF(OR(N(L602)&lt;=0,N(M602)&gt;N(L602)),N(M602)/가정!$B$4,N(L602)))</f>
        <v>23600000</v>
      </c>
      <c r="O602" s="67" t="str">
        <f aca="false">IF(A602="제외","",IF(OR(N(L602)&lt;=0,N(M602)&gt;N(L602)),"택가보정(판매금액÷공급율)",""))</f>
        <v/>
      </c>
    </row>
    <row r="603" customFormat="false" ht="15" hidden="false" customHeight="true" outlineLevel="0" collapsed="false">
      <c r="A603" s="67" t="str">
        <f aca="false">IF(OR(TRIM(C603)="",SUBSTITUTE(C603," ","")="소계"),"제외",IF(ISNUMBER(SEARCH("홍콩",C603)),"HK",IF(ISNUMBER(SEARCH("상해",C603)),"CN",IF(ISNUMBER(SEARCH("대만",C603)),"TW","홀세일"))))</f>
        <v>HK</v>
      </c>
      <c r="B603" s="87" t="s">
        <v>823</v>
      </c>
      <c r="C603" s="88" t="s">
        <v>824</v>
      </c>
      <c r="D603" s="88" t="s">
        <v>723</v>
      </c>
      <c r="E603" s="87" t="n">
        <v>2026</v>
      </c>
      <c r="F603" s="88" t="s">
        <v>277</v>
      </c>
      <c r="G603" s="88" t="s">
        <v>180</v>
      </c>
      <c r="H603" s="88" t="s">
        <v>708</v>
      </c>
      <c r="I603" s="87" t="s">
        <v>1058</v>
      </c>
      <c r="J603" s="88" t="s">
        <v>1059</v>
      </c>
      <c r="K603" s="89" t="n">
        <v>400</v>
      </c>
      <c r="L603" s="89" t="n">
        <v>23600000</v>
      </c>
      <c r="M603" s="89" t="n">
        <v>8544800</v>
      </c>
      <c r="N603" s="90" t="n">
        <f aca="false">IF(A603="제외",0,IF(OR(N(L603)&lt;=0,N(M603)&gt;N(L603)),N(M603)/가정!$B$4,N(L603)))</f>
        <v>23600000</v>
      </c>
      <c r="O603" s="67" t="str">
        <f aca="false">IF(A603="제외","",IF(OR(N(L603)&lt;=0,N(M603)&gt;N(L603)),"택가보정(판매금액÷공급율)",""))</f>
        <v/>
      </c>
    </row>
    <row r="604" customFormat="false" ht="15" hidden="false" customHeight="true" outlineLevel="0" collapsed="false">
      <c r="A604" s="67" t="str">
        <f aca="false">IF(OR(TRIM(C604)="",SUBSTITUTE(C604," ","")="소계"),"제외",IF(ISNUMBER(SEARCH("홍콩",C604)),"HK",IF(ISNUMBER(SEARCH("상해",C604)),"CN",IF(ISNUMBER(SEARCH("대만",C604)),"TW","홀세일"))))</f>
        <v>HK</v>
      </c>
      <c r="B604" s="87" t="s">
        <v>823</v>
      </c>
      <c r="C604" s="88" t="s">
        <v>824</v>
      </c>
      <c r="D604" s="88" t="s">
        <v>723</v>
      </c>
      <c r="E604" s="87" t="n">
        <v>2026</v>
      </c>
      <c r="F604" s="88" t="s">
        <v>277</v>
      </c>
      <c r="G604" s="88" t="s">
        <v>180</v>
      </c>
      <c r="H604" s="88" t="s">
        <v>708</v>
      </c>
      <c r="I604" s="87" t="s">
        <v>1060</v>
      </c>
      <c r="J604" s="88" t="s">
        <v>1061</v>
      </c>
      <c r="K604" s="89" t="n">
        <v>400</v>
      </c>
      <c r="L604" s="89" t="n">
        <v>23600000</v>
      </c>
      <c r="M604" s="89" t="n">
        <v>9166400</v>
      </c>
      <c r="N604" s="90" t="n">
        <f aca="false">IF(A604="제외",0,IF(OR(N(L604)&lt;=0,N(M604)&gt;N(L604)),N(M604)/가정!$B$4,N(L604)))</f>
        <v>23600000</v>
      </c>
      <c r="O604" s="67" t="str">
        <f aca="false">IF(A604="제외","",IF(OR(N(L604)&lt;=0,N(M604)&gt;N(L604)),"택가보정(판매금액÷공급율)",""))</f>
        <v/>
      </c>
    </row>
    <row r="605" customFormat="false" ht="15" hidden="false" customHeight="true" outlineLevel="0" collapsed="false">
      <c r="A605" s="67" t="str">
        <f aca="false">IF(OR(TRIM(C605)="",SUBSTITUTE(C605," ","")="소계"),"제외",IF(ISNUMBER(SEARCH("홍콩",C605)),"HK",IF(ISNUMBER(SEARCH("상해",C605)),"CN",IF(ISNUMBER(SEARCH("대만",C605)),"TW","홀세일"))))</f>
        <v>HK</v>
      </c>
      <c r="B605" s="87" t="s">
        <v>823</v>
      </c>
      <c r="C605" s="88" t="s">
        <v>824</v>
      </c>
      <c r="D605" s="88" t="s">
        <v>723</v>
      </c>
      <c r="E605" s="87" t="n">
        <v>2026</v>
      </c>
      <c r="F605" s="88" t="s">
        <v>277</v>
      </c>
      <c r="G605" s="88" t="s">
        <v>180</v>
      </c>
      <c r="H605" s="87" t="s">
        <v>246</v>
      </c>
      <c r="I605" s="87" t="s">
        <v>749</v>
      </c>
      <c r="J605" s="87" t="s">
        <v>750</v>
      </c>
      <c r="K605" s="89" t="n">
        <v>310</v>
      </c>
      <c r="L605" s="89" t="n">
        <v>39990000</v>
      </c>
      <c r="M605" s="89" t="n">
        <v>15347790</v>
      </c>
      <c r="N605" s="90" t="n">
        <f aca="false">IF(A605="제외",0,IF(OR(N(L605)&lt;=0,N(M605)&gt;N(L605)),N(M605)/가정!$B$4,N(L605)))</f>
        <v>39990000</v>
      </c>
      <c r="O605" s="67" t="str">
        <f aca="false">IF(A605="제외","",IF(OR(N(L605)&lt;=0,N(M605)&gt;N(L605)),"택가보정(판매금액÷공급율)",""))</f>
        <v/>
      </c>
    </row>
    <row r="606" customFormat="false" ht="15" hidden="false" customHeight="true" outlineLevel="0" collapsed="false">
      <c r="A606" s="67" t="str">
        <f aca="false">IF(OR(TRIM(C606)="",SUBSTITUTE(C606," ","")="소계"),"제외",IF(ISNUMBER(SEARCH("홍콩",C606)),"HK",IF(ISNUMBER(SEARCH("상해",C606)),"CN",IF(ISNUMBER(SEARCH("대만",C606)),"TW","홀세일"))))</f>
        <v>HK</v>
      </c>
      <c r="B606" s="87" t="s">
        <v>823</v>
      </c>
      <c r="C606" s="88" t="s">
        <v>824</v>
      </c>
      <c r="D606" s="88" t="s">
        <v>723</v>
      </c>
      <c r="E606" s="87" t="n">
        <v>2026</v>
      </c>
      <c r="F606" s="88" t="s">
        <v>277</v>
      </c>
      <c r="G606" s="88" t="s">
        <v>180</v>
      </c>
      <c r="H606" s="87" t="s">
        <v>246</v>
      </c>
      <c r="I606" s="87" t="s">
        <v>753</v>
      </c>
      <c r="J606" s="87" t="s">
        <v>754</v>
      </c>
      <c r="K606" s="89" t="n">
        <v>140</v>
      </c>
      <c r="L606" s="89" t="n">
        <v>16660000</v>
      </c>
      <c r="M606" s="89" t="n">
        <v>6108200</v>
      </c>
      <c r="N606" s="90" t="n">
        <f aca="false">IF(A606="제외",0,IF(OR(N(L606)&lt;=0,N(M606)&gt;N(L606)),N(M606)/가정!$B$4,N(L606)))</f>
        <v>16660000</v>
      </c>
      <c r="O606" s="67" t="str">
        <f aca="false">IF(A606="제외","",IF(OR(N(L606)&lt;=0,N(M606)&gt;N(L606)),"택가보정(판매금액÷공급율)",""))</f>
        <v/>
      </c>
    </row>
    <row r="607" customFormat="false" ht="15" hidden="false" customHeight="true" outlineLevel="0" collapsed="false">
      <c r="A607" s="67" t="str">
        <f aca="false">IF(OR(TRIM(C607)="",SUBSTITUTE(C607," ","")="소계"),"제외",IF(ISNUMBER(SEARCH("홍콩",C607)),"HK",IF(ISNUMBER(SEARCH("상해",C607)),"CN",IF(ISNUMBER(SEARCH("대만",C607)),"TW","홀세일"))))</f>
        <v>HK</v>
      </c>
      <c r="B607" s="87" t="s">
        <v>823</v>
      </c>
      <c r="C607" s="88" t="s">
        <v>824</v>
      </c>
      <c r="D607" s="88" t="s">
        <v>723</v>
      </c>
      <c r="E607" s="87" t="n">
        <v>2026</v>
      </c>
      <c r="F607" s="88" t="s">
        <v>277</v>
      </c>
      <c r="G607" s="88" t="s">
        <v>180</v>
      </c>
      <c r="H607" s="87" t="s">
        <v>246</v>
      </c>
      <c r="I607" s="87" t="s">
        <v>757</v>
      </c>
      <c r="J607" s="87" t="s">
        <v>758</v>
      </c>
      <c r="K607" s="89" t="n">
        <v>200</v>
      </c>
      <c r="L607" s="89" t="n">
        <v>33800000</v>
      </c>
      <c r="M607" s="89" t="n">
        <v>12386200</v>
      </c>
      <c r="N607" s="90" t="n">
        <f aca="false">IF(A607="제외",0,IF(OR(N(L607)&lt;=0,N(M607)&gt;N(L607)),N(M607)/가정!$B$4,N(L607)))</f>
        <v>33800000</v>
      </c>
      <c r="O607" s="67" t="str">
        <f aca="false">IF(A607="제외","",IF(OR(N(L607)&lt;=0,N(M607)&gt;N(L607)),"택가보정(판매금액÷공급율)",""))</f>
        <v/>
      </c>
    </row>
    <row r="608" customFormat="false" ht="15" hidden="false" customHeight="true" outlineLevel="0" collapsed="false">
      <c r="A608" s="67" t="str">
        <f aca="false">IF(OR(TRIM(C608)="",SUBSTITUTE(C608," ","")="소계"),"제외",IF(ISNUMBER(SEARCH("홍콩",C608)),"HK",IF(ISNUMBER(SEARCH("상해",C608)),"CN",IF(ISNUMBER(SEARCH("대만",C608)),"TW","홀세일"))))</f>
        <v>HK</v>
      </c>
      <c r="B608" s="87" t="s">
        <v>823</v>
      </c>
      <c r="C608" s="88" t="s">
        <v>824</v>
      </c>
      <c r="D608" s="88" t="s">
        <v>723</v>
      </c>
      <c r="E608" s="87" t="n">
        <v>2026</v>
      </c>
      <c r="F608" s="88" t="s">
        <v>277</v>
      </c>
      <c r="G608" s="88" t="s">
        <v>180</v>
      </c>
      <c r="H608" s="87" t="s">
        <v>246</v>
      </c>
      <c r="I608" s="87" t="s">
        <v>1062</v>
      </c>
      <c r="J608" s="87" t="s">
        <v>1063</v>
      </c>
      <c r="K608" s="89" t="n">
        <v>200</v>
      </c>
      <c r="L608" s="89" t="n">
        <v>33800000</v>
      </c>
      <c r="M608" s="89" t="n">
        <v>12386200</v>
      </c>
      <c r="N608" s="90" t="n">
        <f aca="false">IF(A608="제외",0,IF(OR(N(L608)&lt;=0,N(M608)&gt;N(L608)),N(M608)/가정!$B$4,N(L608)))</f>
        <v>33800000</v>
      </c>
      <c r="O608" s="67" t="str">
        <f aca="false">IF(A608="제외","",IF(OR(N(L608)&lt;=0,N(M608)&gt;N(L608)),"택가보정(판매금액÷공급율)",""))</f>
        <v/>
      </c>
    </row>
    <row r="609" customFormat="false" ht="15" hidden="false" customHeight="true" outlineLevel="0" collapsed="false">
      <c r="A609" s="67" t="str">
        <f aca="false">IF(OR(TRIM(C609)="",SUBSTITUTE(C609," ","")="소계"),"제외",IF(ISNUMBER(SEARCH("홍콩",C609)),"HK",IF(ISNUMBER(SEARCH("상해",C609)),"CN",IF(ISNUMBER(SEARCH("대만",C609)),"TW","홀세일"))))</f>
        <v>HK</v>
      </c>
      <c r="B609" s="87" t="s">
        <v>823</v>
      </c>
      <c r="C609" s="88" t="s">
        <v>824</v>
      </c>
      <c r="D609" s="88" t="s">
        <v>723</v>
      </c>
      <c r="E609" s="87" t="n">
        <v>2026</v>
      </c>
      <c r="F609" s="88" t="s">
        <v>277</v>
      </c>
      <c r="G609" s="88" t="s">
        <v>180</v>
      </c>
      <c r="H609" s="87" t="s">
        <v>246</v>
      </c>
      <c r="I609" s="87" t="s">
        <v>1064</v>
      </c>
      <c r="J609" s="87" t="s">
        <v>1065</v>
      </c>
      <c r="K609" s="89" t="n">
        <v>113</v>
      </c>
      <c r="L609" s="89" t="n">
        <v>15707000</v>
      </c>
      <c r="M609" s="89" t="n">
        <v>5757463</v>
      </c>
      <c r="N609" s="90" t="n">
        <f aca="false">IF(A609="제외",0,IF(OR(N(L609)&lt;=0,N(M609)&gt;N(L609)),N(M609)/가정!$B$4,N(L609)))</f>
        <v>15707000</v>
      </c>
      <c r="O609" s="67" t="str">
        <f aca="false">IF(A609="제외","",IF(OR(N(L609)&lt;=0,N(M609)&gt;N(L609)),"택가보정(판매금액÷공급율)",""))</f>
        <v/>
      </c>
    </row>
    <row r="610" customFormat="false" ht="15" hidden="false" customHeight="true" outlineLevel="0" collapsed="false">
      <c r="A610" s="67" t="str">
        <f aca="false">IF(OR(TRIM(C610)="",SUBSTITUTE(C610," ","")="소계"),"제외",IF(ISNUMBER(SEARCH("홍콩",C610)),"HK",IF(ISNUMBER(SEARCH("상해",C610)),"CN",IF(ISNUMBER(SEARCH("대만",C610)),"TW","홀세일"))))</f>
        <v>HK</v>
      </c>
      <c r="B610" s="87" t="s">
        <v>823</v>
      </c>
      <c r="C610" s="88" t="s">
        <v>824</v>
      </c>
      <c r="D610" s="88" t="s">
        <v>723</v>
      </c>
      <c r="E610" s="87" t="n">
        <v>2026</v>
      </c>
      <c r="F610" s="88" t="s">
        <v>277</v>
      </c>
      <c r="G610" s="88" t="s">
        <v>180</v>
      </c>
      <c r="H610" s="87" t="s">
        <v>246</v>
      </c>
      <c r="I610" s="87" t="s">
        <v>759</v>
      </c>
      <c r="J610" s="87" t="s">
        <v>760</v>
      </c>
      <c r="K610" s="89" t="n">
        <v>100</v>
      </c>
      <c r="L610" s="89" t="n">
        <v>15900000</v>
      </c>
      <c r="M610" s="89" t="n">
        <v>5461100</v>
      </c>
      <c r="N610" s="90" t="n">
        <f aca="false">IF(A610="제외",0,IF(OR(N(L610)&lt;=0,N(M610)&gt;N(L610)),N(M610)/가정!$B$4,N(L610)))</f>
        <v>15900000</v>
      </c>
      <c r="O610" s="67" t="str">
        <f aca="false">IF(A610="제외","",IF(OR(N(L610)&lt;=0,N(M610)&gt;N(L610)),"택가보정(판매금액÷공급율)",""))</f>
        <v/>
      </c>
    </row>
    <row r="611" customFormat="false" ht="15" hidden="false" customHeight="true" outlineLevel="0" collapsed="false">
      <c r="A611" s="67" t="str">
        <f aca="false">IF(OR(TRIM(C611)="",SUBSTITUTE(C611," ","")="소계"),"제외",IF(ISNUMBER(SEARCH("홍콩",C611)),"HK",IF(ISNUMBER(SEARCH("상해",C611)),"CN",IF(ISNUMBER(SEARCH("대만",C611)),"TW","홀세일"))))</f>
        <v>HK</v>
      </c>
      <c r="B611" s="87" t="s">
        <v>823</v>
      </c>
      <c r="C611" s="88" t="s">
        <v>824</v>
      </c>
      <c r="D611" s="88" t="s">
        <v>723</v>
      </c>
      <c r="E611" s="87" t="n">
        <v>2026</v>
      </c>
      <c r="F611" s="88" t="s">
        <v>277</v>
      </c>
      <c r="G611" s="88" t="s">
        <v>180</v>
      </c>
      <c r="H611" s="87" t="s">
        <v>246</v>
      </c>
      <c r="I611" s="87" t="s">
        <v>1066</v>
      </c>
      <c r="J611" s="87" t="s">
        <v>1067</v>
      </c>
      <c r="K611" s="89" t="n">
        <v>210</v>
      </c>
      <c r="L611" s="89" t="n">
        <v>31290000</v>
      </c>
      <c r="M611" s="89" t="n">
        <v>12003390</v>
      </c>
      <c r="N611" s="90" t="n">
        <f aca="false">IF(A611="제외",0,IF(OR(N(L611)&lt;=0,N(M611)&gt;N(L611)),N(M611)/가정!$B$4,N(L611)))</f>
        <v>31290000</v>
      </c>
      <c r="O611" s="67" t="str">
        <f aca="false">IF(A611="제외","",IF(OR(N(L611)&lt;=0,N(M611)&gt;N(L611)),"택가보정(판매금액÷공급율)",""))</f>
        <v/>
      </c>
    </row>
    <row r="612" customFormat="false" ht="15" hidden="false" customHeight="true" outlineLevel="0" collapsed="false">
      <c r="A612" s="67" t="str">
        <f aca="false">IF(OR(TRIM(C612)="",SUBSTITUTE(C612," ","")="소계"),"제외",IF(ISNUMBER(SEARCH("홍콩",C612)),"HK",IF(ISNUMBER(SEARCH("상해",C612)),"CN",IF(ISNUMBER(SEARCH("대만",C612)),"TW","홀세일"))))</f>
        <v>HK</v>
      </c>
      <c r="B612" s="87" t="s">
        <v>823</v>
      </c>
      <c r="C612" s="88" t="s">
        <v>824</v>
      </c>
      <c r="D612" s="88" t="s">
        <v>723</v>
      </c>
      <c r="E612" s="87" t="n">
        <v>2026</v>
      </c>
      <c r="F612" s="88" t="s">
        <v>277</v>
      </c>
      <c r="G612" s="88" t="s">
        <v>180</v>
      </c>
      <c r="H612" s="87" t="s">
        <v>246</v>
      </c>
      <c r="I612" s="87" t="s">
        <v>761</v>
      </c>
      <c r="J612" s="87" t="s">
        <v>762</v>
      </c>
      <c r="K612" s="89" t="n">
        <v>140</v>
      </c>
      <c r="L612" s="89" t="n">
        <v>23660000</v>
      </c>
      <c r="M612" s="89" t="n">
        <v>8670340</v>
      </c>
      <c r="N612" s="90" t="n">
        <f aca="false">IF(A612="제외",0,IF(OR(N(L612)&lt;=0,N(M612)&gt;N(L612)),N(M612)/가정!$B$4,N(L612)))</f>
        <v>23660000</v>
      </c>
      <c r="O612" s="67" t="str">
        <f aca="false">IF(A612="제외","",IF(OR(N(L612)&lt;=0,N(M612)&gt;N(L612)),"택가보정(판매금액÷공급율)",""))</f>
        <v/>
      </c>
    </row>
    <row r="613" customFormat="false" ht="15" hidden="false" customHeight="true" outlineLevel="0" collapsed="false">
      <c r="A613" s="67" t="str">
        <f aca="false">IF(OR(TRIM(C613)="",SUBSTITUTE(C613," ","")="소계"),"제외",IF(ISNUMBER(SEARCH("홍콩",C613)),"HK",IF(ISNUMBER(SEARCH("상해",C613)),"CN",IF(ISNUMBER(SEARCH("대만",C613)),"TW","홀세일"))))</f>
        <v>HK</v>
      </c>
      <c r="B613" s="87" t="s">
        <v>823</v>
      </c>
      <c r="C613" s="88" t="s">
        <v>824</v>
      </c>
      <c r="D613" s="88" t="s">
        <v>723</v>
      </c>
      <c r="E613" s="87" t="n">
        <v>2026</v>
      </c>
      <c r="F613" s="88" t="s">
        <v>277</v>
      </c>
      <c r="G613" s="88" t="s">
        <v>180</v>
      </c>
      <c r="H613" s="87" t="s">
        <v>246</v>
      </c>
      <c r="I613" s="87" t="s">
        <v>1068</v>
      </c>
      <c r="J613" s="87" t="s">
        <v>1069</v>
      </c>
      <c r="K613" s="89" t="n">
        <v>90</v>
      </c>
      <c r="L613" s="89" t="n">
        <v>8910000</v>
      </c>
      <c r="M613" s="89" t="n">
        <v>3502710</v>
      </c>
      <c r="N613" s="90" t="n">
        <f aca="false">IF(A613="제외",0,IF(OR(N(L613)&lt;=0,N(M613)&gt;N(L613)),N(M613)/가정!$B$4,N(L613)))</f>
        <v>8910000</v>
      </c>
      <c r="O613" s="67" t="str">
        <f aca="false">IF(A613="제외","",IF(OR(N(L613)&lt;=0,N(M613)&gt;N(L613)),"택가보정(판매금액÷공급율)",""))</f>
        <v/>
      </c>
    </row>
    <row r="614" customFormat="false" ht="15" hidden="false" customHeight="true" outlineLevel="0" collapsed="false">
      <c r="A614" s="67" t="str">
        <f aca="false">IF(OR(TRIM(C614)="",SUBSTITUTE(C614," ","")="소계"),"제외",IF(ISNUMBER(SEARCH("홍콩",C614)),"HK",IF(ISNUMBER(SEARCH("상해",C614)),"CN",IF(ISNUMBER(SEARCH("대만",C614)),"TW","홀세일"))))</f>
        <v>HK</v>
      </c>
      <c r="B614" s="87" t="s">
        <v>823</v>
      </c>
      <c r="C614" s="88" t="s">
        <v>824</v>
      </c>
      <c r="D614" s="88" t="s">
        <v>723</v>
      </c>
      <c r="E614" s="87" t="n">
        <v>2026</v>
      </c>
      <c r="F614" s="88" t="s">
        <v>277</v>
      </c>
      <c r="G614" s="88" t="s">
        <v>180</v>
      </c>
      <c r="H614" s="87" t="s">
        <v>246</v>
      </c>
      <c r="I614" s="87" t="s">
        <v>1070</v>
      </c>
      <c r="J614" s="87" t="s">
        <v>1071</v>
      </c>
      <c r="K614" s="89" t="n">
        <v>100</v>
      </c>
      <c r="L614" s="89" t="n">
        <v>6900000</v>
      </c>
      <c r="M614" s="89" t="n">
        <v>2752600</v>
      </c>
      <c r="N614" s="90" t="n">
        <f aca="false">IF(A614="제외",0,IF(OR(N(L614)&lt;=0,N(M614)&gt;N(L614)),N(M614)/가정!$B$4,N(L614)))</f>
        <v>6900000</v>
      </c>
      <c r="O614" s="67" t="str">
        <f aca="false">IF(A614="제외","",IF(OR(N(L614)&lt;=0,N(M614)&gt;N(L614)),"택가보정(판매금액÷공급율)",""))</f>
        <v/>
      </c>
    </row>
    <row r="615" customFormat="false" ht="15" hidden="false" customHeight="true" outlineLevel="0" collapsed="false">
      <c r="A615" s="67" t="str">
        <f aca="false">IF(OR(TRIM(C615)="",SUBSTITUTE(C615," ","")="소계"),"제외",IF(ISNUMBER(SEARCH("홍콩",C615)),"HK",IF(ISNUMBER(SEARCH("상해",C615)),"CN",IF(ISNUMBER(SEARCH("대만",C615)),"TW","홀세일"))))</f>
        <v>HK</v>
      </c>
      <c r="B615" s="87" t="s">
        <v>823</v>
      </c>
      <c r="C615" s="88" t="s">
        <v>824</v>
      </c>
      <c r="D615" s="88" t="s">
        <v>723</v>
      </c>
      <c r="E615" s="87" t="n">
        <v>2026</v>
      </c>
      <c r="F615" s="88" t="s">
        <v>277</v>
      </c>
      <c r="G615" s="88" t="s">
        <v>180</v>
      </c>
      <c r="H615" s="87" t="s">
        <v>246</v>
      </c>
      <c r="I615" s="87" t="s">
        <v>1072</v>
      </c>
      <c r="J615" s="87" t="s">
        <v>1073</v>
      </c>
      <c r="K615" s="89" t="n">
        <v>180</v>
      </c>
      <c r="L615" s="89" t="n">
        <v>19620000</v>
      </c>
      <c r="M615" s="89" t="n">
        <v>7724520</v>
      </c>
      <c r="N615" s="90" t="n">
        <f aca="false">IF(A615="제외",0,IF(OR(N(L615)&lt;=0,N(M615)&gt;N(L615)),N(M615)/가정!$B$4,N(L615)))</f>
        <v>19620000</v>
      </c>
      <c r="O615" s="67" t="str">
        <f aca="false">IF(A615="제외","",IF(OR(N(L615)&lt;=0,N(M615)&gt;N(L615)),"택가보정(판매금액÷공급율)",""))</f>
        <v/>
      </c>
    </row>
    <row r="616" customFormat="false" ht="15" hidden="false" customHeight="true" outlineLevel="0" collapsed="false">
      <c r="A616" s="67" t="str">
        <f aca="false">IF(OR(TRIM(C616)="",SUBSTITUTE(C616," ","")="소계"),"제외",IF(ISNUMBER(SEARCH("홍콩",C616)),"HK",IF(ISNUMBER(SEARCH("상해",C616)),"CN",IF(ISNUMBER(SEARCH("대만",C616)),"TW","홀세일"))))</f>
        <v>HK</v>
      </c>
      <c r="B616" s="87" t="s">
        <v>823</v>
      </c>
      <c r="C616" s="88" t="s">
        <v>824</v>
      </c>
      <c r="D616" s="88" t="s">
        <v>723</v>
      </c>
      <c r="E616" s="87" t="n">
        <v>2026</v>
      </c>
      <c r="F616" s="88" t="s">
        <v>277</v>
      </c>
      <c r="G616" s="88" t="s">
        <v>180</v>
      </c>
      <c r="H616" s="87" t="s">
        <v>246</v>
      </c>
      <c r="I616" s="87" t="s">
        <v>765</v>
      </c>
      <c r="J616" s="87" t="s">
        <v>766</v>
      </c>
      <c r="K616" s="89" t="n">
        <v>197</v>
      </c>
      <c r="L616" s="89" t="n">
        <v>19503000</v>
      </c>
      <c r="M616" s="89" t="n">
        <v>7153070</v>
      </c>
      <c r="N616" s="90" t="n">
        <f aca="false">IF(A616="제외",0,IF(OR(N(L616)&lt;=0,N(M616)&gt;N(L616)),N(M616)/가정!$B$4,N(L616)))</f>
        <v>19503000</v>
      </c>
      <c r="O616" s="67" t="str">
        <f aca="false">IF(A616="제외","",IF(OR(N(L616)&lt;=0,N(M616)&gt;N(L616)),"택가보정(판매금액÷공급율)",""))</f>
        <v/>
      </c>
    </row>
    <row r="617" customFormat="false" ht="15" hidden="false" customHeight="true" outlineLevel="0" collapsed="false">
      <c r="A617" s="67" t="str">
        <f aca="false">IF(OR(TRIM(C617)="",SUBSTITUTE(C617," ","")="소계"),"제외",IF(ISNUMBER(SEARCH("홍콩",C617)),"HK",IF(ISNUMBER(SEARCH("상해",C617)),"CN",IF(ISNUMBER(SEARCH("대만",C617)),"TW","홀세일"))))</f>
        <v>HK</v>
      </c>
      <c r="B617" s="87" t="s">
        <v>823</v>
      </c>
      <c r="C617" s="88" t="s">
        <v>824</v>
      </c>
      <c r="D617" s="88" t="s">
        <v>723</v>
      </c>
      <c r="E617" s="87" t="n">
        <v>2026</v>
      </c>
      <c r="F617" s="88" t="s">
        <v>421</v>
      </c>
      <c r="G617" s="88" t="s">
        <v>180</v>
      </c>
      <c r="H617" s="87" t="s">
        <v>246</v>
      </c>
      <c r="I617" s="87" t="s">
        <v>1074</v>
      </c>
      <c r="J617" s="87" t="s">
        <v>1075</v>
      </c>
      <c r="K617" s="89" t="n">
        <v>230</v>
      </c>
      <c r="L617" s="89" t="n">
        <v>73370000</v>
      </c>
      <c r="M617" s="89" t="n">
        <v>27642780</v>
      </c>
      <c r="N617" s="90" t="n">
        <f aca="false">IF(A617="제외",0,IF(OR(N(L617)&lt;=0,N(M617)&gt;N(L617)),N(M617)/가정!$B$4,N(L617)))</f>
        <v>73370000</v>
      </c>
      <c r="O617" s="67" t="str">
        <f aca="false">IF(A617="제외","",IF(OR(N(L617)&lt;=0,N(M617)&gt;N(L617)),"택가보정(판매금액÷공급율)",""))</f>
        <v/>
      </c>
    </row>
    <row r="618" customFormat="false" ht="15" hidden="false" customHeight="true" outlineLevel="0" collapsed="false">
      <c r="A618" s="67" t="str">
        <f aca="false">IF(OR(TRIM(C618)="",SUBSTITUTE(C618," ","")="소계"),"제외",IF(ISNUMBER(SEARCH("홍콩",C618)),"HK",IF(ISNUMBER(SEARCH("상해",C618)),"CN",IF(ISNUMBER(SEARCH("대만",C618)),"TW","홀세일"))))</f>
        <v>HK</v>
      </c>
      <c r="B618" s="87" t="s">
        <v>823</v>
      </c>
      <c r="C618" s="88" t="s">
        <v>824</v>
      </c>
      <c r="D618" s="88" t="s">
        <v>723</v>
      </c>
      <c r="E618" s="87" t="n">
        <v>2026</v>
      </c>
      <c r="F618" s="88" t="s">
        <v>421</v>
      </c>
      <c r="G618" s="88" t="s">
        <v>180</v>
      </c>
      <c r="H618" s="87" t="s">
        <v>246</v>
      </c>
      <c r="I618" s="87" t="s">
        <v>793</v>
      </c>
      <c r="J618" s="87" t="s">
        <v>794</v>
      </c>
      <c r="K618" s="89" t="n">
        <v>240</v>
      </c>
      <c r="L618" s="89" t="n">
        <v>47760000</v>
      </c>
      <c r="M618" s="89" t="n">
        <v>15198480</v>
      </c>
      <c r="N618" s="90" t="n">
        <f aca="false">IF(A618="제외",0,IF(OR(N(L618)&lt;=0,N(M618)&gt;N(L618)),N(M618)/가정!$B$4,N(L618)))</f>
        <v>47760000</v>
      </c>
      <c r="O618" s="67" t="str">
        <f aca="false">IF(A618="제외","",IF(OR(N(L618)&lt;=0,N(M618)&gt;N(L618)),"택가보정(판매금액÷공급율)",""))</f>
        <v/>
      </c>
    </row>
    <row r="619" customFormat="false" ht="15" hidden="false" customHeight="true" outlineLevel="0" collapsed="false">
      <c r="A619" s="67" t="str">
        <f aca="false">IF(OR(TRIM(C619)="",SUBSTITUTE(C619," ","")="소계"),"제외",IF(ISNUMBER(SEARCH("홍콩",C619)),"HK",IF(ISNUMBER(SEARCH("상해",C619)),"CN",IF(ISNUMBER(SEARCH("대만",C619)),"TW","홀세일"))))</f>
        <v>HK</v>
      </c>
      <c r="B619" s="87" t="s">
        <v>823</v>
      </c>
      <c r="C619" s="88" t="s">
        <v>824</v>
      </c>
      <c r="D619" s="88" t="s">
        <v>723</v>
      </c>
      <c r="E619" s="87" t="n">
        <v>2026</v>
      </c>
      <c r="F619" s="88" t="s">
        <v>532</v>
      </c>
      <c r="G619" s="88" t="s">
        <v>180</v>
      </c>
      <c r="H619" s="87" t="s">
        <v>181</v>
      </c>
      <c r="I619" s="87" t="s">
        <v>795</v>
      </c>
      <c r="J619" s="88" t="s">
        <v>796</v>
      </c>
      <c r="K619" s="89" t="n">
        <v>237</v>
      </c>
      <c r="L619" s="89" t="n">
        <v>208323000</v>
      </c>
      <c r="M619" s="89" t="n">
        <v>72151332</v>
      </c>
      <c r="N619" s="90" t="n">
        <f aca="false">IF(A619="제외",0,IF(OR(N(L619)&lt;=0,N(M619)&gt;N(L619)),N(M619)/가정!$B$4,N(L619)))</f>
        <v>208323000</v>
      </c>
      <c r="O619" s="67" t="str">
        <f aca="false">IF(A619="제외","",IF(OR(N(L619)&lt;=0,N(M619)&gt;N(L619)),"택가보정(판매금액÷공급율)",""))</f>
        <v/>
      </c>
    </row>
    <row r="620" customFormat="false" ht="15" hidden="false" customHeight="true" outlineLevel="0" collapsed="false">
      <c r="A620" s="67" t="str">
        <f aca="false">IF(OR(TRIM(C620)="",SUBSTITUTE(C620," ","")="소계"),"제외",IF(ISNUMBER(SEARCH("홍콩",C620)),"HK",IF(ISNUMBER(SEARCH("상해",C620)),"CN",IF(ISNUMBER(SEARCH("대만",C620)),"TW","홀세일"))))</f>
        <v>HK</v>
      </c>
      <c r="B620" s="87" t="s">
        <v>823</v>
      </c>
      <c r="C620" s="88" t="s">
        <v>824</v>
      </c>
      <c r="D620" s="88" t="s">
        <v>723</v>
      </c>
      <c r="E620" s="87" t="n">
        <v>2026</v>
      </c>
      <c r="F620" s="88" t="s">
        <v>532</v>
      </c>
      <c r="G620" s="88" t="s">
        <v>180</v>
      </c>
      <c r="H620" s="87" t="s">
        <v>246</v>
      </c>
      <c r="I620" s="87" t="s">
        <v>797</v>
      </c>
      <c r="J620" s="87" t="s">
        <v>798</v>
      </c>
      <c r="K620" s="89" t="n">
        <v>246</v>
      </c>
      <c r="L620" s="89" t="n">
        <v>196554000</v>
      </c>
      <c r="M620" s="89" t="n">
        <v>68082960</v>
      </c>
      <c r="N620" s="90" t="n">
        <f aca="false">IF(A620="제외",0,IF(OR(N(L620)&lt;=0,N(M620)&gt;N(L620)),N(M620)/가정!$B$4,N(L620)))</f>
        <v>196554000</v>
      </c>
      <c r="O620" s="67" t="str">
        <f aca="false">IF(A620="제외","",IF(OR(N(L620)&lt;=0,N(M620)&gt;N(L620)),"택가보정(판매금액÷공급율)",""))</f>
        <v/>
      </c>
    </row>
    <row r="621" customFormat="false" ht="15" hidden="false" customHeight="true" outlineLevel="0" collapsed="false">
      <c r="A621" s="67" t="str">
        <f aca="false">IF(OR(TRIM(C621)="",SUBSTITUTE(C621," ","")="소계"),"제외",IF(ISNUMBER(SEARCH("홍콩",C621)),"HK",IF(ISNUMBER(SEARCH("상해",C621)),"CN",IF(ISNUMBER(SEARCH("대만",C621)),"TW","홀세일"))))</f>
        <v>HK</v>
      </c>
      <c r="B621" s="87" t="s">
        <v>823</v>
      </c>
      <c r="C621" s="88" t="s">
        <v>824</v>
      </c>
      <c r="D621" s="88" t="s">
        <v>723</v>
      </c>
      <c r="E621" s="87" t="n">
        <v>2026</v>
      </c>
      <c r="F621" s="88" t="s">
        <v>532</v>
      </c>
      <c r="G621" s="88" t="s">
        <v>180</v>
      </c>
      <c r="H621" s="87" t="s">
        <v>246</v>
      </c>
      <c r="I621" s="87" t="s">
        <v>799</v>
      </c>
      <c r="J621" s="87" t="s">
        <v>800</v>
      </c>
      <c r="K621" s="89" t="n">
        <v>385</v>
      </c>
      <c r="L621" s="89" t="n">
        <v>115115000</v>
      </c>
      <c r="M621" s="89" t="n">
        <v>38580465</v>
      </c>
      <c r="N621" s="90" t="n">
        <f aca="false">IF(A621="제외",0,IF(OR(N(L621)&lt;=0,N(M621)&gt;N(L621)),N(M621)/가정!$B$4,N(L621)))</f>
        <v>115115000</v>
      </c>
      <c r="O621" s="67" t="str">
        <f aca="false">IF(A621="제외","",IF(OR(N(L621)&lt;=0,N(M621)&gt;N(L621)),"택가보정(판매금액÷공급율)",""))</f>
        <v/>
      </c>
    </row>
    <row r="622" customFormat="false" ht="15" hidden="false" customHeight="true" outlineLevel="0" collapsed="false">
      <c r="A622" s="67" t="str">
        <f aca="false">IF(OR(TRIM(C622)="",SUBSTITUTE(C622," ","")="소계"),"제외",IF(ISNUMBER(SEARCH("홍콩",C622)),"HK",IF(ISNUMBER(SEARCH("상해",C622)),"CN",IF(ISNUMBER(SEARCH("대만",C622)),"TW","홀세일"))))</f>
        <v>HK</v>
      </c>
      <c r="B622" s="87" t="s">
        <v>823</v>
      </c>
      <c r="C622" s="88" t="s">
        <v>824</v>
      </c>
      <c r="D622" s="88" t="s">
        <v>723</v>
      </c>
      <c r="E622" s="87" t="n">
        <v>2026</v>
      </c>
      <c r="F622" s="88" t="s">
        <v>532</v>
      </c>
      <c r="G622" s="88" t="s">
        <v>180</v>
      </c>
      <c r="H622" s="87" t="s">
        <v>246</v>
      </c>
      <c r="I622" s="87" t="s">
        <v>805</v>
      </c>
      <c r="J622" s="87" t="s">
        <v>806</v>
      </c>
      <c r="K622" s="89" t="n">
        <v>200</v>
      </c>
      <c r="L622" s="89" t="n">
        <v>31800000</v>
      </c>
      <c r="M622" s="89" t="n">
        <v>10296200</v>
      </c>
      <c r="N622" s="90" t="n">
        <f aca="false">IF(A622="제외",0,IF(OR(N(L622)&lt;=0,N(M622)&gt;N(L622)),N(M622)/가정!$B$4,N(L622)))</f>
        <v>31800000</v>
      </c>
      <c r="O622" s="67" t="str">
        <f aca="false">IF(A622="제외","",IF(OR(N(L622)&lt;=0,N(M622)&gt;N(L622)),"택가보정(판매금액÷공급율)",""))</f>
        <v/>
      </c>
    </row>
    <row r="623" customFormat="false" ht="15" hidden="false" customHeight="true" outlineLevel="0" collapsed="false">
      <c r="A623" s="67" t="str">
        <f aca="false">IF(OR(TRIM(C623)="",SUBSTITUTE(C623," ","")="소계"),"제외",IF(ISNUMBER(SEARCH("홍콩",C623)),"HK",IF(ISNUMBER(SEARCH("상해",C623)),"CN",IF(ISNUMBER(SEARCH("대만",C623)),"TW","홀세일"))))</f>
        <v>제외</v>
      </c>
      <c r="B623" s="87" t="s">
        <v>821</v>
      </c>
      <c r="C623" s="88" t="s">
        <v>822</v>
      </c>
      <c r="D623" s="87"/>
      <c r="E623" s="87"/>
      <c r="F623" s="87"/>
      <c r="G623" s="87"/>
      <c r="H623" s="87"/>
      <c r="I623" s="87"/>
      <c r="J623" s="87"/>
      <c r="K623" s="89" t="n">
        <v>82933</v>
      </c>
      <c r="L623" s="89" t="n">
        <v>10327947639</v>
      </c>
      <c r="M623" s="89" t="n">
        <v>3688967198</v>
      </c>
      <c r="N623" s="90" t="n">
        <f aca="false">IF(A623="제외",0,IF(OR(N(L623)&lt;=0,N(M623)&gt;N(L623)),N(M623)/가정!$B$4,N(L623)))</f>
        <v>0</v>
      </c>
      <c r="O623" s="67" t="str">
        <f aca="false">IF(A623="제외","",IF(OR(N(L623)&lt;=0,N(M623)&gt;N(L623)),"택가보정(판매금액÷공급율)",""))</f>
        <v/>
      </c>
    </row>
    <row r="624" customFormat="false" ht="15" hidden="false" customHeight="true" outlineLevel="0" collapsed="false">
      <c r="A624" s="67" t="str">
        <f aca="false">IF(OR(TRIM(C624)="",SUBSTITUTE(C624," ","")="소계"),"제외",IF(ISNUMBER(SEARCH("홍콩",C624)),"HK",IF(ISNUMBER(SEARCH("상해",C624)),"CN",IF(ISNUMBER(SEARCH("대만",C624)),"TW","홀세일"))))</f>
        <v>CN</v>
      </c>
      <c r="B624" s="87" t="s">
        <v>1076</v>
      </c>
      <c r="C624" s="88" t="s">
        <v>1077</v>
      </c>
      <c r="D624" s="88" t="s">
        <v>178</v>
      </c>
      <c r="E624" s="87" t="n">
        <v>2025</v>
      </c>
      <c r="F624" s="87" t="s">
        <v>639</v>
      </c>
      <c r="G624" s="88" t="s">
        <v>827</v>
      </c>
      <c r="H624" s="87" t="s">
        <v>189</v>
      </c>
      <c r="I624" s="87" t="s">
        <v>1078</v>
      </c>
      <c r="J624" s="88" t="s">
        <v>1079</v>
      </c>
      <c r="K624" s="89" t="n">
        <v>50</v>
      </c>
      <c r="L624" s="89" t="n">
        <v>10950000</v>
      </c>
      <c r="M624" s="89" t="n">
        <v>2449900</v>
      </c>
      <c r="N624" s="90" t="n">
        <f aca="false">IF(A624="제외",0,IF(OR(N(L624)&lt;=0,N(M624)&gt;N(L624)),N(M624)/가정!$B$4,N(L624)))</f>
        <v>10950000</v>
      </c>
      <c r="O624" s="67" t="str">
        <f aca="false">IF(A624="제외","",IF(OR(N(L624)&lt;=0,N(M624)&gt;N(L624)),"택가보정(판매금액÷공급율)",""))</f>
        <v/>
      </c>
    </row>
    <row r="625" customFormat="false" ht="15" hidden="false" customHeight="true" outlineLevel="0" collapsed="false">
      <c r="A625" s="67" t="str">
        <f aca="false">IF(OR(TRIM(C625)="",SUBSTITUTE(C625," ","")="소계"),"제외",IF(ISNUMBER(SEARCH("홍콩",C625)),"HK",IF(ISNUMBER(SEARCH("상해",C625)),"CN",IF(ISNUMBER(SEARCH("대만",C625)),"TW","홀세일"))))</f>
        <v>CN</v>
      </c>
      <c r="B625" s="87" t="s">
        <v>1076</v>
      </c>
      <c r="C625" s="88" t="s">
        <v>1077</v>
      </c>
      <c r="D625" s="88" t="s">
        <v>178</v>
      </c>
      <c r="E625" s="87" t="n">
        <v>2025</v>
      </c>
      <c r="F625" s="87" t="s">
        <v>639</v>
      </c>
      <c r="G625" s="88" t="s">
        <v>827</v>
      </c>
      <c r="H625" s="88" t="s">
        <v>830</v>
      </c>
      <c r="I625" s="87" t="s">
        <v>1080</v>
      </c>
      <c r="J625" s="87" t="s">
        <v>1081</v>
      </c>
      <c r="K625" s="89" t="n">
        <v>30</v>
      </c>
      <c r="L625" s="89" t="n">
        <v>10440000</v>
      </c>
      <c r="M625" s="89" t="n">
        <v>4182690</v>
      </c>
      <c r="N625" s="90" t="n">
        <f aca="false">IF(A625="제외",0,IF(OR(N(L625)&lt;=0,N(M625)&gt;N(L625)),N(M625)/가정!$B$4,N(L625)))</f>
        <v>10440000</v>
      </c>
      <c r="O625" s="67" t="str">
        <f aca="false">IF(A625="제외","",IF(OR(N(L625)&lt;=0,N(M625)&gt;N(L625)),"택가보정(판매금액÷공급율)",""))</f>
        <v/>
      </c>
    </row>
    <row r="626" customFormat="false" ht="15" hidden="false" customHeight="true" outlineLevel="0" collapsed="false">
      <c r="A626" s="67" t="str">
        <f aca="false">IF(OR(TRIM(C626)="",SUBSTITUTE(C626," ","")="소계"),"제외",IF(ISNUMBER(SEARCH("홍콩",C626)),"HK",IF(ISNUMBER(SEARCH("상해",C626)),"CN",IF(ISNUMBER(SEARCH("대만",C626)),"TW","홀세일"))))</f>
        <v>CN</v>
      </c>
      <c r="B626" s="87" t="s">
        <v>1076</v>
      </c>
      <c r="C626" s="88" t="s">
        <v>1077</v>
      </c>
      <c r="D626" s="88" t="s">
        <v>178</v>
      </c>
      <c r="E626" s="87" t="n">
        <v>2025</v>
      </c>
      <c r="F626" s="87" t="s">
        <v>639</v>
      </c>
      <c r="G626" s="88" t="s">
        <v>827</v>
      </c>
      <c r="H626" s="88" t="s">
        <v>185</v>
      </c>
      <c r="I626" s="87" t="s">
        <v>1082</v>
      </c>
      <c r="J626" s="87" t="s">
        <v>1083</v>
      </c>
      <c r="K626" s="89" t="n">
        <v>25</v>
      </c>
      <c r="L626" s="89" t="n">
        <v>5725000</v>
      </c>
      <c r="M626" s="89" t="n">
        <v>1599875</v>
      </c>
      <c r="N626" s="90" t="n">
        <f aca="false">IF(A626="제외",0,IF(OR(N(L626)&lt;=0,N(M626)&gt;N(L626)),N(M626)/가정!$B$4,N(L626)))</f>
        <v>5725000</v>
      </c>
      <c r="O626" s="67" t="str">
        <f aca="false">IF(A626="제외","",IF(OR(N(L626)&lt;=0,N(M626)&gt;N(L626)),"택가보정(판매금액÷공급율)",""))</f>
        <v/>
      </c>
    </row>
    <row r="627" customFormat="false" ht="15" hidden="false" customHeight="true" outlineLevel="0" collapsed="false">
      <c r="A627" s="67" t="str">
        <f aca="false">IF(OR(TRIM(C627)="",SUBSTITUTE(C627," ","")="소계"),"제외",IF(ISNUMBER(SEARCH("홍콩",C627)),"HK",IF(ISNUMBER(SEARCH("상해",C627)),"CN",IF(ISNUMBER(SEARCH("대만",C627)),"TW","홀세일"))))</f>
        <v>CN</v>
      </c>
      <c r="B627" s="87" t="s">
        <v>1076</v>
      </c>
      <c r="C627" s="88" t="s">
        <v>1077</v>
      </c>
      <c r="D627" s="88" t="s">
        <v>178</v>
      </c>
      <c r="E627" s="87" t="n">
        <v>2025</v>
      </c>
      <c r="F627" s="87" t="s">
        <v>639</v>
      </c>
      <c r="G627" s="88" t="s">
        <v>827</v>
      </c>
      <c r="H627" s="88" t="s">
        <v>185</v>
      </c>
      <c r="I627" s="87" t="s">
        <v>1084</v>
      </c>
      <c r="J627" s="87" t="s">
        <v>1085</v>
      </c>
      <c r="K627" s="89" t="n">
        <v>25</v>
      </c>
      <c r="L627" s="89" t="n">
        <v>7725000</v>
      </c>
      <c r="M627" s="89" t="n">
        <v>2223500</v>
      </c>
      <c r="N627" s="90" t="n">
        <f aca="false">IF(A627="제외",0,IF(OR(N(L627)&lt;=0,N(M627)&gt;N(L627)),N(M627)/가정!$B$4,N(L627)))</f>
        <v>7725000</v>
      </c>
      <c r="O627" s="67" t="str">
        <f aca="false">IF(A627="제외","",IF(OR(N(L627)&lt;=0,N(M627)&gt;N(L627)),"택가보정(판매금액÷공급율)",""))</f>
        <v/>
      </c>
    </row>
    <row r="628" customFormat="false" ht="15" hidden="false" customHeight="true" outlineLevel="0" collapsed="false">
      <c r="A628" s="67" t="str">
        <f aca="false">IF(OR(TRIM(C628)="",SUBSTITUTE(C628," ","")="소계"),"제외",IF(ISNUMBER(SEARCH("홍콩",C628)),"HK",IF(ISNUMBER(SEARCH("상해",C628)),"CN",IF(ISNUMBER(SEARCH("대만",C628)),"TW","홀세일"))))</f>
        <v>CN</v>
      </c>
      <c r="B628" s="87" t="s">
        <v>1076</v>
      </c>
      <c r="C628" s="88" t="s">
        <v>1077</v>
      </c>
      <c r="D628" s="88" t="s">
        <v>178</v>
      </c>
      <c r="E628" s="87" t="n">
        <v>2026</v>
      </c>
      <c r="F628" s="88" t="s">
        <v>179</v>
      </c>
      <c r="G628" s="88" t="s">
        <v>188</v>
      </c>
      <c r="H628" s="87" t="s">
        <v>189</v>
      </c>
      <c r="I628" s="87" t="s">
        <v>206</v>
      </c>
      <c r="J628" s="88" t="s">
        <v>207</v>
      </c>
      <c r="K628" s="89" t="n">
        <v>280</v>
      </c>
      <c r="L628" s="89" t="n">
        <v>50120000</v>
      </c>
      <c r="M628" s="89" t="n">
        <v>14770280</v>
      </c>
      <c r="N628" s="90" t="n">
        <f aca="false">IF(A628="제외",0,IF(OR(N(L628)&lt;=0,N(M628)&gt;N(L628)),N(M628)/가정!$B$4,N(L628)))</f>
        <v>50120000</v>
      </c>
      <c r="O628" s="67" t="str">
        <f aca="false">IF(A628="제외","",IF(OR(N(L628)&lt;=0,N(M628)&gt;N(L628)),"택가보정(판매금액÷공급율)",""))</f>
        <v/>
      </c>
    </row>
    <row r="629" customFormat="false" ht="15" hidden="false" customHeight="true" outlineLevel="0" collapsed="false">
      <c r="A629" s="67" t="str">
        <f aca="false">IF(OR(TRIM(C629)="",SUBSTITUTE(C629," ","")="소계"),"제외",IF(ISNUMBER(SEARCH("홍콩",C629)),"HK",IF(ISNUMBER(SEARCH("상해",C629)),"CN",IF(ISNUMBER(SEARCH("대만",C629)),"TW","홀세일"))))</f>
        <v>CN</v>
      </c>
      <c r="B629" s="87" t="s">
        <v>1076</v>
      </c>
      <c r="C629" s="88" t="s">
        <v>1077</v>
      </c>
      <c r="D629" s="88" t="s">
        <v>178</v>
      </c>
      <c r="E629" s="87" t="n">
        <v>2026</v>
      </c>
      <c r="F629" s="88" t="s">
        <v>179</v>
      </c>
      <c r="G629" s="88" t="s">
        <v>180</v>
      </c>
      <c r="H629" s="87" t="s">
        <v>189</v>
      </c>
      <c r="I629" s="87" t="s">
        <v>1086</v>
      </c>
      <c r="J629" s="87" t="s">
        <v>1087</v>
      </c>
      <c r="K629" s="89" t="n">
        <v>2</v>
      </c>
      <c r="L629" s="89" t="n">
        <v>318000</v>
      </c>
      <c r="M629" s="89" t="n">
        <v>101018</v>
      </c>
      <c r="N629" s="90" t="n">
        <f aca="false">IF(A629="제외",0,IF(OR(N(L629)&lt;=0,N(M629)&gt;N(L629)),N(M629)/가정!$B$4,N(L629)))</f>
        <v>318000</v>
      </c>
      <c r="O629" s="67" t="str">
        <f aca="false">IF(A629="제외","",IF(OR(N(L629)&lt;=0,N(M629)&gt;N(L629)),"택가보정(판매금액÷공급율)",""))</f>
        <v/>
      </c>
    </row>
    <row r="630" customFormat="false" ht="15" hidden="false" customHeight="true" outlineLevel="0" collapsed="false">
      <c r="A630" s="67" t="str">
        <f aca="false">IF(OR(TRIM(C630)="",SUBSTITUTE(C630," ","")="소계"),"제외",IF(ISNUMBER(SEARCH("홍콩",C630)),"HK",IF(ISNUMBER(SEARCH("상해",C630)),"CN",IF(ISNUMBER(SEARCH("대만",C630)),"TW","홀세일"))))</f>
        <v>CN</v>
      </c>
      <c r="B630" s="87" t="s">
        <v>1076</v>
      </c>
      <c r="C630" s="88" t="s">
        <v>1077</v>
      </c>
      <c r="D630" s="88" t="s">
        <v>178</v>
      </c>
      <c r="E630" s="87" t="n">
        <v>2026</v>
      </c>
      <c r="F630" s="88" t="s">
        <v>179</v>
      </c>
      <c r="G630" s="88" t="s">
        <v>180</v>
      </c>
      <c r="H630" s="87" t="s">
        <v>189</v>
      </c>
      <c r="I630" s="87" t="s">
        <v>1088</v>
      </c>
      <c r="J630" s="87" t="s">
        <v>1089</v>
      </c>
      <c r="K630" s="89" t="n">
        <v>4</v>
      </c>
      <c r="L630" s="89" t="n">
        <v>476000</v>
      </c>
      <c r="M630" s="89" t="n">
        <v>137176</v>
      </c>
      <c r="N630" s="90" t="n">
        <f aca="false">IF(A630="제외",0,IF(OR(N(L630)&lt;=0,N(M630)&gt;N(L630)),N(M630)/가정!$B$4,N(L630)))</f>
        <v>476000</v>
      </c>
      <c r="O630" s="67" t="str">
        <f aca="false">IF(A630="제외","",IF(OR(N(L630)&lt;=0,N(M630)&gt;N(L630)),"택가보정(판매금액÷공급율)",""))</f>
        <v/>
      </c>
    </row>
    <row r="631" customFormat="false" ht="15" hidden="false" customHeight="true" outlineLevel="0" collapsed="false">
      <c r="A631" s="67" t="str">
        <f aca="false">IF(OR(TRIM(C631)="",SUBSTITUTE(C631," ","")="소계"),"제외",IF(ISNUMBER(SEARCH("홍콩",C631)),"HK",IF(ISNUMBER(SEARCH("상해",C631)),"CN",IF(ISNUMBER(SEARCH("대만",C631)),"TW","홀세일"))))</f>
        <v>CN</v>
      </c>
      <c r="B631" s="87" t="s">
        <v>1076</v>
      </c>
      <c r="C631" s="88" t="s">
        <v>1077</v>
      </c>
      <c r="D631" s="88" t="s">
        <v>178</v>
      </c>
      <c r="E631" s="87" t="n">
        <v>2026</v>
      </c>
      <c r="F631" s="88" t="s">
        <v>179</v>
      </c>
      <c r="G631" s="88" t="s">
        <v>180</v>
      </c>
      <c r="H631" s="87" t="s">
        <v>189</v>
      </c>
      <c r="I631" s="87" t="s">
        <v>1090</v>
      </c>
      <c r="J631" s="87" t="s">
        <v>1091</v>
      </c>
      <c r="K631" s="89" t="n">
        <v>100</v>
      </c>
      <c r="L631" s="89" t="n">
        <v>12900000</v>
      </c>
      <c r="M631" s="89" t="n">
        <v>3985800</v>
      </c>
      <c r="N631" s="90" t="n">
        <f aca="false">IF(A631="제외",0,IF(OR(N(L631)&lt;=0,N(M631)&gt;N(L631)),N(M631)/가정!$B$4,N(L631)))</f>
        <v>12900000</v>
      </c>
      <c r="O631" s="67" t="str">
        <f aca="false">IF(A631="제외","",IF(OR(N(L631)&lt;=0,N(M631)&gt;N(L631)),"택가보정(판매금액÷공급율)",""))</f>
        <v/>
      </c>
    </row>
    <row r="632" customFormat="false" ht="15" hidden="false" customHeight="true" outlineLevel="0" collapsed="false">
      <c r="A632" s="67" t="str">
        <f aca="false">IF(OR(TRIM(C632)="",SUBSTITUTE(C632," ","")="소계"),"제외",IF(ISNUMBER(SEARCH("홍콩",C632)),"HK",IF(ISNUMBER(SEARCH("상해",C632)),"CN",IF(ISNUMBER(SEARCH("대만",C632)),"TW","홀세일"))))</f>
        <v>CN</v>
      </c>
      <c r="B632" s="87" t="s">
        <v>1076</v>
      </c>
      <c r="C632" s="88" t="s">
        <v>1077</v>
      </c>
      <c r="D632" s="88" t="s">
        <v>178</v>
      </c>
      <c r="E632" s="87" t="n">
        <v>2026</v>
      </c>
      <c r="F632" s="88" t="s">
        <v>179</v>
      </c>
      <c r="G632" s="88" t="s">
        <v>180</v>
      </c>
      <c r="H632" s="87" t="s">
        <v>181</v>
      </c>
      <c r="I632" s="87" t="s">
        <v>1092</v>
      </c>
      <c r="J632" s="88" t="s">
        <v>1093</v>
      </c>
      <c r="K632" s="89" t="n">
        <v>306</v>
      </c>
      <c r="L632" s="89" t="n">
        <v>24174000</v>
      </c>
      <c r="M632" s="89" t="n">
        <v>4515521</v>
      </c>
      <c r="N632" s="90" t="n">
        <f aca="false">IF(A632="제외",0,IF(OR(N(L632)&lt;=0,N(M632)&gt;N(L632)),N(M632)/가정!$B$4,N(L632)))</f>
        <v>24174000</v>
      </c>
      <c r="O632" s="67" t="str">
        <f aca="false">IF(A632="제외","",IF(OR(N(L632)&lt;=0,N(M632)&gt;N(L632)),"택가보정(판매금액÷공급율)",""))</f>
        <v/>
      </c>
    </row>
    <row r="633" customFormat="false" ht="15" hidden="false" customHeight="true" outlineLevel="0" collapsed="false">
      <c r="A633" s="67" t="str">
        <f aca="false">IF(OR(TRIM(C633)="",SUBSTITUTE(C633," ","")="소계"),"제외",IF(ISNUMBER(SEARCH("홍콩",C633)),"HK",IF(ISNUMBER(SEARCH("상해",C633)),"CN",IF(ISNUMBER(SEARCH("대만",C633)),"TW","홀세일"))))</f>
        <v>CN</v>
      </c>
      <c r="B633" s="87" t="s">
        <v>1076</v>
      </c>
      <c r="C633" s="88" t="s">
        <v>1077</v>
      </c>
      <c r="D633" s="88" t="s">
        <v>178</v>
      </c>
      <c r="E633" s="87" t="n">
        <v>2026</v>
      </c>
      <c r="F633" s="88" t="s">
        <v>179</v>
      </c>
      <c r="G633" s="88" t="s">
        <v>180</v>
      </c>
      <c r="H633" s="87" t="s">
        <v>189</v>
      </c>
      <c r="I633" s="87" t="s">
        <v>220</v>
      </c>
      <c r="J633" s="88" t="s">
        <v>221</v>
      </c>
      <c r="K633" s="89" t="n">
        <v>260</v>
      </c>
      <c r="L633" s="89" t="n">
        <v>51740000</v>
      </c>
      <c r="M633" s="89" t="n">
        <v>11635000</v>
      </c>
      <c r="N633" s="90" t="n">
        <f aca="false">IF(A633="제외",0,IF(OR(N(L633)&lt;=0,N(M633)&gt;N(L633)),N(M633)/가정!$B$4,N(L633)))</f>
        <v>51740000</v>
      </c>
      <c r="O633" s="67" t="str">
        <f aca="false">IF(A633="제외","",IF(OR(N(L633)&lt;=0,N(M633)&gt;N(L633)),"택가보정(판매금액÷공급율)",""))</f>
        <v/>
      </c>
    </row>
    <row r="634" customFormat="false" ht="15" hidden="false" customHeight="true" outlineLevel="0" collapsed="false">
      <c r="A634" s="67" t="str">
        <f aca="false">IF(OR(TRIM(C634)="",SUBSTITUTE(C634," ","")="소계"),"제외",IF(ISNUMBER(SEARCH("홍콩",C634)),"HK",IF(ISNUMBER(SEARCH("상해",C634)),"CN",IF(ISNUMBER(SEARCH("대만",C634)),"TW","홀세일"))))</f>
        <v>CN</v>
      </c>
      <c r="B634" s="87" t="s">
        <v>1076</v>
      </c>
      <c r="C634" s="88" t="s">
        <v>1077</v>
      </c>
      <c r="D634" s="88" t="s">
        <v>178</v>
      </c>
      <c r="E634" s="87" t="n">
        <v>2026</v>
      </c>
      <c r="F634" s="88" t="s">
        <v>179</v>
      </c>
      <c r="G634" s="88" t="s">
        <v>180</v>
      </c>
      <c r="H634" s="87" t="s">
        <v>189</v>
      </c>
      <c r="I634" s="87" t="s">
        <v>242</v>
      </c>
      <c r="J634" s="88" t="s">
        <v>243</v>
      </c>
      <c r="K634" s="89" t="n">
        <v>80</v>
      </c>
      <c r="L634" s="89" t="n">
        <v>6320000</v>
      </c>
      <c r="M634" s="89" t="n">
        <v>1474320</v>
      </c>
      <c r="N634" s="90" t="n">
        <f aca="false">IF(A634="제외",0,IF(OR(N(L634)&lt;=0,N(M634)&gt;N(L634)),N(M634)/가정!$B$4,N(L634)))</f>
        <v>6320000</v>
      </c>
      <c r="O634" s="67" t="str">
        <f aca="false">IF(A634="제외","",IF(OR(N(L634)&lt;=0,N(M634)&gt;N(L634)),"택가보정(판매금액÷공급율)",""))</f>
        <v/>
      </c>
    </row>
    <row r="635" customFormat="false" ht="15" hidden="false" customHeight="true" outlineLevel="0" collapsed="false">
      <c r="A635" s="67" t="str">
        <f aca="false">IF(OR(TRIM(C635)="",SUBSTITUTE(C635," ","")="소계"),"제외",IF(ISNUMBER(SEARCH("홍콩",C635)),"HK",IF(ISNUMBER(SEARCH("상해",C635)),"CN",IF(ISNUMBER(SEARCH("대만",C635)),"TW","홀세일"))))</f>
        <v>CN</v>
      </c>
      <c r="B635" s="87" t="s">
        <v>1076</v>
      </c>
      <c r="C635" s="88" t="s">
        <v>1077</v>
      </c>
      <c r="D635" s="88" t="s">
        <v>178</v>
      </c>
      <c r="E635" s="87" t="n">
        <v>2026</v>
      </c>
      <c r="F635" s="88" t="s">
        <v>179</v>
      </c>
      <c r="G635" s="88" t="s">
        <v>180</v>
      </c>
      <c r="H635" s="87" t="s">
        <v>246</v>
      </c>
      <c r="I635" s="87" t="s">
        <v>257</v>
      </c>
      <c r="J635" s="87" t="s">
        <v>258</v>
      </c>
      <c r="K635" s="89" t="n">
        <v>130</v>
      </c>
      <c r="L635" s="89" t="n">
        <v>20670000</v>
      </c>
      <c r="M635" s="89" t="n">
        <v>5531370</v>
      </c>
      <c r="N635" s="90" t="n">
        <f aca="false">IF(A635="제외",0,IF(OR(N(L635)&lt;=0,N(M635)&gt;N(L635)),N(M635)/가정!$B$4,N(L635)))</f>
        <v>20670000</v>
      </c>
      <c r="O635" s="67" t="str">
        <f aca="false">IF(A635="제외","",IF(OR(N(L635)&lt;=0,N(M635)&gt;N(L635)),"택가보정(판매금액÷공급율)",""))</f>
        <v/>
      </c>
    </row>
    <row r="636" customFormat="false" ht="15" hidden="false" customHeight="true" outlineLevel="0" collapsed="false">
      <c r="A636" s="67" t="str">
        <f aca="false">IF(OR(TRIM(C636)="",SUBSTITUTE(C636," ","")="소계"),"제외",IF(ISNUMBER(SEARCH("홍콩",C636)),"HK",IF(ISNUMBER(SEARCH("상해",C636)),"CN",IF(ISNUMBER(SEARCH("대만",C636)),"TW","홀세일"))))</f>
        <v>CN</v>
      </c>
      <c r="B636" s="87" t="s">
        <v>1076</v>
      </c>
      <c r="C636" s="88" t="s">
        <v>1077</v>
      </c>
      <c r="D636" s="88" t="s">
        <v>178</v>
      </c>
      <c r="E636" s="87" t="n">
        <v>2026</v>
      </c>
      <c r="F636" s="88" t="s">
        <v>277</v>
      </c>
      <c r="G636" s="88" t="s">
        <v>188</v>
      </c>
      <c r="H636" s="87" t="s">
        <v>189</v>
      </c>
      <c r="I636" s="87" t="s">
        <v>1094</v>
      </c>
      <c r="J636" s="87" t="s">
        <v>1095</v>
      </c>
      <c r="K636" s="89" t="n">
        <v>60</v>
      </c>
      <c r="L636" s="89" t="n">
        <v>3900000</v>
      </c>
      <c r="M636" s="89" t="n">
        <v>1133760</v>
      </c>
      <c r="N636" s="90" t="n">
        <f aca="false">IF(A636="제외",0,IF(OR(N(L636)&lt;=0,N(M636)&gt;N(L636)),N(M636)/가정!$B$4,N(L636)))</f>
        <v>3900000</v>
      </c>
      <c r="O636" s="67" t="str">
        <f aca="false">IF(A636="제외","",IF(OR(N(L636)&lt;=0,N(M636)&gt;N(L636)),"택가보정(판매금액÷공급율)",""))</f>
        <v/>
      </c>
    </row>
    <row r="637" customFormat="false" ht="15" hidden="false" customHeight="true" outlineLevel="0" collapsed="false">
      <c r="A637" s="67" t="str">
        <f aca="false">IF(OR(TRIM(C637)="",SUBSTITUTE(C637," ","")="소계"),"제외",IF(ISNUMBER(SEARCH("홍콩",C637)),"HK",IF(ISNUMBER(SEARCH("상해",C637)),"CN",IF(ISNUMBER(SEARCH("대만",C637)),"TW","홀세일"))))</f>
        <v>CN</v>
      </c>
      <c r="B637" s="87" t="s">
        <v>1076</v>
      </c>
      <c r="C637" s="88" t="s">
        <v>1077</v>
      </c>
      <c r="D637" s="88" t="s">
        <v>178</v>
      </c>
      <c r="E637" s="87" t="n">
        <v>2026</v>
      </c>
      <c r="F637" s="88" t="s">
        <v>277</v>
      </c>
      <c r="G637" s="88" t="s">
        <v>180</v>
      </c>
      <c r="H637" s="87" t="s">
        <v>189</v>
      </c>
      <c r="I637" s="87" t="s">
        <v>1096</v>
      </c>
      <c r="J637" s="87" t="s">
        <v>1097</v>
      </c>
      <c r="K637" s="89" t="n">
        <v>100</v>
      </c>
      <c r="L637" s="89" t="n">
        <v>8900000</v>
      </c>
      <c r="M637" s="89" t="n">
        <v>2868300</v>
      </c>
      <c r="N637" s="90" t="n">
        <f aca="false">IF(A637="제외",0,IF(OR(N(L637)&lt;=0,N(M637)&gt;N(L637)),N(M637)/가정!$B$4,N(L637)))</f>
        <v>8900000</v>
      </c>
      <c r="O637" s="67" t="str">
        <f aca="false">IF(A637="제외","",IF(OR(N(L637)&lt;=0,N(M637)&gt;N(L637)),"택가보정(판매금액÷공급율)",""))</f>
        <v/>
      </c>
    </row>
    <row r="638" customFormat="false" ht="15" hidden="false" customHeight="true" outlineLevel="0" collapsed="false">
      <c r="A638" s="67" t="str">
        <f aca="false">IF(OR(TRIM(C638)="",SUBSTITUTE(C638," ","")="소계"),"제외",IF(ISNUMBER(SEARCH("홍콩",C638)),"HK",IF(ISNUMBER(SEARCH("상해",C638)),"CN",IF(ISNUMBER(SEARCH("대만",C638)),"TW","홀세일"))))</f>
        <v>CN</v>
      </c>
      <c r="B638" s="87" t="s">
        <v>1076</v>
      </c>
      <c r="C638" s="88" t="s">
        <v>1077</v>
      </c>
      <c r="D638" s="88" t="s">
        <v>178</v>
      </c>
      <c r="E638" s="87" t="n">
        <v>2026</v>
      </c>
      <c r="F638" s="88" t="s">
        <v>277</v>
      </c>
      <c r="G638" s="88" t="s">
        <v>180</v>
      </c>
      <c r="H638" s="87" t="s">
        <v>189</v>
      </c>
      <c r="I638" s="87" t="s">
        <v>280</v>
      </c>
      <c r="J638" s="87" t="s">
        <v>281</v>
      </c>
      <c r="K638" s="89" t="n">
        <v>200</v>
      </c>
      <c r="L638" s="89" t="n">
        <v>25800000</v>
      </c>
      <c r="M638" s="89" t="n">
        <v>7049400</v>
      </c>
      <c r="N638" s="90" t="n">
        <f aca="false">IF(A638="제외",0,IF(OR(N(L638)&lt;=0,N(M638)&gt;N(L638)),N(M638)/가정!$B$4,N(L638)))</f>
        <v>25800000</v>
      </c>
      <c r="O638" s="67" t="str">
        <f aca="false">IF(A638="제외","",IF(OR(N(L638)&lt;=0,N(M638)&gt;N(L638)),"택가보정(판매금액÷공급율)",""))</f>
        <v/>
      </c>
    </row>
    <row r="639" customFormat="false" ht="15" hidden="false" customHeight="true" outlineLevel="0" collapsed="false">
      <c r="A639" s="67" t="str">
        <f aca="false">IF(OR(TRIM(C639)="",SUBSTITUTE(C639," ","")="소계"),"제외",IF(ISNUMBER(SEARCH("홍콩",C639)),"HK",IF(ISNUMBER(SEARCH("상해",C639)),"CN",IF(ISNUMBER(SEARCH("대만",C639)),"TW","홀세일"))))</f>
        <v>CN</v>
      </c>
      <c r="B639" s="87" t="s">
        <v>1076</v>
      </c>
      <c r="C639" s="88" t="s">
        <v>1077</v>
      </c>
      <c r="D639" s="88" t="s">
        <v>178</v>
      </c>
      <c r="E639" s="87" t="n">
        <v>2026</v>
      </c>
      <c r="F639" s="88" t="s">
        <v>277</v>
      </c>
      <c r="G639" s="88" t="s">
        <v>180</v>
      </c>
      <c r="H639" s="87" t="s">
        <v>189</v>
      </c>
      <c r="I639" s="87" t="s">
        <v>282</v>
      </c>
      <c r="J639" s="87" t="s">
        <v>283</v>
      </c>
      <c r="K639" s="89" t="n">
        <v>106</v>
      </c>
      <c r="L639" s="89" t="n">
        <v>11554000</v>
      </c>
      <c r="M639" s="89" t="n">
        <v>3312615</v>
      </c>
      <c r="N639" s="90" t="n">
        <f aca="false">IF(A639="제외",0,IF(OR(N(L639)&lt;=0,N(M639)&gt;N(L639)),N(M639)/가정!$B$4,N(L639)))</f>
        <v>11554000</v>
      </c>
      <c r="O639" s="67" t="str">
        <f aca="false">IF(A639="제외","",IF(OR(N(L639)&lt;=0,N(M639)&gt;N(L639)),"택가보정(판매금액÷공급율)",""))</f>
        <v/>
      </c>
    </row>
    <row r="640" customFormat="false" ht="15" hidden="false" customHeight="true" outlineLevel="0" collapsed="false">
      <c r="A640" s="67" t="str">
        <f aca="false">IF(OR(TRIM(C640)="",SUBSTITUTE(C640," ","")="소계"),"제외",IF(ISNUMBER(SEARCH("홍콩",C640)),"HK",IF(ISNUMBER(SEARCH("상해",C640)),"CN",IF(ISNUMBER(SEARCH("대만",C640)),"TW","홀세일"))))</f>
        <v>CN</v>
      </c>
      <c r="B640" s="87" t="s">
        <v>1076</v>
      </c>
      <c r="C640" s="88" t="s">
        <v>1077</v>
      </c>
      <c r="D640" s="88" t="s">
        <v>178</v>
      </c>
      <c r="E640" s="87" t="n">
        <v>2026</v>
      </c>
      <c r="F640" s="88" t="s">
        <v>277</v>
      </c>
      <c r="G640" s="88" t="s">
        <v>180</v>
      </c>
      <c r="H640" s="87" t="s">
        <v>189</v>
      </c>
      <c r="I640" s="87" t="s">
        <v>863</v>
      </c>
      <c r="J640" s="88" t="s">
        <v>864</v>
      </c>
      <c r="K640" s="89" t="n">
        <v>765</v>
      </c>
      <c r="L640" s="89" t="n">
        <v>121635000</v>
      </c>
      <c r="M640" s="89" t="n">
        <v>29482335</v>
      </c>
      <c r="N640" s="90" t="n">
        <f aca="false">IF(A640="제외",0,IF(OR(N(L640)&lt;=0,N(M640)&gt;N(L640)),N(M640)/가정!$B$4,N(L640)))</f>
        <v>121635000</v>
      </c>
      <c r="O640" s="67" t="str">
        <f aca="false">IF(A640="제외","",IF(OR(N(L640)&lt;=0,N(M640)&gt;N(L640)),"택가보정(판매금액÷공급율)",""))</f>
        <v/>
      </c>
    </row>
    <row r="641" customFormat="false" ht="15" hidden="false" customHeight="true" outlineLevel="0" collapsed="false">
      <c r="A641" s="67" t="str">
        <f aca="false">IF(OR(TRIM(C641)="",SUBSTITUTE(C641," ","")="소계"),"제외",IF(ISNUMBER(SEARCH("홍콩",C641)),"HK",IF(ISNUMBER(SEARCH("상해",C641)),"CN",IF(ISNUMBER(SEARCH("대만",C641)),"TW","홀세일"))))</f>
        <v>CN</v>
      </c>
      <c r="B641" s="87" t="s">
        <v>1076</v>
      </c>
      <c r="C641" s="88" t="s">
        <v>1077</v>
      </c>
      <c r="D641" s="88" t="s">
        <v>178</v>
      </c>
      <c r="E641" s="87" t="n">
        <v>2026</v>
      </c>
      <c r="F641" s="88" t="s">
        <v>277</v>
      </c>
      <c r="G641" s="88" t="s">
        <v>180</v>
      </c>
      <c r="H641" s="87" t="s">
        <v>189</v>
      </c>
      <c r="I641" s="87" t="s">
        <v>1098</v>
      </c>
      <c r="J641" s="87" t="s">
        <v>1099</v>
      </c>
      <c r="K641" s="89" t="n">
        <v>110</v>
      </c>
      <c r="L641" s="89" t="n">
        <v>24090000</v>
      </c>
      <c r="M641" s="89" t="n">
        <v>5588110</v>
      </c>
      <c r="N641" s="90" t="n">
        <f aca="false">IF(A641="제외",0,IF(OR(N(L641)&lt;=0,N(M641)&gt;N(L641)),N(M641)/가정!$B$4,N(L641)))</f>
        <v>24090000</v>
      </c>
      <c r="O641" s="67" t="str">
        <f aca="false">IF(A641="제외","",IF(OR(N(L641)&lt;=0,N(M641)&gt;N(L641)),"택가보정(판매금액÷공급율)",""))</f>
        <v/>
      </c>
    </row>
    <row r="642" customFormat="false" ht="15" hidden="false" customHeight="true" outlineLevel="0" collapsed="false">
      <c r="A642" s="67" t="str">
        <f aca="false">IF(OR(TRIM(C642)="",SUBSTITUTE(C642," ","")="소계"),"제외",IF(ISNUMBER(SEARCH("홍콩",C642)),"HK",IF(ISNUMBER(SEARCH("상해",C642)),"CN",IF(ISNUMBER(SEARCH("대만",C642)),"TW","홀세일"))))</f>
        <v>CN</v>
      </c>
      <c r="B642" s="87" t="s">
        <v>1076</v>
      </c>
      <c r="C642" s="88" t="s">
        <v>1077</v>
      </c>
      <c r="D642" s="88" t="s">
        <v>178</v>
      </c>
      <c r="E642" s="87" t="n">
        <v>2026</v>
      </c>
      <c r="F642" s="88" t="s">
        <v>277</v>
      </c>
      <c r="G642" s="88" t="s">
        <v>180</v>
      </c>
      <c r="H642" s="87" t="s">
        <v>189</v>
      </c>
      <c r="I642" s="87" t="s">
        <v>871</v>
      </c>
      <c r="J642" s="87" t="s">
        <v>872</v>
      </c>
      <c r="K642" s="89" t="n">
        <v>190</v>
      </c>
      <c r="L642" s="89" t="n">
        <v>37810000</v>
      </c>
      <c r="M642" s="89" t="n">
        <v>12076780</v>
      </c>
      <c r="N642" s="90" t="n">
        <f aca="false">IF(A642="제외",0,IF(OR(N(L642)&lt;=0,N(M642)&gt;N(L642)),N(M642)/가정!$B$4,N(L642)))</f>
        <v>37810000</v>
      </c>
      <c r="O642" s="67" t="str">
        <f aca="false">IF(A642="제외","",IF(OR(N(L642)&lt;=0,N(M642)&gt;N(L642)),"택가보정(판매금액÷공급율)",""))</f>
        <v/>
      </c>
    </row>
    <row r="643" customFormat="false" ht="15" hidden="false" customHeight="true" outlineLevel="0" collapsed="false">
      <c r="A643" s="67" t="str">
        <f aca="false">IF(OR(TRIM(C643)="",SUBSTITUTE(C643," ","")="소계"),"제외",IF(ISNUMBER(SEARCH("홍콩",C643)),"HK",IF(ISNUMBER(SEARCH("상해",C643)),"CN",IF(ISNUMBER(SEARCH("대만",C643)),"TW","홀세일"))))</f>
        <v>CN</v>
      </c>
      <c r="B643" s="87" t="s">
        <v>1076</v>
      </c>
      <c r="C643" s="88" t="s">
        <v>1077</v>
      </c>
      <c r="D643" s="88" t="s">
        <v>178</v>
      </c>
      <c r="E643" s="87" t="n">
        <v>2026</v>
      </c>
      <c r="F643" s="88" t="s">
        <v>277</v>
      </c>
      <c r="G643" s="88" t="s">
        <v>180</v>
      </c>
      <c r="H643" s="87" t="s">
        <v>181</v>
      </c>
      <c r="I643" s="87" t="s">
        <v>286</v>
      </c>
      <c r="J643" s="88" t="s">
        <v>287</v>
      </c>
      <c r="K643" s="89" t="n">
        <v>754</v>
      </c>
      <c r="L643" s="89" t="n">
        <v>67106000</v>
      </c>
      <c r="M643" s="89" t="n">
        <v>15275708</v>
      </c>
      <c r="N643" s="90" t="n">
        <f aca="false">IF(A643="제외",0,IF(OR(N(L643)&lt;=0,N(M643)&gt;N(L643)),N(M643)/가정!$B$4,N(L643)))</f>
        <v>67106000</v>
      </c>
      <c r="O643" s="67" t="str">
        <f aca="false">IF(A643="제외","",IF(OR(N(L643)&lt;=0,N(M643)&gt;N(L643)),"택가보정(판매금액÷공급율)",""))</f>
        <v/>
      </c>
    </row>
    <row r="644" customFormat="false" ht="15" hidden="false" customHeight="true" outlineLevel="0" collapsed="false">
      <c r="A644" s="67" t="str">
        <f aca="false">IF(OR(TRIM(C644)="",SUBSTITUTE(C644," ","")="소계"),"제외",IF(ISNUMBER(SEARCH("홍콩",C644)),"HK",IF(ISNUMBER(SEARCH("상해",C644)),"CN",IF(ISNUMBER(SEARCH("대만",C644)),"TW","홀세일"))))</f>
        <v>CN</v>
      </c>
      <c r="B644" s="87" t="s">
        <v>1076</v>
      </c>
      <c r="C644" s="88" t="s">
        <v>1077</v>
      </c>
      <c r="D644" s="88" t="s">
        <v>178</v>
      </c>
      <c r="E644" s="87" t="n">
        <v>2026</v>
      </c>
      <c r="F644" s="88" t="s">
        <v>277</v>
      </c>
      <c r="G644" s="88" t="s">
        <v>180</v>
      </c>
      <c r="H644" s="87" t="s">
        <v>181</v>
      </c>
      <c r="I644" s="87" t="s">
        <v>288</v>
      </c>
      <c r="J644" s="88" t="s">
        <v>289</v>
      </c>
      <c r="K644" s="89" t="n">
        <v>1195</v>
      </c>
      <c r="L644" s="89" t="n">
        <v>130255000</v>
      </c>
      <c r="M644" s="89" t="n">
        <v>36647502</v>
      </c>
      <c r="N644" s="90" t="n">
        <f aca="false">IF(A644="제외",0,IF(OR(N(L644)&lt;=0,N(M644)&gt;N(L644)),N(M644)/가정!$B$4,N(L644)))</f>
        <v>130255000</v>
      </c>
      <c r="O644" s="67" t="str">
        <f aca="false">IF(A644="제외","",IF(OR(N(L644)&lt;=0,N(M644)&gt;N(L644)),"택가보정(판매금액÷공급율)",""))</f>
        <v/>
      </c>
    </row>
    <row r="645" customFormat="false" ht="15" hidden="false" customHeight="true" outlineLevel="0" collapsed="false">
      <c r="A645" s="67" t="str">
        <f aca="false">IF(OR(TRIM(C645)="",SUBSTITUTE(C645," ","")="소계"),"제외",IF(ISNUMBER(SEARCH("홍콩",C645)),"HK",IF(ISNUMBER(SEARCH("상해",C645)),"CN",IF(ISNUMBER(SEARCH("대만",C645)),"TW","홀세일"))))</f>
        <v>CN</v>
      </c>
      <c r="B645" s="87" t="s">
        <v>1076</v>
      </c>
      <c r="C645" s="88" t="s">
        <v>1077</v>
      </c>
      <c r="D645" s="88" t="s">
        <v>178</v>
      </c>
      <c r="E645" s="87" t="n">
        <v>2026</v>
      </c>
      <c r="F645" s="88" t="s">
        <v>277</v>
      </c>
      <c r="G645" s="88" t="s">
        <v>180</v>
      </c>
      <c r="H645" s="87" t="s">
        <v>189</v>
      </c>
      <c r="I645" s="87" t="s">
        <v>877</v>
      </c>
      <c r="J645" s="87" t="s">
        <v>878</v>
      </c>
      <c r="K645" s="89" t="n">
        <v>140</v>
      </c>
      <c r="L645" s="89" t="n">
        <v>22260000</v>
      </c>
      <c r="M645" s="89" t="n">
        <v>6027700</v>
      </c>
      <c r="N645" s="90" t="n">
        <f aca="false">IF(A645="제외",0,IF(OR(N(L645)&lt;=0,N(M645)&gt;N(L645)),N(M645)/가정!$B$4,N(L645)))</f>
        <v>22260000</v>
      </c>
      <c r="O645" s="67" t="str">
        <f aca="false">IF(A645="제외","",IF(OR(N(L645)&lt;=0,N(M645)&gt;N(L645)),"택가보정(판매금액÷공급율)",""))</f>
        <v/>
      </c>
    </row>
    <row r="646" customFormat="false" ht="15" hidden="false" customHeight="true" outlineLevel="0" collapsed="false">
      <c r="A646" s="67" t="str">
        <f aca="false">IF(OR(TRIM(C646)="",SUBSTITUTE(C646," ","")="소계"),"제외",IF(ISNUMBER(SEARCH("홍콩",C646)),"HK",IF(ISNUMBER(SEARCH("상해",C646)),"CN",IF(ISNUMBER(SEARCH("대만",C646)),"TW","홀세일"))))</f>
        <v>CN</v>
      </c>
      <c r="B646" s="87" t="s">
        <v>1076</v>
      </c>
      <c r="C646" s="88" t="s">
        <v>1077</v>
      </c>
      <c r="D646" s="88" t="s">
        <v>178</v>
      </c>
      <c r="E646" s="87" t="n">
        <v>2026</v>
      </c>
      <c r="F646" s="88" t="s">
        <v>277</v>
      </c>
      <c r="G646" s="88" t="s">
        <v>180</v>
      </c>
      <c r="H646" s="87" t="s">
        <v>181</v>
      </c>
      <c r="I646" s="87" t="s">
        <v>290</v>
      </c>
      <c r="J646" s="88" t="s">
        <v>291</v>
      </c>
      <c r="K646" s="89" t="n">
        <v>100</v>
      </c>
      <c r="L646" s="89" t="n">
        <v>14900000</v>
      </c>
      <c r="M646" s="89" t="n">
        <v>3465100</v>
      </c>
      <c r="N646" s="90" t="n">
        <f aca="false">IF(A646="제외",0,IF(OR(N(L646)&lt;=0,N(M646)&gt;N(L646)),N(M646)/가정!$B$4,N(L646)))</f>
        <v>14900000</v>
      </c>
      <c r="O646" s="67" t="str">
        <f aca="false">IF(A646="제외","",IF(OR(N(L646)&lt;=0,N(M646)&gt;N(L646)),"택가보정(판매금액÷공급율)",""))</f>
        <v/>
      </c>
    </row>
    <row r="647" customFormat="false" ht="15" hidden="false" customHeight="true" outlineLevel="0" collapsed="false">
      <c r="A647" s="67" t="str">
        <f aca="false">IF(OR(TRIM(C647)="",SUBSTITUTE(C647," ","")="소계"),"제외",IF(ISNUMBER(SEARCH("홍콩",C647)),"HK",IF(ISNUMBER(SEARCH("상해",C647)),"CN",IF(ISNUMBER(SEARCH("대만",C647)),"TW","홀세일"))))</f>
        <v>CN</v>
      </c>
      <c r="B647" s="87" t="s">
        <v>1076</v>
      </c>
      <c r="C647" s="88" t="s">
        <v>1077</v>
      </c>
      <c r="D647" s="88" t="s">
        <v>178</v>
      </c>
      <c r="E647" s="87" t="n">
        <v>2026</v>
      </c>
      <c r="F647" s="88" t="s">
        <v>277</v>
      </c>
      <c r="G647" s="88" t="s">
        <v>180</v>
      </c>
      <c r="H647" s="87" t="s">
        <v>189</v>
      </c>
      <c r="I647" s="87" t="s">
        <v>294</v>
      </c>
      <c r="J647" s="87" t="s">
        <v>295</v>
      </c>
      <c r="K647" s="89" t="n">
        <v>200</v>
      </c>
      <c r="L647" s="89" t="n">
        <v>15800000</v>
      </c>
      <c r="M647" s="89" t="n">
        <v>5023000</v>
      </c>
      <c r="N647" s="90" t="n">
        <f aca="false">IF(A647="제외",0,IF(OR(N(L647)&lt;=0,N(M647)&gt;N(L647)),N(M647)/가정!$B$4,N(L647)))</f>
        <v>15800000</v>
      </c>
      <c r="O647" s="67" t="str">
        <f aca="false">IF(A647="제외","",IF(OR(N(L647)&lt;=0,N(M647)&gt;N(L647)),"택가보정(판매금액÷공급율)",""))</f>
        <v/>
      </c>
    </row>
    <row r="648" customFormat="false" ht="15" hidden="false" customHeight="true" outlineLevel="0" collapsed="false">
      <c r="A648" s="67" t="str">
        <f aca="false">IF(OR(TRIM(C648)="",SUBSTITUTE(C648," ","")="소계"),"제외",IF(ISNUMBER(SEARCH("홍콩",C648)),"HK",IF(ISNUMBER(SEARCH("상해",C648)),"CN",IF(ISNUMBER(SEARCH("대만",C648)),"TW","홀세일"))))</f>
        <v>CN</v>
      </c>
      <c r="B648" s="87" t="s">
        <v>1076</v>
      </c>
      <c r="C648" s="88" t="s">
        <v>1077</v>
      </c>
      <c r="D648" s="88" t="s">
        <v>178</v>
      </c>
      <c r="E648" s="87" t="n">
        <v>2026</v>
      </c>
      <c r="F648" s="88" t="s">
        <v>277</v>
      </c>
      <c r="G648" s="88" t="s">
        <v>180</v>
      </c>
      <c r="H648" s="87" t="s">
        <v>189</v>
      </c>
      <c r="I648" s="87" t="s">
        <v>296</v>
      </c>
      <c r="J648" s="87" t="s">
        <v>297</v>
      </c>
      <c r="K648" s="89" t="n">
        <v>240</v>
      </c>
      <c r="L648" s="89" t="n">
        <v>18960000</v>
      </c>
      <c r="M648" s="89" t="n">
        <v>5317200</v>
      </c>
      <c r="N648" s="90" t="n">
        <f aca="false">IF(A648="제외",0,IF(OR(N(L648)&lt;=0,N(M648)&gt;N(L648)),N(M648)/가정!$B$4,N(L648)))</f>
        <v>18960000</v>
      </c>
      <c r="O648" s="67" t="str">
        <f aca="false">IF(A648="제외","",IF(OR(N(L648)&lt;=0,N(M648)&gt;N(L648)),"택가보정(판매금액÷공급율)",""))</f>
        <v/>
      </c>
    </row>
    <row r="649" customFormat="false" ht="15" hidden="false" customHeight="true" outlineLevel="0" collapsed="false">
      <c r="A649" s="67" t="str">
        <f aca="false">IF(OR(TRIM(C649)="",SUBSTITUTE(C649," ","")="소계"),"제외",IF(ISNUMBER(SEARCH("홍콩",C649)),"HK",IF(ISNUMBER(SEARCH("상해",C649)),"CN",IF(ISNUMBER(SEARCH("대만",C649)),"TW","홀세일"))))</f>
        <v>CN</v>
      </c>
      <c r="B649" s="87" t="s">
        <v>1076</v>
      </c>
      <c r="C649" s="88" t="s">
        <v>1077</v>
      </c>
      <c r="D649" s="88" t="s">
        <v>178</v>
      </c>
      <c r="E649" s="87" t="n">
        <v>2026</v>
      </c>
      <c r="F649" s="88" t="s">
        <v>277</v>
      </c>
      <c r="G649" s="88" t="s">
        <v>180</v>
      </c>
      <c r="H649" s="87" t="s">
        <v>189</v>
      </c>
      <c r="I649" s="87" t="s">
        <v>298</v>
      </c>
      <c r="J649" s="87" t="s">
        <v>299</v>
      </c>
      <c r="K649" s="89" t="n">
        <v>200</v>
      </c>
      <c r="L649" s="89" t="n">
        <v>13800000</v>
      </c>
      <c r="M649" s="89" t="n">
        <v>3938600</v>
      </c>
      <c r="N649" s="90" t="n">
        <f aca="false">IF(A649="제외",0,IF(OR(N(L649)&lt;=0,N(M649)&gt;N(L649)),N(M649)/가정!$B$4,N(L649)))</f>
        <v>13800000</v>
      </c>
      <c r="O649" s="67" t="str">
        <f aca="false">IF(A649="제외","",IF(OR(N(L649)&lt;=0,N(M649)&gt;N(L649)),"택가보정(판매금액÷공급율)",""))</f>
        <v/>
      </c>
    </row>
    <row r="650" customFormat="false" ht="15" hidden="false" customHeight="true" outlineLevel="0" collapsed="false">
      <c r="A650" s="67" t="str">
        <f aca="false">IF(OR(TRIM(C650)="",SUBSTITUTE(C650," ","")="소계"),"제외",IF(ISNUMBER(SEARCH("홍콩",C650)),"HK",IF(ISNUMBER(SEARCH("상해",C650)),"CN",IF(ISNUMBER(SEARCH("대만",C650)),"TW","홀세일"))))</f>
        <v>CN</v>
      </c>
      <c r="B650" s="87" t="s">
        <v>1076</v>
      </c>
      <c r="C650" s="88" t="s">
        <v>1077</v>
      </c>
      <c r="D650" s="88" t="s">
        <v>178</v>
      </c>
      <c r="E650" s="87" t="n">
        <v>2026</v>
      </c>
      <c r="F650" s="88" t="s">
        <v>277</v>
      </c>
      <c r="G650" s="88" t="s">
        <v>180</v>
      </c>
      <c r="H650" s="87" t="s">
        <v>181</v>
      </c>
      <c r="I650" s="87" t="s">
        <v>302</v>
      </c>
      <c r="J650" s="88" t="s">
        <v>303</v>
      </c>
      <c r="K650" s="89" t="n">
        <v>1173</v>
      </c>
      <c r="L650" s="89" t="n">
        <v>92667000</v>
      </c>
      <c r="M650" s="89" t="n">
        <v>30312660</v>
      </c>
      <c r="N650" s="90" t="n">
        <f aca="false">IF(A650="제외",0,IF(OR(N(L650)&lt;=0,N(M650)&gt;N(L650)),N(M650)/가정!$B$4,N(L650)))</f>
        <v>92667000</v>
      </c>
      <c r="O650" s="67" t="str">
        <f aca="false">IF(A650="제외","",IF(OR(N(L650)&lt;=0,N(M650)&gt;N(L650)),"택가보정(판매금액÷공급율)",""))</f>
        <v/>
      </c>
    </row>
    <row r="651" customFormat="false" ht="15" hidden="false" customHeight="true" outlineLevel="0" collapsed="false">
      <c r="A651" s="67" t="str">
        <f aca="false">IF(OR(TRIM(C651)="",SUBSTITUTE(C651," ","")="소계"),"제외",IF(ISNUMBER(SEARCH("홍콩",C651)),"HK",IF(ISNUMBER(SEARCH("상해",C651)),"CN",IF(ISNUMBER(SEARCH("대만",C651)),"TW","홀세일"))))</f>
        <v>CN</v>
      </c>
      <c r="B651" s="87" t="s">
        <v>1076</v>
      </c>
      <c r="C651" s="88" t="s">
        <v>1077</v>
      </c>
      <c r="D651" s="88" t="s">
        <v>178</v>
      </c>
      <c r="E651" s="87" t="n">
        <v>2026</v>
      </c>
      <c r="F651" s="88" t="s">
        <v>277</v>
      </c>
      <c r="G651" s="88" t="s">
        <v>180</v>
      </c>
      <c r="H651" s="87" t="s">
        <v>189</v>
      </c>
      <c r="I651" s="87" t="s">
        <v>1100</v>
      </c>
      <c r="J651" s="88" t="s">
        <v>1101</v>
      </c>
      <c r="K651" s="89" t="n">
        <v>330</v>
      </c>
      <c r="L651" s="89" t="n">
        <v>26070000</v>
      </c>
      <c r="M651" s="89" t="n">
        <v>6812190</v>
      </c>
      <c r="N651" s="90" t="n">
        <f aca="false">IF(A651="제외",0,IF(OR(N(L651)&lt;=0,N(M651)&gt;N(L651)),N(M651)/가정!$B$4,N(L651)))</f>
        <v>26070000</v>
      </c>
      <c r="O651" s="67" t="str">
        <f aca="false">IF(A651="제외","",IF(OR(N(L651)&lt;=0,N(M651)&gt;N(L651)),"택가보정(판매금액÷공급율)",""))</f>
        <v/>
      </c>
    </row>
    <row r="652" customFormat="false" ht="15" hidden="false" customHeight="true" outlineLevel="0" collapsed="false">
      <c r="A652" s="67" t="str">
        <f aca="false">IF(OR(TRIM(C652)="",SUBSTITUTE(C652," ","")="소계"),"제외",IF(ISNUMBER(SEARCH("홍콩",C652)),"HK",IF(ISNUMBER(SEARCH("상해",C652)),"CN",IF(ISNUMBER(SEARCH("대만",C652)),"TW","홀세일"))))</f>
        <v>CN</v>
      </c>
      <c r="B652" s="87" t="s">
        <v>1076</v>
      </c>
      <c r="C652" s="88" t="s">
        <v>1077</v>
      </c>
      <c r="D652" s="88" t="s">
        <v>178</v>
      </c>
      <c r="E652" s="87" t="n">
        <v>2026</v>
      </c>
      <c r="F652" s="88" t="s">
        <v>277</v>
      </c>
      <c r="G652" s="88" t="s">
        <v>180</v>
      </c>
      <c r="H652" s="87" t="s">
        <v>181</v>
      </c>
      <c r="I652" s="87" t="s">
        <v>883</v>
      </c>
      <c r="J652" s="88" t="s">
        <v>884</v>
      </c>
      <c r="K652" s="89" t="n">
        <v>480</v>
      </c>
      <c r="L652" s="89" t="n">
        <v>42720000</v>
      </c>
      <c r="M652" s="89" t="n">
        <v>12561120</v>
      </c>
      <c r="N652" s="90" t="n">
        <f aca="false">IF(A652="제외",0,IF(OR(N(L652)&lt;=0,N(M652)&gt;N(L652)),N(M652)/가정!$B$4,N(L652)))</f>
        <v>42720000</v>
      </c>
      <c r="O652" s="67" t="str">
        <f aca="false">IF(A652="제외","",IF(OR(N(L652)&lt;=0,N(M652)&gt;N(L652)),"택가보정(판매금액÷공급율)",""))</f>
        <v/>
      </c>
    </row>
    <row r="653" customFormat="false" ht="15" hidden="false" customHeight="true" outlineLevel="0" collapsed="false">
      <c r="A653" s="67" t="str">
        <f aca="false">IF(OR(TRIM(C653)="",SUBSTITUTE(C653," ","")="소계"),"제외",IF(ISNUMBER(SEARCH("홍콩",C653)),"HK",IF(ISNUMBER(SEARCH("상해",C653)),"CN",IF(ISNUMBER(SEARCH("대만",C653)),"TW","홀세일"))))</f>
        <v>CN</v>
      </c>
      <c r="B653" s="87" t="s">
        <v>1076</v>
      </c>
      <c r="C653" s="88" t="s">
        <v>1077</v>
      </c>
      <c r="D653" s="88" t="s">
        <v>178</v>
      </c>
      <c r="E653" s="87" t="n">
        <v>2026</v>
      </c>
      <c r="F653" s="88" t="s">
        <v>277</v>
      </c>
      <c r="G653" s="88" t="s">
        <v>180</v>
      </c>
      <c r="H653" s="87" t="s">
        <v>189</v>
      </c>
      <c r="I653" s="87" t="s">
        <v>322</v>
      </c>
      <c r="J653" s="88" t="s">
        <v>323</v>
      </c>
      <c r="K653" s="89" t="n">
        <v>365</v>
      </c>
      <c r="L653" s="89" t="n">
        <v>39785000</v>
      </c>
      <c r="M653" s="89" t="n">
        <v>11288720</v>
      </c>
      <c r="N653" s="90" t="n">
        <f aca="false">IF(A653="제외",0,IF(OR(N(L653)&lt;=0,N(M653)&gt;N(L653)),N(M653)/가정!$B$4,N(L653)))</f>
        <v>39785000</v>
      </c>
      <c r="O653" s="67" t="str">
        <f aca="false">IF(A653="제외","",IF(OR(N(L653)&lt;=0,N(M653)&gt;N(L653)),"택가보정(판매금액÷공급율)",""))</f>
        <v/>
      </c>
    </row>
    <row r="654" customFormat="false" ht="15" hidden="false" customHeight="true" outlineLevel="0" collapsed="false">
      <c r="A654" s="67" t="str">
        <f aca="false">IF(OR(TRIM(C654)="",SUBSTITUTE(C654," ","")="소계"),"제외",IF(ISNUMBER(SEARCH("홍콩",C654)),"HK",IF(ISNUMBER(SEARCH("상해",C654)),"CN",IF(ISNUMBER(SEARCH("대만",C654)),"TW","홀세일"))))</f>
        <v>CN</v>
      </c>
      <c r="B654" s="87" t="s">
        <v>1076</v>
      </c>
      <c r="C654" s="88" t="s">
        <v>1077</v>
      </c>
      <c r="D654" s="88" t="s">
        <v>178</v>
      </c>
      <c r="E654" s="87" t="n">
        <v>2026</v>
      </c>
      <c r="F654" s="88" t="s">
        <v>277</v>
      </c>
      <c r="G654" s="88" t="s">
        <v>180</v>
      </c>
      <c r="H654" s="87" t="s">
        <v>189</v>
      </c>
      <c r="I654" s="87" t="s">
        <v>336</v>
      </c>
      <c r="J654" s="88" t="s">
        <v>337</v>
      </c>
      <c r="K654" s="89" t="n">
        <v>513</v>
      </c>
      <c r="L654" s="89" t="n">
        <v>50787000</v>
      </c>
      <c r="M654" s="89" t="n">
        <v>11996076</v>
      </c>
      <c r="N654" s="90" t="n">
        <f aca="false">IF(A654="제외",0,IF(OR(N(L654)&lt;=0,N(M654)&gt;N(L654)),N(M654)/가정!$B$4,N(L654)))</f>
        <v>50787000</v>
      </c>
      <c r="O654" s="67" t="str">
        <f aca="false">IF(A654="제외","",IF(OR(N(L654)&lt;=0,N(M654)&gt;N(L654)),"택가보정(판매금액÷공급율)",""))</f>
        <v/>
      </c>
    </row>
    <row r="655" customFormat="false" ht="15" hidden="false" customHeight="true" outlineLevel="0" collapsed="false">
      <c r="A655" s="67" t="str">
        <f aca="false">IF(OR(TRIM(C655)="",SUBSTITUTE(C655," ","")="소계"),"제외",IF(ISNUMBER(SEARCH("홍콩",C655)),"HK",IF(ISNUMBER(SEARCH("상해",C655)),"CN",IF(ISNUMBER(SEARCH("대만",C655)),"TW","홀세일"))))</f>
        <v>CN</v>
      </c>
      <c r="B655" s="87" t="s">
        <v>1076</v>
      </c>
      <c r="C655" s="88" t="s">
        <v>1077</v>
      </c>
      <c r="D655" s="88" t="s">
        <v>178</v>
      </c>
      <c r="E655" s="87" t="n">
        <v>2026</v>
      </c>
      <c r="F655" s="88" t="s">
        <v>277</v>
      </c>
      <c r="G655" s="88" t="s">
        <v>180</v>
      </c>
      <c r="H655" s="87" t="s">
        <v>181</v>
      </c>
      <c r="I655" s="87" t="s">
        <v>338</v>
      </c>
      <c r="J655" s="88" t="s">
        <v>339</v>
      </c>
      <c r="K655" s="89" t="n">
        <v>50</v>
      </c>
      <c r="L655" s="89" t="n">
        <v>4950000</v>
      </c>
      <c r="M655" s="89" t="n">
        <v>1214500</v>
      </c>
      <c r="N655" s="90" t="n">
        <f aca="false">IF(A655="제외",0,IF(OR(N(L655)&lt;=0,N(M655)&gt;N(L655)),N(M655)/가정!$B$4,N(L655)))</f>
        <v>4950000</v>
      </c>
      <c r="O655" s="67" t="str">
        <f aca="false">IF(A655="제외","",IF(OR(N(L655)&lt;=0,N(M655)&gt;N(L655)),"택가보정(판매금액÷공급율)",""))</f>
        <v/>
      </c>
    </row>
    <row r="656" customFormat="false" ht="15" hidden="false" customHeight="true" outlineLevel="0" collapsed="false">
      <c r="A656" s="67" t="str">
        <f aca="false">IF(OR(TRIM(C656)="",SUBSTITUTE(C656," ","")="소계"),"제외",IF(ISNUMBER(SEARCH("홍콩",C656)),"HK",IF(ISNUMBER(SEARCH("상해",C656)),"CN",IF(ISNUMBER(SEARCH("대만",C656)),"TW","홀세일"))))</f>
        <v>CN</v>
      </c>
      <c r="B656" s="87" t="s">
        <v>1076</v>
      </c>
      <c r="C656" s="88" t="s">
        <v>1077</v>
      </c>
      <c r="D656" s="88" t="s">
        <v>178</v>
      </c>
      <c r="E656" s="87" t="n">
        <v>2026</v>
      </c>
      <c r="F656" s="88" t="s">
        <v>277</v>
      </c>
      <c r="G656" s="88" t="s">
        <v>180</v>
      </c>
      <c r="H656" s="87" t="s">
        <v>189</v>
      </c>
      <c r="I656" s="87" t="s">
        <v>340</v>
      </c>
      <c r="J656" s="88" t="s">
        <v>341</v>
      </c>
      <c r="K656" s="89" t="n">
        <v>212</v>
      </c>
      <c r="L656" s="89" t="n">
        <v>27348000</v>
      </c>
      <c r="M656" s="89" t="n">
        <v>5569688</v>
      </c>
      <c r="N656" s="90" t="n">
        <f aca="false">IF(A656="제외",0,IF(OR(N(L656)&lt;=0,N(M656)&gt;N(L656)),N(M656)/가정!$B$4,N(L656)))</f>
        <v>27348000</v>
      </c>
      <c r="O656" s="67" t="str">
        <f aca="false">IF(A656="제외","",IF(OR(N(L656)&lt;=0,N(M656)&gt;N(L656)),"택가보정(판매금액÷공급율)",""))</f>
        <v/>
      </c>
    </row>
    <row r="657" customFormat="false" ht="15" hidden="false" customHeight="true" outlineLevel="0" collapsed="false">
      <c r="A657" s="67" t="str">
        <f aca="false">IF(OR(TRIM(C657)="",SUBSTITUTE(C657," ","")="소계"),"제외",IF(ISNUMBER(SEARCH("홍콩",C657)),"HK",IF(ISNUMBER(SEARCH("상해",C657)),"CN",IF(ISNUMBER(SEARCH("대만",C657)),"TW","홀세일"))))</f>
        <v>CN</v>
      </c>
      <c r="B657" s="87" t="s">
        <v>1076</v>
      </c>
      <c r="C657" s="88" t="s">
        <v>1077</v>
      </c>
      <c r="D657" s="88" t="s">
        <v>178</v>
      </c>
      <c r="E657" s="87" t="n">
        <v>2026</v>
      </c>
      <c r="F657" s="88" t="s">
        <v>277</v>
      </c>
      <c r="G657" s="88" t="s">
        <v>180</v>
      </c>
      <c r="H657" s="87" t="s">
        <v>189</v>
      </c>
      <c r="I657" s="87" t="s">
        <v>344</v>
      </c>
      <c r="J657" s="88" t="s">
        <v>345</v>
      </c>
      <c r="K657" s="89" t="n">
        <v>330</v>
      </c>
      <c r="L657" s="89" t="n">
        <v>19470000</v>
      </c>
      <c r="M657" s="89" t="n">
        <v>4341810</v>
      </c>
      <c r="N657" s="90" t="n">
        <f aca="false">IF(A657="제외",0,IF(OR(N(L657)&lt;=0,N(M657)&gt;N(L657)),N(M657)/가정!$B$4,N(L657)))</f>
        <v>19470000</v>
      </c>
      <c r="O657" s="67" t="str">
        <f aca="false">IF(A657="제외","",IF(OR(N(L657)&lt;=0,N(M657)&gt;N(L657)),"택가보정(판매금액÷공급율)",""))</f>
        <v/>
      </c>
    </row>
    <row r="658" customFormat="false" ht="15" hidden="false" customHeight="true" outlineLevel="0" collapsed="false">
      <c r="A658" s="67" t="str">
        <f aca="false">IF(OR(TRIM(C658)="",SUBSTITUTE(C658," ","")="소계"),"제외",IF(ISNUMBER(SEARCH("홍콩",C658)),"HK",IF(ISNUMBER(SEARCH("상해",C658)),"CN",IF(ISNUMBER(SEARCH("대만",C658)),"TW","홀세일"))))</f>
        <v>CN</v>
      </c>
      <c r="B658" s="87" t="s">
        <v>1076</v>
      </c>
      <c r="C658" s="88" t="s">
        <v>1077</v>
      </c>
      <c r="D658" s="88" t="s">
        <v>178</v>
      </c>
      <c r="E658" s="87" t="n">
        <v>2026</v>
      </c>
      <c r="F658" s="88" t="s">
        <v>277</v>
      </c>
      <c r="G658" s="88" t="s">
        <v>180</v>
      </c>
      <c r="H658" s="87" t="s">
        <v>189</v>
      </c>
      <c r="I658" s="87" t="s">
        <v>348</v>
      </c>
      <c r="J658" s="88" t="s">
        <v>349</v>
      </c>
      <c r="K658" s="89" t="n">
        <v>410</v>
      </c>
      <c r="L658" s="89" t="n">
        <v>28290000</v>
      </c>
      <c r="M658" s="89" t="n">
        <v>6757620</v>
      </c>
      <c r="N658" s="90" t="n">
        <f aca="false">IF(A658="제외",0,IF(OR(N(L658)&lt;=0,N(M658)&gt;N(L658)),N(M658)/가정!$B$4,N(L658)))</f>
        <v>28290000</v>
      </c>
      <c r="O658" s="67" t="str">
        <f aca="false">IF(A658="제외","",IF(OR(N(L658)&lt;=0,N(M658)&gt;N(L658)),"택가보정(판매금액÷공급율)",""))</f>
        <v/>
      </c>
    </row>
    <row r="659" customFormat="false" ht="15" hidden="false" customHeight="true" outlineLevel="0" collapsed="false">
      <c r="A659" s="67" t="str">
        <f aca="false">IF(OR(TRIM(C659)="",SUBSTITUTE(C659," ","")="소계"),"제외",IF(ISNUMBER(SEARCH("홍콩",C659)),"HK",IF(ISNUMBER(SEARCH("상해",C659)),"CN",IF(ISNUMBER(SEARCH("대만",C659)),"TW","홀세일"))))</f>
        <v>CN</v>
      </c>
      <c r="B659" s="87" t="s">
        <v>1076</v>
      </c>
      <c r="C659" s="88" t="s">
        <v>1077</v>
      </c>
      <c r="D659" s="88" t="s">
        <v>178</v>
      </c>
      <c r="E659" s="87" t="n">
        <v>2026</v>
      </c>
      <c r="F659" s="88" t="s">
        <v>277</v>
      </c>
      <c r="G659" s="88" t="s">
        <v>180</v>
      </c>
      <c r="H659" s="87" t="s">
        <v>189</v>
      </c>
      <c r="I659" s="87" t="s">
        <v>352</v>
      </c>
      <c r="J659" s="88" t="s">
        <v>353</v>
      </c>
      <c r="K659" s="89" t="n">
        <v>460</v>
      </c>
      <c r="L659" s="89" t="n">
        <v>27140000</v>
      </c>
      <c r="M659" s="89" t="n">
        <v>7515480</v>
      </c>
      <c r="N659" s="90" t="n">
        <f aca="false">IF(A659="제외",0,IF(OR(N(L659)&lt;=0,N(M659)&gt;N(L659)),N(M659)/가정!$B$4,N(L659)))</f>
        <v>27140000</v>
      </c>
      <c r="O659" s="67" t="str">
        <f aca="false">IF(A659="제외","",IF(OR(N(L659)&lt;=0,N(M659)&gt;N(L659)),"택가보정(판매금액÷공급율)",""))</f>
        <v/>
      </c>
    </row>
    <row r="660" customFormat="false" ht="15" hidden="false" customHeight="true" outlineLevel="0" collapsed="false">
      <c r="A660" s="67" t="str">
        <f aca="false">IF(OR(TRIM(C660)="",SUBSTITUTE(C660," ","")="소계"),"제외",IF(ISNUMBER(SEARCH("홍콩",C660)),"HK",IF(ISNUMBER(SEARCH("상해",C660)),"CN",IF(ISNUMBER(SEARCH("대만",C660)),"TW","홀세일"))))</f>
        <v>CN</v>
      </c>
      <c r="B660" s="87" t="s">
        <v>1076</v>
      </c>
      <c r="C660" s="88" t="s">
        <v>1077</v>
      </c>
      <c r="D660" s="88" t="s">
        <v>178</v>
      </c>
      <c r="E660" s="87" t="n">
        <v>2026</v>
      </c>
      <c r="F660" s="88" t="s">
        <v>277</v>
      </c>
      <c r="G660" s="88" t="s">
        <v>180</v>
      </c>
      <c r="H660" s="87" t="s">
        <v>189</v>
      </c>
      <c r="I660" s="87" t="s">
        <v>360</v>
      </c>
      <c r="J660" s="88" t="s">
        <v>361</v>
      </c>
      <c r="K660" s="89" t="n">
        <v>242</v>
      </c>
      <c r="L660" s="89" t="n">
        <v>16698000</v>
      </c>
      <c r="M660" s="89" t="n">
        <v>4081516</v>
      </c>
      <c r="N660" s="90" t="n">
        <f aca="false">IF(A660="제외",0,IF(OR(N(L660)&lt;=0,N(M660)&gt;N(L660)),N(M660)/가정!$B$4,N(L660)))</f>
        <v>16698000</v>
      </c>
      <c r="O660" s="67" t="str">
        <f aca="false">IF(A660="제외","",IF(OR(N(L660)&lt;=0,N(M660)&gt;N(L660)),"택가보정(판매금액÷공급율)",""))</f>
        <v/>
      </c>
    </row>
    <row r="661" customFormat="false" ht="15" hidden="false" customHeight="true" outlineLevel="0" collapsed="false">
      <c r="A661" s="67" t="str">
        <f aca="false">IF(OR(TRIM(C661)="",SUBSTITUTE(C661," ","")="소계"),"제외",IF(ISNUMBER(SEARCH("홍콩",C661)),"HK",IF(ISNUMBER(SEARCH("상해",C661)),"CN",IF(ISNUMBER(SEARCH("대만",C661)),"TW","홀세일"))))</f>
        <v>CN</v>
      </c>
      <c r="B661" s="87" t="s">
        <v>1076</v>
      </c>
      <c r="C661" s="88" t="s">
        <v>1077</v>
      </c>
      <c r="D661" s="88" t="s">
        <v>178</v>
      </c>
      <c r="E661" s="87" t="n">
        <v>2026</v>
      </c>
      <c r="F661" s="88" t="s">
        <v>277</v>
      </c>
      <c r="G661" s="88" t="s">
        <v>180</v>
      </c>
      <c r="H661" s="87" t="s">
        <v>189</v>
      </c>
      <c r="I661" s="87" t="s">
        <v>370</v>
      </c>
      <c r="J661" s="88" t="s">
        <v>371</v>
      </c>
      <c r="K661" s="89" t="n">
        <v>520</v>
      </c>
      <c r="L661" s="89" t="n">
        <v>46280000</v>
      </c>
      <c r="M661" s="89" t="n">
        <v>9849840</v>
      </c>
      <c r="N661" s="90" t="n">
        <f aca="false">IF(A661="제외",0,IF(OR(N(L661)&lt;=0,N(M661)&gt;N(L661)),N(M661)/가정!$B$4,N(L661)))</f>
        <v>46280000</v>
      </c>
      <c r="O661" s="67" t="str">
        <f aca="false">IF(A661="제외","",IF(OR(N(L661)&lt;=0,N(M661)&gt;N(L661)),"택가보정(판매금액÷공급율)",""))</f>
        <v/>
      </c>
    </row>
    <row r="662" customFormat="false" ht="15" hidden="false" customHeight="true" outlineLevel="0" collapsed="false">
      <c r="A662" s="67" t="str">
        <f aca="false">IF(OR(TRIM(C662)="",SUBSTITUTE(C662," ","")="소계"),"제외",IF(ISNUMBER(SEARCH("홍콩",C662)),"HK",IF(ISNUMBER(SEARCH("상해",C662)),"CN",IF(ISNUMBER(SEARCH("대만",C662)),"TW","홀세일"))))</f>
        <v>CN</v>
      </c>
      <c r="B662" s="87" t="s">
        <v>1076</v>
      </c>
      <c r="C662" s="88" t="s">
        <v>1077</v>
      </c>
      <c r="D662" s="88" t="s">
        <v>178</v>
      </c>
      <c r="E662" s="87" t="n">
        <v>2026</v>
      </c>
      <c r="F662" s="88" t="s">
        <v>277</v>
      </c>
      <c r="G662" s="88" t="s">
        <v>180</v>
      </c>
      <c r="H662" s="87" t="s">
        <v>189</v>
      </c>
      <c r="I662" s="87" t="s">
        <v>1102</v>
      </c>
      <c r="J662" s="87" t="s">
        <v>1103</v>
      </c>
      <c r="K662" s="89" t="n">
        <v>392</v>
      </c>
      <c r="L662" s="89" t="n">
        <v>23128000</v>
      </c>
      <c r="M662" s="89" t="n">
        <v>6438248</v>
      </c>
      <c r="N662" s="90" t="n">
        <f aca="false">IF(A662="제외",0,IF(OR(N(L662)&lt;=0,N(M662)&gt;N(L662)),N(M662)/가정!$B$4,N(L662)))</f>
        <v>23128000</v>
      </c>
      <c r="O662" s="67" t="str">
        <f aca="false">IF(A662="제외","",IF(OR(N(L662)&lt;=0,N(M662)&gt;N(L662)),"택가보정(판매금액÷공급율)",""))</f>
        <v/>
      </c>
    </row>
    <row r="663" customFormat="false" ht="15" hidden="false" customHeight="true" outlineLevel="0" collapsed="false">
      <c r="A663" s="67" t="str">
        <f aca="false">IF(OR(TRIM(C663)="",SUBSTITUTE(C663," ","")="소계"),"제외",IF(ISNUMBER(SEARCH("홍콩",C663)),"HK",IF(ISNUMBER(SEARCH("상해",C663)),"CN",IF(ISNUMBER(SEARCH("대만",C663)),"TW","홀세일"))))</f>
        <v>CN</v>
      </c>
      <c r="B663" s="87" t="s">
        <v>1076</v>
      </c>
      <c r="C663" s="88" t="s">
        <v>1077</v>
      </c>
      <c r="D663" s="88" t="s">
        <v>178</v>
      </c>
      <c r="E663" s="87" t="n">
        <v>2026</v>
      </c>
      <c r="F663" s="88" t="s">
        <v>277</v>
      </c>
      <c r="G663" s="88" t="s">
        <v>180</v>
      </c>
      <c r="H663" s="87" t="s">
        <v>181</v>
      </c>
      <c r="I663" s="87" t="s">
        <v>372</v>
      </c>
      <c r="J663" s="88" t="s">
        <v>373</v>
      </c>
      <c r="K663" s="89" t="n">
        <v>954</v>
      </c>
      <c r="L663" s="89" t="n">
        <v>56286000</v>
      </c>
      <c r="M663" s="89" t="n">
        <v>15861738</v>
      </c>
      <c r="N663" s="90" t="n">
        <f aca="false">IF(A663="제외",0,IF(OR(N(L663)&lt;=0,N(M663)&gt;N(L663)),N(M663)/가정!$B$4,N(L663)))</f>
        <v>56286000</v>
      </c>
      <c r="O663" s="67" t="str">
        <f aca="false">IF(A663="제외","",IF(OR(N(L663)&lt;=0,N(M663)&gt;N(L663)),"택가보정(판매금액÷공급율)",""))</f>
        <v/>
      </c>
    </row>
    <row r="664" customFormat="false" ht="15" hidden="false" customHeight="true" outlineLevel="0" collapsed="false">
      <c r="A664" s="67" t="str">
        <f aca="false">IF(OR(TRIM(C664)="",SUBSTITUTE(C664," ","")="소계"),"제외",IF(ISNUMBER(SEARCH("홍콩",C664)),"HK",IF(ISNUMBER(SEARCH("상해",C664)),"CN",IF(ISNUMBER(SEARCH("대만",C664)),"TW","홀세일"))))</f>
        <v>CN</v>
      </c>
      <c r="B664" s="87" t="s">
        <v>1076</v>
      </c>
      <c r="C664" s="88" t="s">
        <v>1077</v>
      </c>
      <c r="D664" s="88" t="s">
        <v>178</v>
      </c>
      <c r="E664" s="87" t="n">
        <v>2026</v>
      </c>
      <c r="F664" s="88" t="s">
        <v>277</v>
      </c>
      <c r="G664" s="88" t="s">
        <v>180</v>
      </c>
      <c r="H664" s="87" t="s">
        <v>181</v>
      </c>
      <c r="I664" s="87" t="s">
        <v>376</v>
      </c>
      <c r="J664" s="88" t="s">
        <v>377</v>
      </c>
      <c r="K664" s="89" t="n">
        <v>80</v>
      </c>
      <c r="L664" s="89" t="n">
        <v>4720000</v>
      </c>
      <c r="M664" s="89" t="n">
        <v>1520000</v>
      </c>
      <c r="N664" s="90" t="n">
        <f aca="false">IF(A664="제외",0,IF(OR(N(L664)&lt;=0,N(M664)&gt;N(L664)),N(M664)/가정!$B$4,N(L664)))</f>
        <v>4720000</v>
      </c>
      <c r="O664" s="67" t="str">
        <f aca="false">IF(A664="제외","",IF(OR(N(L664)&lt;=0,N(M664)&gt;N(L664)),"택가보정(판매금액÷공급율)",""))</f>
        <v/>
      </c>
    </row>
    <row r="665" customFormat="false" ht="15" hidden="false" customHeight="true" outlineLevel="0" collapsed="false">
      <c r="A665" s="67" t="str">
        <f aca="false">IF(OR(TRIM(C665)="",SUBSTITUTE(C665," ","")="소계"),"제외",IF(ISNUMBER(SEARCH("홍콩",C665)),"HK",IF(ISNUMBER(SEARCH("상해",C665)),"CN",IF(ISNUMBER(SEARCH("대만",C665)),"TW","홀세일"))))</f>
        <v>CN</v>
      </c>
      <c r="B665" s="87" t="s">
        <v>1076</v>
      </c>
      <c r="C665" s="88" t="s">
        <v>1077</v>
      </c>
      <c r="D665" s="88" t="s">
        <v>178</v>
      </c>
      <c r="E665" s="87" t="n">
        <v>2026</v>
      </c>
      <c r="F665" s="88" t="s">
        <v>277</v>
      </c>
      <c r="G665" s="88" t="s">
        <v>418</v>
      </c>
      <c r="H665" s="87" t="s">
        <v>189</v>
      </c>
      <c r="I665" s="87" t="s">
        <v>1104</v>
      </c>
      <c r="J665" s="88" t="s">
        <v>1105</v>
      </c>
      <c r="K665" s="89" t="n">
        <v>530</v>
      </c>
      <c r="L665" s="89" t="n">
        <v>31270000</v>
      </c>
      <c r="M665" s="89" t="n">
        <v>9806060</v>
      </c>
      <c r="N665" s="90" t="n">
        <f aca="false">IF(A665="제외",0,IF(OR(N(L665)&lt;=0,N(M665)&gt;N(L665)),N(M665)/가정!$B$4,N(L665)))</f>
        <v>31270000</v>
      </c>
      <c r="O665" s="67" t="str">
        <f aca="false">IF(A665="제외","",IF(OR(N(L665)&lt;=0,N(M665)&gt;N(L665)),"택가보정(판매금액÷공급율)",""))</f>
        <v/>
      </c>
    </row>
    <row r="666" customFormat="false" ht="15" hidden="false" customHeight="true" outlineLevel="0" collapsed="false">
      <c r="A666" s="67" t="str">
        <f aca="false">IF(OR(TRIM(C666)="",SUBSTITUTE(C666," ","")="소계"),"제외",IF(ISNUMBER(SEARCH("홍콩",C666)),"HK",IF(ISNUMBER(SEARCH("상해",C666)),"CN",IF(ISNUMBER(SEARCH("대만",C666)),"TW","홀세일"))))</f>
        <v>CN</v>
      </c>
      <c r="B666" s="87" t="s">
        <v>1076</v>
      </c>
      <c r="C666" s="88" t="s">
        <v>1077</v>
      </c>
      <c r="D666" s="88" t="s">
        <v>178</v>
      </c>
      <c r="E666" s="87" t="n">
        <v>2026</v>
      </c>
      <c r="F666" s="88" t="s">
        <v>277</v>
      </c>
      <c r="G666" s="88" t="s">
        <v>180</v>
      </c>
      <c r="H666" s="87" t="s">
        <v>246</v>
      </c>
      <c r="I666" s="87" t="s">
        <v>384</v>
      </c>
      <c r="J666" s="87" t="s">
        <v>385</v>
      </c>
      <c r="K666" s="89" t="n">
        <v>453</v>
      </c>
      <c r="L666" s="89" t="n">
        <v>35787000</v>
      </c>
      <c r="M666" s="89" t="n">
        <v>9480468</v>
      </c>
      <c r="N666" s="90" t="n">
        <f aca="false">IF(A666="제외",0,IF(OR(N(L666)&lt;=0,N(M666)&gt;N(L666)),N(M666)/가정!$B$4,N(L666)))</f>
        <v>35787000</v>
      </c>
      <c r="O666" s="67" t="str">
        <f aca="false">IF(A666="제외","",IF(OR(N(L666)&lt;=0,N(M666)&gt;N(L666)),"택가보정(판매금액÷공급율)",""))</f>
        <v/>
      </c>
    </row>
    <row r="667" customFormat="false" ht="15" hidden="false" customHeight="true" outlineLevel="0" collapsed="false">
      <c r="A667" s="67" t="str">
        <f aca="false">IF(OR(TRIM(C667)="",SUBSTITUTE(C667," ","")="소계"),"제외",IF(ISNUMBER(SEARCH("홍콩",C667)),"HK",IF(ISNUMBER(SEARCH("상해",C667)),"CN",IF(ISNUMBER(SEARCH("대만",C667)),"TW","홀세일"))))</f>
        <v>CN</v>
      </c>
      <c r="B667" s="87" t="s">
        <v>1076</v>
      </c>
      <c r="C667" s="88" t="s">
        <v>1077</v>
      </c>
      <c r="D667" s="88" t="s">
        <v>178</v>
      </c>
      <c r="E667" s="87" t="n">
        <v>2026</v>
      </c>
      <c r="F667" s="88" t="s">
        <v>277</v>
      </c>
      <c r="G667" s="88" t="s">
        <v>180</v>
      </c>
      <c r="H667" s="87" t="s">
        <v>246</v>
      </c>
      <c r="I667" s="87" t="s">
        <v>390</v>
      </c>
      <c r="J667" s="87" t="s">
        <v>391</v>
      </c>
      <c r="K667" s="89" t="n">
        <v>362</v>
      </c>
      <c r="L667" s="89" t="n">
        <v>46698000</v>
      </c>
      <c r="M667" s="89" t="n">
        <v>11286068</v>
      </c>
      <c r="N667" s="90" t="n">
        <f aca="false">IF(A667="제외",0,IF(OR(N(L667)&lt;=0,N(M667)&gt;N(L667)),N(M667)/가정!$B$4,N(L667)))</f>
        <v>46698000</v>
      </c>
      <c r="O667" s="67" t="str">
        <f aca="false">IF(A667="제외","",IF(OR(N(L667)&lt;=0,N(M667)&gt;N(L667)),"택가보정(판매금액÷공급율)",""))</f>
        <v/>
      </c>
    </row>
    <row r="668" customFormat="false" ht="15" hidden="false" customHeight="true" outlineLevel="0" collapsed="false">
      <c r="A668" s="67" t="str">
        <f aca="false">IF(OR(TRIM(C668)="",SUBSTITUTE(C668," ","")="소계"),"제외",IF(ISNUMBER(SEARCH("홍콩",C668)),"HK",IF(ISNUMBER(SEARCH("상해",C668)),"CN",IF(ISNUMBER(SEARCH("대만",C668)),"TW","홀세일"))))</f>
        <v>CN</v>
      </c>
      <c r="B668" s="87" t="s">
        <v>1076</v>
      </c>
      <c r="C668" s="88" t="s">
        <v>1077</v>
      </c>
      <c r="D668" s="88" t="s">
        <v>178</v>
      </c>
      <c r="E668" s="87" t="n">
        <v>2026</v>
      </c>
      <c r="F668" s="88" t="s">
        <v>277</v>
      </c>
      <c r="G668" s="88" t="s">
        <v>180</v>
      </c>
      <c r="H668" s="87" t="s">
        <v>246</v>
      </c>
      <c r="I668" s="87" t="s">
        <v>392</v>
      </c>
      <c r="J668" s="87" t="s">
        <v>393</v>
      </c>
      <c r="K668" s="89" t="n">
        <v>76</v>
      </c>
      <c r="L668" s="89" t="n">
        <v>11324000</v>
      </c>
      <c r="M668" s="89" t="n">
        <v>2797115</v>
      </c>
      <c r="N668" s="90" t="n">
        <f aca="false">IF(A668="제외",0,IF(OR(N(L668)&lt;=0,N(M668)&gt;N(L668)),N(M668)/가정!$B$4,N(L668)))</f>
        <v>11324000</v>
      </c>
      <c r="O668" s="67" t="str">
        <f aca="false">IF(A668="제외","",IF(OR(N(L668)&lt;=0,N(M668)&gt;N(L668)),"택가보정(판매금액÷공급율)",""))</f>
        <v/>
      </c>
    </row>
    <row r="669" customFormat="false" ht="15" hidden="false" customHeight="true" outlineLevel="0" collapsed="false">
      <c r="A669" s="67" t="str">
        <f aca="false">IF(OR(TRIM(C669)="",SUBSTITUTE(C669," ","")="소계"),"제외",IF(ISNUMBER(SEARCH("홍콩",C669)),"HK",IF(ISNUMBER(SEARCH("상해",C669)),"CN",IF(ISNUMBER(SEARCH("대만",C669)),"TW","홀세일"))))</f>
        <v>CN</v>
      </c>
      <c r="B669" s="87" t="s">
        <v>1076</v>
      </c>
      <c r="C669" s="88" t="s">
        <v>1077</v>
      </c>
      <c r="D669" s="88" t="s">
        <v>178</v>
      </c>
      <c r="E669" s="87" t="n">
        <v>2026</v>
      </c>
      <c r="F669" s="88" t="s">
        <v>277</v>
      </c>
      <c r="G669" s="88" t="s">
        <v>180</v>
      </c>
      <c r="H669" s="87" t="s">
        <v>246</v>
      </c>
      <c r="I669" s="87" t="s">
        <v>398</v>
      </c>
      <c r="J669" s="87" t="s">
        <v>399</v>
      </c>
      <c r="K669" s="89" t="n">
        <v>127</v>
      </c>
      <c r="L669" s="89" t="n">
        <v>15113000</v>
      </c>
      <c r="M669" s="89" t="n">
        <v>4026154</v>
      </c>
      <c r="N669" s="90" t="n">
        <f aca="false">IF(A669="제외",0,IF(OR(N(L669)&lt;=0,N(M669)&gt;N(L669)),N(M669)/가정!$B$4,N(L669)))</f>
        <v>15113000</v>
      </c>
      <c r="O669" s="67" t="str">
        <f aca="false">IF(A669="제외","",IF(OR(N(L669)&lt;=0,N(M669)&gt;N(L669)),"택가보정(판매금액÷공급율)",""))</f>
        <v/>
      </c>
    </row>
    <row r="670" customFormat="false" ht="15" hidden="false" customHeight="true" outlineLevel="0" collapsed="false">
      <c r="A670" s="67" t="str">
        <f aca="false">IF(OR(TRIM(C670)="",SUBSTITUTE(C670," ","")="소계"),"제외",IF(ISNUMBER(SEARCH("홍콩",C670)),"HK",IF(ISNUMBER(SEARCH("상해",C670)),"CN",IF(ISNUMBER(SEARCH("대만",C670)),"TW","홀세일"))))</f>
        <v>CN</v>
      </c>
      <c r="B670" s="87" t="s">
        <v>1076</v>
      </c>
      <c r="C670" s="88" t="s">
        <v>1077</v>
      </c>
      <c r="D670" s="88" t="s">
        <v>178</v>
      </c>
      <c r="E670" s="87" t="n">
        <v>2026</v>
      </c>
      <c r="F670" s="88" t="s">
        <v>277</v>
      </c>
      <c r="G670" s="88" t="s">
        <v>180</v>
      </c>
      <c r="H670" s="87" t="s">
        <v>246</v>
      </c>
      <c r="I670" s="87" t="s">
        <v>1106</v>
      </c>
      <c r="J670" s="87" t="s">
        <v>1107</v>
      </c>
      <c r="K670" s="89" t="n">
        <v>255</v>
      </c>
      <c r="L670" s="89" t="n">
        <v>27795000</v>
      </c>
      <c r="M670" s="89" t="n">
        <v>7256790</v>
      </c>
      <c r="N670" s="90" t="n">
        <f aca="false">IF(A670="제외",0,IF(OR(N(L670)&lt;=0,N(M670)&gt;N(L670)),N(M670)/가정!$B$4,N(L670)))</f>
        <v>27795000</v>
      </c>
      <c r="O670" s="67" t="str">
        <f aca="false">IF(A670="제외","",IF(OR(N(L670)&lt;=0,N(M670)&gt;N(L670)),"택가보정(판매금액÷공급율)",""))</f>
        <v/>
      </c>
    </row>
    <row r="671" customFormat="false" ht="15" hidden="false" customHeight="true" outlineLevel="0" collapsed="false">
      <c r="A671" s="67" t="str">
        <f aca="false">IF(OR(TRIM(C671)="",SUBSTITUTE(C671," ","")="소계"),"제외",IF(ISNUMBER(SEARCH("홍콩",C671)),"HK",IF(ISNUMBER(SEARCH("상해",C671)),"CN",IF(ISNUMBER(SEARCH("대만",C671)),"TW","홀세일"))))</f>
        <v>CN</v>
      </c>
      <c r="B671" s="87" t="s">
        <v>1076</v>
      </c>
      <c r="C671" s="88" t="s">
        <v>1077</v>
      </c>
      <c r="D671" s="88" t="s">
        <v>178</v>
      </c>
      <c r="E671" s="87" t="n">
        <v>2026</v>
      </c>
      <c r="F671" s="88" t="s">
        <v>277</v>
      </c>
      <c r="G671" s="88" t="s">
        <v>180</v>
      </c>
      <c r="H671" s="87" t="s">
        <v>246</v>
      </c>
      <c r="I671" s="87" t="s">
        <v>406</v>
      </c>
      <c r="J671" s="87" t="s">
        <v>407</v>
      </c>
      <c r="K671" s="89" t="n">
        <v>170</v>
      </c>
      <c r="L671" s="89" t="n">
        <v>25330000</v>
      </c>
      <c r="M671" s="89" t="n">
        <v>8219330</v>
      </c>
      <c r="N671" s="90" t="n">
        <f aca="false">IF(A671="제외",0,IF(OR(N(L671)&lt;=0,N(M671)&gt;N(L671)),N(M671)/가정!$B$4,N(L671)))</f>
        <v>25330000</v>
      </c>
      <c r="O671" s="67" t="str">
        <f aca="false">IF(A671="제외","",IF(OR(N(L671)&lt;=0,N(M671)&gt;N(L671)),"택가보정(판매금액÷공급율)",""))</f>
        <v/>
      </c>
    </row>
    <row r="672" customFormat="false" ht="15" hidden="false" customHeight="true" outlineLevel="0" collapsed="false">
      <c r="A672" s="67" t="str">
        <f aca="false">IF(OR(TRIM(C672)="",SUBSTITUTE(C672," ","")="소계"),"제외",IF(ISNUMBER(SEARCH("홍콩",C672)),"HK",IF(ISNUMBER(SEARCH("상해",C672)),"CN",IF(ISNUMBER(SEARCH("대만",C672)),"TW","홀세일"))))</f>
        <v>CN</v>
      </c>
      <c r="B672" s="87" t="s">
        <v>1076</v>
      </c>
      <c r="C672" s="88" t="s">
        <v>1077</v>
      </c>
      <c r="D672" s="88" t="s">
        <v>178</v>
      </c>
      <c r="E672" s="87" t="n">
        <v>2026</v>
      </c>
      <c r="F672" s="88" t="s">
        <v>277</v>
      </c>
      <c r="G672" s="88" t="s">
        <v>180</v>
      </c>
      <c r="H672" s="87" t="s">
        <v>246</v>
      </c>
      <c r="I672" s="87" t="s">
        <v>903</v>
      </c>
      <c r="J672" s="87" t="s">
        <v>904</v>
      </c>
      <c r="K672" s="89" t="n">
        <v>452</v>
      </c>
      <c r="L672" s="89" t="n">
        <v>80908000</v>
      </c>
      <c r="M672" s="89" t="n">
        <v>20680902</v>
      </c>
      <c r="N672" s="90" t="n">
        <f aca="false">IF(A672="제외",0,IF(OR(N(L672)&lt;=0,N(M672)&gt;N(L672)),N(M672)/가정!$B$4,N(L672)))</f>
        <v>80908000</v>
      </c>
      <c r="O672" s="67" t="str">
        <f aca="false">IF(A672="제외","",IF(OR(N(L672)&lt;=0,N(M672)&gt;N(L672)),"택가보정(판매금액÷공급율)",""))</f>
        <v/>
      </c>
    </row>
    <row r="673" customFormat="false" ht="15" hidden="false" customHeight="true" outlineLevel="0" collapsed="false">
      <c r="A673" s="67" t="str">
        <f aca="false">IF(OR(TRIM(C673)="",SUBSTITUTE(C673," ","")="소계"),"제외",IF(ISNUMBER(SEARCH("홍콩",C673)),"HK",IF(ISNUMBER(SEARCH("상해",C673)),"CN",IF(ISNUMBER(SEARCH("대만",C673)),"TW","홀세일"))))</f>
        <v>CN</v>
      </c>
      <c r="B673" s="87" t="s">
        <v>1076</v>
      </c>
      <c r="C673" s="88" t="s">
        <v>1077</v>
      </c>
      <c r="D673" s="88" t="s">
        <v>178</v>
      </c>
      <c r="E673" s="87" t="n">
        <v>2026</v>
      </c>
      <c r="F673" s="88" t="s">
        <v>277</v>
      </c>
      <c r="G673" s="88" t="s">
        <v>180</v>
      </c>
      <c r="H673" s="87" t="s">
        <v>246</v>
      </c>
      <c r="I673" s="87" t="s">
        <v>408</v>
      </c>
      <c r="J673" s="87" t="s">
        <v>409</v>
      </c>
      <c r="K673" s="89" t="n">
        <v>110</v>
      </c>
      <c r="L673" s="89" t="n">
        <v>17490000</v>
      </c>
      <c r="M673" s="89" t="n">
        <v>4638810</v>
      </c>
      <c r="N673" s="90" t="n">
        <f aca="false">IF(A673="제외",0,IF(OR(N(L673)&lt;=0,N(M673)&gt;N(L673)),N(M673)/가정!$B$4,N(L673)))</f>
        <v>17490000</v>
      </c>
      <c r="O673" s="67" t="str">
        <f aca="false">IF(A673="제외","",IF(OR(N(L673)&lt;=0,N(M673)&gt;N(L673)),"택가보정(판매금액÷공급율)",""))</f>
        <v/>
      </c>
    </row>
    <row r="674" customFormat="false" ht="15" hidden="false" customHeight="true" outlineLevel="0" collapsed="false">
      <c r="A674" s="67" t="str">
        <f aca="false">IF(OR(TRIM(C674)="",SUBSTITUTE(C674," ","")="소계"),"제외",IF(ISNUMBER(SEARCH("홍콩",C674)),"HK",IF(ISNUMBER(SEARCH("상해",C674)),"CN",IF(ISNUMBER(SEARCH("대만",C674)),"TW","홀세일"))))</f>
        <v>CN</v>
      </c>
      <c r="B674" s="87" t="s">
        <v>1076</v>
      </c>
      <c r="C674" s="88" t="s">
        <v>1077</v>
      </c>
      <c r="D674" s="88" t="s">
        <v>178</v>
      </c>
      <c r="E674" s="87" t="n">
        <v>2026</v>
      </c>
      <c r="F674" s="88" t="s">
        <v>277</v>
      </c>
      <c r="G674" s="88" t="s">
        <v>180</v>
      </c>
      <c r="H674" s="87" t="s">
        <v>246</v>
      </c>
      <c r="I674" s="87" t="s">
        <v>1108</v>
      </c>
      <c r="J674" s="87" t="s">
        <v>1109</v>
      </c>
      <c r="K674" s="89" t="n">
        <v>200</v>
      </c>
      <c r="L674" s="89" t="n">
        <v>35800000</v>
      </c>
      <c r="M674" s="89" t="n">
        <v>8758600</v>
      </c>
      <c r="N674" s="90" t="n">
        <f aca="false">IF(A674="제외",0,IF(OR(N(L674)&lt;=0,N(M674)&gt;N(L674)),N(M674)/가정!$B$4,N(L674)))</f>
        <v>35800000</v>
      </c>
      <c r="O674" s="67" t="str">
        <f aca="false">IF(A674="제외","",IF(OR(N(L674)&lt;=0,N(M674)&gt;N(L674)),"택가보정(판매금액÷공급율)",""))</f>
        <v/>
      </c>
    </row>
    <row r="675" customFormat="false" ht="15" hidden="false" customHeight="true" outlineLevel="0" collapsed="false">
      <c r="A675" s="67" t="str">
        <f aca="false">IF(OR(TRIM(C675)="",SUBSTITUTE(C675," ","")="소계"),"제외",IF(ISNUMBER(SEARCH("홍콩",C675)),"HK",IF(ISNUMBER(SEARCH("상해",C675)),"CN",IF(ISNUMBER(SEARCH("대만",C675)),"TW","홀세일"))))</f>
        <v>CN</v>
      </c>
      <c r="B675" s="87" t="s">
        <v>1076</v>
      </c>
      <c r="C675" s="88" t="s">
        <v>1077</v>
      </c>
      <c r="D675" s="88" t="s">
        <v>178</v>
      </c>
      <c r="E675" s="87" t="n">
        <v>2026</v>
      </c>
      <c r="F675" s="88" t="s">
        <v>277</v>
      </c>
      <c r="G675" s="88" t="s">
        <v>180</v>
      </c>
      <c r="H675" s="87" t="s">
        <v>246</v>
      </c>
      <c r="I675" s="87" t="s">
        <v>412</v>
      </c>
      <c r="J675" s="87" t="s">
        <v>413</v>
      </c>
      <c r="K675" s="89" t="n">
        <v>142</v>
      </c>
      <c r="L675" s="89" t="n">
        <v>15478000</v>
      </c>
      <c r="M675" s="89" t="n">
        <v>4103800</v>
      </c>
      <c r="N675" s="90" t="n">
        <f aca="false">IF(A675="제외",0,IF(OR(N(L675)&lt;=0,N(M675)&gt;N(L675)),N(M675)/가정!$B$4,N(L675)))</f>
        <v>15478000</v>
      </c>
      <c r="O675" s="67" t="str">
        <f aca="false">IF(A675="제외","",IF(OR(N(L675)&lt;=0,N(M675)&gt;N(L675)),"택가보정(판매금액÷공급율)",""))</f>
        <v/>
      </c>
    </row>
    <row r="676" customFormat="false" ht="15" hidden="false" customHeight="true" outlineLevel="0" collapsed="false">
      <c r="A676" s="67" t="str">
        <f aca="false">IF(OR(TRIM(C676)="",SUBSTITUTE(C676," ","")="소계"),"제외",IF(ISNUMBER(SEARCH("홍콩",C676)),"HK",IF(ISNUMBER(SEARCH("상해",C676)),"CN",IF(ISNUMBER(SEARCH("대만",C676)),"TW","홀세일"))))</f>
        <v>CN</v>
      </c>
      <c r="B676" s="87" t="s">
        <v>1076</v>
      </c>
      <c r="C676" s="88" t="s">
        <v>1077</v>
      </c>
      <c r="D676" s="88" t="s">
        <v>178</v>
      </c>
      <c r="E676" s="87" t="n">
        <v>2026</v>
      </c>
      <c r="F676" s="88" t="s">
        <v>277</v>
      </c>
      <c r="G676" s="88" t="s">
        <v>180</v>
      </c>
      <c r="H676" s="87" t="s">
        <v>246</v>
      </c>
      <c r="I676" s="87" t="s">
        <v>1110</v>
      </c>
      <c r="J676" s="87" t="s">
        <v>1111</v>
      </c>
      <c r="K676" s="89" t="n">
        <v>290</v>
      </c>
      <c r="L676" s="89" t="n">
        <v>37410000</v>
      </c>
      <c r="M676" s="89" t="n">
        <v>10091420</v>
      </c>
      <c r="N676" s="90" t="n">
        <f aca="false">IF(A676="제외",0,IF(OR(N(L676)&lt;=0,N(M676)&gt;N(L676)),N(M676)/가정!$B$4,N(L676)))</f>
        <v>37410000</v>
      </c>
      <c r="O676" s="67" t="str">
        <f aca="false">IF(A676="제외","",IF(OR(N(L676)&lt;=0,N(M676)&gt;N(L676)),"택가보정(판매금액÷공급율)",""))</f>
        <v/>
      </c>
    </row>
    <row r="677" customFormat="false" ht="15" hidden="false" customHeight="true" outlineLevel="0" collapsed="false">
      <c r="A677" s="67" t="str">
        <f aca="false">IF(OR(TRIM(C677)="",SUBSTITUTE(C677," ","")="소계"),"제외",IF(ISNUMBER(SEARCH("홍콩",C677)),"HK",IF(ISNUMBER(SEARCH("상해",C677)),"CN",IF(ISNUMBER(SEARCH("대만",C677)),"TW","홀세일"))))</f>
        <v>CN</v>
      </c>
      <c r="B677" s="87" t="s">
        <v>1076</v>
      </c>
      <c r="C677" s="88" t="s">
        <v>1077</v>
      </c>
      <c r="D677" s="88" t="s">
        <v>178</v>
      </c>
      <c r="E677" s="87" t="n">
        <v>2026</v>
      </c>
      <c r="F677" s="88" t="s">
        <v>277</v>
      </c>
      <c r="G677" s="88" t="s">
        <v>180</v>
      </c>
      <c r="H677" s="87" t="s">
        <v>246</v>
      </c>
      <c r="I677" s="87" t="s">
        <v>909</v>
      </c>
      <c r="J677" s="87" t="s">
        <v>910</v>
      </c>
      <c r="K677" s="89" t="n">
        <v>192</v>
      </c>
      <c r="L677" s="89" t="n">
        <v>11328000</v>
      </c>
      <c r="M677" s="89" t="n">
        <v>2776476</v>
      </c>
      <c r="N677" s="90" t="n">
        <f aca="false">IF(A677="제외",0,IF(OR(N(L677)&lt;=0,N(M677)&gt;N(L677)),N(M677)/가정!$B$4,N(L677)))</f>
        <v>11328000</v>
      </c>
      <c r="O677" s="67" t="str">
        <f aca="false">IF(A677="제외","",IF(OR(N(L677)&lt;=0,N(M677)&gt;N(L677)),"택가보정(판매금액÷공급율)",""))</f>
        <v/>
      </c>
    </row>
    <row r="678" customFormat="false" ht="15" hidden="false" customHeight="true" outlineLevel="0" collapsed="false">
      <c r="A678" s="67" t="str">
        <f aca="false">IF(OR(TRIM(C678)="",SUBSTITUTE(C678," ","")="소계"),"제외",IF(ISNUMBER(SEARCH("홍콩",C678)),"HK",IF(ISNUMBER(SEARCH("상해",C678)),"CN",IF(ISNUMBER(SEARCH("대만",C678)),"TW","홀세일"))))</f>
        <v>CN</v>
      </c>
      <c r="B678" s="87" t="s">
        <v>1076</v>
      </c>
      <c r="C678" s="88" t="s">
        <v>1077</v>
      </c>
      <c r="D678" s="88" t="s">
        <v>178</v>
      </c>
      <c r="E678" s="87" t="n">
        <v>2026</v>
      </c>
      <c r="F678" s="88" t="s">
        <v>277</v>
      </c>
      <c r="G678" s="88" t="s">
        <v>180</v>
      </c>
      <c r="H678" s="87" t="s">
        <v>246</v>
      </c>
      <c r="I678" s="87" t="s">
        <v>416</v>
      </c>
      <c r="J678" s="87" t="s">
        <v>417</v>
      </c>
      <c r="K678" s="89" t="n">
        <v>163</v>
      </c>
      <c r="L678" s="89" t="n">
        <v>12877000</v>
      </c>
      <c r="M678" s="89" t="n">
        <v>3388933</v>
      </c>
      <c r="N678" s="90" t="n">
        <f aca="false">IF(A678="제외",0,IF(OR(N(L678)&lt;=0,N(M678)&gt;N(L678)),N(M678)/가정!$B$4,N(L678)))</f>
        <v>12877000</v>
      </c>
      <c r="O678" s="67" t="str">
        <f aca="false">IF(A678="제외","",IF(OR(N(L678)&lt;=0,N(M678)&gt;N(L678)),"택가보정(판매금액÷공급율)",""))</f>
        <v/>
      </c>
    </row>
    <row r="679" customFormat="false" ht="15" hidden="false" customHeight="true" outlineLevel="0" collapsed="false">
      <c r="A679" s="67" t="str">
        <f aca="false">IF(OR(TRIM(C679)="",SUBSTITUTE(C679," ","")="소계"),"제외",IF(ISNUMBER(SEARCH("홍콩",C679)),"HK",IF(ISNUMBER(SEARCH("상해",C679)),"CN",IF(ISNUMBER(SEARCH("대만",C679)),"TW","홀세일"))))</f>
        <v>CN</v>
      </c>
      <c r="B679" s="87" t="s">
        <v>1076</v>
      </c>
      <c r="C679" s="88" t="s">
        <v>1077</v>
      </c>
      <c r="D679" s="88" t="s">
        <v>178</v>
      </c>
      <c r="E679" s="87" t="n">
        <v>2026</v>
      </c>
      <c r="F679" s="88" t="s">
        <v>277</v>
      </c>
      <c r="G679" s="88" t="s">
        <v>180</v>
      </c>
      <c r="H679" s="87" t="s">
        <v>246</v>
      </c>
      <c r="I679" s="87" t="s">
        <v>917</v>
      </c>
      <c r="J679" s="87" t="s">
        <v>918</v>
      </c>
      <c r="K679" s="89" t="n">
        <v>227</v>
      </c>
      <c r="L679" s="89" t="n">
        <v>20203000</v>
      </c>
      <c r="M679" s="89" t="n">
        <v>5789893</v>
      </c>
      <c r="N679" s="90" t="n">
        <f aca="false">IF(A679="제외",0,IF(OR(N(L679)&lt;=0,N(M679)&gt;N(L679)),N(M679)/가정!$B$4,N(L679)))</f>
        <v>20203000</v>
      </c>
      <c r="O679" s="67" t="str">
        <f aca="false">IF(A679="제외","",IF(OR(N(L679)&lt;=0,N(M679)&gt;N(L679)),"택가보정(판매금액÷공급율)",""))</f>
        <v/>
      </c>
    </row>
    <row r="680" customFormat="false" ht="15" hidden="false" customHeight="true" outlineLevel="0" collapsed="false">
      <c r="A680" s="67" t="str">
        <f aca="false">IF(OR(TRIM(C680)="",SUBSTITUTE(C680," ","")="소계"),"제외",IF(ISNUMBER(SEARCH("홍콩",C680)),"HK",IF(ISNUMBER(SEARCH("상해",C680)),"CN",IF(ISNUMBER(SEARCH("대만",C680)),"TW","홀세일"))))</f>
        <v>CN</v>
      </c>
      <c r="B680" s="87" t="s">
        <v>1076</v>
      </c>
      <c r="C680" s="88" t="s">
        <v>1077</v>
      </c>
      <c r="D680" s="88" t="s">
        <v>178</v>
      </c>
      <c r="E680" s="87" t="n">
        <v>2026</v>
      </c>
      <c r="F680" s="88" t="s">
        <v>277</v>
      </c>
      <c r="G680" s="88" t="s">
        <v>418</v>
      </c>
      <c r="H680" s="87" t="s">
        <v>189</v>
      </c>
      <c r="I680" s="87" t="s">
        <v>419</v>
      </c>
      <c r="J680" s="88" t="s">
        <v>420</v>
      </c>
      <c r="K680" s="89" t="n">
        <v>210</v>
      </c>
      <c r="L680" s="89" t="n">
        <v>22890000</v>
      </c>
      <c r="M680" s="89" t="n">
        <v>7154070</v>
      </c>
      <c r="N680" s="90" t="n">
        <f aca="false">IF(A680="제외",0,IF(OR(N(L680)&lt;=0,N(M680)&gt;N(L680)),N(M680)/가정!$B$4,N(L680)))</f>
        <v>22890000</v>
      </c>
      <c r="O680" s="67" t="str">
        <f aca="false">IF(A680="제외","",IF(OR(N(L680)&lt;=0,N(M680)&gt;N(L680)),"택가보정(판매금액÷공급율)",""))</f>
        <v/>
      </c>
    </row>
    <row r="681" customFormat="false" ht="15" hidden="false" customHeight="true" outlineLevel="0" collapsed="false">
      <c r="A681" s="67" t="str">
        <f aca="false">IF(OR(TRIM(C681)="",SUBSTITUTE(C681," ","")="소계"),"제외",IF(ISNUMBER(SEARCH("홍콩",C681)),"HK",IF(ISNUMBER(SEARCH("상해",C681)),"CN",IF(ISNUMBER(SEARCH("대만",C681)),"TW","홀세일"))))</f>
        <v>CN</v>
      </c>
      <c r="B681" s="87" t="s">
        <v>1076</v>
      </c>
      <c r="C681" s="88" t="s">
        <v>1077</v>
      </c>
      <c r="D681" s="88" t="s">
        <v>178</v>
      </c>
      <c r="E681" s="87" t="n">
        <v>2026</v>
      </c>
      <c r="F681" s="88" t="s">
        <v>421</v>
      </c>
      <c r="G681" s="88" t="s">
        <v>188</v>
      </c>
      <c r="H681" s="87" t="s">
        <v>189</v>
      </c>
      <c r="I681" s="87" t="s">
        <v>424</v>
      </c>
      <c r="J681" s="88" t="s">
        <v>425</v>
      </c>
      <c r="K681" s="89" t="n">
        <v>51</v>
      </c>
      <c r="L681" s="89" t="n">
        <v>8109000</v>
      </c>
      <c r="M681" s="89" t="n">
        <v>2089416</v>
      </c>
      <c r="N681" s="90" t="n">
        <f aca="false">IF(A681="제외",0,IF(OR(N(L681)&lt;=0,N(M681)&gt;N(L681)),N(M681)/가정!$B$4,N(L681)))</f>
        <v>8109000</v>
      </c>
      <c r="O681" s="67" t="str">
        <f aca="false">IF(A681="제외","",IF(OR(N(L681)&lt;=0,N(M681)&gt;N(L681)),"택가보정(판매금액÷공급율)",""))</f>
        <v/>
      </c>
    </row>
    <row r="682" customFormat="false" ht="15" hidden="false" customHeight="true" outlineLevel="0" collapsed="false">
      <c r="A682" s="67" t="str">
        <f aca="false">IF(OR(TRIM(C682)="",SUBSTITUTE(C682," ","")="소계"),"제외",IF(ISNUMBER(SEARCH("홍콩",C682)),"HK",IF(ISNUMBER(SEARCH("상해",C682)),"CN",IF(ISNUMBER(SEARCH("대만",C682)),"TW","홀세일"))))</f>
        <v>CN</v>
      </c>
      <c r="B682" s="87" t="s">
        <v>1076</v>
      </c>
      <c r="C682" s="88" t="s">
        <v>1077</v>
      </c>
      <c r="D682" s="88" t="s">
        <v>178</v>
      </c>
      <c r="E682" s="87" t="n">
        <v>2026</v>
      </c>
      <c r="F682" s="88" t="s">
        <v>421</v>
      </c>
      <c r="G682" s="88" t="s">
        <v>188</v>
      </c>
      <c r="H682" s="87" t="s">
        <v>189</v>
      </c>
      <c r="I682" s="87" t="s">
        <v>921</v>
      </c>
      <c r="J682" s="87" t="s">
        <v>922</v>
      </c>
      <c r="K682" s="89" t="n">
        <v>82</v>
      </c>
      <c r="L682" s="89" t="n">
        <v>21238000</v>
      </c>
      <c r="M682" s="89" t="n">
        <v>6270272</v>
      </c>
      <c r="N682" s="90" t="n">
        <f aca="false">IF(A682="제외",0,IF(OR(N(L682)&lt;=0,N(M682)&gt;N(L682)),N(M682)/가정!$B$4,N(L682)))</f>
        <v>21238000</v>
      </c>
      <c r="O682" s="67" t="str">
        <f aca="false">IF(A682="제외","",IF(OR(N(L682)&lt;=0,N(M682)&gt;N(L682)),"택가보정(판매금액÷공급율)",""))</f>
        <v/>
      </c>
    </row>
    <row r="683" customFormat="false" ht="15" hidden="false" customHeight="true" outlineLevel="0" collapsed="false">
      <c r="A683" s="67" t="str">
        <f aca="false">IF(OR(TRIM(C683)="",SUBSTITUTE(C683," ","")="소계"),"제외",IF(ISNUMBER(SEARCH("홍콩",C683)),"HK",IF(ISNUMBER(SEARCH("상해",C683)),"CN",IF(ISNUMBER(SEARCH("대만",C683)),"TW","홀세일"))))</f>
        <v>CN</v>
      </c>
      <c r="B683" s="87" t="s">
        <v>1076</v>
      </c>
      <c r="C683" s="88" t="s">
        <v>1077</v>
      </c>
      <c r="D683" s="88" t="s">
        <v>178</v>
      </c>
      <c r="E683" s="87" t="n">
        <v>2026</v>
      </c>
      <c r="F683" s="88" t="s">
        <v>421</v>
      </c>
      <c r="G683" s="88" t="s">
        <v>188</v>
      </c>
      <c r="H683" s="87" t="s">
        <v>189</v>
      </c>
      <c r="I683" s="87" t="s">
        <v>923</v>
      </c>
      <c r="J683" s="87" t="s">
        <v>924</v>
      </c>
      <c r="K683" s="89" t="n">
        <v>243</v>
      </c>
      <c r="L683" s="89" t="n">
        <v>26487000</v>
      </c>
      <c r="M683" s="89" t="n">
        <v>7399527</v>
      </c>
      <c r="N683" s="90" t="n">
        <f aca="false">IF(A683="제외",0,IF(OR(N(L683)&lt;=0,N(M683)&gt;N(L683)),N(M683)/가정!$B$4,N(L683)))</f>
        <v>26487000</v>
      </c>
      <c r="O683" s="67" t="str">
        <f aca="false">IF(A683="제외","",IF(OR(N(L683)&lt;=0,N(M683)&gt;N(L683)),"택가보정(판매금액÷공급율)",""))</f>
        <v/>
      </c>
    </row>
    <row r="684" customFormat="false" ht="15" hidden="false" customHeight="true" outlineLevel="0" collapsed="false">
      <c r="A684" s="67" t="str">
        <f aca="false">IF(OR(TRIM(C684)="",SUBSTITUTE(C684," ","")="소계"),"제외",IF(ISNUMBER(SEARCH("홍콩",C684)),"HK",IF(ISNUMBER(SEARCH("상해",C684)),"CN",IF(ISNUMBER(SEARCH("대만",C684)),"TW","홀세일"))))</f>
        <v>CN</v>
      </c>
      <c r="B684" s="87" t="s">
        <v>1076</v>
      </c>
      <c r="C684" s="88" t="s">
        <v>1077</v>
      </c>
      <c r="D684" s="88" t="s">
        <v>178</v>
      </c>
      <c r="E684" s="87" t="n">
        <v>2026</v>
      </c>
      <c r="F684" s="88" t="s">
        <v>421</v>
      </c>
      <c r="G684" s="88" t="s">
        <v>188</v>
      </c>
      <c r="H684" s="87" t="s">
        <v>189</v>
      </c>
      <c r="I684" s="87" t="s">
        <v>428</v>
      </c>
      <c r="J684" s="88" t="s">
        <v>429</v>
      </c>
      <c r="K684" s="89" t="n">
        <v>51</v>
      </c>
      <c r="L684" s="89" t="n">
        <v>3519000</v>
      </c>
      <c r="M684" s="89" t="n">
        <v>802537</v>
      </c>
      <c r="N684" s="90" t="n">
        <f aca="false">IF(A684="제외",0,IF(OR(N(L684)&lt;=0,N(M684)&gt;N(L684)),N(M684)/가정!$B$4,N(L684)))</f>
        <v>3519000</v>
      </c>
      <c r="O684" s="67" t="str">
        <f aca="false">IF(A684="제외","",IF(OR(N(L684)&lt;=0,N(M684)&gt;N(L684)),"택가보정(판매금액÷공급율)",""))</f>
        <v/>
      </c>
    </row>
    <row r="685" customFormat="false" ht="15" hidden="false" customHeight="true" outlineLevel="0" collapsed="false">
      <c r="A685" s="67" t="str">
        <f aca="false">IF(OR(TRIM(C685)="",SUBSTITUTE(C685," ","")="소계"),"제외",IF(ISNUMBER(SEARCH("홍콩",C685)),"HK",IF(ISNUMBER(SEARCH("상해",C685)),"CN",IF(ISNUMBER(SEARCH("대만",C685)),"TW","홀세일"))))</f>
        <v>CN</v>
      </c>
      <c r="B685" s="87" t="s">
        <v>1076</v>
      </c>
      <c r="C685" s="88" t="s">
        <v>1077</v>
      </c>
      <c r="D685" s="88" t="s">
        <v>178</v>
      </c>
      <c r="E685" s="87" t="n">
        <v>2026</v>
      </c>
      <c r="F685" s="88" t="s">
        <v>421</v>
      </c>
      <c r="G685" s="88" t="s">
        <v>188</v>
      </c>
      <c r="H685" s="87" t="s">
        <v>189</v>
      </c>
      <c r="I685" s="87" t="s">
        <v>430</v>
      </c>
      <c r="J685" s="87" t="s">
        <v>431</v>
      </c>
      <c r="K685" s="89" t="n">
        <v>222</v>
      </c>
      <c r="L685" s="89" t="n">
        <v>21978000</v>
      </c>
      <c r="M685" s="89" t="n">
        <v>6046696</v>
      </c>
      <c r="N685" s="90" t="n">
        <f aca="false">IF(A685="제외",0,IF(OR(N(L685)&lt;=0,N(M685)&gt;N(L685)),N(M685)/가정!$B$4,N(L685)))</f>
        <v>21978000</v>
      </c>
      <c r="O685" s="67" t="str">
        <f aca="false">IF(A685="제외","",IF(OR(N(L685)&lt;=0,N(M685)&gt;N(L685)),"택가보정(판매금액÷공급율)",""))</f>
        <v/>
      </c>
    </row>
    <row r="686" customFormat="false" ht="15" hidden="false" customHeight="true" outlineLevel="0" collapsed="false">
      <c r="A686" s="67" t="str">
        <f aca="false">IF(OR(TRIM(C686)="",SUBSTITUTE(C686," ","")="소계"),"제외",IF(ISNUMBER(SEARCH("홍콩",C686)),"HK",IF(ISNUMBER(SEARCH("상해",C686)),"CN",IF(ISNUMBER(SEARCH("대만",C686)),"TW","홀세일"))))</f>
        <v>CN</v>
      </c>
      <c r="B686" s="87" t="s">
        <v>1076</v>
      </c>
      <c r="C686" s="88" t="s">
        <v>1077</v>
      </c>
      <c r="D686" s="88" t="s">
        <v>178</v>
      </c>
      <c r="E686" s="87" t="n">
        <v>2026</v>
      </c>
      <c r="F686" s="88" t="s">
        <v>421</v>
      </c>
      <c r="G686" s="88" t="s">
        <v>188</v>
      </c>
      <c r="H686" s="87" t="s">
        <v>189</v>
      </c>
      <c r="I686" s="87" t="s">
        <v>432</v>
      </c>
      <c r="J686" s="87" t="s">
        <v>433</v>
      </c>
      <c r="K686" s="89" t="n">
        <v>152</v>
      </c>
      <c r="L686" s="89" t="n">
        <v>10488000</v>
      </c>
      <c r="M686" s="89" t="n">
        <v>2452588</v>
      </c>
      <c r="N686" s="90" t="n">
        <f aca="false">IF(A686="제외",0,IF(OR(N(L686)&lt;=0,N(M686)&gt;N(L686)),N(M686)/가정!$B$4,N(L686)))</f>
        <v>10488000</v>
      </c>
      <c r="O686" s="67" t="str">
        <f aca="false">IF(A686="제외","",IF(OR(N(L686)&lt;=0,N(M686)&gt;N(L686)),"택가보정(판매금액÷공급율)",""))</f>
        <v/>
      </c>
    </row>
    <row r="687" customFormat="false" ht="15" hidden="false" customHeight="true" outlineLevel="0" collapsed="false">
      <c r="A687" s="67" t="str">
        <f aca="false">IF(OR(TRIM(C687)="",SUBSTITUTE(C687," ","")="소계"),"제외",IF(ISNUMBER(SEARCH("홍콩",C687)),"HK",IF(ISNUMBER(SEARCH("상해",C687)),"CN",IF(ISNUMBER(SEARCH("대만",C687)),"TW","홀세일"))))</f>
        <v>CN</v>
      </c>
      <c r="B687" s="87" t="s">
        <v>1076</v>
      </c>
      <c r="C687" s="88" t="s">
        <v>1077</v>
      </c>
      <c r="D687" s="88" t="s">
        <v>178</v>
      </c>
      <c r="E687" s="87" t="n">
        <v>2026</v>
      </c>
      <c r="F687" s="88" t="s">
        <v>421</v>
      </c>
      <c r="G687" s="88" t="s">
        <v>188</v>
      </c>
      <c r="H687" s="87" t="s">
        <v>189</v>
      </c>
      <c r="I687" s="87" t="s">
        <v>1112</v>
      </c>
      <c r="J687" s="88" t="s">
        <v>1113</v>
      </c>
      <c r="K687" s="89" t="n">
        <v>131</v>
      </c>
      <c r="L687" s="89" t="n">
        <v>7729000</v>
      </c>
      <c r="M687" s="89" t="n">
        <v>2198388</v>
      </c>
      <c r="N687" s="90" t="n">
        <f aca="false">IF(A687="제외",0,IF(OR(N(L687)&lt;=0,N(M687)&gt;N(L687)),N(M687)/가정!$B$4,N(L687)))</f>
        <v>7729000</v>
      </c>
      <c r="O687" s="67" t="str">
        <f aca="false">IF(A687="제외","",IF(OR(N(L687)&lt;=0,N(M687)&gt;N(L687)),"택가보정(판매금액÷공급율)",""))</f>
        <v/>
      </c>
    </row>
    <row r="688" customFormat="false" ht="15" hidden="false" customHeight="true" outlineLevel="0" collapsed="false">
      <c r="A688" s="67" t="str">
        <f aca="false">IF(OR(TRIM(C688)="",SUBSTITUTE(C688," ","")="소계"),"제외",IF(ISNUMBER(SEARCH("홍콩",C688)),"HK",IF(ISNUMBER(SEARCH("상해",C688)),"CN",IF(ISNUMBER(SEARCH("대만",C688)),"TW","홀세일"))))</f>
        <v>CN</v>
      </c>
      <c r="B688" s="87" t="s">
        <v>1076</v>
      </c>
      <c r="C688" s="88" t="s">
        <v>1077</v>
      </c>
      <c r="D688" s="88" t="s">
        <v>178</v>
      </c>
      <c r="E688" s="87" t="n">
        <v>2026</v>
      </c>
      <c r="F688" s="88" t="s">
        <v>421</v>
      </c>
      <c r="G688" s="88" t="s">
        <v>188</v>
      </c>
      <c r="H688" s="87" t="s">
        <v>189</v>
      </c>
      <c r="I688" s="87" t="s">
        <v>442</v>
      </c>
      <c r="J688" s="87" t="s">
        <v>443</v>
      </c>
      <c r="K688" s="89" t="n">
        <v>101</v>
      </c>
      <c r="L688" s="89" t="n">
        <v>7979000</v>
      </c>
      <c r="M688" s="89" t="n">
        <v>2310076</v>
      </c>
      <c r="N688" s="90" t="n">
        <f aca="false">IF(A688="제외",0,IF(OR(N(L688)&lt;=0,N(M688)&gt;N(L688)),N(M688)/가정!$B$4,N(L688)))</f>
        <v>7979000</v>
      </c>
      <c r="O688" s="67" t="str">
        <f aca="false">IF(A688="제외","",IF(OR(N(L688)&lt;=0,N(M688)&gt;N(L688)),"택가보정(판매금액÷공급율)",""))</f>
        <v/>
      </c>
    </row>
    <row r="689" customFormat="false" ht="15" hidden="false" customHeight="true" outlineLevel="0" collapsed="false">
      <c r="A689" s="67" t="str">
        <f aca="false">IF(OR(TRIM(C689)="",SUBSTITUTE(C689," ","")="소계"),"제외",IF(ISNUMBER(SEARCH("홍콩",C689)),"HK",IF(ISNUMBER(SEARCH("상해",C689)),"CN",IF(ISNUMBER(SEARCH("대만",C689)),"TW","홀세일"))))</f>
        <v>CN</v>
      </c>
      <c r="B689" s="87" t="s">
        <v>1076</v>
      </c>
      <c r="C689" s="88" t="s">
        <v>1077</v>
      </c>
      <c r="D689" s="88" t="s">
        <v>178</v>
      </c>
      <c r="E689" s="87" t="n">
        <v>2026</v>
      </c>
      <c r="F689" s="88" t="s">
        <v>421</v>
      </c>
      <c r="G689" s="88" t="s">
        <v>188</v>
      </c>
      <c r="H689" s="87" t="s">
        <v>189</v>
      </c>
      <c r="I689" s="87" t="s">
        <v>925</v>
      </c>
      <c r="J689" s="88" t="s">
        <v>926</v>
      </c>
      <c r="K689" s="89" t="n">
        <v>222</v>
      </c>
      <c r="L689" s="89" t="n">
        <v>10878000</v>
      </c>
      <c r="M689" s="89" t="n">
        <v>2932620</v>
      </c>
      <c r="N689" s="90" t="n">
        <f aca="false">IF(A689="제외",0,IF(OR(N(L689)&lt;=0,N(M689)&gt;N(L689)),N(M689)/가정!$B$4,N(L689)))</f>
        <v>10878000</v>
      </c>
      <c r="O689" s="67" t="str">
        <f aca="false">IF(A689="제외","",IF(OR(N(L689)&lt;=0,N(M689)&gt;N(L689)),"택가보정(판매금액÷공급율)",""))</f>
        <v/>
      </c>
    </row>
    <row r="690" customFormat="false" ht="15" hidden="false" customHeight="true" outlineLevel="0" collapsed="false">
      <c r="A690" s="67" t="str">
        <f aca="false">IF(OR(TRIM(C690)="",SUBSTITUTE(C690," ","")="소계"),"제외",IF(ISNUMBER(SEARCH("홍콩",C690)),"HK",IF(ISNUMBER(SEARCH("상해",C690)),"CN",IF(ISNUMBER(SEARCH("대만",C690)),"TW","홀세일"))))</f>
        <v>CN</v>
      </c>
      <c r="B690" s="87" t="s">
        <v>1076</v>
      </c>
      <c r="C690" s="88" t="s">
        <v>1077</v>
      </c>
      <c r="D690" s="88" t="s">
        <v>178</v>
      </c>
      <c r="E690" s="87" t="n">
        <v>2026</v>
      </c>
      <c r="F690" s="88" t="s">
        <v>421</v>
      </c>
      <c r="G690" s="88" t="s">
        <v>188</v>
      </c>
      <c r="H690" s="87" t="s">
        <v>189</v>
      </c>
      <c r="I690" s="87" t="s">
        <v>927</v>
      </c>
      <c r="J690" s="88" t="s">
        <v>928</v>
      </c>
      <c r="K690" s="89" t="n">
        <v>202</v>
      </c>
      <c r="L690" s="89" t="n">
        <v>9898000</v>
      </c>
      <c r="M690" s="89" t="n">
        <v>2229008</v>
      </c>
      <c r="N690" s="90" t="n">
        <f aca="false">IF(A690="제외",0,IF(OR(N(L690)&lt;=0,N(M690)&gt;N(L690)),N(M690)/가정!$B$4,N(L690)))</f>
        <v>9898000</v>
      </c>
      <c r="O690" s="67" t="str">
        <f aca="false">IF(A690="제외","",IF(OR(N(L690)&lt;=0,N(M690)&gt;N(L690)),"택가보정(판매금액÷공급율)",""))</f>
        <v/>
      </c>
    </row>
    <row r="691" customFormat="false" ht="15" hidden="false" customHeight="true" outlineLevel="0" collapsed="false">
      <c r="A691" s="67" t="str">
        <f aca="false">IF(OR(TRIM(C691)="",SUBSTITUTE(C691," ","")="소계"),"제외",IF(ISNUMBER(SEARCH("홍콩",C691)),"HK",IF(ISNUMBER(SEARCH("상해",C691)),"CN",IF(ISNUMBER(SEARCH("대만",C691)),"TW","홀세일"))))</f>
        <v>CN</v>
      </c>
      <c r="B691" s="87" t="s">
        <v>1076</v>
      </c>
      <c r="C691" s="88" t="s">
        <v>1077</v>
      </c>
      <c r="D691" s="88" t="s">
        <v>178</v>
      </c>
      <c r="E691" s="87" t="n">
        <v>2026</v>
      </c>
      <c r="F691" s="88" t="s">
        <v>421</v>
      </c>
      <c r="G691" s="88" t="s">
        <v>188</v>
      </c>
      <c r="H691" s="87" t="s">
        <v>189</v>
      </c>
      <c r="I691" s="87" t="s">
        <v>444</v>
      </c>
      <c r="J691" s="88" t="s">
        <v>445</v>
      </c>
      <c r="K691" s="89" t="n">
        <v>535</v>
      </c>
      <c r="L691" s="89" t="n">
        <v>26215000</v>
      </c>
      <c r="M691" s="89" t="n">
        <v>6004355</v>
      </c>
      <c r="N691" s="90" t="n">
        <f aca="false">IF(A691="제외",0,IF(OR(N(L691)&lt;=0,N(M691)&gt;N(L691)),N(M691)/가정!$B$4,N(L691)))</f>
        <v>26215000</v>
      </c>
      <c r="O691" s="67" t="str">
        <f aca="false">IF(A691="제외","",IF(OR(N(L691)&lt;=0,N(M691)&gt;N(L691)),"택가보정(판매금액÷공급율)",""))</f>
        <v/>
      </c>
    </row>
    <row r="692" customFormat="false" ht="15" hidden="false" customHeight="true" outlineLevel="0" collapsed="false">
      <c r="A692" s="67" t="str">
        <f aca="false">IF(OR(TRIM(C692)="",SUBSTITUTE(C692," ","")="소계"),"제외",IF(ISNUMBER(SEARCH("홍콩",C692)),"HK",IF(ISNUMBER(SEARCH("상해",C692)),"CN",IF(ISNUMBER(SEARCH("대만",C692)),"TW","홀세일"))))</f>
        <v>CN</v>
      </c>
      <c r="B692" s="87" t="s">
        <v>1076</v>
      </c>
      <c r="C692" s="88" t="s">
        <v>1077</v>
      </c>
      <c r="D692" s="88" t="s">
        <v>178</v>
      </c>
      <c r="E692" s="87" t="n">
        <v>2026</v>
      </c>
      <c r="F692" s="88" t="s">
        <v>421</v>
      </c>
      <c r="G692" s="88" t="s">
        <v>188</v>
      </c>
      <c r="H692" s="87" t="s">
        <v>189</v>
      </c>
      <c r="I692" s="87" t="s">
        <v>931</v>
      </c>
      <c r="J692" s="87" t="s">
        <v>932</v>
      </c>
      <c r="K692" s="89" t="n">
        <v>122</v>
      </c>
      <c r="L692" s="89" t="n">
        <v>9638000</v>
      </c>
      <c r="M692" s="89" t="n">
        <v>2344650</v>
      </c>
      <c r="N692" s="90" t="n">
        <f aca="false">IF(A692="제외",0,IF(OR(N(L692)&lt;=0,N(M692)&gt;N(L692)),N(M692)/가정!$B$4,N(L692)))</f>
        <v>9638000</v>
      </c>
      <c r="O692" s="67" t="str">
        <f aca="false">IF(A692="제외","",IF(OR(N(L692)&lt;=0,N(M692)&gt;N(L692)),"택가보정(판매금액÷공급율)",""))</f>
        <v/>
      </c>
    </row>
    <row r="693" customFormat="false" ht="15" hidden="false" customHeight="true" outlineLevel="0" collapsed="false">
      <c r="A693" s="67" t="str">
        <f aca="false">IF(OR(TRIM(C693)="",SUBSTITUTE(C693," ","")="소계"),"제외",IF(ISNUMBER(SEARCH("홍콩",C693)),"HK",IF(ISNUMBER(SEARCH("상해",C693)),"CN",IF(ISNUMBER(SEARCH("대만",C693)),"TW","홀세일"))))</f>
        <v>CN</v>
      </c>
      <c r="B693" s="87" t="s">
        <v>1076</v>
      </c>
      <c r="C693" s="88" t="s">
        <v>1077</v>
      </c>
      <c r="D693" s="88" t="s">
        <v>178</v>
      </c>
      <c r="E693" s="87" t="n">
        <v>2026</v>
      </c>
      <c r="F693" s="88" t="s">
        <v>421</v>
      </c>
      <c r="G693" s="88" t="s">
        <v>180</v>
      </c>
      <c r="H693" s="87" t="s">
        <v>189</v>
      </c>
      <c r="I693" s="87" t="s">
        <v>1114</v>
      </c>
      <c r="J693" s="87" t="s">
        <v>1115</v>
      </c>
      <c r="K693" s="89" t="n">
        <v>142</v>
      </c>
      <c r="L693" s="89" t="n">
        <v>28258000</v>
      </c>
      <c r="M693" s="89" t="n">
        <v>9557026</v>
      </c>
      <c r="N693" s="90" t="n">
        <f aca="false">IF(A693="제외",0,IF(OR(N(L693)&lt;=0,N(M693)&gt;N(L693)),N(M693)/가정!$B$4,N(L693)))</f>
        <v>28258000</v>
      </c>
      <c r="O693" s="67" t="str">
        <f aca="false">IF(A693="제외","",IF(OR(N(L693)&lt;=0,N(M693)&gt;N(L693)),"택가보정(판매금액÷공급율)",""))</f>
        <v/>
      </c>
    </row>
    <row r="694" customFormat="false" ht="15" hidden="false" customHeight="true" outlineLevel="0" collapsed="false">
      <c r="A694" s="67" t="str">
        <f aca="false">IF(OR(TRIM(C694)="",SUBSTITUTE(C694," ","")="소계"),"제외",IF(ISNUMBER(SEARCH("홍콩",C694)),"HK",IF(ISNUMBER(SEARCH("상해",C694)),"CN",IF(ISNUMBER(SEARCH("대만",C694)),"TW","홀세일"))))</f>
        <v>CN</v>
      </c>
      <c r="B694" s="87" t="s">
        <v>1076</v>
      </c>
      <c r="C694" s="88" t="s">
        <v>1077</v>
      </c>
      <c r="D694" s="88" t="s">
        <v>178</v>
      </c>
      <c r="E694" s="87" t="n">
        <v>2026</v>
      </c>
      <c r="F694" s="88" t="s">
        <v>421</v>
      </c>
      <c r="G694" s="88" t="s">
        <v>180</v>
      </c>
      <c r="H694" s="87" t="s">
        <v>189</v>
      </c>
      <c r="I694" s="87" t="s">
        <v>1116</v>
      </c>
      <c r="J694" s="87" t="s">
        <v>1117</v>
      </c>
      <c r="K694" s="89" t="n">
        <v>71</v>
      </c>
      <c r="L694" s="89" t="n">
        <v>19809000</v>
      </c>
      <c r="M694" s="89" t="n">
        <v>4107162</v>
      </c>
      <c r="N694" s="90" t="n">
        <f aca="false">IF(A694="제외",0,IF(OR(N(L694)&lt;=0,N(M694)&gt;N(L694)),N(M694)/가정!$B$4,N(L694)))</f>
        <v>19809000</v>
      </c>
      <c r="O694" s="67" t="str">
        <f aca="false">IF(A694="제외","",IF(OR(N(L694)&lt;=0,N(M694)&gt;N(L694)),"택가보정(판매금액÷공급율)",""))</f>
        <v/>
      </c>
    </row>
    <row r="695" customFormat="false" ht="15" hidden="false" customHeight="true" outlineLevel="0" collapsed="false">
      <c r="A695" s="67" t="str">
        <f aca="false">IF(OR(TRIM(C695)="",SUBSTITUTE(C695," ","")="소계"),"제외",IF(ISNUMBER(SEARCH("홍콩",C695)),"HK",IF(ISNUMBER(SEARCH("상해",C695)),"CN",IF(ISNUMBER(SEARCH("대만",C695)),"TW","홀세일"))))</f>
        <v>CN</v>
      </c>
      <c r="B695" s="87" t="s">
        <v>1076</v>
      </c>
      <c r="C695" s="88" t="s">
        <v>1077</v>
      </c>
      <c r="D695" s="88" t="s">
        <v>178</v>
      </c>
      <c r="E695" s="87" t="n">
        <v>2026</v>
      </c>
      <c r="F695" s="88" t="s">
        <v>421</v>
      </c>
      <c r="G695" s="88" t="s">
        <v>180</v>
      </c>
      <c r="H695" s="87" t="s">
        <v>189</v>
      </c>
      <c r="I695" s="87" t="s">
        <v>466</v>
      </c>
      <c r="J695" s="87" t="s">
        <v>467</v>
      </c>
      <c r="K695" s="89" t="n">
        <v>82</v>
      </c>
      <c r="L695" s="89" t="n">
        <v>48380000</v>
      </c>
      <c r="M695" s="89" t="n">
        <v>16929870</v>
      </c>
      <c r="N695" s="90" t="n">
        <f aca="false">IF(A695="제외",0,IF(OR(N(L695)&lt;=0,N(M695)&gt;N(L695)),N(M695)/가정!$B$4,N(L695)))</f>
        <v>48380000</v>
      </c>
      <c r="O695" s="67" t="str">
        <f aca="false">IF(A695="제외","",IF(OR(N(L695)&lt;=0,N(M695)&gt;N(L695)),"택가보정(판매금액÷공급율)",""))</f>
        <v/>
      </c>
    </row>
    <row r="696" customFormat="false" ht="15" hidden="false" customHeight="true" outlineLevel="0" collapsed="false">
      <c r="A696" s="67" t="str">
        <f aca="false">IF(OR(TRIM(C696)="",SUBSTITUTE(C696," ","")="소계"),"제외",IF(ISNUMBER(SEARCH("홍콩",C696)),"HK",IF(ISNUMBER(SEARCH("상해",C696)),"CN",IF(ISNUMBER(SEARCH("대만",C696)),"TW","홀세일"))))</f>
        <v>CN</v>
      </c>
      <c r="B696" s="87" t="s">
        <v>1076</v>
      </c>
      <c r="C696" s="88" t="s">
        <v>1077</v>
      </c>
      <c r="D696" s="88" t="s">
        <v>178</v>
      </c>
      <c r="E696" s="87" t="n">
        <v>2026</v>
      </c>
      <c r="F696" s="88" t="s">
        <v>421</v>
      </c>
      <c r="G696" s="88" t="s">
        <v>180</v>
      </c>
      <c r="H696" s="87" t="s">
        <v>181</v>
      </c>
      <c r="I696" s="87" t="s">
        <v>1118</v>
      </c>
      <c r="J696" s="88" t="s">
        <v>1119</v>
      </c>
      <c r="K696" s="89" t="n">
        <v>197</v>
      </c>
      <c r="L696" s="89" t="n">
        <v>25413000</v>
      </c>
      <c r="M696" s="89" t="n">
        <v>6373126</v>
      </c>
      <c r="N696" s="90" t="n">
        <f aca="false">IF(A696="제외",0,IF(OR(N(L696)&lt;=0,N(M696)&gt;N(L696)),N(M696)/가정!$B$4,N(L696)))</f>
        <v>25413000</v>
      </c>
      <c r="O696" s="67" t="str">
        <f aca="false">IF(A696="제외","",IF(OR(N(L696)&lt;=0,N(M696)&gt;N(L696)),"택가보정(판매금액÷공급율)",""))</f>
        <v/>
      </c>
    </row>
    <row r="697" customFormat="false" ht="15" hidden="false" customHeight="true" outlineLevel="0" collapsed="false">
      <c r="A697" s="67" t="str">
        <f aca="false">IF(OR(TRIM(C697)="",SUBSTITUTE(C697," ","")="소계"),"제외",IF(ISNUMBER(SEARCH("홍콩",C697)),"HK",IF(ISNUMBER(SEARCH("상해",C697)),"CN",IF(ISNUMBER(SEARCH("대만",C697)),"TW","홀세일"))))</f>
        <v>CN</v>
      </c>
      <c r="B697" s="87" t="s">
        <v>1076</v>
      </c>
      <c r="C697" s="88" t="s">
        <v>1077</v>
      </c>
      <c r="D697" s="88" t="s">
        <v>178</v>
      </c>
      <c r="E697" s="87" t="n">
        <v>2026</v>
      </c>
      <c r="F697" s="88" t="s">
        <v>421</v>
      </c>
      <c r="G697" s="88" t="s">
        <v>180</v>
      </c>
      <c r="H697" s="87" t="s">
        <v>189</v>
      </c>
      <c r="I697" s="87" t="s">
        <v>472</v>
      </c>
      <c r="J697" s="88" t="s">
        <v>473</v>
      </c>
      <c r="K697" s="89" t="n">
        <v>404</v>
      </c>
      <c r="L697" s="89" t="n">
        <v>60196000</v>
      </c>
      <c r="M697" s="89" t="n">
        <v>11910194</v>
      </c>
      <c r="N697" s="90" t="n">
        <f aca="false">IF(A697="제외",0,IF(OR(N(L697)&lt;=0,N(M697)&gt;N(L697)),N(M697)/가정!$B$4,N(L697)))</f>
        <v>60196000</v>
      </c>
      <c r="O697" s="67" t="str">
        <f aca="false">IF(A697="제외","",IF(OR(N(L697)&lt;=0,N(M697)&gt;N(L697)),"택가보정(판매금액÷공급율)",""))</f>
        <v/>
      </c>
    </row>
    <row r="698" customFormat="false" ht="15" hidden="false" customHeight="true" outlineLevel="0" collapsed="false">
      <c r="A698" s="67" t="str">
        <f aca="false">IF(OR(TRIM(C698)="",SUBSTITUTE(C698," ","")="소계"),"제외",IF(ISNUMBER(SEARCH("홍콩",C698)),"HK",IF(ISNUMBER(SEARCH("상해",C698)),"CN",IF(ISNUMBER(SEARCH("대만",C698)),"TW","홀세일"))))</f>
        <v>CN</v>
      </c>
      <c r="B698" s="87" t="s">
        <v>1076</v>
      </c>
      <c r="C698" s="88" t="s">
        <v>1077</v>
      </c>
      <c r="D698" s="88" t="s">
        <v>178</v>
      </c>
      <c r="E698" s="87" t="n">
        <v>2026</v>
      </c>
      <c r="F698" s="88" t="s">
        <v>421</v>
      </c>
      <c r="G698" s="88" t="s">
        <v>180</v>
      </c>
      <c r="H698" s="88" t="s">
        <v>185</v>
      </c>
      <c r="I698" s="87" t="s">
        <v>1120</v>
      </c>
      <c r="J698" s="87" t="s">
        <v>1121</v>
      </c>
      <c r="K698" s="89" t="n">
        <v>397</v>
      </c>
      <c r="L698" s="89" t="n">
        <v>63123000</v>
      </c>
      <c r="M698" s="89" t="n">
        <v>20304145</v>
      </c>
      <c r="N698" s="90" t="n">
        <f aca="false">IF(A698="제외",0,IF(OR(N(L698)&lt;=0,N(M698)&gt;N(L698)),N(M698)/가정!$B$4,N(L698)))</f>
        <v>63123000</v>
      </c>
      <c r="O698" s="67" t="str">
        <f aca="false">IF(A698="제외","",IF(OR(N(L698)&lt;=0,N(M698)&gt;N(L698)),"택가보정(판매금액÷공급율)",""))</f>
        <v/>
      </c>
    </row>
    <row r="699" customFormat="false" ht="15" hidden="false" customHeight="true" outlineLevel="0" collapsed="false">
      <c r="A699" s="67" t="str">
        <f aca="false">IF(OR(TRIM(C699)="",SUBSTITUTE(C699," ","")="소계"),"제외",IF(ISNUMBER(SEARCH("홍콩",C699)),"HK",IF(ISNUMBER(SEARCH("상해",C699)),"CN",IF(ISNUMBER(SEARCH("대만",C699)),"TW","홀세일"))))</f>
        <v>CN</v>
      </c>
      <c r="B699" s="87" t="s">
        <v>1076</v>
      </c>
      <c r="C699" s="88" t="s">
        <v>1077</v>
      </c>
      <c r="D699" s="88" t="s">
        <v>178</v>
      </c>
      <c r="E699" s="87" t="n">
        <v>2026</v>
      </c>
      <c r="F699" s="88" t="s">
        <v>421</v>
      </c>
      <c r="G699" s="88" t="s">
        <v>180</v>
      </c>
      <c r="H699" s="87" t="s">
        <v>181</v>
      </c>
      <c r="I699" s="87" t="s">
        <v>480</v>
      </c>
      <c r="J699" s="88" t="s">
        <v>481</v>
      </c>
      <c r="K699" s="89" t="n">
        <v>127</v>
      </c>
      <c r="L699" s="89" t="n">
        <v>44323000</v>
      </c>
      <c r="M699" s="89" t="n">
        <v>17650632</v>
      </c>
      <c r="N699" s="90" t="n">
        <f aca="false">IF(A699="제외",0,IF(OR(N(L699)&lt;=0,N(M699)&gt;N(L699)),N(M699)/가정!$B$4,N(L699)))</f>
        <v>44323000</v>
      </c>
      <c r="O699" s="67" t="str">
        <f aca="false">IF(A699="제외","",IF(OR(N(L699)&lt;=0,N(M699)&gt;N(L699)),"택가보정(판매금액÷공급율)",""))</f>
        <v/>
      </c>
    </row>
    <row r="700" customFormat="false" ht="15" hidden="false" customHeight="true" outlineLevel="0" collapsed="false">
      <c r="A700" s="67" t="str">
        <f aca="false">IF(OR(TRIM(C700)="",SUBSTITUTE(C700," ","")="소계"),"제외",IF(ISNUMBER(SEARCH("홍콩",C700)),"HK",IF(ISNUMBER(SEARCH("상해",C700)),"CN",IF(ISNUMBER(SEARCH("대만",C700)),"TW","홀세일"))))</f>
        <v>CN</v>
      </c>
      <c r="B700" s="87" t="s">
        <v>1076</v>
      </c>
      <c r="C700" s="88" t="s">
        <v>1077</v>
      </c>
      <c r="D700" s="88" t="s">
        <v>178</v>
      </c>
      <c r="E700" s="87" t="n">
        <v>2026</v>
      </c>
      <c r="F700" s="88" t="s">
        <v>421</v>
      </c>
      <c r="G700" s="88" t="s">
        <v>180</v>
      </c>
      <c r="H700" s="87" t="s">
        <v>181</v>
      </c>
      <c r="I700" s="87" t="s">
        <v>482</v>
      </c>
      <c r="J700" s="88" t="s">
        <v>483</v>
      </c>
      <c r="K700" s="89" t="n">
        <v>267</v>
      </c>
      <c r="L700" s="89" t="n">
        <v>47793000</v>
      </c>
      <c r="M700" s="89" t="n">
        <v>15262202</v>
      </c>
      <c r="N700" s="90" t="n">
        <f aca="false">IF(A700="제외",0,IF(OR(N(L700)&lt;=0,N(M700)&gt;N(L700)),N(M700)/가정!$B$4,N(L700)))</f>
        <v>47793000</v>
      </c>
      <c r="O700" s="67" t="str">
        <f aca="false">IF(A700="제외","",IF(OR(N(L700)&lt;=0,N(M700)&gt;N(L700)),"택가보정(판매금액÷공급율)",""))</f>
        <v/>
      </c>
    </row>
    <row r="701" customFormat="false" ht="15" hidden="false" customHeight="true" outlineLevel="0" collapsed="false">
      <c r="A701" s="67" t="str">
        <f aca="false">IF(OR(TRIM(C701)="",SUBSTITUTE(C701," ","")="소계"),"제외",IF(ISNUMBER(SEARCH("홍콩",C701)),"HK",IF(ISNUMBER(SEARCH("상해",C701)),"CN",IF(ISNUMBER(SEARCH("대만",C701)),"TW","홀세일"))))</f>
        <v>CN</v>
      </c>
      <c r="B701" s="87" t="s">
        <v>1076</v>
      </c>
      <c r="C701" s="88" t="s">
        <v>1077</v>
      </c>
      <c r="D701" s="88" t="s">
        <v>178</v>
      </c>
      <c r="E701" s="87" t="n">
        <v>2026</v>
      </c>
      <c r="F701" s="88" t="s">
        <v>421</v>
      </c>
      <c r="G701" s="88" t="s">
        <v>180</v>
      </c>
      <c r="H701" s="87" t="s">
        <v>189</v>
      </c>
      <c r="I701" s="87" t="s">
        <v>486</v>
      </c>
      <c r="J701" s="88" t="s">
        <v>487</v>
      </c>
      <c r="K701" s="89" t="n">
        <v>513</v>
      </c>
      <c r="L701" s="89" t="n">
        <v>96957000</v>
      </c>
      <c r="M701" s="89" t="n">
        <v>26531427</v>
      </c>
      <c r="N701" s="90" t="n">
        <f aca="false">IF(A701="제외",0,IF(OR(N(L701)&lt;=0,N(M701)&gt;N(L701)),N(M701)/가정!$B$4,N(L701)))</f>
        <v>96957000</v>
      </c>
      <c r="O701" s="67" t="str">
        <f aca="false">IF(A701="제외","",IF(OR(N(L701)&lt;=0,N(M701)&gt;N(L701)),"택가보정(판매금액÷공급율)",""))</f>
        <v/>
      </c>
    </row>
    <row r="702" customFormat="false" ht="15" hidden="false" customHeight="true" outlineLevel="0" collapsed="false">
      <c r="A702" s="67" t="str">
        <f aca="false">IF(OR(TRIM(C702)="",SUBSTITUTE(C702," ","")="소계"),"제외",IF(ISNUMBER(SEARCH("홍콩",C702)),"HK",IF(ISNUMBER(SEARCH("상해",C702)),"CN",IF(ISNUMBER(SEARCH("대만",C702)),"TW","홀세일"))))</f>
        <v>CN</v>
      </c>
      <c r="B702" s="87" t="s">
        <v>1076</v>
      </c>
      <c r="C702" s="88" t="s">
        <v>1077</v>
      </c>
      <c r="D702" s="88" t="s">
        <v>178</v>
      </c>
      <c r="E702" s="87" t="n">
        <v>2026</v>
      </c>
      <c r="F702" s="88" t="s">
        <v>421</v>
      </c>
      <c r="G702" s="88" t="s">
        <v>180</v>
      </c>
      <c r="H702" s="87" t="s">
        <v>189</v>
      </c>
      <c r="I702" s="87" t="s">
        <v>498</v>
      </c>
      <c r="J702" s="88" t="s">
        <v>499</v>
      </c>
      <c r="K702" s="89" t="n">
        <v>423</v>
      </c>
      <c r="L702" s="89" t="n">
        <v>29187000</v>
      </c>
      <c r="M702" s="89" t="n">
        <v>7190703</v>
      </c>
      <c r="N702" s="90" t="n">
        <f aca="false">IF(A702="제외",0,IF(OR(N(L702)&lt;=0,N(M702)&gt;N(L702)),N(M702)/가정!$B$4,N(L702)))</f>
        <v>29187000</v>
      </c>
      <c r="O702" s="67" t="str">
        <f aca="false">IF(A702="제외","",IF(OR(N(L702)&lt;=0,N(M702)&gt;N(L702)),"택가보정(판매금액÷공급율)",""))</f>
        <v/>
      </c>
    </row>
    <row r="703" customFormat="false" ht="15" hidden="false" customHeight="true" outlineLevel="0" collapsed="false">
      <c r="A703" s="67" t="str">
        <f aca="false">IF(OR(TRIM(C703)="",SUBSTITUTE(C703," ","")="소계"),"제외",IF(ISNUMBER(SEARCH("홍콩",C703)),"HK",IF(ISNUMBER(SEARCH("상해",C703)),"CN",IF(ISNUMBER(SEARCH("대만",C703)),"TW","홀세일"))))</f>
        <v>CN</v>
      </c>
      <c r="B703" s="87" t="s">
        <v>1076</v>
      </c>
      <c r="C703" s="88" t="s">
        <v>1077</v>
      </c>
      <c r="D703" s="88" t="s">
        <v>178</v>
      </c>
      <c r="E703" s="87" t="n">
        <v>2026</v>
      </c>
      <c r="F703" s="88" t="s">
        <v>421</v>
      </c>
      <c r="G703" s="88" t="s">
        <v>180</v>
      </c>
      <c r="H703" s="87" t="s">
        <v>181</v>
      </c>
      <c r="I703" s="87" t="s">
        <v>504</v>
      </c>
      <c r="J703" s="88" t="s">
        <v>505</v>
      </c>
      <c r="K703" s="89" t="n">
        <v>222</v>
      </c>
      <c r="L703" s="89" t="n">
        <v>15318000</v>
      </c>
      <c r="M703" s="89" t="n">
        <v>3426108</v>
      </c>
      <c r="N703" s="90" t="n">
        <f aca="false">IF(A703="제외",0,IF(OR(N(L703)&lt;=0,N(M703)&gt;N(L703)),N(M703)/가정!$B$4,N(L703)))</f>
        <v>15318000</v>
      </c>
      <c r="O703" s="67" t="str">
        <f aca="false">IF(A703="제외","",IF(OR(N(L703)&lt;=0,N(M703)&gt;N(L703)),"택가보정(판매금액÷공급율)",""))</f>
        <v/>
      </c>
    </row>
    <row r="704" customFormat="false" ht="15" hidden="false" customHeight="true" outlineLevel="0" collapsed="false">
      <c r="A704" s="67" t="str">
        <f aca="false">IF(OR(TRIM(C704)="",SUBSTITUTE(C704," ","")="소계"),"제외",IF(ISNUMBER(SEARCH("홍콩",C704)),"HK",IF(ISNUMBER(SEARCH("상해",C704)),"CN",IF(ISNUMBER(SEARCH("대만",C704)),"TW","홀세일"))))</f>
        <v>CN</v>
      </c>
      <c r="B704" s="87" t="s">
        <v>1076</v>
      </c>
      <c r="C704" s="88" t="s">
        <v>1077</v>
      </c>
      <c r="D704" s="88" t="s">
        <v>178</v>
      </c>
      <c r="E704" s="87" t="n">
        <v>2026</v>
      </c>
      <c r="F704" s="88" t="s">
        <v>421</v>
      </c>
      <c r="G704" s="88" t="s">
        <v>180</v>
      </c>
      <c r="H704" s="87" t="s">
        <v>246</v>
      </c>
      <c r="I704" s="87" t="s">
        <v>951</v>
      </c>
      <c r="J704" s="87" t="s">
        <v>952</v>
      </c>
      <c r="K704" s="89" t="n">
        <v>217</v>
      </c>
      <c r="L704" s="89" t="n">
        <v>30163000</v>
      </c>
      <c r="M704" s="89" t="n">
        <v>8760607</v>
      </c>
      <c r="N704" s="90" t="n">
        <f aca="false">IF(A704="제외",0,IF(OR(N(L704)&lt;=0,N(M704)&gt;N(L704)),N(M704)/가정!$B$4,N(L704)))</f>
        <v>30163000</v>
      </c>
      <c r="O704" s="67" t="str">
        <f aca="false">IF(A704="제외","",IF(OR(N(L704)&lt;=0,N(M704)&gt;N(L704)),"택가보정(판매금액÷공급율)",""))</f>
        <v/>
      </c>
    </row>
    <row r="705" customFormat="false" ht="15" hidden="false" customHeight="true" outlineLevel="0" collapsed="false">
      <c r="A705" s="67" t="str">
        <f aca="false">IF(OR(TRIM(C705)="",SUBSTITUTE(C705," ","")="소계"),"제외",IF(ISNUMBER(SEARCH("홍콩",C705)),"HK",IF(ISNUMBER(SEARCH("상해",C705)),"CN",IF(ISNUMBER(SEARCH("대만",C705)),"TW","홀세일"))))</f>
        <v>CN</v>
      </c>
      <c r="B705" s="87" t="s">
        <v>1076</v>
      </c>
      <c r="C705" s="88" t="s">
        <v>1077</v>
      </c>
      <c r="D705" s="88" t="s">
        <v>178</v>
      </c>
      <c r="E705" s="87" t="n">
        <v>2026</v>
      </c>
      <c r="F705" s="88" t="s">
        <v>421</v>
      </c>
      <c r="G705" s="88" t="s">
        <v>180</v>
      </c>
      <c r="H705" s="87" t="s">
        <v>246</v>
      </c>
      <c r="I705" s="87" t="s">
        <v>1122</v>
      </c>
      <c r="J705" s="87" t="s">
        <v>1123</v>
      </c>
      <c r="K705" s="89" t="n">
        <v>229</v>
      </c>
      <c r="L705" s="89" t="n">
        <v>13511000</v>
      </c>
      <c r="M705" s="89" t="n">
        <v>2862694</v>
      </c>
      <c r="N705" s="90" t="n">
        <f aca="false">IF(A705="제외",0,IF(OR(N(L705)&lt;=0,N(M705)&gt;N(L705)),N(M705)/가정!$B$4,N(L705)))</f>
        <v>13511000</v>
      </c>
      <c r="O705" s="67" t="str">
        <f aca="false">IF(A705="제외","",IF(OR(N(L705)&lt;=0,N(M705)&gt;N(L705)),"택가보정(판매금액÷공급율)",""))</f>
        <v/>
      </c>
    </row>
    <row r="706" customFormat="false" ht="15" hidden="false" customHeight="true" outlineLevel="0" collapsed="false">
      <c r="A706" s="67" t="str">
        <f aca="false">IF(OR(TRIM(C706)="",SUBSTITUTE(C706," ","")="소계"),"제외",IF(ISNUMBER(SEARCH("홍콩",C706)),"HK",IF(ISNUMBER(SEARCH("상해",C706)),"CN",IF(ISNUMBER(SEARCH("대만",C706)),"TW","홀세일"))))</f>
        <v>CN</v>
      </c>
      <c r="B706" s="87" t="s">
        <v>1076</v>
      </c>
      <c r="C706" s="88" t="s">
        <v>1077</v>
      </c>
      <c r="D706" s="88" t="s">
        <v>178</v>
      </c>
      <c r="E706" s="87" t="n">
        <v>2026</v>
      </c>
      <c r="F706" s="88" t="s">
        <v>421</v>
      </c>
      <c r="G706" s="88" t="s">
        <v>180</v>
      </c>
      <c r="H706" s="87" t="s">
        <v>246</v>
      </c>
      <c r="I706" s="87" t="s">
        <v>530</v>
      </c>
      <c r="J706" s="87" t="s">
        <v>531</v>
      </c>
      <c r="K706" s="89" t="n">
        <v>483</v>
      </c>
      <c r="L706" s="89" t="n">
        <v>33327000</v>
      </c>
      <c r="M706" s="89" t="n">
        <v>8283039</v>
      </c>
      <c r="N706" s="90" t="n">
        <f aca="false">IF(A706="제외",0,IF(OR(N(L706)&lt;=0,N(M706)&gt;N(L706)),N(M706)/가정!$B$4,N(L706)))</f>
        <v>33327000</v>
      </c>
      <c r="O706" s="67" t="str">
        <f aca="false">IF(A706="제외","",IF(OR(N(L706)&lt;=0,N(M706)&gt;N(L706)),"택가보정(판매금액÷공급율)",""))</f>
        <v/>
      </c>
    </row>
    <row r="707" customFormat="false" ht="15" hidden="false" customHeight="true" outlineLevel="0" collapsed="false">
      <c r="A707" s="67" t="str">
        <f aca="false">IF(OR(TRIM(C707)="",SUBSTITUTE(C707," ","")="소계"),"제외",IF(ISNUMBER(SEARCH("홍콩",C707)),"HK",IF(ISNUMBER(SEARCH("상해",C707)),"CN",IF(ISNUMBER(SEARCH("대만",C707)),"TW","홀세일"))))</f>
        <v>CN</v>
      </c>
      <c r="B707" s="87" t="s">
        <v>1076</v>
      </c>
      <c r="C707" s="88" t="s">
        <v>1077</v>
      </c>
      <c r="D707" s="88" t="s">
        <v>178</v>
      </c>
      <c r="E707" s="87" t="n">
        <v>2026</v>
      </c>
      <c r="F707" s="88" t="s">
        <v>532</v>
      </c>
      <c r="G707" s="88" t="s">
        <v>180</v>
      </c>
      <c r="H707" s="87" t="s">
        <v>189</v>
      </c>
      <c r="I707" s="87" t="s">
        <v>1124</v>
      </c>
      <c r="J707" s="87" t="s">
        <v>1125</v>
      </c>
      <c r="K707" s="89" t="n">
        <v>2</v>
      </c>
      <c r="L707" s="89" t="n">
        <v>398000</v>
      </c>
      <c r="M707" s="89" t="n">
        <v>136766</v>
      </c>
      <c r="N707" s="90" t="n">
        <f aca="false">IF(A707="제외",0,IF(OR(N(L707)&lt;=0,N(M707)&gt;N(L707)),N(M707)/가정!$B$4,N(L707)))</f>
        <v>398000</v>
      </c>
      <c r="O707" s="67" t="str">
        <f aca="false">IF(A707="제외","",IF(OR(N(L707)&lt;=0,N(M707)&gt;N(L707)),"택가보정(판매금액÷공급율)",""))</f>
        <v/>
      </c>
    </row>
    <row r="708" customFormat="false" ht="15" hidden="false" customHeight="true" outlineLevel="0" collapsed="false">
      <c r="A708" s="67" t="str">
        <f aca="false">IF(OR(TRIM(C708)="",SUBSTITUTE(C708," ","")="소계"),"제외",IF(ISNUMBER(SEARCH("홍콩",C708)),"HK",IF(ISNUMBER(SEARCH("상해",C708)),"CN",IF(ISNUMBER(SEARCH("대만",C708)),"TW","홀세일"))))</f>
        <v>CN</v>
      </c>
      <c r="B708" s="87" t="s">
        <v>1076</v>
      </c>
      <c r="C708" s="88" t="s">
        <v>1077</v>
      </c>
      <c r="D708" s="88" t="s">
        <v>178</v>
      </c>
      <c r="E708" s="87" t="n">
        <v>2026</v>
      </c>
      <c r="F708" s="88" t="s">
        <v>532</v>
      </c>
      <c r="G708" s="88" t="s">
        <v>180</v>
      </c>
      <c r="H708" s="87" t="s">
        <v>181</v>
      </c>
      <c r="I708" s="87" t="s">
        <v>963</v>
      </c>
      <c r="J708" s="87" t="s">
        <v>964</v>
      </c>
      <c r="K708" s="89" t="n">
        <v>132</v>
      </c>
      <c r="L708" s="89" t="n">
        <v>26268000</v>
      </c>
      <c r="M708" s="89" t="n">
        <v>8340822</v>
      </c>
      <c r="N708" s="90" t="n">
        <f aca="false">IF(A708="제외",0,IF(OR(N(L708)&lt;=0,N(M708)&gt;N(L708)),N(M708)/가정!$B$4,N(L708)))</f>
        <v>26268000</v>
      </c>
      <c r="O708" s="67" t="str">
        <f aca="false">IF(A708="제외","",IF(OR(N(L708)&lt;=0,N(M708)&gt;N(L708)),"택가보정(판매금액÷공급율)",""))</f>
        <v/>
      </c>
    </row>
    <row r="709" customFormat="false" ht="15" hidden="false" customHeight="true" outlineLevel="0" collapsed="false">
      <c r="A709" s="67" t="str">
        <f aca="false">IF(OR(TRIM(C709)="",SUBSTITUTE(C709," ","")="소계"),"제외",IF(ISNUMBER(SEARCH("홍콩",C709)),"HK",IF(ISNUMBER(SEARCH("상해",C709)),"CN",IF(ISNUMBER(SEARCH("대만",C709)),"TW","홀세일"))))</f>
        <v>CN</v>
      </c>
      <c r="B709" s="87" t="s">
        <v>1076</v>
      </c>
      <c r="C709" s="88" t="s">
        <v>1077</v>
      </c>
      <c r="D709" s="88" t="s">
        <v>178</v>
      </c>
      <c r="E709" s="87" t="n">
        <v>2026</v>
      </c>
      <c r="F709" s="88" t="s">
        <v>532</v>
      </c>
      <c r="G709" s="88" t="s">
        <v>180</v>
      </c>
      <c r="H709" s="87" t="s">
        <v>189</v>
      </c>
      <c r="I709" s="87" t="s">
        <v>1126</v>
      </c>
      <c r="J709" s="87" t="s">
        <v>1127</v>
      </c>
      <c r="K709" s="89" t="n">
        <v>2</v>
      </c>
      <c r="L709" s="89" t="n">
        <v>998000</v>
      </c>
      <c r="M709" s="89" t="n">
        <v>412282</v>
      </c>
      <c r="N709" s="90" t="n">
        <f aca="false">IF(A709="제외",0,IF(OR(N(L709)&lt;=0,N(M709)&gt;N(L709)),N(M709)/가정!$B$4,N(L709)))</f>
        <v>998000</v>
      </c>
      <c r="O709" s="67" t="str">
        <f aca="false">IF(A709="제외","",IF(OR(N(L709)&lt;=0,N(M709)&gt;N(L709)),"택가보정(판매금액÷공급율)",""))</f>
        <v/>
      </c>
    </row>
    <row r="710" customFormat="false" ht="15" hidden="false" customHeight="true" outlineLevel="0" collapsed="false">
      <c r="A710" s="67" t="str">
        <f aca="false">IF(OR(TRIM(C710)="",SUBSTITUTE(C710," ","")="소계"),"제외",IF(ISNUMBER(SEARCH("홍콩",C710)),"HK",IF(ISNUMBER(SEARCH("상해",C710)),"CN",IF(ISNUMBER(SEARCH("대만",C710)),"TW","홀세일"))))</f>
        <v>CN</v>
      </c>
      <c r="B710" s="87" t="s">
        <v>1076</v>
      </c>
      <c r="C710" s="88" t="s">
        <v>1077</v>
      </c>
      <c r="D710" s="88" t="s">
        <v>178</v>
      </c>
      <c r="E710" s="87" t="n">
        <v>2026</v>
      </c>
      <c r="F710" s="88" t="s">
        <v>532</v>
      </c>
      <c r="G710" s="88" t="s">
        <v>180</v>
      </c>
      <c r="H710" s="87" t="s">
        <v>189</v>
      </c>
      <c r="I710" s="87" t="s">
        <v>1128</v>
      </c>
      <c r="J710" s="87" t="s">
        <v>1129</v>
      </c>
      <c r="K710" s="89" t="n">
        <v>1</v>
      </c>
      <c r="L710" s="89" t="n">
        <v>590000</v>
      </c>
      <c r="M710" s="89" t="n">
        <v>201101</v>
      </c>
      <c r="N710" s="90" t="n">
        <f aca="false">IF(A710="제외",0,IF(OR(N(L710)&lt;=0,N(M710)&gt;N(L710)),N(M710)/가정!$B$4,N(L710)))</f>
        <v>590000</v>
      </c>
      <c r="O710" s="67" t="str">
        <f aca="false">IF(A710="제외","",IF(OR(N(L710)&lt;=0,N(M710)&gt;N(L710)),"택가보정(판매금액÷공급율)",""))</f>
        <v/>
      </c>
    </row>
    <row r="711" customFormat="false" ht="15" hidden="false" customHeight="true" outlineLevel="0" collapsed="false">
      <c r="A711" s="67" t="str">
        <f aca="false">IF(OR(TRIM(C711)="",SUBSTITUTE(C711," ","")="소계"),"제외",IF(ISNUMBER(SEARCH("홍콩",C711)),"HK",IF(ISNUMBER(SEARCH("상해",C711)),"CN",IF(ISNUMBER(SEARCH("대만",C711)),"TW","홀세일"))))</f>
        <v>CN</v>
      </c>
      <c r="B711" s="87" t="s">
        <v>1076</v>
      </c>
      <c r="C711" s="88" t="s">
        <v>1077</v>
      </c>
      <c r="D711" s="88" t="s">
        <v>178</v>
      </c>
      <c r="E711" s="87" t="n">
        <v>2026</v>
      </c>
      <c r="F711" s="88" t="s">
        <v>532</v>
      </c>
      <c r="G711" s="88" t="s">
        <v>180</v>
      </c>
      <c r="H711" s="87" t="s">
        <v>181</v>
      </c>
      <c r="I711" s="87" t="s">
        <v>965</v>
      </c>
      <c r="J711" s="88" t="s">
        <v>966</v>
      </c>
      <c r="K711" s="89" t="n">
        <v>262</v>
      </c>
      <c r="L711" s="89" t="n">
        <v>115018000</v>
      </c>
      <c r="M711" s="89" t="n">
        <v>36761224</v>
      </c>
      <c r="N711" s="90" t="n">
        <f aca="false">IF(A711="제외",0,IF(OR(N(L711)&lt;=0,N(M711)&gt;N(L711)),N(M711)/가정!$B$4,N(L711)))</f>
        <v>115018000</v>
      </c>
      <c r="O711" s="67" t="str">
        <f aca="false">IF(A711="제외","",IF(OR(N(L711)&lt;=0,N(M711)&gt;N(L711)),"택가보정(판매금액÷공급율)",""))</f>
        <v/>
      </c>
    </row>
    <row r="712" customFormat="false" ht="15" hidden="false" customHeight="true" outlineLevel="0" collapsed="false">
      <c r="A712" s="67" t="str">
        <f aca="false">IF(OR(TRIM(C712)="",SUBSTITUTE(C712," ","")="소계"),"제외",IF(ISNUMBER(SEARCH("홍콩",C712)),"HK",IF(ISNUMBER(SEARCH("상해",C712)),"CN",IF(ISNUMBER(SEARCH("대만",C712)),"TW","홀세일"))))</f>
        <v>CN</v>
      </c>
      <c r="B712" s="87" t="s">
        <v>1076</v>
      </c>
      <c r="C712" s="88" t="s">
        <v>1077</v>
      </c>
      <c r="D712" s="88" t="s">
        <v>178</v>
      </c>
      <c r="E712" s="87" t="n">
        <v>2026</v>
      </c>
      <c r="F712" s="88" t="s">
        <v>532</v>
      </c>
      <c r="G712" s="88" t="s">
        <v>180</v>
      </c>
      <c r="H712" s="87" t="s">
        <v>181</v>
      </c>
      <c r="I712" s="87" t="s">
        <v>1130</v>
      </c>
      <c r="J712" s="87" t="s">
        <v>1131</v>
      </c>
      <c r="K712" s="89" t="n">
        <v>2</v>
      </c>
      <c r="L712" s="89" t="n">
        <v>398000</v>
      </c>
      <c r="M712" s="89" t="n">
        <v>103050</v>
      </c>
      <c r="N712" s="90" t="n">
        <f aca="false">IF(A712="제외",0,IF(OR(N(L712)&lt;=0,N(M712)&gt;N(L712)),N(M712)/가정!$B$4,N(L712)))</f>
        <v>398000</v>
      </c>
      <c r="O712" s="67" t="str">
        <f aca="false">IF(A712="제외","",IF(OR(N(L712)&lt;=0,N(M712)&gt;N(L712)),"택가보정(판매금액÷공급율)",""))</f>
        <v/>
      </c>
    </row>
    <row r="713" customFormat="false" ht="15" hidden="false" customHeight="true" outlineLevel="0" collapsed="false">
      <c r="A713" s="67" t="str">
        <f aca="false">IF(OR(TRIM(C713)="",SUBSTITUTE(C713," ","")="소계"),"제외",IF(ISNUMBER(SEARCH("홍콩",C713)),"HK",IF(ISNUMBER(SEARCH("상해",C713)),"CN",IF(ISNUMBER(SEARCH("대만",C713)),"TW","홀세일"))))</f>
        <v>CN</v>
      </c>
      <c r="B713" s="87" t="s">
        <v>1076</v>
      </c>
      <c r="C713" s="88" t="s">
        <v>1077</v>
      </c>
      <c r="D713" s="88" t="s">
        <v>178</v>
      </c>
      <c r="E713" s="87" t="n">
        <v>2026</v>
      </c>
      <c r="F713" s="88" t="s">
        <v>532</v>
      </c>
      <c r="G713" s="88" t="s">
        <v>180</v>
      </c>
      <c r="H713" s="87" t="s">
        <v>181</v>
      </c>
      <c r="I713" s="87" t="s">
        <v>543</v>
      </c>
      <c r="J713" s="87" t="s">
        <v>544</v>
      </c>
      <c r="K713" s="89" t="n">
        <v>332</v>
      </c>
      <c r="L713" s="89" t="n">
        <v>72708000</v>
      </c>
      <c r="M713" s="89" t="n">
        <v>19769272</v>
      </c>
      <c r="N713" s="90" t="n">
        <f aca="false">IF(A713="제외",0,IF(OR(N(L713)&lt;=0,N(M713)&gt;N(L713)),N(M713)/가정!$B$4,N(L713)))</f>
        <v>72708000</v>
      </c>
      <c r="O713" s="67" t="str">
        <f aca="false">IF(A713="제외","",IF(OR(N(L713)&lt;=0,N(M713)&gt;N(L713)),"택가보정(판매금액÷공급율)",""))</f>
        <v/>
      </c>
    </row>
    <row r="714" customFormat="false" ht="15" hidden="false" customHeight="true" outlineLevel="0" collapsed="false">
      <c r="A714" s="67" t="str">
        <f aca="false">IF(OR(TRIM(C714)="",SUBSTITUTE(C714," ","")="소계"),"제외",IF(ISNUMBER(SEARCH("홍콩",C714)),"HK",IF(ISNUMBER(SEARCH("상해",C714)),"CN",IF(ISNUMBER(SEARCH("대만",C714)),"TW","홀세일"))))</f>
        <v>CN</v>
      </c>
      <c r="B714" s="87" t="s">
        <v>1076</v>
      </c>
      <c r="C714" s="88" t="s">
        <v>1077</v>
      </c>
      <c r="D714" s="88" t="s">
        <v>178</v>
      </c>
      <c r="E714" s="87" t="n">
        <v>2026</v>
      </c>
      <c r="F714" s="88" t="s">
        <v>532</v>
      </c>
      <c r="G714" s="88" t="s">
        <v>180</v>
      </c>
      <c r="H714" s="87" t="s">
        <v>189</v>
      </c>
      <c r="I714" s="87" t="s">
        <v>969</v>
      </c>
      <c r="J714" s="87" t="s">
        <v>970</v>
      </c>
      <c r="K714" s="89" t="n">
        <v>122</v>
      </c>
      <c r="L714" s="89" t="n">
        <v>16958000</v>
      </c>
      <c r="M714" s="89" t="n">
        <v>5562534</v>
      </c>
      <c r="N714" s="90" t="n">
        <f aca="false">IF(A714="제외",0,IF(OR(N(L714)&lt;=0,N(M714)&gt;N(L714)),N(M714)/가정!$B$4,N(L714)))</f>
        <v>16958000</v>
      </c>
      <c r="O714" s="67" t="str">
        <f aca="false">IF(A714="제외","",IF(OR(N(L714)&lt;=0,N(M714)&gt;N(L714)),"택가보정(판매금액÷공급율)",""))</f>
        <v/>
      </c>
    </row>
    <row r="715" customFormat="false" ht="15" hidden="false" customHeight="true" outlineLevel="0" collapsed="false">
      <c r="A715" s="67" t="str">
        <f aca="false">IF(OR(TRIM(C715)="",SUBSTITUTE(C715," ","")="소계"),"제외",IF(ISNUMBER(SEARCH("홍콩",C715)),"HK",IF(ISNUMBER(SEARCH("상해",C715)),"CN",IF(ISNUMBER(SEARCH("대만",C715)),"TW","홀세일"))))</f>
        <v>CN</v>
      </c>
      <c r="B715" s="87" t="s">
        <v>1076</v>
      </c>
      <c r="C715" s="88" t="s">
        <v>1077</v>
      </c>
      <c r="D715" s="88" t="s">
        <v>178</v>
      </c>
      <c r="E715" s="87" t="n">
        <v>2026</v>
      </c>
      <c r="F715" s="88" t="s">
        <v>532</v>
      </c>
      <c r="G715" s="88" t="s">
        <v>180</v>
      </c>
      <c r="H715" s="87" t="s">
        <v>189</v>
      </c>
      <c r="I715" s="87" t="s">
        <v>545</v>
      </c>
      <c r="J715" s="87" t="s">
        <v>546</v>
      </c>
      <c r="K715" s="89" t="n">
        <v>162</v>
      </c>
      <c r="L715" s="89" t="n">
        <v>16038000</v>
      </c>
      <c r="M715" s="89" t="n">
        <v>4093870</v>
      </c>
      <c r="N715" s="90" t="n">
        <f aca="false">IF(A715="제외",0,IF(OR(N(L715)&lt;=0,N(M715)&gt;N(L715)),N(M715)/가정!$B$4,N(L715)))</f>
        <v>16038000</v>
      </c>
      <c r="O715" s="67" t="str">
        <f aca="false">IF(A715="제외","",IF(OR(N(L715)&lt;=0,N(M715)&gt;N(L715)),"택가보정(판매금액÷공급율)",""))</f>
        <v/>
      </c>
    </row>
    <row r="716" customFormat="false" ht="15" hidden="false" customHeight="true" outlineLevel="0" collapsed="false">
      <c r="A716" s="67" t="str">
        <f aca="false">IF(OR(TRIM(C716)="",SUBSTITUTE(C716," ","")="소계"),"제외",IF(ISNUMBER(SEARCH("홍콩",C716)),"HK",IF(ISNUMBER(SEARCH("상해",C716)),"CN",IF(ISNUMBER(SEARCH("대만",C716)),"TW","홀세일"))))</f>
        <v>CN</v>
      </c>
      <c r="B716" s="87" t="s">
        <v>1076</v>
      </c>
      <c r="C716" s="88" t="s">
        <v>1077</v>
      </c>
      <c r="D716" s="88" t="s">
        <v>178</v>
      </c>
      <c r="E716" s="87" t="n">
        <v>2026</v>
      </c>
      <c r="F716" s="88" t="s">
        <v>532</v>
      </c>
      <c r="G716" s="88" t="s">
        <v>180</v>
      </c>
      <c r="H716" s="87" t="s">
        <v>181</v>
      </c>
      <c r="I716" s="87" t="s">
        <v>1132</v>
      </c>
      <c r="J716" s="88" t="s">
        <v>1133</v>
      </c>
      <c r="K716" s="89" t="n">
        <v>412</v>
      </c>
      <c r="L716" s="89" t="n">
        <v>40788000</v>
      </c>
      <c r="M716" s="89" t="n">
        <v>10898824</v>
      </c>
      <c r="N716" s="90" t="n">
        <f aca="false">IF(A716="제외",0,IF(OR(N(L716)&lt;=0,N(M716)&gt;N(L716)),N(M716)/가정!$B$4,N(L716)))</f>
        <v>40788000</v>
      </c>
      <c r="O716" s="67" t="str">
        <f aca="false">IF(A716="제외","",IF(OR(N(L716)&lt;=0,N(M716)&gt;N(L716)),"택가보정(판매금액÷공급율)",""))</f>
        <v/>
      </c>
    </row>
    <row r="717" customFormat="false" ht="15" hidden="false" customHeight="true" outlineLevel="0" collapsed="false">
      <c r="A717" s="67" t="str">
        <f aca="false">IF(OR(TRIM(C717)="",SUBSTITUTE(C717," ","")="소계"),"제외",IF(ISNUMBER(SEARCH("홍콩",C717)),"HK",IF(ISNUMBER(SEARCH("상해",C717)),"CN",IF(ISNUMBER(SEARCH("대만",C717)),"TW","홀세일"))))</f>
        <v>CN</v>
      </c>
      <c r="B717" s="87" t="s">
        <v>1076</v>
      </c>
      <c r="C717" s="88" t="s">
        <v>1077</v>
      </c>
      <c r="D717" s="88" t="s">
        <v>178</v>
      </c>
      <c r="E717" s="87" t="n">
        <v>2026</v>
      </c>
      <c r="F717" s="88" t="s">
        <v>532</v>
      </c>
      <c r="G717" s="88" t="s">
        <v>180</v>
      </c>
      <c r="H717" s="87" t="s">
        <v>189</v>
      </c>
      <c r="I717" s="87" t="s">
        <v>547</v>
      </c>
      <c r="J717" s="88" t="s">
        <v>548</v>
      </c>
      <c r="K717" s="89" t="n">
        <v>751</v>
      </c>
      <c r="L717" s="89" t="n">
        <v>119409000</v>
      </c>
      <c r="M717" s="89" t="n">
        <v>26679092</v>
      </c>
      <c r="N717" s="90" t="n">
        <f aca="false">IF(A717="제외",0,IF(OR(N(L717)&lt;=0,N(M717)&gt;N(L717)),N(M717)/가정!$B$4,N(L717)))</f>
        <v>119409000</v>
      </c>
      <c r="O717" s="67" t="str">
        <f aca="false">IF(A717="제외","",IF(OR(N(L717)&lt;=0,N(M717)&gt;N(L717)),"택가보정(판매금액÷공급율)",""))</f>
        <v/>
      </c>
    </row>
    <row r="718" customFormat="false" ht="15" hidden="false" customHeight="true" outlineLevel="0" collapsed="false">
      <c r="A718" s="67" t="str">
        <f aca="false">IF(OR(TRIM(C718)="",SUBSTITUTE(C718," ","")="소계"),"제외",IF(ISNUMBER(SEARCH("홍콩",C718)),"HK",IF(ISNUMBER(SEARCH("상해",C718)),"CN",IF(ISNUMBER(SEARCH("대만",C718)),"TW","홀세일"))))</f>
        <v>CN</v>
      </c>
      <c r="B718" s="87" t="s">
        <v>1076</v>
      </c>
      <c r="C718" s="88" t="s">
        <v>1077</v>
      </c>
      <c r="D718" s="88" t="s">
        <v>178</v>
      </c>
      <c r="E718" s="87" t="n">
        <v>2026</v>
      </c>
      <c r="F718" s="88" t="s">
        <v>532</v>
      </c>
      <c r="G718" s="88" t="s">
        <v>180</v>
      </c>
      <c r="H718" s="87" t="s">
        <v>189</v>
      </c>
      <c r="I718" s="87" t="s">
        <v>551</v>
      </c>
      <c r="J718" s="88" t="s">
        <v>552</v>
      </c>
      <c r="K718" s="89" t="n">
        <v>414</v>
      </c>
      <c r="L718" s="89" t="n">
        <v>61686000</v>
      </c>
      <c r="M718" s="89" t="n">
        <v>16114842</v>
      </c>
      <c r="N718" s="90" t="n">
        <f aca="false">IF(A718="제외",0,IF(OR(N(L718)&lt;=0,N(M718)&gt;N(L718)),N(M718)/가정!$B$4,N(L718)))</f>
        <v>61686000</v>
      </c>
      <c r="O718" s="67" t="str">
        <f aca="false">IF(A718="제외","",IF(OR(N(L718)&lt;=0,N(M718)&gt;N(L718)),"택가보정(판매금액÷공급율)",""))</f>
        <v/>
      </c>
    </row>
    <row r="719" customFormat="false" ht="15" hidden="false" customHeight="true" outlineLevel="0" collapsed="false">
      <c r="A719" s="67" t="str">
        <f aca="false">IF(OR(TRIM(C719)="",SUBSTITUTE(C719," ","")="소계"),"제외",IF(ISNUMBER(SEARCH("홍콩",C719)),"HK",IF(ISNUMBER(SEARCH("상해",C719)),"CN",IF(ISNUMBER(SEARCH("대만",C719)),"TW","홀세일"))))</f>
        <v>CN</v>
      </c>
      <c r="B719" s="87" t="s">
        <v>1076</v>
      </c>
      <c r="C719" s="88" t="s">
        <v>1077</v>
      </c>
      <c r="D719" s="88" t="s">
        <v>178</v>
      </c>
      <c r="E719" s="87" t="n">
        <v>2026</v>
      </c>
      <c r="F719" s="88" t="s">
        <v>532</v>
      </c>
      <c r="G719" s="88" t="s">
        <v>180</v>
      </c>
      <c r="H719" s="87" t="s">
        <v>189</v>
      </c>
      <c r="I719" s="87" t="s">
        <v>557</v>
      </c>
      <c r="J719" s="88" t="s">
        <v>558</v>
      </c>
      <c r="K719" s="89" t="n">
        <v>623</v>
      </c>
      <c r="L719" s="89" t="n">
        <v>105287000</v>
      </c>
      <c r="M719" s="89" t="n">
        <v>32407248</v>
      </c>
      <c r="N719" s="90" t="n">
        <f aca="false">IF(A719="제외",0,IF(OR(N(L719)&lt;=0,N(M719)&gt;N(L719)),N(M719)/가정!$B$4,N(L719)))</f>
        <v>105287000</v>
      </c>
      <c r="O719" s="67" t="str">
        <f aca="false">IF(A719="제외","",IF(OR(N(L719)&lt;=0,N(M719)&gt;N(L719)),"택가보정(판매금액÷공급율)",""))</f>
        <v/>
      </c>
    </row>
    <row r="720" customFormat="false" ht="15" hidden="false" customHeight="true" outlineLevel="0" collapsed="false">
      <c r="A720" s="67" t="str">
        <f aca="false">IF(OR(TRIM(C720)="",SUBSTITUTE(C720," ","")="소계"),"제외",IF(ISNUMBER(SEARCH("홍콩",C720)),"HK",IF(ISNUMBER(SEARCH("상해",C720)),"CN",IF(ISNUMBER(SEARCH("대만",C720)),"TW","홀세일"))))</f>
        <v>CN</v>
      </c>
      <c r="B720" s="87" t="s">
        <v>1076</v>
      </c>
      <c r="C720" s="88" t="s">
        <v>1077</v>
      </c>
      <c r="D720" s="88" t="s">
        <v>178</v>
      </c>
      <c r="E720" s="87" t="n">
        <v>2026</v>
      </c>
      <c r="F720" s="88" t="s">
        <v>532</v>
      </c>
      <c r="G720" s="88" t="s">
        <v>180</v>
      </c>
      <c r="H720" s="87" t="s">
        <v>189</v>
      </c>
      <c r="I720" s="87" t="s">
        <v>567</v>
      </c>
      <c r="J720" s="88" t="s">
        <v>568</v>
      </c>
      <c r="K720" s="89" t="n">
        <v>252</v>
      </c>
      <c r="L720" s="89" t="n">
        <v>100548000</v>
      </c>
      <c r="M720" s="89" t="n">
        <v>26303340</v>
      </c>
      <c r="N720" s="90" t="n">
        <f aca="false">IF(A720="제외",0,IF(OR(N(L720)&lt;=0,N(M720)&gt;N(L720)),N(M720)/가정!$B$4,N(L720)))</f>
        <v>100548000</v>
      </c>
      <c r="O720" s="67" t="str">
        <f aca="false">IF(A720="제외","",IF(OR(N(L720)&lt;=0,N(M720)&gt;N(L720)),"택가보정(판매금액÷공급율)",""))</f>
        <v/>
      </c>
    </row>
    <row r="721" customFormat="false" ht="15" hidden="false" customHeight="true" outlineLevel="0" collapsed="false">
      <c r="A721" s="67" t="str">
        <f aca="false">IF(OR(TRIM(C721)="",SUBSTITUTE(C721," ","")="소계"),"제외",IF(ISNUMBER(SEARCH("홍콩",C721)),"HK",IF(ISNUMBER(SEARCH("상해",C721)),"CN",IF(ISNUMBER(SEARCH("대만",C721)),"TW","홀세일"))))</f>
        <v>CN</v>
      </c>
      <c r="B721" s="87" t="s">
        <v>1076</v>
      </c>
      <c r="C721" s="88" t="s">
        <v>1077</v>
      </c>
      <c r="D721" s="88" t="s">
        <v>178</v>
      </c>
      <c r="E721" s="87" t="n">
        <v>2026</v>
      </c>
      <c r="F721" s="88" t="s">
        <v>532</v>
      </c>
      <c r="G721" s="88" t="s">
        <v>180</v>
      </c>
      <c r="H721" s="87" t="s">
        <v>189</v>
      </c>
      <c r="I721" s="87" t="s">
        <v>1134</v>
      </c>
      <c r="J721" s="88" t="s">
        <v>1135</v>
      </c>
      <c r="K721" s="89" t="n">
        <v>2</v>
      </c>
      <c r="L721" s="89" t="n">
        <v>918000</v>
      </c>
      <c r="M721" s="89" t="n">
        <v>269724</v>
      </c>
      <c r="N721" s="90" t="n">
        <f aca="false">IF(A721="제외",0,IF(OR(N(L721)&lt;=0,N(M721)&gt;N(L721)),N(M721)/가정!$B$4,N(L721)))</f>
        <v>918000</v>
      </c>
      <c r="O721" s="67" t="str">
        <f aca="false">IF(A721="제외","",IF(OR(N(L721)&lt;=0,N(M721)&gt;N(L721)),"택가보정(판매금액÷공급율)",""))</f>
        <v/>
      </c>
    </row>
    <row r="722" customFormat="false" ht="15" hidden="false" customHeight="true" outlineLevel="0" collapsed="false">
      <c r="A722" s="67" t="str">
        <f aca="false">IF(OR(TRIM(C722)="",SUBSTITUTE(C722," ","")="소계"),"제외",IF(ISNUMBER(SEARCH("홍콩",C722)),"HK",IF(ISNUMBER(SEARCH("상해",C722)),"CN",IF(ISNUMBER(SEARCH("대만",C722)),"TW","홀세일"))))</f>
        <v>CN</v>
      </c>
      <c r="B722" s="87" t="s">
        <v>1076</v>
      </c>
      <c r="C722" s="88" t="s">
        <v>1077</v>
      </c>
      <c r="D722" s="88" t="s">
        <v>178</v>
      </c>
      <c r="E722" s="87" t="n">
        <v>2026</v>
      </c>
      <c r="F722" s="88" t="s">
        <v>532</v>
      </c>
      <c r="G722" s="88" t="s">
        <v>180</v>
      </c>
      <c r="H722" s="87" t="s">
        <v>189</v>
      </c>
      <c r="I722" s="87" t="s">
        <v>569</v>
      </c>
      <c r="J722" s="88" t="s">
        <v>570</v>
      </c>
      <c r="K722" s="89" t="n">
        <v>459</v>
      </c>
      <c r="L722" s="89" t="n">
        <v>201501000</v>
      </c>
      <c r="M722" s="89" t="n">
        <v>53974704</v>
      </c>
      <c r="N722" s="90" t="n">
        <f aca="false">IF(A722="제외",0,IF(OR(N(L722)&lt;=0,N(M722)&gt;N(L722)),N(M722)/가정!$B$4,N(L722)))</f>
        <v>201501000</v>
      </c>
      <c r="O722" s="67" t="str">
        <f aca="false">IF(A722="제외","",IF(OR(N(L722)&lt;=0,N(M722)&gt;N(L722)),"택가보정(판매금액÷공급율)",""))</f>
        <v/>
      </c>
    </row>
    <row r="723" customFormat="false" ht="15" hidden="false" customHeight="true" outlineLevel="0" collapsed="false">
      <c r="A723" s="67" t="str">
        <f aca="false">IF(OR(TRIM(C723)="",SUBSTITUTE(C723," ","")="소계"),"제외",IF(ISNUMBER(SEARCH("홍콩",C723)),"HK",IF(ISNUMBER(SEARCH("상해",C723)),"CN",IF(ISNUMBER(SEARCH("대만",C723)),"TW","홀세일"))))</f>
        <v>CN</v>
      </c>
      <c r="B723" s="87" t="s">
        <v>1076</v>
      </c>
      <c r="C723" s="88" t="s">
        <v>1077</v>
      </c>
      <c r="D723" s="88" t="s">
        <v>178</v>
      </c>
      <c r="E723" s="87" t="n">
        <v>2026</v>
      </c>
      <c r="F723" s="88" t="s">
        <v>532</v>
      </c>
      <c r="G723" s="88" t="s">
        <v>180</v>
      </c>
      <c r="H723" s="87" t="s">
        <v>181</v>
      </c>
      <c r="I723" s="87" t="s">
        <v>1136</v>
      </c>
      <c r="J723" s="88" t="s">
        <v>1137</v>
      </c>
      <c r="K723" s="89" t="n">
        <v>2</v>
      </c>
      <c r="L723" s="89" t="n">
        <v>518000</v>
      </c>
      <c r="M723" s="89" t="n">
        <v>119636</v>
      </c>
      <c r="N723" s="90" t="n">
        <f aca="false">IF(A723="제외",0,IF(OR(N(L723)&lt;=0,N(M723)&gt;N(L723)),N(M723)/가정!$B$4,N(L723)))</f>
        <v>518000</v>
      </c>
      <c r="O723" s="67" t="str">
        <f aca="false">IF(A723="제외","",IF(OR(N(L723)&lt;=0,N(M723)&gt;N(L723)),"택가보정(판매금액÷공급율)",""))</f>
        <v/>
      </c>
    </row>
    <row r="724" customFormat="false" ht="15" hidden="false" customHeight="true" outlineLevel="0" collapsed="false">
      <c r="A724" s="67" t="str">
        <f aca="false">IF(OR(TRIM(C724)="",SUBSTITUTE(C724," ","")="소계"),"제외",IF(ISNUMBER(SEARCH("홍콩",C724)),"HK",IF(ISNUMBER(SEARCH("상해",C724)),"CN",IF(ISNUMBER(SEARCH("대만",C724)),"TW","홀세일"))))</f>
        <v>CN</v>
      </c>
      <c r="B724" s="87" t="s">
        <v>1076</v>
      </c>
      <c r="C724" s="88" t="s">
        <v>1077</v>
      </c>
      <c r="D724" s="88" t="s">
        <v>178</v>
      </c>
      <c r="E724" s="87" t="n">
        <v>2026</v>
      </c>
      <c r="F724" s="88" t="s">
        <v>532</v>
      </c>
      <c r="G724" s="88" t="s">
        <v>180</v>
      </c>
      <c r="H724" s="88" t="s">
        <v>185</v>
      </c>
      <c r="I724" s="87" t="s">
        <v>1138</v>
      </c>
      <c r="J724" s="87" t="s">
        <v>1139</v>
      </c>
      <c r="K724" s="89" t="n">
        <v>418</v>
      </c>
      <c r="L724" s="89" t="n">
        <v>99902000</v>
      </c>
      <c r="M724" s="89" t="n">
        <v>27404964</v>
      </c>
      <c r="N724" s="90" t="n">
        <f aca="false">IF(A724="제외",0,IF(OR(N(L724)&lt;=0,N(M724)&gt;N(L724)),N(M724)/가정!$B$4,N(L724)))</f>
        <v>99902000</v>
      </c>
      <c r="O724" s="67" t="str">
        <f aca="false">IF(A724="제외","",IF(OR(N(L724)&lt;=0,N(M724)&gt;N(L724)),"택가보정(판매금액÷공급율)",""))</f>
        <v/>
      </c>
    </row>
    <row r="725" customFormat="false" ht="15" hidden="false" customHeight="true" outlineLevel="0" collapsed="false">
      <c r="A725" s="67" t="str">
        <f aca="false">IF(OR(TRIM(C725)="",SUBSTITUTE(C725," ","")="소계"),"제외",IF(ISNUMBER(SEARCH("홍콩",C725)),"HK",IF(ISNUMBER(SEARCH("상해",C725)),"CN",IF(ISNUMBER(SEARCH("대만",C725)),"TW","홀세일"))))</f>
        <v>CN</v>
      </c>
      <c r="B725" s="87" t="s">
        <v>1076</v>
      </c>
      <c r="C725" s="88" t="s">
        <v>1077</v>
      </c>
      <c r="D725" s="88" t="s">
        <v>178</v>
      </c>
      <c r="E725" s="87" t="n">
        <v>2026</v>
      </c>
      <c r="F725" s="88" t="s">
        <v>532</v>
      </c>
      <c r="G725" s="88" t="s">
        <v>180</v>
      </c>
      <c r="H725" s="87" t="s">
        <v>181</v>
      </c>
      <c r="I725" s="87" t="s">
        <v>581</v>
      </c>
      <c r="J725" s="88" t="s">
        <v>582</v>
      </c>
      <c r="K725" s="89" t="n">
        <v>204</v>
      </c>
      <c r="L725" s="89" t="n">
        <v>44676000</v>
      </c>
      <c r="M725" s="89" t="n">
        <v>11676258</v>
      </c>
      <c r="N725" s="90" t="n">
        <f aca="false">IF(A725="제외",0,IF(OR(N(L725)&lt;=0,N(M725)&gt;N(L725)),N(M725)/가정!$B$4,N(L725)))</f>
        <v>44676000</v>
      </c>
      <c r="O725" s="67" t="str">
        <f aca="false">IF(A725="제외","",IF(OR(N(L725)&lt;=0,N(M725)&gt;N(L725)),"택가보정(판매금액÷공급율)",""))</f>
        <v/>
      </c>
    </row>
    <row r="726" customFormat="false" ht="15" hidden="false" customHeight="true" outlineLevel="0" collapsed="false">
      <c r="A726" s="67" t="str">
        <f aca="false">IF(OR(TRIM(C726)="",SUBSTITUTE(C726," ","")="소계"),"제외",IF(ISNUMBER(SEARCH("홍콩",C726)),"HK",IF(ISNUMBER(SEARCH("상해",C726)),"CN",IF(ISNUMBER(SEARCH("대만",C726)),"TW","홀세일"))))</f>
        <v>CN</v>
      </c>
      <c r="B726" s="87" t="s">
        <v>1076</v>
      </c>
      <c r="C726" s="88" t="s">
        <v>1077</v>
      </c>
      <c r="D726" s="88" t="s">
        <v>178</v>
      </c>
      <c r="E726" s="87" t="n">
        <v>2026</v>
      </c>
      <c r="F726" s="88" t="s">
        <v>532</v>
      </c>
      <c r="G726" s="88" t="s">
        <v>180</v>
      </c>
      <c r="H726" s="87" t="s">
        <v>189</v>
      </c>
      <c r="I726" s="87" t="s">
        <v>1140</v>
      </c>
      <c r="J726" s="88" t="s">
        <v>1141</v>
      </c>
      <c r="K726" s="89" t="n">
        <v>232</v>
      </c>
      <c r="L726" s="89" t="n">
        <v>29928000</v>
      </c>
      <c r="M726" s="89" t="n">
        <v>6134514</v>
      </c>
      <c r="N726" s="90" t="n">
        <f aca="false">IF(A726="제외",0,IF(OR(N(L726)&lt;=0,N(M726)&gt;N(L726)),N(M726)/가정!$B$4,N(L726)))</f>
        <v>29928000</v>
      </c>
      <c r="O726" s="67" t="str">
        <f aca="false">IF(A726="제외","",IF(OR(N(L726)&lt;=0,N(M726)&gt;N(L726)),"택가보정(판매금액÷공급율)",""))</f>
        <v/>
      </c>
    </row>
    <row r="727" customFormat="false" ht="15" hidden="false" customHeight="true" outlineLevel="0" collapsed="false">
      <c r="A727" s="67" t="str">
        <f aca="false">IF(OR(TRIM(C727)="",SUBSTITUTE(C727," ","")="소계"),"제외",IF(ISNUMBER(SEARCH("홍콩",C727)),"HK",IF(ISNUMBER(SEARCH("상해",C727)),"CN",IF(ISNUMBER(SEARCH("대만",C727)),"TW","홀세일"))))</f>
        <v>CN</v>
      </c>
      <c r="B727" s="87" t="s">
        <v>1076</v>
      </c>
      <c r="C727" s="88" t="s">
        <v>1077</v>
      </c>
      <c r="D727" s="88" t="s">
        <v>178</v>
      </c>
      <c r="E727" s="87" t="n">
        <v>2026</v>
      </c>
      <c r="F727" s="88" t="s">
        <v>532</v>
      </c>
      <c r="G727" s="88" t="s">
        <v>418</v>
      </c>
      <c r="H727" s="87" t="s">
        <v>189</v>
      </c>
      <c r="I727" s="87" t="s">
        <v>1142</v>
      </c>
      <c r="J727" s="88" t="s">
        <v>1143</v>
      </c>
      <c r="K727" s="89" t="n">
        <v>212</v>
      </c>
      <c r="L727" s="89" t="n">
        <v>20988000</v>
      </c>
      <c r="M727" s="89" t="n">
        <v>6005130</v>
      </c>
      <c r="N727" s="90" t="n">
        <f aca="false">IF(A727="제외",0,IF(OR(N(L727)&lt;=0,N(M727)&gt;N(L727)),N(M727)/가정!$B$4,N(L727)))</f>
        <v>20988000</v>
      </c>
      <c r="O727" s="67" t="str">
        <f aca="false">IF(A727="제외","",IF(OR(N(L727)&lt;=0,N(M727)&gt;N(L727)),"택가보정(판매금액÷공급율)",""))</f>
        <v/>
      </c>
    </row>
    <row r="728" customFormat="false" ht="15" hidden="false" customHeight="true" outlineLevel="0" collapsed="false">
      <c r="A728" s="67" t="str">
        <f aca="false">IF(OR(TRIM(C728)="",SUBSTITUTE(C728," ","")="소계"),"제외",IF(ISNUMBER(SEARCH("홍콩",C728)),"HK",IF(ISNUMBER(SEARCH("상해",C728)),"CN",IF(ISNUMBER(SEARCH("대만",C728)),"TW","홀세일"))))</f>
        <v>CN</v>
      </c>
      <c r="B728" s="87" t="s">
        <v>1076</v>
      </c>
      <c r="C728" s="88" t="s">
        <v>1077</v>
      </c>
      <c r="D728" s="88" t="s">
        <v>178</v>
      </c>
      <c r="E728" s="87" t="n">
        <v>2026</v>
      </c>
      <c r="F728" s="88" t="s">
        <v>532</v>
      </c>
      <c r="G728" s="88" t="s">
        <v>418</v>
      </c>
      <c r="H728" s="87" t="s">
        <v>189</v>
      </c>
      <c r="I728" s="87" t="s">
        <v>1144</v>
      </c>
      <c r="J728" s="88" t="s">
        <v>1145</v>
      </c>
      <c r="K728" s="89" t="n">
        <v>162</v>
      </c>
      <c r="L728" s="89" t="n">
        <v>19278000</v>
      </c>
      <c r="M728" s="89" t="n">
        <v>5628060</v>
      </c>
      <c r="N728" s="90" t="n">
        <f aca="false">IF(A728="제외",0,IF(OR(N(L728)&lt;=0,N(M728)&gt;N(L728)),N(M728)/가정!$B$4,N(L728)))</f>
        <v>19278000</v>
      </c>
      <c r="O728" s="67" t="str">
        <f aca="false">IF(A728="제외","",IF(OR(N(L728)&lt;=0,N(M728)&gt;N(L728)),"택가보정(판매금액÷공급율)",""))</f>
        <v/>
      </c>
    </row>
    <row r="729" customFormat="false" ht="15" hidden="false" customHeight="true" outlineLevel="0" collapsed="false">
      <c r="A729" s="67" t="str">
        <f aca="false">IF(OR(TRIM(C729)="",SUBSTITUTE(C729," ","")="소계"),"제외",IF(ISNUMBER(SEARCH("홍콩",C729)),"HK",IF(ISNUMBER(SEARCH("상해",C729)),"CN",IF(ISNUMBER(SEARCH("대만",C729)),"TW","홀세일"))))</f>
        <v>CN</v>
      </c>
      <c r="B729" s="87" t="s">
        <v>1076</v>
      </c>
      <c r="C729" s="88" t="s">
        <v>1077</v>
      </c>
      <c r="D729" s="88" t="s">
        <v>178</v>
      </c>
      <c r="E729" s="87" t="n">
        <v>2026</v>
      </c>
      <c r="F729" s="88" t="s">
        <v>532</v>
      </c>
      <c r="G729" s="88" t="s">
        <v>418</v>
      </c>
      <c r="H729" s="87" t="s">
        <v>189</v>
      </c>
      <c r="I729" s="87" t="s">
        <v>1146</v>
      </c>
      <c r="J729" s="88" t="s">
        <v>1147</v>
      </c>
      <c r="K729" s="89" t="n">
        <v>152</v>
      </c>
      <c r="L729" s="89" t="n">
        <v>16568000</v>
      </c>
      <c r="M729" s="89" t="n">
        <v>4742778</v>
      </c>
      <c r="N729" s="90" t="n">
        <f aca="false">IF(A729="제외",0,IF(OR(N(L729)&lt;=0,N(M729)&gt;N(L729)),N(M729)/가정!$B$4,N(L729)))</f>
        <v>16568000</v>
      </c>
      <c r="O729" s="67" t="str">
        <f aca="false">IF(A729="제외","",IF(OR(N(L729)&lt;=0,N(M729)&gt;N(L729)),"택가보정(판매금액÷공급율)",""))</f>
        <v/>
      </c>
    </row>
    <row r="730" customFormat="false" ht="15" hidden="false" customHeight="true" outlineLevel="0" collapsed="false">
      <c r="A730" s="67" t="str">
        <f aca="false">IF(OR(TRIM(C730)="",SUBSTITUTE(C730," ","")="소계"),"제외",IF(ISNUMBER(SEARCH("홍콩",C730)),"HK",IF(ISNUMBER(SEARCH("상해",C730)),"CN",IF(ISNUMBER(SEARCH("대만",C730)),"TW","홀세일"))))</f>
        <v>CN</v>
      </c>
      <c r="B730" s="87" t="s">
        <v>1076</v>
      </c>
      <c r="C730" s="88" t="s">
        <v>1077</v>
      </c>
      <c r="D730" s="88" t="s">
        <v>178</v>
      </c>
      <c r="E730" s="87" t="n">
        <v>2026</v>
      </c>
      <c r="F730" s="88" t="s">
        <v>532</v>
      </c>
      <c r="G730" s="88" t="s">
        <v>180</v>
      </c>
      <c r="H730" s="87" t="s">
        <v>246</v>
      </c>
      <c r="I730" s="87" t="s">
        <v>599</v>
      </c>
      <c r="J730" s="87" t="s">
        <v>600</v>
      </c>
      <c r="K730" s="89" t="n">
        <v>560</v>
      </c>
      <c r="L730" s="89" t="n">
        <v>89040000</v>
      </c>
      <c r="M730" s="89" t="n">
        <v>20183800</v>
      </c>
      <c r="N730" s="90" t="n">
        <f aca="false">IF(A730="제외",0,IF(OR(N(L730)&lt;=0,N(M730)&gt;N(L730)),N(M730)/가정!$B$4,N(L730)))</f>
        <v>89040000</v>
      </c>
      <c r="O730" s="67" t="str">
        <f aca="false">IF(A730="제외","",IF(OR(N(L730)&lt;=0,N(M730)&gt;N(L730)),"택가보정(판매금액÷공급율)",""))</f>
        <v/>
      </c>
    </row>
    <row r="731" customFormat="false" ht="15" hidden="false" customHeight="true" outlineLevel="0" collapsed="false">
      <c r="A731" s="67" t="str">
        <f aca="false">IF(OR(TRIM(C731)="",SUBSTITUTE(C731," ","")="소계"),"제외",IF(ISNUMBER(SEARCH("홍콩",C731)),"HK",IF(ISNUMBER(SEARCH("상해",C731)),"CN",IF(ISNUMBER(SEARCH("대만",C731)),"TW","홀세일"))))</f>
        <v>CN</v>
      </c>
      <c r="B731" s="87" t="s">
        <v>1076</v>
      </c>
      <c r="C731" s="88" t="s">
        <v>1077</v>
      </c>
      <c r="D731" s="88" t="s">
        <v>178</v>
      </c>
      <c r="E731" s="87" t="n">
        <v>2026</v>
      </c>
      <c r="F731" s="88" t="s">
        <v>532</v>
      </c>
      <c r="G731" s="88" t="s">
        <v>180</v>
      </c>
      <c r="H731" s="87" t="s">
        <v>246</v>
      </c>
      <c r="I731" s="87" t="s">
        <v>991</v>
      </c>
      <c r="J731" s="87" t="s">
        <v>992</v>
      </c>
      <c r="K731" s="89" t="n">
        <v>282</v>
      </c>
      <c r="L731" s="89" t="n">
        <v>36378000</v>
      </c>
      <c r="M731" s="89" t="n">
        <v>8594820</v>
      </c>
      <c r="N731" s="90" t="n">
        <f aca="false">IF(A731="제외",0,IF(OR(N(L731)&lt;=0,N(M731)&gt;N(L731)),N(M731)/가정!$B$4,N(L731)))</f>
        <v>36378000</v>
      </c>
      <c r="O731" s="67" t="str">
        <f aca="false">IF(A731="제외","",IF(OR(N(L731)&lt;=0,N(M731)&gt;N(L731)),"택가보정(판매금액÷공급율)",""))</f>
        <v/>
      </c>
    </row>
    <row r="732" customFormat="false" ht="15" hidden="false" customHeight="true" outlineLevel="0" collapsed="false">
      <c r="A732" s="67" t="str">
        <f aca="false">IF(OR(TRIM(C732)="",SUBSTITUTE(C732," ","")="소계"),"제외",IF(ISNUMBER(SEARCH("홍콩",C732)),"HK",IF(ISNUMBER(SEARCH("상해",C732)),"CN",IF(ISNUMBER(SEARCH("대만",C732)),"TW","홀세일"))))</f>
        <v>CN</v>
      </c>
      <c r="B732" s="87" t="s">
        <v>1076</v>
      </c>
      <c r="C732" s="88" t="s">
        <v>1077</v>
      </c>
      <c r="D732" s="88" t="s">
        <v>178</v>
      </c>
      <c r="E732" s="87" t="n">
        <v>2026</v>
      </c>
      <c r="F732" s="88" t="s">
        <v>532</v>
      </c>
      <c r="G732" s="88" t="s">
        <v>180</v>
      </c>
      <c r="H732" s="87" t="s">
        <v>246</v>
      </c>
      <c r="I732" s="87" t="s">
        <v>1148</v>
      </c>
      <c r="J732" s="87" t="s">
        <v>1149</v>
      </c>
      <c r="K732" s="89" t="n">
        <v>1</v>
      </c>
      <c r="L732" s="89" t="n">
        <v>169000</v>
      </c>
      <c r="M732" s="89" t="n">
        <v>34469</v>
      </c>
      <c r="N732" s="90" t="n">
        <f aca="false">IF(A732="제외",0,IF(OR(N(L732)&lt;=0,N(M732)&gt;N(L732)),N(M732)/가정!$B$4,N(L732)))</f>
        <v>169000</v>
      </c>
      <c r="O732" s="67" t="str">
        <f aca="false">IF(A732="제외","",IF(OR(N(L732)&lt;=0,N(M732)&gt;N(L732)),"택가보정(판매금액÷공급율)",""))</f>
        <v/>
      </c>
    </row>
    <row r="733" customFormat="false" ht="15" hidden="false" customHeight="true" outlineLevel="0" collapsed="false">
      <c r="A733" s="67" t="str">
        <f aca="false">IF(OR(TRIM(C733)="",SUBSTITUTE(C733," ","")="소계"),"제외",IF(ISNUMBER(SEARCH("홍콩",C733)),"HK",IF(ISNUMBER(SEARCH("상해",C733)),"CN",IF(ISNUMBER(SEARCH("대만",C733)),"TW","홀세일"))))</f>
        <v>CN</v>
      </c>
      <c r="B733" s="87" t="s">
        <v>1076</v>
      </c>
      <c r="C733" s="88" t="s">
        <v>1077</v>
      </c>
      <c r="D733" s="88" t="s">
        <v>178</v>
      </c>
      <c r="E733" s="87" t="n">
        <v>2026</v>
      </c>
      <c r="F733" s="88" t="s">
        <v>532</v>
      </c>
      <c r="G733" s="88" t="s">
        <v>180</v>
      </c>
      <c r="H733" s="87" t="s">
        <v>246</v>
      </c>
      <c r="I733" s="87" t="s">
        <v>603</v>
      </c>
      <c r="J733" s="87" t="s">
        <v>604</v>
      </c>
      <c r="K733" s="89" t="n">
        <v>566</v>
      </c>
      <c r="L733" s="89" t="n">
        <v>84334000</v>
      </c>
      <c r="M733" s="89" t="n">
        <v>20481860</v>
      </c>
      <c r="N733" s="90" t="n">
        <f aca="false">IF(A733="제외",0,IF(OR(N(L733)&lt;=0,N(M733)&gt;N(L733)),N(M733)/가정!$B$4,N(L733)))</f>
        <v>84334000</v>
      </c>
      <c r="O733" s="67" t="str">
        <f aca="false">IF(A733="제외","",IF(OR(N(L733)&lt;=0,N(M733)&gt;N(L733)),"택가보정(판매금액÷공급율)",""))</f>
        <v/>
      </c>
    </row>
    <row r="734" customFormat="false" ht="15" hidden="false" customHeight="true" outlineLevel="0" collapsed="false">
      <c r="A734" s="67" t="str">
        <f aca="false">IF(OR(TRIM(C734)="",SUBSTITUTE(C734," ","")="소계"),"제외",IF(ISNUMBER(SEARCH("홍콩",C734)),"HK",IF(ISNUMBER(SEARCH("상해",C734)),"CN",IF(ISNUMBER(SEARCH("대만",C734)),"TW","홀세일"))))</f>
        <v>CN</v>
      </c>
      <c r="B734" s="87" t="s">
        <v>1076</v>
      </c>
      <c r="C734" s="88" t="s">
        <v>1077</v>
      </c>
      <c r="D734" s="88" t="s">
        <v>178</v>
      </c>
      <c r="E734" s="87" t="n">
        <v>2026</v>
      </c>
      <c r="F734" s="88" t="s">
        <v>532</v>
      </c>
      <c r="G734" s="88" t="s">
        <v>180</v>
      </c>
      <c r="H734" s="87" t="s">
        <v>246</v>
      </c>
      <c r="I734" s="87" t="s">
        <v>609</v>
      </c>
      <c r="J734" s="87" t="s">
        <v>610</v>
      </c>
      <c r="K734" s="89" t="n">
        <v>664</v>
      </c>
      <c r="L734" s="89" t="n">
        <v>112216000</v>
      </c>
      <c r="M734" s="89" t="n">
        <v>30539270</v>
      </c>
      <c r="N734" s="90" t="n">
        <f aca="false">IF(A734="제외",0,IF(OR(N(L734)&lt;=0,N(M734)&gt;N(L734)),N(M734)/가정!$B$4,N(L734)))</f>
        <v>112216000</v>
      </c>
      <c r="O734" s="67" t="str">
        <f aca="false">IF(A734="제외","",IF(OR(N(L734)&lt;=0,N(M734)&gt;N(L734)),"택가보정(판매금액÷공급율)",""))</f>
        <v/>
      </c>
    </row>
    <row r="735" customFormat="false" ht="15" hidden="false" customHeight="true" outlineLevel="0" collapsed="false">
      <c r="A735" s="67" t="str">
        <f aca="false">IF(OR(TRIM(C735)="",SUBSTITUTE(C735," ","")="소계"),"제외",IF(ISNUMBER(SEARCH("홍콩",C735)),"HK",IF(ISNUMBER(SEARCH("상해",C735)),"CN",IF(ISNUMBER(SEARCH("대만",C735)),"TW","홀세일"))))</f>
        <v>CN</v>
      </c>
      <c r="B735" s="87" t="s">
        <v>1076</v>
      </c>
      <c r="C735" s="88" t="s">
        <v>1077</v>
      </c>
      <c r="D735" s="88" t="s">
        <v>178</v>
      </c>
      <c r="E735" s="87" t="n">
        <v>2026</v>
      </c>
      <c r="F735" s="88" t="s">
        <v>532</v>
      </c>
      <c r="G735" s="88" t="s">
        <v>180</v>
      </c>
      <c r="H735" s="87" t="s">
        <v>246</v>
      </c>
      <c r="I735" s="87" t="s">
        <v>615</v>
      </c>
      <c r="J735" s="87" t="s">
        <v>616</v>
      </c>
      <c r="K735" s="89" t="n">
        <v>222</v>
      </c>
      <c r="L735" s="89" t="n">
        <v>73038000</v>
      </c>
      <c r="M735" s="89" t="n">
        <v>17530302</v>
      </c>
      <c r="N735" s="90" t="n">
        <f aca="false">IF(A735="제외",0,IF(OR(N(L735)&lt;=0,N(M735)&gt;N(L735)),N(M735)/가정!$B$4,N(L735)))</f>
        <v>73038000</v>
      </c>
      <c r="O735" s="67" t="str">
        <f aca="false">IF(A735="제외","",IF(OR(N(L735)&lt;=0,N(M735)&gt;N(L735)),"택가보정(판매금액÷공급율)",""))</f>
        <v/>
      </c>
    </row>
    <row r="736" customFormat="false" ht="15" hidden="false" customHeight="true" outlineLevel="0" collapsed="false">
      <c r="A736" s="67" t="str">
        <f aca="false">IF(OR(TRIM(C736)="",SUBSTITUTE(C736," ","")="소계"),"제외",IF(ISNUMBER(SEARCH("홍콩",C736)),"HK",IF(ISNUMBER(SEARCH("상해",C736)),"CN",IF(ISNUMBER(SEARCH("대만",C736)),"TW","홀세일"))))</f>
        <v>CN</v>
      </c>
      <c r="B736" s="87" t="s">
        <v>1076</v>
      </c>
      <c r="C736" s="88" t="s">
        <v>1077</v>
      </c>
      <c r="D736" s="88" t="s">
        <v>178</v>
      </c>
      <c r="E736" s="87" t="n">
        <v>2026</v>
      </c>
      <c r="F736" s="88" t="s">
        <v>532</v>
      </c>
      <c r="G736" s="88" t="s">
        <v>180</v>
      </c>
      <c r="H736" s="87" t="s">
        <v>246</v>
      </c>
      <c r="I736" s="87" t="s">
        <v>1150</v>
      </c>
      <c r="J736" s="87" t="s">
        <v>1151</v>
      </c>
      <c r="K736" s="89" t="n">
        <v>407</v>
      </c>
      <c r="L736" s="89" t="n">
        <v>203093000</v>
      </c>
      <c r="M736" s="89" t="n">
        <v>52693253</v>
      </c>
      <c r="N736" s="90" t="n">
        <f aca="false">IF(A736="제외",0,IF(OR(N(L736)&lt;=0,N(M736)&gt;N(L736)),N(M736)/가정!$B$4,N(L736)))</f>
        <v>203093000</v>
      </c>
      <c r="O736" s="67" t="str">
        <f aca="false">IF(A736="제외","",IF(OR(N(L736)&lt;=0,N(M736)&gt;N(L736)),"택가보정(판매금액÷공급율)",""))</f>
        <v/>
      </c>
    </row>
    <row r="737" customFormat="false" ht="15" hidden="false" customHeight="true" outlineLevel="0" collapsed="false">
      <c r="A737" s="67" t="str">
        <f aca="false">IF(OR(TRIM(C737)="",SUBSTITUTE(C737," ","")="소계"),"제외",IF(ISNUMBER(SEARCH("홍콩",C737)),"HK",IF(ISNUMBER(SEARCH("상해",C737)),"CN",IF(ISNUMBER(SEARCH("대만",C737)),"TW","홀세일"))))</f>
        <v>CN</v>
      </c>
      <c r="B737" s="87" t="s">
        <v>1076</v>
      </c>
      <c r="C737" s="88" t="s">
        <v>1077</v>
      </c>
      <c r="D737" s="88" t="s">
        <v>178</v>
      </c>
      <c r="E737" s="87" t="n">
        <v>2026</v>
      </c>
      <c r="F737" s="88" t="s">
        <v>532</v>
      </c>
      <c r="G737" s="88" t="s">
        <v>180</v>
      </c>
      <c r="H737" s="87" t="s">
        <v>246</v>
      </c>
      <c r="I737" s="87" t="s">
        <v>621</v>
      </c>
      <c r="J737" s="87" t="s">
        <v>622</v>
      </c>
      <c r="K737" s="89" t="n">
        <v>2</v>
      </c>
      <c r="L737" s="89" t="n">
        <v>918000</v>
      </c>
      <c r="M737" s="89" t="n">
        <v>257490</v>
      </c>
      <c r="N737" s="90" t="n">
        <f aca="false">IF(A737="제외",0,IF(OR(N(L737)&lt;=0,N(M737)&gt;N(L737)),N(M737)/가정!$B$4,N(L737)))</f>
        <v>918000</v>
      </c>
      <c r="O737" s="67" t="str">
        <f aca="false">IF(A737="제외","",IF(OR(N(L737)&lt;=0,N(M737)&gt;N(L737)),"택가보정(판매금액÷공급율)",""))</f>
        <v/>
      </c>
    </row>
    <row r="738" customFormat="false" ht="15" hidden="false" customHeight="true" outlineLevel="0" collapsed="false">
      <c r="A738" s="67" t="str">
        <f aca="false">IF(OR(TRIM(C738)="",SUBSTITUTE(C738," ","")="소계"),"제외",IF(ISNUMBER(SEARCH("홍콩",C738)),"HK",IF(ISNUMBER(SEARCH("상해",C738)),"CN",IF(ISNUMBER(SEARCH("대만",C738)),"TW","홀세일"))))</f>
        <v>CN</v>
      </c>
      <c r="B738" s="87" t="s">
        <v>1076</v>
      </c>
      <c r="C738" s="88" t="s">
        <v>1077</v>
      </c>
      <c r="D738" s="88" t="s">
        <v>178</v>
      </c>
      <c r="E738" s="87" t="n">
        <v>2026</v>
      </c>
      <c r="F738" s="88" t="s">
        <v>532</v>
      </c>
      <c r="G738" s="88" t="s">
        <v>180</v>
      </c>
      <c r="H738" s="87" t="s">
        <v>246</v>
      </c>
      <c r="I738" s="87" t="s">
        <v>1152</v>
      </c>
      <c r="J738" s="87" t="s">
        <v>1153</v>
      </c>
      <c r="K738" s="89" t="n">
        <v>3</v>
      </c>
      <c r="L738" s="89" t="n">
        <v>897000</v>
      </c>
      <c r="M738" s="89" t="n">
        <v>286821</v>
      </c>
      <c r="N738" s="90" t="n">
        <f aca="false">IF(A738="제외",0,IF(OR(N(L738)&lt;=0,N(M738)&gt;N(L738)),N(M738)/가정!$B$4,N(L738)))</f>
        <v>897000</v>
      </c>
      <c r="O738" s="67" t="str">
        <f aca="false">IF(A738="제외","",IF(OR(N(L738)&lt;=0,N(M738)&gt;N(L738)),"택가보정(판매금액÷공급율)",""))</f>
        <v/>
      </c>
    </row>
    <row r="739" customFormat="false" ht="15" hidden="false" customHeight="true" outlineLevel="0" collapsed="false">
      <c r="A739" s="67" t="str">
        <f aca="false">IF(OR(TRIM(C739)="",SUBSTITUTE(C739," ","")="소계"),"제외",IF(ISNUMBER(SEARCH("홍콩",C739)),"HK",IF(ISNUMBER(SEARCH("상해",C739)),"CN",IF(ISNUMBER(SEARCH("대만",C739)),"TW","홀세일"))))</f>
        <v>CN</v>
      </c>
      <c r="B739" s="87" t="s">
        <v>1076</v>
      </c>
      <c r="C739" s="88" t="s">
        <v>1077</v>
      </c>
      <c r="D739" s="88" t="s">
        <v>178</v>
      </c>
      <c r="E739" s="87" t="n">
        <v>2026</v>
      </c>
      <c r="F739" s="88" t="s">
        <v>532</v>
      </c>
      <c r="G739" s="88" t="s">
        <v>180</v>
      </c>
      <c r="H739" s="87" t="s">
        <v>246</v>
      </c>
      <c r="I739" s="87" t="s">
        <v>623</v>
      </c>
      <c r="J739" s="87" t="s">
        <v>624</v>
      </c>
      <c r="K739" s="89" t="n">
        <v>462</v>
      </c>
      <c r="L739" s="89" t="n">
        <v>202818000</v>
      </c>
      <c r="M739" s="89" t="n">
        <v>47511518</v>
      </c>
      <c r="N739" s="90" t="n">
        <f aca="false">IF(A739="제외",0,IF(OR(N(L739)&lt;=0,N(M739)&gt;N(L739)),N(M739)/가정!$B$4,N(L739)))</f>
        <v>202818000</v>
      </c>
      <c r="O739" s="67" t="str">
        <f aca="false">IF(A739="제외","",IF(OR(N(L739)&lt;=0,N(M739)&gt;N(L739)),"택가보정(판매금액÷공급율)",""))</f>
        <v/>
      </c>
    </row>
    <row r="740" customFormat="false" ht="15" hidden="false" customHeight="true" outlineLevel="0" collapsed="false">
      <c r="A740" s="67" t="str">
        <f aca="false">IF(OR(TRIM(C740)="",SUBSTITUTE(C740," ","")="소계"),"제외",IF(ISNUMBER(SEARCH("홍콩",C740)),"HK",IF(ISNUMBER(SEARCH("상해",C740)),"CN",IF(ISNUMBER(SEARCH("대만",C740)),"TW","홀세일"))))</f>
        <v>CN</v>
      </c>
      <c r="B740" s="87" t="s">
        <v>1076</v>
      </c>
      <c r="C740" s="88" t="s">
        <v>1077</v>
      </c>
      <c r="D740" s="88" t="s">
        <v>178</v>
      </c>
      <c r="E740" s="87" t="n">
        <v>2026</v>
      </c>
      <c r="F740" s="88" t="s">
        <v>532</v>
      </c>
      <c r="G740" s="88" t="s">
        <v>180</v>
      </c>
      <c r="H740" s="87" t="s">
        <v>246</v>
      </c>
      <c r="I740" s="87" t="s">
        <v>627</v>
      </c>
      <c r="J740" s="87" t="s">
        <v>628</v>
      </c>
      <c r="K740" s="89" t="n">
        <v>116</v>
      </c>
      <c r="L740" s="89" t="n">
        <v>21924000</v>
      </c>
      <c r="M740" s="89" t="n">
        <v>5497570</v>
      </c>
      <c r="N740" s="90" t="n">
        <f aca="false">IF(A740="제외",0,IF(OR(N(L740)&lt;=0,N(M740)&gt;N(L740)),N(M740)/가정!$B$4,N(L740)))</f>
        <v>21924000</v>
      </c>
      <c r="O740" s="67" t="str">
        <f aca="false">IF(A740="제외","",IF(OR(N(L740)&lt;=0,N(M740)&gt;N(L740)),"택가보정(판매금액÷공급율)",""))</f>
        <v/>
      </c>
    </row>
    <row r="741" customFormat="false" ht="15" hidden="false" customHeight="true" outlineLevel="0" collapsed="false">
      <c r="A741" s="67" t="str">
        <f aca="false">IF(OR(TRIM(C741)="",SUBSTITUTE(C741," ","")="소계"),"제외",IF(ISNUMBER(SEARCH("홍콩",C741)),"HK",IF(ISNUMBER(SEARCH("상해",C741)),"CN",IF(ISNUMBER(SEARCH("대만",C741)),"TW","홀세일"))))</f>
        <v>CN</v>
      </c>
      <c r="B741" s="87" t="s">
        <v>1076</v>
      </c>
      <c r="C741" s="88" t="s">
        <v>1077</v>
      </c>
      <c r="D741" s="88" t="s">
        <v>178</v>
      </c>
      <c r="E741" s="87" t="n">
        <v>2026</v>
      </c>
      <c r="F741" s="88" t="s">
        <v>532</v>
      </c>
      <c r="G741" s="88" t="s">
        <v>180</v>
      </c>
      <c r="H741" s="87" t="s">
        <v>246</v>
      </c>
      <c r="I741" s="87" t="s">
        <v>1154</v>
      </c>
      <c r="J741" s="87" t="s">
        <v>1155</v>
      </c>
      <c r="K741" s="89" t="n">
        <v>3</v>
      </c>
      <c r="L741" s="89" t="n">
        <v>837000</v>
      </c>
      <c r="M741" s="89" t="n">
        <v>269940</v>
      </c>
      <c r="N741" s="90" t="n">
        <f aca="false">IF(A741="제외",0,IF(OR(N(L741)&lt;=0,N(M741)&gt;N(L741)),N(M741)/가정!$B$4,N(L741)))</f>
        <v>837000</v>
      </c>
      <c r="O741" s="67" t="str">
        <f aca="false">IF(A741="제외","",IF(OR(N(L741)&lt;=0,N(M741)&gt;N(L741)),"택가보정(판매금액÷공급율)",""))</f>
        <v/>
      </c>
    </row>
    <row r="742" customFormat="false" ht="15" hidden="false" customHeight="true" outlineLevel="0" collapsed="false">
      <c r="A742" s="67" t="str">
        <f aca="false">IF(OR(TRIM(C742)="",SUBSTITUTE(C742," ","")="소계"),"제외",IF(ISNUMBER(SEARCH("홍콩",C742)),"HK",IF(ISNUMBER(SEARCH("상해",C742)),"CN",IF(ISNUMBER(SEARCH("대만",C742)),"TW","홀세일"))))</f>
        <v>CN</v>
      </c>
      <c r="B742" s="87" t="s">
        <v>1076</v>
      </c>
      <c r="C742" s="88" t="s">
        <v>1077</v>
      </c>
      <c r="D742" s="88" t="s">
        <v>178</v>
      </c>
      <c r="E742" s="87" t="n">
        <v>2026</v>
      </c>
      <c r="F742" s="88" t="s">
        <v>532</v>
      </c>
      <c r="G742" s="88" t="s">
        <v>180</v>
      </c>
      <c r="H742" s="87" t="s">
        <v>246</v>
      </c>
      <c r="I742" s="87" t="s">
        <v>635</v>
      </c>
      <c r="J742" s="87" t="s">
        <v>636</v>
      </c>
      <c r="K742" s="89" t="n">
        <v>473</v>
      </c>
      <c r="L742" s="89" t="n">
        <v>94127000</v>
      </c>
      <c r="M742" s="89" t="n">
        <v>24695439</v>
      </c>
      <c r="N742" s="90" t="n">
        <f aca="false">IF(A742="제외",0,IF(OR(N(L742)&lt;=0,N(M742)&gt;N(L742)),N(M742)/가정!$B$4,N(L742)))</f>
        <v>94127000</v>
      </c>
      <c r="O742" s="67" t="str">
        <f aca="false">IF(A742="제외","",IF(OR(N(L742)&lt;=0,N(M742)&gt;N(L742)),"택가보정(판매금액÷공급율)",""))</f>
        <v/>
      </c>
    </row>
    <row r="743" customFormat="false" ht="15" hidden="false" customHeight="true" outlineLevel="0" collapsed="false">
      <c r="A743" s="67" t="str">
        <f aca="false">IF(OR(TRIM(C743)="",SUBSTITUTE(C743," ","")="소계"),"제외",IF(ISNUMBER(SEARCH("홍콩",C743)),"HK",IF(ISNUMBER(SEARCH("상해",C743)),"CN",IF(ISNUMBER(SEARCH("대만",C743)),"TW","홀세일"))))</f>
        <v>CN</v>
      </c>
      <c r="B743" s="87" t="s">
        <v>1076</v>
      </c>
      <c r="C743" s="88" t="s">
        <v>1077</v>
      </c>
      <c r="D743" s="88" t="s">
        <v>178</v>
      </c>
      <c r="E743" s="87" t="n">
        <v>2026</v>
      </c>
      <c r="F743" s="88" t="s">
        <v>532</v>
      </c>
      <c r="G743" s="88" t="s">
        <v>180</v>
      </c>
      <c r="H743" s="87" t="s">
        <v>246</v>
      </c>
      <c r="I743" s="87" t="s">
        <v>1003</v>
      </c>
      <c r="J743" s="87" t="s">
        <v>1004</v>
      </c>
      <c r="K743" s="89" t="n">
        <v>302</v>
      </c>
      <c r="L743" s="89" t="n">
        <v>48018000</v>
      </c>
      <c r="M743" s="89" t="n">
        <v>11120214</v>
      </c>
      <c r="N743" s="90" t="n">
        <f aca="false">IF(A743="제외",0,IF(OR(N(L743)&lt;=0,N(M743)&gt;N(L743)),N(M743)/가정!$B$4,N(L743)))</f>
        <v>48018000</v>
      </c>
      <c r="O743" s="67" t="str">
        <f aca="false">IF(A743="제외","",IF(OR(N(L743)&lt;=0,N(M743)&gt;N(L743)),"택가보정(판매금액÷공급율)",""))</f>
        <v/>
      </c>
    </row>
    <row r="744" customFormat="false" ht="15" hidden="false" customHeight="true" outlineLevel="0" collapsed="false">
      <c r="A744" s="67" t="str">
        <f aca="false">IF(OR(TRIM(C744)="",SUBSTITUTE(C744," ","")="소계"),"제외",IF(ISNUMBER(SEARCH("홍콩",C744)),"HK",IF(ISNUMBER(SEARCH("상해",C744)),"CN",IF(ISNUMBER(SEARCH("대만",C744)),"TW","홀세일"))))</f>
        <v>CN</v>
      </c>
      <c r="B744" s="87" t="s">
        <v>1076</v>
      </c>
      <c r="C744" s="88" t="s">
        <v>1077</v>
      </c>
      <c r="D744" s="88" t="s">
        <v>178</v>
      </c>
      <c r="E744" s="87" t="n">
        <v>2026</v>
      </c>
      <c r="F744" s="88" t="s">
        <v>532</v>
      </c>
      <c r="G744" s="88" t="s">
        <v>180</v>
      </c>
      <c r="H744" s="87" t="s">
        <v>246</v>
      </c>
      <c r="I744" s="87" t="s">
        <v>1156</v>
      </c>
      <c r="J744" s="87" t="s">
        <v>1157</v>
      </c>
      <c r="K744" s="89" t="n">
        <v>272</v>
      </c>
      <c r="L744" s="89" t="n">
        <v>29648000</v>
      </c>
      <c r="M744" s="89" t="n">
        <v>6932062</v>
      </c>
      <c r="N744" s="90" t="n">
        <f aca="false">IF(A744="제외",0,IF(OR(N(L744)&lt;=0,N(M744)&gt;N(L744)),N(M744)/가정!$B$4,N(L744)))</f>
        <v>29648000</v>
      </c>
      <c r="O744" s="67" t="str">
        <f aca="false">IF(A744="제외","",IF(OR(N(L744)&lt;=0,N(M744)&gt;N(L744)),"택가보정(판매금액÷공급율)",""))</f>
        <v/>
      </c>
    </row>
    <row r="745" customFormat="false" ht="15" hidden="false" customHeight="true" outlineLevel="0" collapsed="false">
      <c r="A745" s="67" t="str">
        <f aca="false">IF(OR(TRIM(C745)="",SUBSTITUTE(C745," ","")="소계"),"제외",IF(ISNUMBER(SEARCH("홍콩",C745)),"HK",IF(ISNUMBER(SEARCH("상해",C745)),"CN",IF(ISNUMBER(SEARCH("대만",C745)),"TW","홀세일"))))</f>
        <v>CN</v>
      </c>
      <c r="B745" s="87" t="s">
        <v>1076</v>
      </c>
      <c r="C745" s="88" t="s">
        <v>1077</v>
      </c>
      <c r="D745" s="88" t="s">
        <v>178</v>
      </c>
      <c r="E745" s="87" t="n">
        <v>2026</v>
      </c>
      <c r="F745" s="87" t="s">
        <v>639</v>
      </c>
      <c r="G745" s="88" t="s">
        <v>188</v>
      </c>
      <c r="H745" s="87" t="s">
        <v>189</v>
      </c>
      <c r="I745" s="87" t="s">
        <v>1158</v>
      </c>
      <c r="J745" s="87" t="s">
        <v>1159</v>
      </c>
      <c r="K745" s="89" t="n">
        <v>240</v>
      </c>
      <c r="L745" s="89" t="n">
        <v>23760000</v>
      </c>
      <c r="M745" s="89" t="n">
        <v>6965760</v>
      </c>
      <c r="N745" s="90" t="n">
        <f aca="false">IF(A745="제외",0,IF(OR(N(L745)&lt;=0,N(M745)&gt;N(L745)),N(M745)/가정!$B$4,N(L745)))</f>
        <v>23760000</v>
      </c>
      <c r="O745" s="67" t="str">
        <f aca="false">IF(A745="제외","",IF(OR(N(L745)&lt;=0,N(M745)&gt;N(L745)),"택가보정(판매금액÷공급율)",""))</f>
        <v/>
      </c>
    </row>
    <row r="746" customFormat="false" ht="15" hidden="false" customHeight="true" outlineLevel="0" collapsed="false">
      <c r="A746" s="67" t="str">
        <f aca="false">IF(OR(TRIM(C746)="",SUBSTITUTE(C746," ","")="소계"),"제외",IF(ISNUMBER(SEARCH("홍콩",C746)),"HK",IF(ISNUMBER(SEARCH("상해",C746)),"CN",IF(ISNUMBER(SEARCH("대만",C746)),"TW","홀세일"))))</f>
        <v>CN</v>
      </c>
      <c r="B746" s="87" t="s">
        <v>1076</v>
      </c>
      <c r="C746" s="88" t="s">
        <v>1077</v>
      </c>
      <c r="D746" s="88" t="s">
        <v>178</v>
      </c>
      <c r="E746" s="87" t="n">
        <v>2026</v>
      </c>
      <c r="F746" s="87" t="s">
        <v>639</v>
      </c>
      <c r="G746" s="88" t="s">
        <v>188</v>
      </c>
      <c r="H746" s="87" t="s">
        <v>189</v>
      </c>
      <c r="I746" s="87" t="s">
        <v>644</v>
      </c>
      <c r="J746" s="87" t="s">
        <v>645</v>
      </c>
      <c r="K746" s="89" t="n">
        <v>580</v>
      </c>
      <c r="L746" s="89" t="n">
        <v>69020000</v>
      </c>
      <c r="M746" s="89" t="n">
        <v>16497520</v>
      </c>
      <c r="N746" s="90" t="n">
        <f aca="false">IF(A746="제외",0,IF(OR(N(L746)&lt;=0,N(M746)&gt;N(L746)),N(M746)/가정!$B$4,N(L746)))</f>
        <v>69020000</v>
      </c>
      <c r="O746" s="67" t="str">
        <f aca="false">IF(A746="제외","",IF(OR(N(L746)&lt;=0,N(M746)&gt;N(L746)),"택가보정(판매금액÷공급율)",""))</f>
        <v/>
      </c>
    </row>
    <row r="747" customFormat="false" ht="15" hidden="false" customHeight="true" outlineLevel="0" collapsed="false">
      <c r="A747" s="67" t="str">
        <f aca="false">IF(OR(TRIM(C747)="",SUBSTITUTE(C747," ","")="소계"),"제외",IF(ISNUMBER(SEARCH("홍콩",C747)),"HK",IF(ISNUMBER(SEARCH("상해",C747)),"CN",IF(ISNUMBER(SEARCH("대만",C747)),"TW","홀세일"))))</f>
        <v>CN</v>
      </c>
      <c r="B747" s="87" t="s">
        <v>1076</v>
      </c>
      <c r="C747" s="88" t="s">
        <v>1077</v>
      </c>
      <c r="D747" s="88" t="s">
        <v>178</v>
      </c>
      <c r="E747" s="87" t="n">
        <v>2026</v>
      </c>
      <c r="F747" s="87" t="s">
        <v>639</v>
      </c>
      <c r="G747" s="88" t="s">
        <v>188</v>
      </c>
      <c r="H747" s="87" t="s">
        <v>189</v>
      </c>
      <c r="I747" s="87" t="s">
        <v>1007</v>
      </c>
      <c r="J747" s="88" t="s">
        <v>1008</v>
      </c>
      <c r="K747" s="89" t="n">
        <v>535</v>
      </c>
      <c r="L747" s="89" t="n">
        <v>63665000</v>
      </c>
      <c r="M747" s="89" t="n">
        <v>18595530</v>
      </c>
      <c r="N747" s="90" t="n">
        <f aca="false">IF(A747="제외",0,IF(OR(N(L747)&lt;=0,N(M747)&gt;N(L747)),N(M747)/가정!$B$4,N(L747)))</f>
        <v>63665000</v>
      </c>
      <c r="O747" s="67" t="str">
        <f aca="false">IF(A747="제외","",IF(OR(N(L747)&lt;=0,N(M747)&gt;N(L747)),"택가보정(판매금액÷공급율)",""))</f>
        <v/>
      </c>
    </row>
    <row r="748" customFormat="false" ht="15" hidden="false" customHeight="true" outlineLevel="0" collapsed="false">
      <c r="A748" s="67" t="str">
        <f aca="false">IF(OR(TRIM(C748)="",SUBSTITUTE(C748," ","")="소계"),"제외",IF(ISNUMBER(SEARCH("홍콩",C748)),"HK",IF(ISNUMBER(SEARCH("상해",C748)),"CN",IF(ISNUMBER(SEARCH("대만",C748)),"TW","홀세일"))))</f>
        <v>CN</v>
      </c>
      <c r="B748" s="87" t="s">
        <v>1076</v>
      </c>
      <c r="C748" s="88" t="s">
        <v>1077</v>
      </c>
      <c r="D748" s="88" t="s">
        <v>178</v>
      </c>
      <c r="E748" s="87" t="n">
        <v>2026</v>
      </c>
      <c r="F748" s="87" t="s">
        <v>639</v>
      </c>
      <c r="G748" s="88" t="s">
        <v>188</v>
      </c>
      <c r="H748" s="87" t="s">
        <v>189</v>
      </c>
      <c r="I748" s="87" t="s">
        <v>1011</v>
      </c>
      <c r="J748" s="88" t="s">
        <v>1012</v>
      </c>
      <c r="K748" s="89" t="n">
        <v>242</v>
      </c>
      <c r="L748" s="89" t="n">
        <v>43318000</v>
      </c>
      <c r="M748" s="89" t="n">
        <v>12225696</v>
      </c>
      <c r="N748" s="90" t="n">
        <f aca="false">IF(A748="제외",0,IF(OR(N(L748)&lt;=0,N(M748)&gt;N(L748)),N(M748)/가정!$B$4,N(L748)))</f>
        <v>43318000</v>
      </c>
      <c r="O748" s="67" t="str">
        <f aca="false">IF(A748="제외","",IF(OR(N(L748)&lt;=0,N(M748)&gt;N(L748)),"택가보정(판매금액÷공급율)",""))</f>
        <v/>
      </c>
    </row>
    <row r="749" customFormat="false" ht="15" hidden="false" customHeight="true" outlineLevel="0" collapsed="false">
      <c r="A749" s="67" t="str">
        <f aca="false">IF(OR(TRIM(C749)="",SUBSTITUTE(C749," ","")="소계"),"제외",IF(ISNUMBER(SEARCH("홍콩",C749)),"HK",IF(ISNUMBER(SEARCH("상해",C749)),"CN",IF(ISNUMBER(SEARCH("대만",C749)),"TW","홀세일"))))</f>
        <v>CN</v>
      </c>
      <c r="B749" s="87" t="s">
        <v>1076</v>
      </c>
      <c r="C749" s="88" t="s">
        <v>1077</v>
      </c>
      <c r="D749" s="88" t="s">
        <v>178</v>
      </c>
      <c r="E749" s="87" t="n">
        <v>2026</v>
      </c>
      <c r="F749" s="87" t="s">
        <v>639</v>
      </c>
      <c r="G749" s="88" t="s">
        <v>188</v>
      </c>
      <c r="H749" s="87" t="s">
        <v>181</v>
      </c>
      <c r="I749" s="87" t="s">
        <v>648</v>
      </c>
      <c r="J749" s="88" t="s">
        <v>649</v>
      </c>
      <c r="K749" s="89" t="n">
        <v>192</v>
      </c>
      <c r="L749" s="89" t="n">
        <v>28608000</v>
      </c>
      <c r="M749" s="89" t="n">
        <v>8729942</v>
      </c>
      <c r="N749" s="90" t="n">
        <f aca="false">IF(A749="제외",0,IF(OR(N(L749)&lt;=0,N(M749)&gt;N(L749)),N(M749)/가정!$B$4,N(L749)))</f>
        <v>28608000</v>
      </c>
      <c r="O749" s="67" t="str">
        <f aca="false">IF(A749="제외","",IF(OR(N(L749)&lt;=0,N(M749)&gt;N(L749)),"택가보정(판매금액÷공급율)",""))</f>
        <v/>
      </c>
    </row>
    <row r="750" customFormat="false" ht="15" hidden="false" customHeight="true" outlineLevel="0" collapsed="false">
      <c r="A750" s="67" t="str">
        <f aca="false">IF(OR(TRIM(C750)="",SUBSTITUTE(C750," ","")="소계"),"제외",IF(ISNUMBER(SEARCH("홍콩",C750)),"HK",IF(ISNUMBER(SEARCH("상해",C750)),"CN",IF(ISNUMBER(SEARCH("대만",C750)),"TW","홀세일"))))</f>
        <v>CN</v>
      </c>
      <c r="B750" s="87" t="s">
        <v>1076</v>
      </c>
      <c r="C750" s="88" t="s">
        <v>1077</v>
      </c>
      <c r="D750" s="88" t="s">
        <v>178</v>
      </c>
      <c r="E750" s="87" t="n">
        <v>2026</v>
      </c>
      <c r="F750" s="87" t="s">
        <v>639</v>
      </c>
      <c r="G750" s="88" t="s">
        <v>188</v>
      </c>
      <c r="H750" s="88" t="s">
        <v>185</v>
      </c>
      <c r="I750" s="87" t="s">
        <v>1160</v>
      </c>
      <c r="J750" s="87" t="s">
        <v>1161</v>
      </c>
      <c r="K750" s="89" t="n">
        <v>70</v>
      </c>
      <c r="L750" s="89" t="n">
        <v>13930000</v>
      </c>
      <c r="M750" s="89" t="n">
        <v>4268950</v>
      </c>
      <c r="N750" s="90" t="n">
        <f aca="false">IF(A750="제외",0,IF(OR(N(L750)&lt;=0,N(M750)&gt;N(L750)),N(M750)/가정!$B$4,N(L750)))</f>
        <v>13930000</v>
      </c>
      <c r="O750" s="67" t="str">
        <f aca="false">IF(A750="제외","",IF(OR(N(L750)&lt;=0,N(M750)&gt;N(L750)),"택가보정(판매금액÷공급율)",""))</f>
        <v/>
      </c>
    </row>
    <row r="751" customFormat="false" ht="15" hidden="false" customHeight="true" outlineLevel="0" collapsed="false">
      <c r="A751" s="67" t="str">
        <f aca="false">IF(OR(TRIM(C751)="",SUBSTITUTE(C751," ","")="소계"),"제외",IF(ISNUMBER(SEARCH("홍콩",C751)),"HK",IF(ISNUMBER(SEARCH("상해",C751)),"CN",IF(ISNUMBER(SEARCH("대만",C751)),"TW","홀세일"))))</f>
        <v>CN</v>
      </c>
      <c r="B751" s="87" t="s">
        <v>1076</v>
      </c>
      <c r="C751" s="88" t="s">
        <v>1077</v>
      </c>
      <c r="D751" s="88" t="s">
        <v>178</v>
      </c>
      <c r="E751" s="87" t="n">
        <v>2026</v>
      </c>
      <c r="F751" s="87" t="s">
        <v>639</v>
      </c>
      <c r="G751" s="88" t="s">
        <v>188</v>
      </c>
      <c r="H751" s="87" t="s">
        <v>189</v>
      </c>
      <c r="I751" s="87" t="s">
        <v>1162</v>
      </c>
      <c r="J751" s="88" t="s">
        <v>1163</v>
      </c>
      <c r="K751" s="89" t="n">
        <v>110</v>
      </c>
      <c r="L751" s="89" t="n">
        <v>11990000</v>
      </c>
      <c r="M751" s="89" t="n">
        <v>3728010</v>
      </c>
      <c r="N751" s="90" t="n">
        <f aca="false">IF(A751="제외",0,IF(OR(N(L751)&lt;=0,N(M751)&gt;N(L751)),N(M751)/가정!$B$4,N(L751)))</f>
        <v>11990000</v>
      </c>
      <c r="O751" s="67" t="str">
        <f aca="false">IF(A751="제외","",IF(OR(N(L751)&lt;=0,N(M751)&gt;N(L751)),"택가보정(판매금액÷공급율)",""))</f>
        <v/>
      </c>
    </row>
    <row r="752" customFormat="false" ht="15" hidden="false" customHeight="true" outlineLevel="0" collapsed="false">
      <c r="A752" s="67" t="str">
        <f aca="false">IF(OR(TRIM(C752)="",SUBSTITUTE(C752," ","")="소계"),"제외",IF(ISNUMBER(SEARCH("홍콩",C752)),"HK",IF(ISNUMBER(SEARCH("상해",C752)),"CN",IF(ISNUMBER(SEARCH("대만",C752)),"TW","홀세일"))))</f>
        <v>CN</v>
      </c>
      <c r="B752" s="87" t="s">
        <v>1076</v>
      </c>
      <c r="C752" s="88" t="s">
        <v>1077</v>
      </c>
      <c r="D752" s="88" t="s">
        <v>178</v>
      </c>
      <c r="E752" s="87" t="n">
        <v>2026</v>
      </c>
      <c r="F752" s="87" t="s">
        <v>639</v>
      </c>
      <c r="G752" s="88" t="s">
        <v>188</v>
      </c>
      <c r="H752" s="87" t="s">
        <v>189</v>
      </c>
      <c r="I752" s="87" t="s">
        <v>658</v>
      </c>
      <c r="J752" s="88" t="s">
        <v>659</v>
      </c>
      <c r="K752" s="89" t="n">
        <v>100</v>
      </c>
      <c r="L752" s="89" t="n">
        <v>7900000</v>
      </c>
      <c r="M752" s="89" t="n">
        <v>2351000</v>
      </c>
      <c r="N752" s="90" t="n">
        <f aca="false">IF(A752="제외",0,IF(OR(N(L752)&lt;=0,N(M752)&gt;N(L752)),N(M752)/가정!$B$4,N(L752)))</f>
        <v>7900000</v>
      </c>
      <c r="O752" s="67" t="str">
        <f aca="false">IF(A752="제외","",IF(OR(N(L752)&lt;=0,N(M752)&gt;N(L752)),"택가보정(판매금액÷공급율)",""))</f>
        <v/>
      </c>
    </row>
    <row r="753" customFormat="false" ht="15" hidden="false" customHeight="true" outlineLevel="0" collapsed="false">
      <c r="A753" s="67" t="str">
        <f aca="false">IF(OR(TRIM(C753)="",SUBSTITUTE(C753," ","")="소계"),"제외",IF(ISNUMBER(SEARCH("홍콩",C753)),"HK",IF(ISNUMBER(SEARCH("상해",C753)),"CN",IF(ISNUMBER(SEARCH("대만",C753)),"TW","홀세일"))))</f>
        <v>CN</v>
      </c>
      <c r="B753" s="87" t="s">
        <v>1076</v>
      </c>
      <c r="C753" s="88" t="s">
        <v>1077</v>
      </c>
      <c r="D753" s="88" t="s">
        <v>178</v>
      </c>
      <c r="E753" s="87" t="n">
        <v>2026</v>
      </c>
      <c r="F753" s="87" t="s">
        <v>639</v>
      </c>
      <c r="G753" s="88" t="s">
        <v>188</v>
      </c>
      <c r="H753" s="87" t="s">
        <v>189</v>
      </c>
      <c r="I753" s="87" t="s">
        <v>660</v>
      </c>
      <c r="J753" s="88" t="s">
        <v>661</v>
      </c>
      <c r="K753" s="89" t="n">
        <v>553</v>
      </c>
      <c r="L753" s="89" t="n">
        <v>43687000</v>
      </c>
      <c r="M753" s="89" t="n">
        <v>12216917</v>
      </c>
      <c r="N753" s="90" t="n">
        <f aca="false">IF(A753="제외",0,IF(OR(N(L753)&lt;=0,N(M753)&gt;N(L753)),N(M753)/가정!$B$4,N(L753)))</f>
        <v>43687000</v>
      </c>
      <c r="O753" s="67" t="str">
        <f aca="false">IF(A753="제외","",IF(OR(N(L753)&lt;=0,N(M753)&gt;N(L753)),"택가보정(판매금액÷공급율)",""))</f>
        <v/>
      </c>
    </row>
    <row r="754" customFormat="false" ht="15" hidden="false" customHeight="true" outlineLevel="0" collapsed="false">
      <c r="A754" s="67" t="str">
        <f aca="false">IF(OR(TRIM(C754)="",SUBSTITUTE(C754," ","")="소계"),"제외",IF(ISNUMBER(SEARCH("홍콩",C754)),"HK",IF(ISNUMBER(SEARCH("상해",C754)),"CN",IF(ISNUMBER(SEARCH("대만",C754)),"TW","홀세일"))))</f>
        <v>CN</v>
      </c>
      <c r="B754" s="87" t="s">
        <v>1076</v>
      </c>
      <c r="C754" s="88" t="s">
        <v>1077</v>
      </c>
      <c r="D754" s="88" t="s">
        <v>178</v>
      </c>
      <c r="E754" s="87" t="n">
        <v>2026</v>
      </c>
      <c r="F754" s="87" t="s">
        <v>639</v>
      </c>
      <c r="G754" s="88" t="s">
        <v>188</v>
      </c>
      <c r="H754" s="87" t="s">
        <v>189</v>
      </c>
      <c r="I754" s="87" t="s">
        <v>664</v>
      </c>
      <c r="J754" s="88" t="s">
        <v>665</v>
      </c>
      <c r="K754" s="89" t="n">
        <v>220</v>
      </c>
      <c r="L754" s="89" t="n">
        <v>15180000</v>
      </c>
      <c r="M754" s="89" t="n">
        <v>3927000</v>
      </c>
      <c r="N754" s="90" t="n">
        <f aca="false">IF(A754="제외",0,IF(OR(N(L754)&lt;=0,N(M754)&gt;N(L754)),N(M754)/가정!$B$4,N(L754)))</f>
        <v>15180000</v>
      </c>
      <c r="O754" s="67" t="str">
        <f aca="false">IF(A754="제외","",IF(OR(N(L754)&lt;=0,N(M754)&gt;N(L754)),"택가보정(판매금액÷공급율)",""))</f>
        <v/>
      </c>
    </row>
    <row r="755" customFormat="false" ht="15" hidden="false" customHeight="true" outlineLevel="0" collapsed="false">
      <c r="A755" s="67" t="str">
        <f aca="false">IF(OR(TRIM(C755)="",SUBSTITUTE(C755," ","")="소계"),"제외",IF(ISNUMBER(SEARCH("홍콩",C755)),"HK",IF(ISNUMBER(SEARCH("상해",C755)),"CN",IF(ISNUMBER(SEARCH("대만",C755)),"TW","홀세일"))))</f>
        <v>CN</v>
      </c>
      <c r="B755" s="87" t="s">
        <v>1076</v>
      </c>
      <c r="C755" s="88" t="s">
        <v>1077</v>
      </c>
      <c r="D755" s="88" t="s">
        <v>178</v>
      </c>
      <c r="E755" s="87" t="n">
        <v>2026</v>
      </c>
      <c r="F755" s="87" t="s">
        <v>639</v>
      </c>
      <c r="G755" s="88" t="s">
        <v>188</v>
      </c>
      <c r="H755" s="87" t="s">
        <v>189</v>
      </c>
      <c r="I755" s="87" t="s">
        <v>1164</v>
      </c>
      <c r="J755" s="88" t="s">
        <v>1165</v>
      </c>
      <c r="K755" s="89" t="n">
        <v>515</v>
      </c>
      <c r="L755" s="89" t="n">
        <v>20085000</v>
      </c>
      <c r="M755" s="89" t="n">
        <v>6371580</v>
      </c>
      <c r="N755" s="90" t="n">
        <f aca="false">IF(A755="제외",0,IF(OR(N(L755)&lt;=0,N(M755)&gt;N(L755)),N(M755)/가정!$B$4,N(L755)))</f>
        <v>20085000</v>
      </c>
      <c r="O755" s="67" t="str">
        <f aca="false">IF(A755="제외","",IF(OR(N(L755)&lt;=0,N(M755)&gt;N(L755)),"택가보정(판매금액÷공급율)",""))</f>
        <v/>
      </c>
    </row>
    <row r="756" customFormat="false" ht="15" hidden="false" customHeight="true" outlineLevel="0" collapsed="false">
      <c r="A756" s="67" t="str">
        <f aca="false">IF(OR(TRIM(C756)="",SUBSTITUTE(C756," ","")="소계"),"제외",IF(ISNUMBER(SEARCH("홍콩",C756)),"HK",IF(ISNUMBER(SEARCH("상해",C756)),"CN",IF(ISNUMBER(SEARCH("대만",C756)),"TW","홀세일"))))</f>
        <v>CN</v>
      </c>
      <c r="B756" s="87" t="s">
        <v>1076</v>
      </c>
      <c r="C756" s="88" t="s">
        <v>1077</v>
      </c>
      <c r="D756" s="88" t="s">
        <v>178</v>
      </c>
      <c r="E756" s="87" t="n">
        <v>2026</v>
      </c>
      <c r="F756" s="87" t="s">
        <v>639</v>
      </c>
      <c r="G756" s="88" t="s">
        <v>188</v>
      </c>
      <c r="H756" s="87" t="s">
        <v>189</v>
      </c>
      <c r="I756" s="87" t="s">
        <v>670</v>
      </c>
      <c r="J756" s="87" t="s">
        <v>671</v>
      </c>
      <c r="K756" s="89" t="n">
        <v>120</v>
      </c>
      <c r="L756" s="89" t="n">
        <v>8280000</v>
      </c>
      <c r="M756" s="89" t="n">
        <v>2542560</v>
      </c>
      <c r="N756" s="90" t="n">
        <f aca="false">IF(A756="제외",0,IF(OR(N(L756)&lt;=0,N(M756)&gt;N(L756)),N(M756)/가정!$B$4,N(L756)))</f>
        <v>8280000</v>
      </c>
      <c r="O756" s="67" t="str">
        <f aca="false">IF(A756="제외","",IF(OR(N(L756)&lt;=0,N(M756)&gt;N(L756)),"택가보정(판매금액÷공급율)",""))</f>
        <v/>
      </c>
    </row>
    <row r="757" customFormat="false" ht="15" hidden="false" customHeight="true" outlineLevel="0" collapsed="false">
      <c r="A757" s="67" t="str">
        <f aca="false">IF(OR(TRIM(C757)="",SUBSTITUTE(C757," ","")="소계"),"제외",IF(ISNUMBER(SEARCH("홍콩",C757)),"HK",IF(ISNUMBER(SEARCH("상해",C757)),"CN",IF(ISNUMBER(SEARCH("대만",C757)),"TW","홀세일"))))</f>
        <v>CN</v>
      </c>
      <c r="B757" s="87" t="s">
        <v>1076</v>
      </c>
      <c r="C757" s="88" t="s">
        <v>1077</v>
      </c>
      <c r="D757" s="88" t="s">
        <v>178</v>
      </c>
      <c r="E757" s="87" t="n">
        <v>2026</v>
      </c>
      <c r="F757" s="87" t="s">
        <v>639</v>
      </c>
      <c r="G757" s="88" t="s">
        <v>188</v>
      </c>
      <c r="H757" s="87" t="s">
        <v>189</v>
      </c>
      <c r="I757" s="87" t="s">
        <v>1023</v>
      </c>
      <c r="J757" s="88" t="s">
        <v>1024</v>
      </c>
      <c r="K757" s="89" t="n">
        <v>112</v>
      </c>
      <c r="L757" s="89" t="n">
        <v>6608000</v>
      </c>
      <c r="M757" s="89" t="n">
        <v>2111234</v>
      </c>
      <c r="N757" s="90" t="n">
        <f aca="false">IF(A757="제외",0,IF(OR(N(L757)&lt;=0,N(M757)&gt;N(L757)),N(M757)/가정!$B$4,N(L757)))</f>
        <v>6608000</v>
      </c>
      <c r="O757" s="67" t="str">
        <f aca="false">IF(A757="제외","",IF(OR(N(L757)&lt;=0,N(M757)&gt;N(L757)),"택가보정(판매금액÷공급율)",""))</f>
        <v/>
      </c>
    </row>
    <row r="758" customFormat="false" ht="15" hidden="false" customHeight="true" outlineLevel="0" collapsed="false">
      <c r="A758" s="67" t="str">
        <f aca="false">IF(OR(TRIM(C758)="",SUBSTITUTE(C758," ","")="소계"),"제외",IF(ISNUMBER(SEARCH("홍콩",C758)),"HK",IF(ISNUMBER(SEARCH("상해",C758)),"CN",IF(ISNUMBER(SEARCH("대만",C758)),"TW","홀세일"))))</f>
        <v>CN</v>
      </c>
      <c r="B758" s="87" t="s">
        <v>1076</v>
      </c>
      <c r="C758" s="88" t="s">
        <v>1077</v>
      </c>
      <c r="D758" s="88" t="s">
        <v>178</v>
      </c>
      <c r="E758" s="87" t="n">
        <v>2026</v>
      </c>
      <c r="F758" s="87" t="s">
        <v>639</v>
      </c>
      <c r="G758" s="88" t="s">
        <v>188</v>
      </c>
      <c r="H758" s="87" t="s">
        <v>189</v>
      </c>
      <c r="I758" s="87" t="s">
        <v>680</v>
      </c>
      <c r="J758" s="88" t="s">
        <v>681</v>
      </c>
      <c r="K758" s="89" t="n">
        <v>800</v>
      </c>
      <c r="L758" s="89" t="n">
        <v>31200000</v>
      </c>
      <c r="M758" s="89" t="n">
        <v>8575800</v>
      </c>
      <c r="N758" s="90" t="n">
        <f aca="false">IF(A758="제외",0,IF(OR(N(L758)&lt;=0,N(M758)&gt;N(L758)),N(M758)/가정!$B$4,N(L758)))</f>
        <v>31200000</v>
      </c>
      <c r="O758" s="67" t="str">
        <f aca="false">IF(A758="제외","",IF(OR(N(L758)&lt;=0,N(M758)&gt;N(L758)),"택가보정(판매금액÷공급율)",""))</f>
        <v/>
      </c>
    </row>
    <row r="759" customFormat="false" ht="15" hidden="false" customHeight="true" outlineLevel="0" collapsed="false">
      <c r="A759" s="67" t="str">
        <f aca="false">IF(OR(TRIM(C759)="",SUBSTITUTE(C759," ","")="소계"),"제외",IF(ISNUMBER(SEARCH("홍콩",C759)),"HK",IF(ISNUMBER(SEARCH("상해",C759)),"CN",IF(ISNUMBER(SEARCH("대만",C759)),"TW","홀세일"))))</f>
        <v>CN</v>
      </c>
      <c r="B759" s="87" t="s">
        <v>1076</v>
      </c>
      <c r="C759" s="88" t="s">
        <v>1077</v>
      </c>
      <c r="D759" s="88" t="s">
        <v>178</v>
      </c>
      <c r="E759" s="87" t="n">
        <v>2026</v>
      </c>
      <c r="F759" s="87" t="s">
        <v>639</v>
      </c>
      <c r="G759" s="88" t="s">
        <v>188</v>
      </c>
      <c r="H759" s="87" t="s">
        <v>189</v>
      </c>
      <c r="I759" s="87" t="s">
        <v>684</v>
      </c>
      <c r="J759" s="88" t="s">
        <v>685</v>
      </c>
      <c r="K759" s="89" t="n">
        <v>160</v>
      </c>
      <c r="L759" s="89" t="n">
        <v>9440000</v>
      </c>
      <c r="M759" s="89" t="n">
        <v>2651520</v>
      </c>
      <c r="N759" s="90" t="n">
        <f aca="false">IF(A759="제외",0,IF(OR(N(L759)&lt;=0,N(M759)&gt;N(L759)),N(M759)/가정!$B$4,N(L759)))</f>
        <v>9440000</v>
      </c>
      <c r="O759" s="67" t="str">
        <f aca="false">IF(A759="제외","",IF(OR(N(L759)&lt;=0,N(M759)&gt;N(L759)),"택가보정(판매금액÷공급율)",""))</f>
        <v/>
      </c>
    </row>
    <row r="760" customFormat="false" ht="15" hidden="false" customHeight="true" outlineLevel="0" collapsed="false">
      <c r="A760" s="67" t="str">
        <f aca="false">IF(OR(TRIM(C760)="",SUBSTITUTE(C760," ","")="소계"),"제외",IF(ISNUMBER(SEARCH("홍콩",C760)),"HK",IF(ISNUMBER(SEARCH("상해",C760)),"CN",IF(ISNUMBER(SEARCH("대만",C760)),"TW","홀세일"))))</f>
        <v>CN</v>
      </c>
      <c r="B760" s="87" t="s">
        <v>1076</v>
      </c>
      <c r="C760" s="88" t="s">
        <v>1077</v>
      </c>
      <c r="D760" s="88" t="s">
        <v>178</v>
      </c>
      <c r="E760" s="87" t="n">
        <v>2026</v>
      </c>
      <c r="F760" s="87" t="s">
        <v>639</v>
      </c>
      <c r="G760" s="88" t="s">
        <v>188</v>
      </c>
      <c r="H760" s="87" t="s">
        <v>189</v>
      </c>
      <c r="I760" s="87" t="s">
        <v>686</v>
      </c>
      <c r="J760" s="88" t="s">
        <v>687</v>
      </c>
      <c r="K760" s="89" t="n">
        <v>80</v>
      </c>
      <c r="L760" s="89" t="n">
        <v>6320000</v>
      </c>
      <c r="M760" s="89" t="n">
        <v>1823680</v>
      </c>
      <c r="N760" s="90" t="n">
        <f aca="false">IF(A760="제외",0,IF(OR(N(L760)&lt;=0,N(M760)&gt;N(L760)),N(M760)/가정!$B$4,N(L760)))</f>
        <v>6320000</v>
      </c>
      <c r="O760" s="67" t="str">
        <f aca="false">IF(A760="제외","",IF(OR(N(L760)&lt;=0,N(M760)&gt;N(L760)),"택가보정(판매금액÷공급율)",""))</f>
        <v/>
      </c>
    </row>
    <row r="761" customFormat="false" ht="15" hidden="false" customHeight="true" outlineLevel="0" collapsed="false">
      <c r="A761" s="67" t="str">
        <f aca="false">IF(OR(TRIM(C761)="",SUBSTITUTE(C761," ","")="소계"),"제외",IF(ISNUMBER(SEARCH("홍콩",C761)),"HK",IF(ISNUMBER(SEARCH("상해",C761)),"CN",IF(ISNUMBER(SEARCH("대만",C761)),"TW","홀세일"))))</f>
        <v>CN</v>
      </c>
      <c r="B761" s="87" t="s">
        <v>1076</v>
      </c>
      <c r="C761" s="88" t="s">
        <v>1077</v>
      </c>
      <c r="D761" s="88" t="s">
        <v>178</v>
      </c>
      <c r="E761" s="87" t="n">
        <v>2026</v>
      </c>
      <c r="F761" s="87" t="s">
        <v>639</v>
      </c>
      <c r="G761" s="88" t="s">
        <v>188</v>
      </c>
      <c r="H761" s="87" t="s">
        <v>189</v>
      </c>
      <c r="I761" s="87" t="s">
        <v>1027</v>
      </c>
      <c r="J761" s="88" t="s">
        <v>1028</v>
      </c>
      <c r="K761" s="89" t="n">
        <v>141</v>
      </c>
      <c r="L761" s="89" t="n">
        <v>11139000</v>
      </c>
      <c r="M761" s="89" t="n">
        <v>3080065</v>
      </c>
      <c r="N761" s="90" t="n">
        <f aca="false">IF(A761="제외",0,IF(OR(N(L761)&lt;=0,N(M761)&gt;N(L761)),N(M761)/가정!$B$4,N(L761)))</f>
        <v>11139000</v>
      </c>
      <c r="O761" s="67" t="str">
        <f aca="false">IF(A761="제외","",IF(OR(N(L761)&lt;=0,N(M761)&gt;N(L761)),"택가보정(판매금액÷공급율)",""))</f>
        <v/>
      </c>
    </row>
    <row r="762" customFormat="false" ht="15" hidden="false" customHeight="true" outlineLevel="0" collapsed="false">
      <c r="A762" s="67" t="str">
        <f aca="false">IF(OR(TRIM(C762)="",SUBSTITUTE(C762," ","")="소계"),"제외",IF(ISNUMBER(SEARCH("홍콩",C762)),"HK",IF(ISNUMBER(SEARCH("상해",C762)),"CN",IF(ISNUMBER(SEARCH("대만",C762)),"TW","홀세일"))))</f>
        <v>CN</v>
      </c>
      <c r="B762" s="87" t="s">
        <v>1076</v>
      </c>
      <c r="C762" s="88" t="s">
        <v>1077</v>
      </c>
      <c r="D762" s="88" t="s">
        <v>178</v>
      </c>
      <c r="E762" s="87" t="n">
        <v>2026</v>
      </c>
      <c r="F762" s="87" t="s">
        <v>639</v>
      </c>
      <c r="G762" s="88" t="s">
        <v>188</v>
      </c>
      <c r="H762" s="87" t="s">
        <v>189</v>
      </c>
      <c r="I762" s="87" t="s">
        <v>1166</v>
      </c>
      <c r="J762" s="88" t="s">
        <v>1167</v>
      </c>
      <c r="K762" s="89" t="n">
        <v>80</v>
      </c>
      <c r="L762" s="89" t="n">
        <v>7120000</v>
      </c>
      <c r="M762" s="89" t="n">
        <v>2207600</v>
      </c>
      <c r="N762" s="90" t="n">
        <f aca="false">IF(A762="제외",0,IF(OR(N(L762)&lt;=0,N(M762)&gt;N(L762)),N(M762)/가정!$B$4,N(L762)))</f>
        <v>7120000</v>
      </c>
      <c r="O762" s="67" t="str">
        <f aca="false">IF(A762="제외","",IF(OR(N(L762)&lt;=0,N(M762)&gt;N(L762)),"택가보정(판매금액÷공급율)",""))</f>
        <v/>
      </c>
    </row>
    <row r="763" customFormat="false" ht="15" hidden="false" customHeight="true" outlineLevel="0" collapsed="false">
      <c r="A763" s="67" t="str">
        <f aca="false">IF(OR(TRIM(C763)="",SUBSTITUTE(C763," ","")="소계"),"제외",IF(ISNUMBER(SEARCH("홍콩",C763)),"HK",IF(ISNUMBER(SEARCH("상해",C763)),"CN",IF(ISNUMBER(SEARCH("대만",C763)),"TW","홀세일"))))</f>
        <v>CN</v>
      </c>
      <c r="B763" s="87" t="s">
        <v>1076</v>
      </c>
      <c r="C763" s="88" t="s">
        <v>1077</v>
      </c>
      <c r="D763" s="88" t="s">
        <v>178</v>
      </c>
      <c r="E763" s="87" t="n">
        <v>2026</v>
      </c>
      <c r="F763" s="87" t="s">
        <v>639</v>
      </c>
      <c r="G763" s="88" t="s">
        <v>188</v>
      </c>
      <c r="H763" s="87" t="s">
        <v>189</v>
      </c>
      <c r="I763" s="87" t="s">
        <v>692</v>
      </c>
      <c r="J763" s="88" t="s">
        <v>693</v>
      </c>
      <c r="K763" s="89" t="n">
        <v>160</v>
      </c>
      <c r="L763" s="89" t="n">
        <v>12640000</v>
      </c>
      <c r="M763" s="89" t="n">
        <v>3831200</v>
      </c>
      <c r="N763" s="90" t="n">
        <f aca="false">IF(A763="제외",0,IF(OR(N(L763)&lt;=0,N(M763)&gt;N(L763)),N(M763)/가정!$B$4,N(L763)))</f>
        <v>12640000</v>
      </c>
      <c r="O763" s="67" t="str">
        <f aca="false">IF(A763="제외","",IF(OR(N(L763)&lt;=0,N(M763)&gt;N(L763)),"택가보정(판매금액÷공급율)",""))</f>
        <v/>
      </c>
    </row>
    <row r="764" customFormat="false" ht="15" hidden="false" customHeight="true" outlineLevel="0" collapsed="false">
      <c r="A764" s="67" t="str">
        <f aca="false">IF(OR(TRIM(C764)="",SUBSTITUTE(C764," ","")="소계"),"제외",IF(ISNUMBER(SEARCH("홍콩",C764)),"HK",IF(ISNUMBER(SEARCH("상해",C764)),"CN",IF(ISNUMBER(SEARCH("대만",C764)),"TW","홀세일"))))</f>
        <v>CN</v>
      </c>
      <c r="B764" s="87" t="s">
        <v>1076</v>
      </c>
      <c r="C764" s="88" t="s">
        <v>1077</v>
      </c>
      <c r="D764" s="88" t="s">
        <v>178</v>
      </c>
      <c r="E764" s="87" t="n">
        <v>2026</v>
      </c>
      <c r="F764" s="87" t="s">
        <v>639</v>
      </c>
      <c r="G764" s="88" t="s">
        <v>188</v>
      </c>
      <c r="H764" s="87" t="s">
        <v>189</v>
      </c>
      <c r="I764" s="87" t="s">
        <v>696</v>
      </c>
      <c r="J764" s="88" t="s">
        <v>697</v>
      </c>
      <c r="K764" s="89" t="n">
        <v>150</v>
      </c>
      <c r="L764" s="89" t="n">
        <v>2850000</v>
      </c>
      <c r="M764" s="89" t="n">
        <v>629850</v>
      </c>
      <c r="N764" s="90" t="n">
        <f aca="false">IF(A764="제외",0,IF(OR(N(L764)&lt;=0,N(M764)&gt;N(L764)),N(M764)/가정!$B$4,N(L764)))</f>
        <v>2850000</v>
      </c>
      <c r="O764" s="67" t="str">
        <f aca="false">IF(A764="제외","",IF(OR(N(L764)&lt;=0,N(M764)&gt;N(L764)),"택가보정(판매금액÷공급율)",""))</f>
        <v/>
      </c>
    </row>
    <row r="765" customFormat="false" ht="15" hidden="false" customHeight="true" outlineLevel="0" collapsed="false">
      <c r="A765" s="67" t="str">
        <f aca="false">IF(OR(TRIM(C765)="",SUBSTITUTE(C765," ","")="소계"),"제외",IF(ISNUMBER(SEARCH("홍콩",C765)),"HK",IF(ISNUMBER(SEARCH("상해",C765)),"CN",IF(ISNUMBER(SEARCH("대만",C765)),"TW","홀세일"))))</f>
        <v>CN</v>
      </c>
      <c r="B765" s="87" t="s">
        <v>1076</v>
      </c>
      <c r="C765" s="88" t="s">
        <v>1077</v>
      </c>
      <c r="D765" s="88" t="s">
        <v>178</v>
      </c>
      <c r="E765" s="87" t="n">
        <v>2026</v>
      </c>
      <c r="F765" s="87" t="s">
        <v>639</v>
      </c>
      <c r="G765" s="88" t="s">
        <v>188</v>
      </c>
      <c r="H765" s="87" t="s">
        <v>189</v>
      </c>
      <c r="I765" s="87" t="s">
        <v>698</v>
      </c>
      <c r="J765" s="88" t="s">
        <v>699</v>
      </c>
      <c r="K765" s="89" t="n">
        <v>300</v>
      </c>
      <c r="L765" s="89" t="n">
        <v>5970000</v>
      </c>
      <c r="M765" s="89" t="n">
        <v>1394700</v>
      </c>
      <c r="N765" s="90" t="n">
        <f aca="false">IF(A765="제외",0,IF(OR(N(L765)&lt;=0,N(M765)&gt;N(L765)),N(M765)/가정!$B$4,N(L765)))</f>
        <v>5970000</v>
      </c>
      <c r="O765" s="67" t="str">
        <f aca="false">IF(A765="제외","",IF(OR(N(L765)&lt;=0,N(M765)&gt;N(L765)),"택가보정(판매금액÷공급율)",""))</f>
        <v/>
      </c>
    </row>
    <row r="766" customFormat="false" ht="15" hidden="false" customHeight="true" outlineLevel="0" collapsed="false">
      <c r="A766" s="67" t="str">
        <f aca="false">IF(OR(TRIM(C766)="",SUBSTITUTE(C766," ","")="소계"),"제외",IF(ISNUMBER(SEARCH("홍콩",C766)),"HK",IF(ISNUMBER(SEARCH("상해",C766)),"CN",IF(ISNUMBER(SEARCH("대만",C766)),"TW","홀세일"))))</f>
        <v>CN</v>
      </c>
      <c r="B766" s="87" t="s">
        <v>1076</v>
      </c>
      <c r="C766" s="88" t="s">
        <v>1077</v>
      </c>
      <c r="D766" s="88" t="s">
        <v>178</v>
      </c>
      <c r="E766" s="87" t="n">
        <v>2026</v>
      </c>
      <c r="F766" s="87" t="s">
        <v>639</v>
      </c>
      <c r="G766" s="88" t="s">
        <v>188</v>
      </c>
      <c r="H766" s="87" t="s">
        <v>189</v>
      </c>
      <c r="I766" s="87" t="s">
        <v>700</v>
      </c>
      <c r="J766" s="88" t="s">
        <v>701</v>
      </c>
      <c r="K766" s="89" t="n">
        <v>390</v>
      </c>
      <c r="L766" s="89" t="n">
        <v>4251000</v>
      </c>
      <c r="M766" s="89" t="n">
        <v>1228110</v>
      </c>
      <c r="N766" s="90" t="n">
        <f aca="false">IF(A766="제외",0,IF(OR(N(L766)&lt;=0,N(M766)&gt;N(L766)),N(M766)/가정!$B$4,N(L766)))</f>
        <v>4251000</v>
      </c>
      <c r="O766" s="67" t="str">
        <f aca="false">IF(A766="제외","",IF(OR(N(L766)&lt;=0,N(M766)&gt;N(L766)),"택가보정(판매금액÷공급율)",""))</f>
        <v/>
      </c>
    </row>
    <row r="767" customFormat="false" ht="15" hidden="false" customHeight="true" outlineLevel="0" collapsed="false">
      <c r="A767" s="67" t="str">
        <f aca="false">IF(OR(TRIM(C767)="",SUBSTITUTE(C767," ","")="소계"),"제외",IF(ISNUMBER(SEARCH("홍콩",C767)),"HK",IF(ISNUMBER(SEARCH("상해",C767)),"CN",IF(ISNUMBER(SEARCH("대만",C767)),"TW","홀세일"))))</f>
        <v>CN</v>
      </c>
      <c r="B767" s="87" t="s">
        <v>1076</v>
      </c>
      <c r="C767" s="88" t="s">
        <v>1077</v>
      </c>
      <c r="D767" s="88" t="s">
        <v>178</v>
      </c>
      <c r="E767" s="87" t="n">
        <v>2026</v>
      </c>
      <c r="F767" s="87" t="s">
        <v>639</v>
      </c>
      <c r="G767" s="88" t="s">
        <v>188</v>
      </c>
      <c r="H767" s="87" t="s">
        <v>189</v>
      </c>
      <c r="I767" s="87" t="s">
        <v>704</v>
      </c>
      <c r="J767" s="88" t="s">
        <v>705</v>
      </c>
      <c r="K767" s="89" t="n">
        <v>80</v>
      </c>
      <c r="L767" s="89" t="n">
        <v>10320000</v>
      </c>
      <c r="M767" s="89" t="n">
        <v>3006880</v>
      </c>
      <c r="N767" s="90" t="n">
        <f aca="false">IF(A767="제외",0,IF(OR(N(L767)&lt;=0,N(M767)&gt;N(L767)),N(M767)/가정!$B$4,N(L767)))</f>
        <v>10320000</v>
      </c>
      <c r="O767" s="67" t="str">
        <f aca="false">IF(A767="제외","",IF(OR(N(L767)&lt;=0,N(M767)&gt;N(L767)),"택가보정(판매금액÷공급율)",""))</f>
        <v/>
      </c>
    </row>
    <row r="768" customFormat="false" ht="15" hidden="false" customHeight="true" outlineLevel="0" collapsed="false">
      <c r="A768" s="67" t="str">
        <f aca="false">IF(OR(TRIM(C768)="",SUBSTITUTE(C768," ","")="소계"),"제외",IF(ISNUMBER(SEARCH("홍콩",C768)),"HK",IF(ISNUMBER(SEARCH("상해",C768)),"CN",IF(ISNUMBER(SEARCH("대만",C768)),"TW","홀세일"))))</f>
        <v>CN</v>
      </c>
      <c r="B768" s="87" t="s">
        <v>1076</v>
      </c>
      <c r="C768" s="88" t="s">
        <v>1077</v>
      </c>
      <c r="D768" s="88" t="s">
        <v>178</v>
      </c>
      <c r="E768" s="87" t="n">
        <v>2026</v>
      </c>
      <c r="F768" s="87" t="s">
        <v>639</v>
      </c>
      <c r="G768" s="88" t="s">
        <v>188</v>
      </c>
      <c r="H768" s="87" t="s">
        <v>189</v>
      </c>
      <c r="I768" s="87" t="s">
        <v>706</v>
      </c>
      <c r="J768" s="88" t="s">
        <v>707</v>
      </c>
      <c r="K768" s="89" t="n">
        <v>50</v>
      </c>
      <c r="L768" s="89" t="n">
        <v>6450000</v>
      </c>
      <c r="M768" s="89" t="n">
        <v>1843050</v>
      </c>
      <c r="N768" s="90" t="n">
        <f aca="false">IF(A768="제외",0,IF(OR(N(L768)&lt;=0,N(M768)&gt;N(L768)),N(M768)/가정!$B$4,N(L768)))</f>
        <v>6450000</v>
      </c>
      <c r="O768" s="67" t="str">
        <f aca="false">IF(A768="제외","",IF(OR(N(L768)&lt;=0,N(M768)&gt;N(L768)),"택가보정(판매금액÷공급율)",""))</f>
        <v/>
      </c>
    </row>
    <row r="769" customFormat="false" ht="15" hidden="false" customHeight="true" outlineLevel="0" collapsed="false">
      <c r="A769" s="67" t="str">
        <f aca="false">IF(OR(TRIM(C769)="",SUBSTITUTE(C769," ","")="소계"),"제외",IF(ISNUMBER(SEARCH("홍콩",C769)),"HK",IF(ISNUMBER(SEARCH("상해",C769)),"CN",IF(ISNUMBER(SEARCH("대만",C769)),"TW","홀세일"))))</f>
        <v>CN</v>
      </c>
      <c r="B769" s="87" t="s">
        <v>1076</v>
      </c>
      <c r="C769" s="88" t="s">
        <v>1077</v>
      </c>
      <c r="D769" s="88" t="s">
        <v>178</v>
      </c>
      <c r="E769" s="87" t="n">
        <v>2026</v>
      </c>
      <c r="F769" s="87" t="s">
        <v>639</v>
      </c>
      <c r="G769" s="88" t="s">
        <v>1168</v>
      </c>
      <c r="H769" s="87" t="s">
        <v>189</v>
      </c>
      <c r="I769" s="87" t="s">
        <v>1169</v>
      </c>
      <c r="J769" s="88" t="s">
        <v>1170</v>
      </c>
      <c r="K769" s="89" t="n">
        <v>600</v>
      </c>
      <c r="L769" s="89" t="n">
        <v>51000000</v>
      </c>
      <c r="M769" s="89" t="n">
        <v>26484600</v>
      </c>
      <c r="N769" s="90" t="n">
        <f aca="false">IF(A769="제외",0,IF(OR(N(L769)&lt;=0,N(M769)&gt;N(L769)),N(M769)/가정!$B$4,N(L769)))</f>
        <v>51000000</v>
      </c>
      <c r="O769" s="67" t="str">
        <f aca="false">IF(A769="제외","",IF(OR(N(L769)&lt;=0,N(M769)&gt;N(L769)),"택가보정(판매금액÷공급율)",""))</f>
        <v/>
      </c>
    </row>
    <row r="770" customFormat="false" ht="15" hidden="false" customHeight="true" outlineLevel="0" collapsed="false">
      <c r="A770" s="67" t="str">
        <f aca="false">IF(OR(TRIM(C770)="",SUBSTITUTE(C770," ","")="소계"),"제외",IF(ISNUMBER(SEARCH("홍콩",C770)),"HK",IF(ISNUMBER(SEARCH("상해",C770)),"CN",IF(ISNUMBER(SEARCH("대만",C770)),"TW","홀세일"))))</f>
        <v>CN</v>
      </c>
      <c r="B770" s="87" t="s">
        <v>1076</v>
      </c>
      <c r="C770" s="88" t="s">
        <v>1077</v>
      </c>
      <c r="D770" s="88" t="s">
        <v>178</v>
      </c>
      <c r="E770" s="87" t="n">
        <v>2026</v>
      </c>
      <c r="F770" s="87" t="s">
        <v>639</v>
      </c>
      <c r="G770" s="88" t="s">
        <v>1168</v>
      </c>
      <c r="H770" s="87" t="s">
        <v>181</v>
      </c>
      <c r="I770" s="87" t="s">
        <v>1171</v>
      </c>
      <c r="J770" s="88" t="s">
        <v>1172</v>
      </c>
      <c r="K770" s="89" t="n">
        <v>700</v>
      </c>
      <c r="L770" s="89" t="n">
        <v>31500000</v>
      </c>
      <c r="M770" s="89" t="n">
        <v>10549000</v>
      </c>
      <c r="N770" s="90" t="n">
        <f aca="false">IF(A770="제외",0,IF(OR(N(L770)&lt;=0,N(M770)&gt;N(L770)),N(M770)/가정!$B$4,N(L770)))</f>
        <v>31500000</v>
      </c>
      <c r="O770" s="67" t="str">
        <f aca="false">IF(A770="제외","",IF(OR(N(L770)&lt;=0,N(M770)&gt;N(L770)),"택가보정(판매금액÷공급율)",""))</f>
        <v/>
      </c>
    </row>
    <row r="771" customFormat="false" ht="15" hidden="false" customHeight="true" outlineLevel="0" collapsed="false">
      <c r="A771" s="67" t="str">
        <f aca="false">IF(OR(TRIM(C771)="",SUBSTITUTE(C771," ","")="소계"),"제외",IF(ISNUMBER(SEARCH("홍콩",C771)),"HK",IF(ISNUMBER(SEARCH("상해",C771)),"CN",IF(ISNUMBER(SEARCH("대만",C771)),"TW","홀세일"))))</f>
        <v>CN</v>
      </c>
      <c r="B771" s="87" t="s">
        <v>1076</v>
      </c>
      <c r="C771" s="88" t="s">
        <v>1077</v>
      </c>
      <c r="D771" s="88" t="s">
        <v>178</v>
      </c>
      <c r="E771" s="87" t="n">
        <v>2026</v>
      </c>
      <c r="F771" s="87" t="s">
        <v>639</v>
      </c>
      <c r="G771" s="88" t="s">
        <v>1168</v>
      </c>
      <c r="H771" s="87" t="s">
        <v>181</v>
      </c>
      <c r="I771" s="87" t="s">
        <v>1173</v>
      </c>
      <c r="J771" s="88" t="s">
        <v>1174</v>
      </c>
      <c r="K771" s="89" t="n">
        <v>1300</v>
      </c>
      <c r="L771" s="89" t="n">
        <v>37700000</v>
      </c>
      <c r="M771" s="89" t="n">
        <v>15823600</v>
      </c>
      <c r="N771" s="90" t="n">
        <f aca="false">IF(A771="제외",0,IF(OR(N(L771)&lt;=0,N(M771)&gt;N(L771)),N(M771)/가정!$B$4,N(L771)))</f>
        <v>37700000</v>
      </c>
      <c r="O771" s="67" t="str">
        <f aca="false">IF(A771="제외","",IF(OR(N(L771)&lt;=0,N(M771)&gt;N(L771)),"택가보정(판매금액÷공급율)",""))</f>
        <v/>
      </c>
    </row>
    <row r="772" customFormat="false" ht="15" hidden="false" customHeight="true" outlineLevel="0" collapsed="false">
      <c r="A772" s="67" t="str">
        <f aca="false">IF(OR(TRIM(C772)="",SUBSTITUTE(C772," ","")="소계"),"제외",IF(ISNUMBER(SEARCH("홍콩",C772)),"HK",IF(ISNUMBER(SEARCH("상해",C772)),"CN",IF(ISNUMBER(SEARCH("대만",C772)),"TW","홀세일"))))</f>
        <v>CN</v>
      </c>
      <c r="B772" s="87" t="s">
        <v>1076</v>
      </c>
      <c r="C772" s="88" t="s">
        <v>1077</v>
      </c>
      <c r="D772" s="88" t="s">
        <v>178</v>
      </c>
      <c r="E772" s="87" t="n">
        <v>2026</v>
      </c>
      <c r="F772" s="87" t="s">
        <v>639</v>
      </c>
      <c r="G772" s="88" t="s">
        <v>827</v>
      </c>
      <c r="H772" s="87" t="s">
        <v>189</v>
      </c>
      <c r="I772" s="87" t="s">
        <v>1175</v>
      </c>
      <c r="J772" s="88" t="s">
        <v>1176</v>
      </c>
      <c r="K772" s="89" t="n">
        <v>140</v>
      </c>
      <c r="L772" s="89" t="n">
        <v>34300000</v>
      </c>
      <c r="M772" s="89" t="n">
        <v>9247140</v>
      </c>
      <c r="N772" s="90" t="n">
        <f aca="false">IF(A772="제외",0,IF(OR(N(L772)&lt;=0,N(M772)&gt;N(L772)),N(M772)/가정!$B$4,N(L772)))</f>
        <v>34300000</v>
      </c>
      <c r="O772" s="67" t="str">
        <f aca="false">IF(A772="제외","",IF(OR(N(L772)&lt;=0,N(M772)&gt;N(L772)),"택가보정(판매금액÷공급율)",""))</f>
        <v/>
      </c>
    </row>
    <row r="773" customFormat="false" ht="15" hidden="false" customHeight="true" outlineLevel="0" collapsed="false">
      <c r="A773" s="67" t="str">
        <f aca="false">IF(OR(TRIM(C773)="",SUBSTITUTE(C773," ","")="소계"),"제외",IF(ISNUMBER(SEARCH("홍콩",C773)),"HK",IF(ISNUMBER(SEARCH("상해",C773)),"CN",IF(ISNUMBER(SEARCH("대만",C773)),"TW","홀세일"))))</f>
        <v>CN</v>
      </c>
      <c r="B773" s="87" t="s">
        <v>1076</v>
      </c>
      <c r="C773" s="88" t="s">
        <v>1077</v>
      </c>
      <c r="D773" s="88" t="s">
        <v>178</v>
      </c>
      <c r="E773" s="87" t="n">
        <v>2026</v>
      </c>
      <c r="F773" s="87" t="s">
        <v>639</v>
      </c>
      <c r="G773" s="88" t="s">
        <v>827</v>
      </c>
      <c r="H773" s="87" t="s">
        <v>189</v>
      </c>
      <c r="I773" s="87" t="s">
        <v>1177</v>
      </c>
      <c r="J773" s="88" t="s">
        <v>1178</v>
      </c>
      <c r="K773" s="89" t="n">
        <v>60</v>
      </c>
      <c r="L773" s="89" t="n">
        <v>20700000</v>
      </c>
      <c r="M773" s="89" t="n">
        <v>5898820</v>
      </c>
      <c r="N773" s="90" t="n">
        <f aca="false">IF(A773="제외",0,IF(OR(N(L773)&lt;=0,N(M773)&gt;N(L773)),N(M773)/가정!$B$4,N(L773)))</f>
        <v>20700000</v>
      </c>
      <c r="O773" s="67" t="str">
        <f aca="false">IF(A773="제외","",IF(OR(N(L773)&lt;=0,N(M773)&gt;N(L773)),"택가보정(판매금액÷공급율)",""))</f>
        <v/>
      </c>
    </row>
    <row r="774" customFormat="false" ht="15" hidden="false" customHeight="true" outlineLevel="0" collapsed="false">
      <c r="A774" s="67" t="str">
        <f aca="false">IF(OR(TRIM(C774)="",SUBSTITUTE(C774," ","")="소계"),"제외",IF(ISNUMBER(SEARCH("홍콩",C774)),"HK",IF(ISNUMBER(SEARCH("상해",C774)),"CN",IF(ISNUMBER(SEARCH("대만",C774)),"TW","홀세일"))))</f>
        <v>CN</v>
      </c>
      <c r="B774" s="87" t="s">
        <v>1076</v>
      </c>
      <c r="C774" s="88" t="s">
        <v>1077</v>
      </c>
      <c r="D774" s="88" t="s">
        <v>178</v>
      </c>
      <c r="E774" s="87" t="n">
        <v>2026</v>
      </c>
      <c r="F774" s="87" t="s">
        <v>639</v>
      </c>
      <c r="G774" s="88" t="s">
        <v>827</v>
      </c>
      <c r="H774" s="87" t="s">
        <v>189</v>
      </c>
      <c r="I774" s="87" t="s">
        <v>1179</v>
      </c>
      <c r="J774" s="88" t="s">
        <v>1180</v>
      </c>
      <c r="K774" s="89" t="n">
        <v>60</v>
      </c>
      <c r="L774" s="89" t="n">
        <v>18540000</v>
      </c>
      <c r="M774" s="89" t="n">
        <v>5227980</v>
      </c>
      <c r="N774" s="90" t="n">
        <f aca="false">IF(A774="제외",0,IF(OR(N(L774)&lt;=0,N(M774)&gt;N(L774)),N(M774)/가정!$B$4,N(L774)))</f>
        <v>18540000</v>
      </c>
      <c r="O774" s="67" t="str">
        <f aca="false">IF(A774="제외","",IF(OR(N(L774)&lt;=0,N(M774)&gt;N(L774)),"택가보정(판매금액÷공급율)",""))</f>
        <v/>
      </c>
    </row>
    <row r="775" customFormat="false" ht="15" hidden="false" customHeight="true" outlineLevel="0" collapsed="false">
      <c r="A775" s="67" t="str">
        <f aca="false">IF(OR(TRIM(C775)="",SUBSTITUTE(C775," ","")="소계"),"제외",IF(ISNUMBER(SEARCH("홍콩",C775)),"HK",IF(ISNUMBER(SEARCH("상해",C775)),"CN",IF(ISNUMBER(SEARCH("대만",C775)),"TW","홀세일"))))</f>
        <v>CN</v>
      </c>
      <c r="B775" s="87" t="s">
        <v>1076</v>
      </c>
      <c r="C775" s="88" t="s">
        <v>1077</v>
      </c>
      <c r="D775" s="88" t="s">
        <v>178</v>
      </c>
      <c r="E775" s="87" t="n">
        <v>2026</v>
      </c>
      <c r="F775" s="87" t="s">
        <v>639</v>
      </c>
      <c r="G775" s="88" t="s">
        <v>418</v>
      </c>
      <c r="H775" s="87" t="s">
        <v>189</v>
      </c>
      <c r="I775" s="87" t="s">
        <v>717</v>
      </c>
      <c r="J775" s="88" t="s">
        <v>718</v>
      </c>
      <c r="K775" s="89" t="n">
        <v>515</v>
      </c>
      <c r="L775" s="89" t="n">
        <v>71585000</v>
      </c>
      <c r="M775" s="89" t="n">
        <v>22394260</v>
      </c>
      <c r="N775" s="90" t="n">
        <f aca="false">IF(A775="제외",0,IF(OR(N(L775)&lt;=0,N(M775)&gt;N(L775)),N(M775)/가정!$B$4,N(L775)))</f>
        <v>71585000</v>
      </c>
      <c r="O775" s="67" t="str">
        <f aca="false">IF(A775="제외","",IF(OR(N(L775)&lt;=0,N(M775)&gt;N(L775)),"택가보정(판매금액÷공급율)",""))</f>
        <v/>
      </c>
    </row>
    <row r="776" customFormat="false" ht="15" hidden="false" customHeight="true" outlineLevel="0" collapsed="false">
      <c r="A776" s="67" t="str">
        <f aca="false">IF(OR(TRIM(C776)="",SUBSTITUTE(C776," ","")="소계"),"제외",IF(ISNUMBER(SEARCH("홍콩",C776)),"HK",IF(ISNUMBER(SEARCH("상해",C776)),"CN",IF(ISNUMBER(SEARCH("대만",C776)),"TW","홀세일"))))</f>
        <v>CN</v>
      </c>
      <c r="B776" s="87" t="s">
        <v>1076</v>
      </c>
      <c r="C776" s="88" t="s">
        <v>1077</v>
      </c>
      <c r="D776" s="88" t="s">
        <v>178</v>
      </c>
      <c r="E776" s="87" t="n">
        <v>2026</v>
      </c>
      <c r="F776" s="87" t="s">
        <v>639</v>
      </c>
      <c r="G776" s="88" t="s">
        <v>180</v>
      </c>
      <c r="H776" s="87" t="s">
        <v>246</v>
      </c>
      <c r="I776" s="87" t="s">
        <v>721</v>
      </c>
      <c r="J776" s="87" t="s">
        <v>722</v>
      </c>
      <c r="K776" s="89" t="n">
        <v>242</v>
      </c>
      <c r="L776" s="89" t="n">
        <v>96558000</v>
      </c>
      <c r="M776" s="89" t="n">
        <v>35955368</v>
      </c>
      <c r="N776" s="90" t="n">
        <f aca="false">IF(A776="제외",0,IF(OR(N(L776)&lt;=0,N(M776)&gt;N(L776)),N(M776)/가정!$B$4,N(L776)))</f>
        <v>96558000</v>
      </c>
      <c r="O776" s="67" t="str">
        <f aca="false">IF(A776="제외","",IF(OR(N(L776)&lt;=0,N(M776)&gt;N(L776)),"택가보정(판매금액÷공급율)",""))</f>
        <v/>
      </c>
    </row>
    <row r="777" customFormat="false" ht="15" hidden="false" customHeight="true" outlineLevel="0" collapsed="false">
      <c r="A777" s="67" t="str">
        <f aca="false">IF(OR(TRIM(C777)="",SUBSTITUTE(C777," ","")="소계"),"제외",IF(ISNUMBER(SEARCH("홍콩",C777)),"HK",IF(ISNUMBER(SEARCH("상해",C777)),"CN",IF(ISNUMBER(SEARCH("대만",C777)),"TW","홀세일"))))</f>
        <v>CN</v>
      </c>
      <c r="B777" s="87" t="s">
        <v>1076</v>
      </c>
      <c r="C777" s="88" t="s">
        <v>1077</v>
      </c>
      <c r="D777" s="88" t="s">
        <v>723</v>
      </c>
      <c r="E777" s="87" t="n">
        <v>2026</v>
      </c>
      <c r="F777" s="88" t="s">
        <v>179</v>
      </c>
      <c r="G777" s="88" t="s">
        <v>180</v>
      </c>
      <c r="H777" s="87" t="s">
        <v>181</v>
      </c>
      <c r="I777" s="87" t="s">
        <v>1181</v>
      </c>
      <c r="J777" s="88" t="s">
        <v>838</v>
      </c>
      <c r="K777" s="89" t="n">
        <v>354</v>
      </c>
      <c r="L777" s="89" t="n">
        <v>56286000</v>
      </c>
      <c r="M777" s="89" t="n">
        <v>15364302</v>
      </c>
      <c r="N777" s="90" t="n">
        <f aca="false">IF(A777="제외",0,IF(OR(N(L777)&lt;=0,N(M777)&gt;N(L777)),N(M777)/가정!$B$4,N(L777)))</f>
        <v>56286000</v>
      </c>
      <c r="O777" s="67" t="str">
        <f aca="false">IF(A777="제외","",IF(OR(N(L777)&lt;=0,N(M777)&gt;N(L777)),"택가보정(판매금액÷공급율)",""))</f>
        <v/>
      </c>
    </row>
    <row r="778" customFormat="false" ht="15" hidden="false" customHeight="true" outlineLevel="0" collapsed="false">
      <c r="A778" s="67" t="str">
        <f aca="false">IF(OR(TRIM(C778)="",SUBSTITUTE(C778," ","")="소계"),"제외",IF(ISNUMBER(SEARCH("홍콩",C778)),"HK",IF(ISNUMBER(SEARCH("상해",C778)),"CN",IF(ISNUMBER(SEARCH("대만",C778)),"TW","홀세일"))))</f>
        <v>CN</v>
      </c>
      <c r="B778" s="87" t="s">
        <v>1076</v>
      </c>
      <c r="C778" s="88" t="s">
        <v>1077</v>
      </c>
      <c r="D778" s="88" t="s">
        <v>723</v>
      </c>
      <c r="E778" s="87" t="n">
        <v>2026</v>
      </c>
      <c r="F778" s="88" t="s">
        <v>179</v>
      </c>
      <c r="G778" s="88" t="s">
        <v>180</v>
      </c>
      <c r="H778" s="87" t="s">
        <v>189</v>
      </c>
      <c r="I778" s="87" t="s">
        <v>1182</v>
      </c>
      <c r="J778" s="88" t="s">
        <v>1183</v>
      </c>
      <c r="K778" s="89" t="n">
        <v>2</v>
      </c>
      <c r="L778" s="89" t="n">
        <v>278000</v>
      </c>
      <c r="M778" s="89" t="n">
        <v>83512</v>
      </c>
      <c r="N778" s="90" t="n">
        <f aca="false">IF(A778="제외",0,IF(OR(N(L778)&lt;=0,N(M778)&gt;N(L778)),N(M778)/가정!$B$4,N(L778)))</f>
        <v>278000</v>
      </c>
      <c r="O778" s="67" t="str">
        <f aca="false">IF(A778="제외","",IF(OR(N(L778)&lt;=0,N(M778)&gt;N(L778)),"택가보정(판매금액÷공급율)",""))</f>
        <v/>
      </c>
    </row>
    <row r="779" customFormat="false" ht="15" hidden="false" customHeight="true" outlineLevel="0" collapsed="false">
      <c r="A779" s="67" t="str">
        <f aca="false">IF(OR(TRIM(C779)="",SUBSTITUTE(C779," ","")="소계"),"제외",IF(ISNUMBER(SEARCH("홍콩",C779)),"HK",IF(ISNUMBER(SEARCH("상해",C779)),"CN",IF(ISNUMBER(SEARCH("대만",C779)),"TW","홀세일"))))</f>
        <v>CN</v>
      </c>
      <c r="B779" s="87" t="s">
        <v>1076</v>
      </c>
      <c r="C779" s="88" t="s">
        <v>1077</v>
      </c>
      <c r="D779" s="88" t="s">
        <v>723</v>
      </c>
      <c r="E779" s="87" t="n">
        <v>2026</v>
      </c>
      <c r="F779" s="88" t="s">
        <v>179</v>
      </c>
      <c r="G779" s="88" t="s">
        <v>180</v>
      </c>
      <c r="H779" s="87" t="s">
        <v>189</v>
      </c>
      <c r="I779" s="87" t="s">
        <v>1184</v>
      </c>
      <c r="J779" s="88" t="s">
        <v>1185</v>
      </c>
      <c r="K779" s="89" t="n">
        <v>8</v>
      </c>
      <c r="L779" s="89" t="n">
        <v>1752000</v>
      </c>
      <c r="M779" s="89" t="n">
        <v>502950</v>
      </c>
      <c r="N779" s="90" t="n">
        <f aca="false">IF(A779="제외",0,IF(OR(N(L779)&lt;=0,N(M779)&gt;N(L779)),N(M779)/가정!$B$4,N(L779)))</f>
        <v>1752000</v>
      </c>
      <c r="O779" s="67" t="str">
        <f aca="false">IF(A779="제외","",IF(OR(N(L779)&lt;=0,N(M779)&gt;N(L779)),"택가보정(판매금액÷공급율)",""))</f>
        <v/>
      </c>
    </row>
    <row r="780" customFormat="false" ht="15" hidden="false" customHeight="true" outlineLevel="0" collapsed="false">
      <c r="A780" s="67" t="str">
        <f aca="false">IF(OR(TRIM(C780)="",SUBSTITUTE(C780," ","")="소계"),"제외",IF(ISNUMBER(SEARCH("홍콩",C780)),"HK",IF(ISNUMBER(SEARCH("상해",C780)),"CN",IF(ISNUMBER(SEARCH("대만",C780)),"TW","홀세일"))))</f>
        <v>CN</v>
      </c>
      <c r="B780" s="87" t="s">
        <v>1076</v>
      </c>
      <c r="C780" s="88" t="s">
        <v>1077</v>
      </c>
      <c r="D780" s="88" t="s">
        <v>723</v>
      </c>
      <c r="E780" s="87" t="n">
        <v>2026</v>
      </c>
      <c r="F780" s="88" t="s">
        <v>179</v>
      </c>
      <c r="G780" s="88" t="s">
        <v>180</v>
      </c>
      <c r="H780" s="87" t="s">
        <v>189</v>
      </c>
      <c r="I780" s="87" t="s">
        <v>1033</v>
      </c>
      <c r="J780" s="88" t="s">
        <v>225</v>
      </c>
      <c r="K780" s="89" t="n">
        <v>222</v>
      </c>
      <c r="L780" s="89" t="n">
        <v>39738000</v>
      </c>
      <c r="M780" s="89" t="n">
        <v>11072274</v>
      </c>
      <c r="N780" s="90" t="n">
        <f aca="false">IF(A780="제외",0,IF(OR(N(L780)&lt;=0,N(M780)&gt;N(L780)),N(M780)/가정!$B$4,N(L780)))</f>
        <v>39738000</v>
      </c>
      <c r="O780" s="67" t="str">
        <f aca="false">IF(A780="제외","",IF(OR(N(L780)&lt;=0,N(M780)&gt;N(L780)),"택가보정(판매금액÷공급율)",""))</f>
        <v/>
      </c>
    </row>
    <row r="781" customFormat="false" ht="15" hidden="false" customHeight="true" outlineLevel="0" collapsed="false">
      <c r="A781" s="67" t="str">
        <f aca="false">IF(OR(TRIM(C781)="",SUBSTITUTE(C781," ","")="소계"),"제외",IF(ISNUMBER(SEARCH("홍콩",C781)),"HK",IF(ISNUMBER(SEARCH("상해",C781)),"CN",IF(ISNUMBER(SEARCH("대만",C781)),"TW","홀세일"))))</f>
        <v>CN</v>
      </c>
      <c r="B781" s="87" t="s">
        <v>1076</v>
      </c>
      <c r="C781" s="88" t="s">
        <v>1077</v>
      </c>
      <c r="D781" s="88" t="s">
        <v>723</v>
      </c>
      <c r="E781" s="87" t="n">
        <v>2026</v>
      </c>
      <c r="F781" s="88" t="s">
        <v>179</v>
      </c>
      <c r="G781" s="88" t="s">
        <v>180</v>
      </c>
      <c r="H781" s="87" t="s">
        <v>246</v>
      </c>
      <c r="I781" s="87" t="s">
        <v>1186</v>
      </c>
      <c r="J781" s="87" t="s">
        <v>1187</v>
      </c>
      <c r="K781" s="89" t="n">
        <v>126</v>
      </c>
      <c r="L781" s="89" t="n">
        <v>11214000</v>
      </c>
      <c r="M781" s="89" t="n">
        <v>3059250</v>
      </c>
      <c r="N781" s="90" t="n">
        <f aca="false">IF(A781="제외",0,IF(OR(N(L781)&lt;=0,N(M781)&gt;N(L781)),N(M781)/가정!$B$4,N(L781)))</f>
        <v>11214000</v>
      </c>
      <c r="O781" s="67" t="str">
        <f aca="false">IF(A781="제외","",IF(OR(N(L781)&lt;=0,N(M781)&gt;N(L781)),"택가보정(판매금액÷공급율)",""))</f>
        <v/>
      </c>
    </row>
    <row r="782" customFormat="false" ht="15" hidden="false" customHeight="true" outlineLevel="0" collapsed="false">
      <c r="A782" s="67" t="str">
        <f aca="false">IF(OR(TRIM(C782)="",SUBSTITUTE(C782," ","")="소계"),"제외",IF(ISNUMBER(SEARCH("홍콩",C782)),"HK",IF(ISNUMBER(SEARCH("상해",C782)),"CN",IF(ISNUMBER(SEARCH("대만",C782)),"TW","홀세일"))))</f>
        <v>CN</v>
      </c>
      <c r="B782" s="87" t="s">
        <v>1076</v>
      </c>
      <c r="C782" s="88" t="s">
        <v>1077</v>
      </c>
      <c r="D782" s="88" t="s">
        <v>723</v>
      </c>
      <c r="E782" s="87" t="n">
        <v>2026</v>
      </c>
      <c r="F782" s="88" t="s">
        <v>277</v>
      </c>
      <c r="G782" s="88" t="s">
        <v>180</v>
      </c>
      <c r="H782" s="87" t="s">
        <v>189</v>
      </c>
      <c r="I782" s="87" t="s">
        <v>726</v>
      </c>
      <c r="J782" s="88" t="s">
        <v>727</v>
      </c>
      <c r="K782" s="89" t="n">
        <v>367</v>
      </c>
      <c r="L782" s="89" t="n">
        <v>36333000</v>
      </c>
      <c r="M782" s="89" t="n">
        <v>13430943</v>
      </c>
      <c r="N782" s="90" t="n">
        <f aca="false">IF(A782="제외",0,IF(OR(N(L782)&lt;=0,N(M782)&gt;N(L782)),N(M782)/가정!$B$4,N(L782)))</f>
        <v>36333000</v>
      </c>
      <c r="O782" s="67" t="str">
        <f aca="false">IF(A782="제외","",IF(OR(N(L782)&lt;=0,N(M782)&gt;N(L782)),"택가보정(판매금액÷공급율)",""))</f>
        <v/>
      </c>
    </row>
    <row r="783" customFormat="false" ht="15" hidden="false" customHeight="true" outlineLevel="0" collapsed="false">
      <c r="A783" s="67" t="str">
        <f aca="false">IF(OR(TRIM(C783)="",SUBSTITUTE(C783," ","")="소계"),"제외",IF(ISNUMBER(SEARCH("홍콩",C783)),"HK",IF(ISNUMBER(SEARCH("상해",C783)),"CN",IF(ISNUMBER(SEARCH("대만",C783)),"TW","홀세일"))))</f>
        <v>CN</v>
      </c>
      <c r="B783" s="87" t="s">
        <v>1076</v>
      </c>
      <c r="C783" s="88" t="s">
        <v>1077</v>
      </c>
      <c r="D783" s="88" t="s">
        <v>723</v>
      </c>
      <c r="E783" s="87" t="n">
        <v>2026</v>
      </c>
      <c r="F783" s="88" t="s">
        <v>277</v>
      </c>
      <c r="G783" s="88" t="s">
        <v>180</v>
      </c>
      <c r="H783" s="87" t="s">
        <v>189</v>
      </c>
      <c r="I783" s="87" t="s">
        <v>1188</v>
      </c>
      <c r="J783" s="88" t="s">
        <v>1189</v>
      </c>
      <c r="K783" s="89" t="n">
        <v>312</v>
      </c>
      <c r="L783" s="89" t="n">
        <v>46488000</v>
      </c>
      <c r="M783" s="89" t="n">
        <v>10582640</v>
      </c>
      <c r="N783" s="90" t="n">
        <f aca="false">IF(A783="제외",0,IF(OR(N(L783)&lt;=0,N(M783)&gt;N(L783)),N(M783)/가정!$B$4,N(L783)))</f>
        <v>46488000</v>
      </c>
      <c r="O783" s="67" t="str">
        <f aca="false">IF(A783="제외","",IF(OR(N(L783)&lt;=0,N(M783)&gt;N(L783)),"택가보정(판매금액÷공급율)",""))</f>
        <v/>
      </c>
    </row>
    <row r="784" customFormat="false" ht="15" hidden="false" customHeight="true" outlineLevel="0" collapsed="false">
      <c r="A784" s="67" t="str">
        <f aca="false">IF(OR(TRIM(C784)="",SUBSTITUTE(C784," ","")="소계"),"제외",IF(ISNUMBER(SEARCH("홍콩",C784)),"HK",IF(ISNUMBER(SEARCH("상해",C784)),"CN",IF(ISNUMBER(SEARCH("대만",C784)),"TW","홀세일"))))</f>
        <v>CN</v>
      </c>
      <c r="B784" s="87" t="s">
        <v>1076</v>
      </c>
      <c r="C784" s="88" t="s">
        <v>1077</v>
      </c>
      <c r="D784" s="88" t="s">
        <v>723</v>
      </c>
      <c r="E784" s="87" t="n">
        <v>2026</v>
      </c>
      <c r="F784" s="88" t="s">
        <v>277</v>
      </c>
      <c r="G784" s="88" t="s">
        <v>180</v>
      </c>
      <c r="H784" s="87" t="s">
        <v>181</v>
      </c>
      <c r="I784" s="87" t="s">
        <v>1190</v>
      </c>
      <c r="J784" s="88" t="s">
        <v>868</v>
      </c>
      <c r="K784" s="89" t="n">
        <v>703</v>
      </c>
      <c r="L784" s="89" t="n">
        <v>97717000</v>
      </c>
      <c r="M784" s="89" t="n">
        <v>25064268</v>
      </c>
      <c r="N784" s="90" t="n">
        <f aca="false">IF(A784="제외",0,IF(OR(N(L784)&lt;=0,N(M784)&gt;N(L784)),N(M784)/가정!$B$4,N(L784)))</f>
        <v>97717000</v>
      </c>
      <c r="O784" s="67" t="str">
        <f aca="false">IF(A784="제외","",IF(OR(N(L784)&lt;=0,N(M784)&gt;N(L784)),"택가보정(판매금액÷공급율)",""))</f>
        <v/>
      </c>
    </row>
    <row r="785" customFormat="false" ht="15" hidden="false" customHeight="true" outlineLevel="0" collapsed="false">
      <c r="A785" s="67" t="str">
        <f aca="false">IF(OR(TRIM(C785)="",SUBSTITUTE(C785," ","")="소계"),"제외",IF(ISNUMBER(SEARCH("홍콩",C785)),"HK",IF(ISNUMBER(SEARCH("상해",C785)),"CN",IF(ISNUMBER(SEARCH("대만",C785)),"TW","홀세일"))))</f>
        <v>CN</v>
      </c>
      <c r="B785" s="87" t="s">
        <v>1076</v>
      </c>
      <c r="C785" s="88" t="s">
        <v>1077</v>
      </c>
      <c r="D785" s="88" t="s">
        <v>723</v>
      </c>
      <c r="E785" s="87" t="n">
        <v>2026</v>
      </c>
      <c r="F785" s="88" t="s">
        <v>277</v>
      </c>
      <c r="G785" s="88" t="s">
        <v>180</v>
      </c>
      <c r="H785" s="87" t="s">
        <v>181</v>
      </c>
      <c r="I785" s="87" t="s">
        <v>1191</v>
      </c>
      <c r="J785" s="88" t="s">
        <v>874</v>
      </c>
      <c r="K785" s="89" t="n">
        <v>294</v>
      </c>
      <c r="L785" s="89" t="n">
        <v>37926000</v>
      </c>
      <c r="M785" s="89" t="n">
        <v>11478336</v>
      </c>
      <c r="N785" s="90" t="n">
        <f aca="false">IF(A785="제외",0,IF(OR(N(L785)&lt;=0,N(M785)&gt;N(L785)),N(M785)/가정!$B$4,N(L785)))</f>
        <v>37926000</v>
      </c>
      <c r="O785" s="67" t="str">
        <f aca="false">IF(A785="제외","",IF(OR(N(L785)&lt;=0,N(M785)&gt;N(L785)),"택가보정(판매금액÷공급율)",""))</f>
        <v/>
      </c>
    </row>
    <row r="786" customFormat="false" ht="15" hidden="false" customHeight="true" outlineLevel="0" collapsed="false">
      <c r="A786" s="67" t="str">
        <f aca="false">IF(OR(TRIM(C786)="",SUBSTITUTE(C786," ","")="소계"),"제외",IF(ISNUMBER(SEARCH("홍콩",C786)),"HK",IF(ISNUMBER(SEARCH("상해",C786)),"CN",IF(ISNUMBER(SEARCH("대만",C786)),"TW","홀세일"))))</f>
        <v>CN</v>
      </c>
      <c r="B786" s="87" t="s">
        <v>1076</v>
      </c>
      <c r="C786" s="88" t="s">
        <v>1077</v>
      </c>
      <c r="D786" s="88" t="s">
        <v>723</v>
      </c>
      <c r="E786" s="87" t="n">
        <v>2026</v>
      </c>
      <c r="F786" s="88" t="s">
        <v>277</v>
      </c>
      <c r="G786" s="88" t="s">
        <v>180</v>
      </c>
      <c r="H786" s="87" t="s">
        <v>181</v>
      </c>
      <c r="I786" s="87" t="s">
        <v>1192</v>
      </c>
      <c r="J786" s="88" t="s">
        <v>1193</v>
      </c>
      <c r="K786" s="89" t="n">
        <v>111</v>
      </c>
      <c r="L786" s="89" t="n">
        <v>9879000</v>
      </c>
      <c r="M786" s="89" t="n">
        <v>3592343</v>
      </c>
      <c r="N786" s="90" t="n">
        <f aca="false">IF(A786="제외",0,IF(OR(N(L786)&lt;=0,N(M786)&gt;N(L786)),N(M786)/가정!$B$4,N(L786)))</f>
        <v>9879000</v>
      </c>
      <c r="O786" s="67" t="str">
        <f aca="false">IF(A786="제외","",IF(OR(N(L786)&lt;=0,N(M786)&gt;N(L786)),"택가보정(판매금액÷공급율)",""))</f>
        <v/>
      </c>
    </row>
    <row r="787" customFormat="false" ht="15" hidden="false" customHeight="true" outlineLevel="0" collapsed="false">
      <c r="A787" s="67" t="str">
        <f aca="false">IF(OR(TRIM(C787)="",SUBSTITUTE(C787," ","")="소계"),"제외",IF(ISNUMBER(SEARCH("홍콩",C787)),"HK",IF(ISNUMBER(SEARCH("상해",C787)),"CN",IF(ISNUMBER(SEARCH("대만",C787)),"TW","홀세일"))))</f>
        <v>CN</v>
      </c>
      <c r="B787" s="87" t="s">
        <v>1076</v>
      </c>
      <c r="C787" s="88" t="s">
        <v>1077</v>
      </c>
      <c r="D787" s="88" t="s">
        <v>723</v>
      </c>
      <c r="E787" s="87" t="n">
        <v>2026</v>
      </c>
      <c r="F787" s="88" t="s">
        <v>277</v>
      </c>
      <c r="G787" s="88" t="s">
        <v>180</v>
      </c>
      <c r="H787" s="87" t="s">
        <v>189</v>
      </c>
      <c r="I787" s="87" t="s">
        <v>1034</v>
      </c>
      <c r="J787" s="88" t="s">
        <v>1035</v>
      </c>
      <c r="K787" s="89" t="n">
        <v>513</v>
      </c>
      <c r="L787" s="89" t="n">
        <v>61047000</v>
      </c>
      <c r="M787" s="89" t="n">
        <v>23641104</v>
      </c>
      <c r="N787" s="90" t="n">
        <f aca="false">IF(A787="제외",0,IF(OR(N(L787)&lt;=0,N(M787)&gt;N(L787)),N(M787)/가정!$B$4,N(L787)))</f>
        <v>61047000</v>
      </c>
      <c r="O787" s="67" t="str">
        <f aca="false">IF(A787="제외","",IF(OR(N(L787)&lt;=0,N(M787)&gt;N(L787)),"택가보정(판매금액÷공급율)",""))</f>
        <v/>
      </c>
    </row>
    <row r="788" customFormat="false" ht="15" hidden="false" customHeight="true" outlineLevel="0" collapsed="false">
      <c r="A788" s="67" t="str">
        <f aca="false">IF(OR(TRIM(C788)="",SUBSTITUTE(C788," ","")="소계"),"제외",IF(ISNUMBER(SEARCH("홍콩",C788)),"HK",IF(ISNUMBER(SEARCH("상해",C788)),"CN",IF(ISNUMBER(SEARCH("대만",C788)),"TW","홀세일"))))</f>
        <v>CN</v>
      </c>
      <c r="B788" s="87" t="s">
        <v>1076</v>
      </c>
      <c r="C788" s="88" t="s">
        <v>1077</v>
      </c>
      <c r="D788" s="88" t="s">
        <v>723</v>
      </c>
      <c r="E788" s="87" t="n">
        <v>2026</v>
      </c>
      <c r="F788" s="88" t="s">
        <v>277</v>
      </c>
      <c r="G788" s="88" t="s">
        <v>180</v>
      </c>
      <c r="H788" s="87" t="s">
        <v>181</v>
      </c>
      <c r="I788" s="87" t="s">
        <v>1194</v>
      </c>
      <c r="J788" s="91" t="s">
        <v>1195</v>
      </c>
      <c r="K788" s="89" t="n">
        <v>515</v>
      </c>
      <c r="L788" s="89" t="n">
        <v>45835000</v>
      </c>
      <c r="M788" s="89" t="n">
        <v>14370032</v>
      </c>
      <c r="N788" s="90" t="n">
        <f aca="false">IF(A788="제외",0,IF(OR(N(L788)&lt;=0,N(M788)&gt;N(L788)),N(M788)/가정!$B$4,N(L788)))</f>
        <v>45835000</v>
      </c>
      <c r="O788" s="67" t="str">
        <f aca="false">IF(A788="제외","",IF(OR(N(L788)&lt;=0,N(M788)&gt;N(L788)),"택가보정(판매금액÷공급율)",""))</f>
        <v/>
      </c>
    </row>
    <row r="789" customFormat="false" ht="15" hidden="false" customHeight="true" outlineLevel="0" collapsed="false">
      <c r="A789" s="67" t="str">
        <f aca="false">IF(OR(TRIM(C789)="",SUBSTITUTE(C789," ","")="소계"),"제외",IF(ISNUMBER(SEARCH("홍콩",C789)),"HK",IF(ISNUMBER(SEARCH("상해",C789)),"CN",IF(ISNUMBER(SEARCH("대만",C789)),"TW","홀세일"))))</f>
        <v>CN</v>
      </c>
      <c r="B789" s="87" t="s">
        <v>1076</v>
      </c>
      <c r="C789" s="88" t="s">
        <v>1077</v>
      </c>
      <c r="D789" s="88" t="s">
        <v>723</v>
      </c>
      <c r="E789" s="87" t="n">
        <v>2026</v>
      </c>
      <c r="F789" s="88" t="s">
        <v>277</v>
      </c>
      <c r="G789" s="88" t="s">
        <v>180</v>
      </c>
      <c r="H789" s="87" t="s">
        <v>189</v>
      </c>
      <c r="I789" s="87" t="s">
        <v>1196</v>
      </c>
      <c r="J789" s="88" t="s">
        <v>309</v>
      </c>
      <c r="K789" s="89" t="n">
        <v>1426</v>
      </c>
      <c r="L789" s="89" t="n">
        <v>126914000</v>
      </c>
      <c r="M789" s="89" t="n">
        <v>39729300</v>
      </c>
      <c r="N789" s="90" t="n">
        <f aca="false">IF(A789="제외",0,IF(OR(N(L789)&lt;=0,N(M789)&gt;N(L789)),N(M789)/가정!$B$4,N(L789)))</f>
        <v>126914000</v>
      </c>
      <c r="O789" s="67" t="str">
        <f aca="false">IF(A789="제외","",IF(OR(N(L789)&lt;=0,N(M789)&gt;N(L789)),"택가보정(판매금액÷공급율)",""))</f>
        <v/>
      </c>
    </row>
    <row r="790" customFormat="false" ht="15" hidden="false" customHeight="true" outlineLevel="0" collapsed="false">
      <c r="A790" s="67" t="str">
        <f aca="false">IF(OR(TRIM(C790)="",SUBSTITUTE(C790," ","")="소계"),"제외",IF(ISNUMBER(SEARCH("홍콩",C790)),"HK",IF(ISNUMBER(SEARCH("상해",C790)),"CN",IF(ISNUMBER(SEARCH("대만",C790)),"TW","홀세일"))))</f>
        <v>CN</v>
      </c>
      <c r="B790" s="87" t="s">
        <v>1076</v>
      </c>
      <c r="C790" s="88" t="s">
        <v>1077</v>
      </c>
      <c r="D790" s="88" t="s">
        <v>723</v>
      </c>
      <c r="E790" s="87" t="n">
        <v>2026</v>
      </c>
      <c r="F790" s="88" t="s">
        <v>277</v>
      </c>
      <c r="G790" s="88" t="s">
        <v>180</v>
      </c>
      <c r="H790" s="87" t="s">
        <v>189</v>
      </c>
      <c r="I790" s="87" t="s">
        <v>1197</v>
      </c>
      <c r="J790" s="88" t="s">
        <v>321</v>
      </c>
      <c r="K790" s="89" t="n">
        <v>653</v>
      </c>
      <c r="L790" s="89" t="n">
        <v>90767000</v>
      </c>
      <c r="M790" s="89" t="n">
        <v>21114773</v>
      </c>
      <c r="N790" s="90" t="n">
        <f aca="false">IF(A790="제외",0,IF(OR(N(L790)&lt;=0,N(M790)&gt;N(L790)),N(M790)/가정!$B$4,N(L790)))</f>
        <v>90767000</v>
      </c>
      <c r="O790" s="67" t="str">
        <f aca="false">IF(A790="제외","",IF(OR(N(L790)&lt;=0,N(M790)&gt;N(L790)),"택가보정(판매금액÷공급율)",""))</f>
        <v/>
      </c>
    </row>
    <row r="791" customFormat="false" ht="15" hidden="false" customHeight="true" outlineLevel="0" collapsed="false">
      <c r="A791" s="67" t="str">
        <f aca="false">IF(OR(TRIM(C791)="",SUBSTITUTE(C791," ","")="소계"),"제외",IF(ISNUMBER(SEARCH("홍콩",C791)),"HK",IF(ISNUMBER(SEARCH("상해",C791)),"CN",IF(ISNUMBER(SEARCH("대만",C791)),"TW","홀세일"))))</f>
        <v>CN</v>
      </c>
      <c r="B791" s="87" t="s">
        <v>1076</v>
      </c>
      <c r="C791" s="88" t="s">
        <v>1077</v>
      </c>
      <c r="D791" s="88" t="s">
        <v>723</v>
      </c>
      <c r="E791" s="87" t="n">
        <v>2026</v>
      </c>
      <c r="F791" s="88" t="s">
        <v>277</v>
      </c>
      <c r="G791" s="88" t="s">
        <v>180</v>
      </c>
      <c r="H791" s="87" t="s">
        <v>189</v>
      </c>
      <c r="I791" s="87" t="s">
        <v>728</v>
      </c>
      <c r="J791" s="88" t="s">
        <v>729</v>
      </c>
      <c r="K791" s="89" t="n">
        <v>959</v>
      </c>
      <c r="L791" s="89" t="n">
        <v>162071000</v>
      </c>
      <c r="M791" s="89" t="n">
        <v>51598383</v>
      </c>
      <c r="N791" s="90" t="n">
        <f aca="false">IF(A791="제외",0,IF(OR(N(L791)&lt;=0,N(M791)&gt;N(L791)),N(M791)/가정!$B$4,N(L791)))</f>
        <v>162071000</v>
      </c>
      <c r="O791" s="67" t="str">
        <f aca="false">IF(A791="제외","",IF(OR(N(L791)&lt;=0,N(M791)&gt;N(L791)),"택가보정(판매금액÷공급율)",""))</f>
        <v/>
      </c>
    </row>
    <row r="792" customFormat="false" ht="15" hidden="false" customHeight="true" outlineLevel="0" collapsed="false">
      <c r="A792" s="67" t="str">
        <f aca="false">IF(OR(TRIM(C792)="",SUBSTITUTE(C792," ","")="소계"),"제외",IF(ISNUMBER(SEARCH("홍콩",C792)),"HK",IF(ISNUMBER(SEARCH("상해",C792)),"CN",IF(ISNUMBER(SEARCH("대만",C792)),"TW","홀세일"))))</f>
        <v>CN</v>
      </c>
      <c r="B792" s="87" t="s">
        <v>1076</v>
      </c>
      <c r="C792" s="88" t="s">
        <v>1077</v>
      </c>
      <c r="D792" s="88" t="s">
        <v>723</v>
      </c>
      <c r="E792" s="87" t="n">
        <v>2026</v>
      </c>
      <c r="F792" s="88" t="s">
        <v>277</v>
      </c>
      <c r="G792" s="88" t="s">
        <v>180</v>
      </c>
      <c r="H792" s="87" t="s">
        <v>189</v>
      </c>
      <c r="I792" s="87" t="s">
        <v>1198</v>
      </c>
      <c r="J792" s="88" t="s">
        <v>1199</v>
      </c>
      <c r="K792" s="89" t="n">
        <v>361</v>
      </c>
      <c r="L792" s="89" t="n">
        <v>50179000</v>
      </c>
      <c r="M792" s="89" t="n">
        <v>17167488</v>
      </c>
      <c r="N792" s="90" t="n">
        <f aca="false">IF(A792="제외",0,IF(OR(N(L792)&lt;=0,N(M792)&gt;N(L792)),N(M792)/가정!$B$4,N(L792)))</f>
        <v>50179000</v>
      </c>
      <c r="O792" s="67" t="str">
        <f aca="false">IF(A792="제외","",IF(OR(N(L792)&lt;=0,N(M792)&gt;N(L792)),"택가보정(판매금액÷공급율)",""))</f>
        <v/>
      </c>
    </row>
    <row r="793" customFormat="false" ht="15" hidden="false" customHeight="true" outlineLevel="0" collapsed="false">
      <c r="A793" s="67" t="str">
        <f aca="false">IF(OR(TRIM(C793)="",SUBSTITUTE(C793," ","")="소계"),"제외",IF(ISNUMBER(SEARCH("홍콩",C793)),"HK",IF(ISNUMBER(SEARCH("상해",C793)),"CN",IF(ISNUMBER(SEARCH("대만",C793)),"TW","홀세일"))))</f>
        <v>CN</v>
      </c>
      <c r="B793" s="87" t="s">
        <v>1076</v>
      </c>
      <c r="C793" s="88" t="s">
        <v>1077</v>
      </c>
      <c r="D793" s="88" t="s">
        <v>723</v>
      </c>
      <c r="E793" s="87" t="n">
        <v>2026</v>
      </c>
      <c r="F793" s="88" t="s">
        <v>277</v>
      </c>
      <c r="G793" s="88" t="s">
        <v>180</v>
      </c>
      <c r="H793" s="87" t="s">
        <v>189</v>
      </c>
      <c r="I793" s="87" t="s">
        <v>1200</v>
      </c>
      <c r="J793" s="88" t="s">
        <v>331</v>
      </c>
      <c r="K793" s="89" t="n">
        <v>1200</v>
      </c>
      <c r="L793" s="89" t="n">
        <v>226800000</v>
      </c>
      <c r="M793" s="89" t="n">
        <v>55947988</v>
      </c>
      <c r="N793" s="90" t="n">
        <f aca="false">IF(A793="제외",0,IF(OR(N(L793)&lt;=0,N(M793)&gt;N(L793)),N(M793)/가정!$B$4,N(L793)))</f>
        <v>226800000</v>
      </c>
      <c r="O793" s="67" t="str">
        <f aca="false">IF(A793="제외","",IF(OR(N(L793)&lt;=0,N(M793)&gt;N(L793)),"택가보정(판매금액÷공급율)",""))</f>
        <v/>
      </c>
    </row>
    <row r="794" customFormat="false" ht="15" hidden="false" customHeight="true" outlineLevel="0" collapsed="false">
      <c r="A794" s="67" t="str">
        <f aca="false">IF(OR(TRIM(C794)="",SUBSTITUTE(C794," ","")="소계"),"제외",IF(ISNUMBER(SEARCH("홍콩",C794)),"HK",IF(ISNUMBER(SEARCH("상해",C794)),"CN",IF(ISNUMBER(SEARCH("대만",C794)),"TW","홀세일"))))</f>
        <v>CN</v>
      </c>
      <c r="B794" s="87" t="s">
        <v>1076</v>
      </c>
      <c r="C794" s="88" t="s">
        <v>1077</v>
      </c>
      <c r="D794" s="88" t="s">
        <v>723</v>
      </c>
      <c r="E794" s="87" t="n">
        <v>2026</v>
      </c>
      <c r="F794" s="88" t="s">
        <v>277</v>
      </c>
      <c r="G794" s="88" t="s">
        <v>180</v>
      </c>
      <c r="H794" s="87" t="s">
        <v>189</v>
      </c>
      <c r="I794" s="87" t="s">
        <v>1036</v>
      </c>
      <c r="J794" s="88" t="s">
        <v>335</v>
      </c>
      <c r="K794" s="89" t="n">
        <v>1659</v>
      </c>
      <c r="L794" s="89" t="n">
        <v>247191000</v>
      </c>
      <c r="M794" s="89" t="n">
        <v>63701556</v>
      </c>
      <c r="N794" s="90" t="n">
        <f aca="false">IF(A794="제외",0,IF(OR(N(L794)&lt;=0,N(M794)&gt;N(L794)),N(M794)/가정!$B$4,N(L794)))</f>
        <v>247191000</v>
      </c>
      <c r="O794" s="67" t="str">
        <f aca="false">IF(A794="제외","",IF(OR(N(L794)&lt;=0,N(M794)&gt;N(L794)),"택가보정(판매금액÷공급율)",""))</f>
        <v/>
      </c>
    </row>
    <row r="795" customFormat="false" ht="15" hidden="false" customHeight="true" outlineLevel="0" collapsed="false">
      <c r="A795" s="67" t="str">
        <f aca="false">IF(OR(TRIM(C795)="",SUBSTITUTE(C795," ","")="소계"),"제외",IF(ISNUMBER(SEARCH("홍콩",C795)),"HK",IF(ISNUMBER(SEARCH("상해",C795)),"CN",IF(ISNUMBER(SEARCH("대만",C795)),"TW","홀세일"))))</f>
        <v>CN</v>
      </c>
      <c r="B795" s="87" t="s">
        <v>1076</v>
      </c>
      <c r="C795" s="88" t="s">
        <v>1077</v>
      </c>
      <c r="D795" s="88" t="s">
        <v>723</v>
      </c>
      <c r="E795" s="87" t="n">
        <v>2026</v>
      </c>
      <c r="F795" s="88" t="s">
        <v>277</v>
      </c>
      <c r="G795" s="88" t="s">
        <v>180</v>
      </c>
      <c r="H795" s="87" t="s">
        <v>189</v>
      </c>
      <c r="I795" s="87" t="s">
        <v>1037</v>
      </c>
      <c r="J795" s="88" t="s">
        <v>369</v>
      </c>
      <c r="K795" s="89" t="n">
        <v>664</v>
      </c>
      <c r="L795" s="89" t="n">
        <v>59096000</v>
      </c>
      <c r="M795" s="89" t="n">
        <v>16005272</v>
      </c>
      <c r="N795" s="90" t="n">
        <f aca="false">IF(A795="제외",0,IF(OR(N(L795)&lt;=0,N(M795)&gt;N(L795)),N(M795)/가정!$B$4,N(L795)))</f>
        <v>59096000</v>
      </c>
      <c r="O795" s="67" t="str">
        <f aca="false">IF(A795="제외","",IF(OR(N(L795)&lt;=0,N(M795)&gt;N(L795)),"택가보정(판매금액÷공급율)",""))</f>
        <v/>
      </c>
    </row>
    <row r="796" customFormat="false" ht="15" hidden="false" customHeight="true" outlineLevel="0" collapsed="false">
      <c r="A796" s="67" t="str">
        <f aca="false">IF(OR(TRIM(C796)="",SUBSTITUTE(C796," ","")="소계"),"제외",IF(ISNUMBER(SEARCH("홍콩",C796)),"HK",IF(ISNUMBER(SEARCH("상해",C796)),"CN",IF(ISNUMBER(SEARCH("대만",C796)),"TW","홀세일"))))</f>
        <v>CN</v>
      </c>
      <c r="B796" s="87" t="s">
        <v>1076</v>
      </c>
      <c r="C796" s="88" t="s">
        <v>1077</v>
      </c>
      <c r="D796" s="88" t="s">
        <v>723</v>
      </c>
      <c r="E796" s="87" t="n">
        <v>2026</v>
      </c>
      <c r="F796" s="88" t="s">
        <v>277</v>
      </c>
      <c r="G796" s="88" t="s">
        <v>180</v>
      </c>
      <c r="H796" s="87" t="s">
        <v>189</v>
      </c>
      <c r="I796" s="87" t="s">
        <v>730</v>
      </c>
      <c r="J796" s="88" t="s">
        <v>731</v>
      </c>
      <c r="K796" s="89" t="n">
        <v>302</v>
      </c>
      <c r="L796" s="89" t="n">
        <v>20838000</v>
      </c>
      <c r="M796" s="89" t="n">
        <v>6077560</v>
      </c>
      <c r="N796" s="90" t="n">
        <f aca="false">IF(A796="제외",0,IF(OR(N(L796)&lt;=0,N(M796)&gt;N(L796)),N(M796)/가정!$B$4,N(L796)))</f>
        <v>20838000</v>
      </c>
      <c r="O796" s="67" t="str">
        <f aca="false">IF(A796="제외","",IF(OR(N(L796)&lt;=0,N(M796)&gt;N(L796)),"택가보정(판매금액÷공급율)",""))</f>
        <v/>
      </c>
    </row>
    <row r="797" customFormat="false" ht="15" hidden="false" customHeight="true" outlineLevel="0" collapsed="false">
      <c r="A797" s="67" t="str">
        <f aca="false">IF(OR(TRIM(C797)="",SUBSTITUTE(C797," ","")="소계"),"제외",IF(ISNUMBER(SEARCH("홍콩",C797)),"HK",IF(ISNUMBER(SEARCH("상해",C797)),"CN",IF(ISNUMBER(SEARCH("대만",C797)),"TW","홀세일"))))</f>
        <v>CN</v>
      </c>
      <c r="B797" s="87" t="s">
        <v>1076</v>
      </c>
      <c r="C797" s="88" t="s">
        <v>1077</v>
      </c>
      <c r="D797" s="88" t="s">
        <v>723</v>
      </c>
      <c r="E797" s="87" t="n">
        <v>2026</v>
      </c>
      <c r="F797" s="88" t="s">
        <v>277</v>
      </c>
      <c r="G797" s="88" t="s">
        <v>180</v>
      </c>
      <c r="H797" s="87" t="s">
        <v>732</v>
      </c>
      <c r="I797" s="87" t="s">
        <v>1201</v>
      </c>
      <c r="J797" s="88" t="s">
        <v>1202</v>
      </c>
      <c r="K797" s="89" t="n">
        <v>763</v>
      </c>
      <c r="L797" s="89" t="n">
        <v>60277000</v>
      </c>
      <c r="M797" s="89" t="n">
        <v>16698754</v>
      </c>
      <c r="N797" s="90" t="n">
        <f aca="false">IF(A797="제외",0,IF(OR(N(L797)&lt;=0,N(M797)&gt;N(L797)),N(M797)/가정!$B$4,N(L797)))</f>
        <v>60277000</v>
      </c>
      <c r="O797" s="67" t="str">
        <f aca="false">IF(A797="제외","",IF(OR(N(L797)&lt;=0,N(M797)&gt;N(L797)),"택가보정(판매금액÷공급율)",""))</f>
        <v/>
      </c>
    </row>
    <row r="798" customFormat="false" ht="15" hidden="false" customHeight="true" outlineLevel="0" collapsed="false">
      <c r="A798" s="67" t="str">
        <f aca="false">IF(OR(TRIM(C798)="",SUBSTITUTE(C798," ","")="소계"),"제외",IF(ISNUMBER(SEARCH("홍콩",C798)),"HK",IF(ISNUMBER(SEARCH("상해",C798)),"CN",IF(ISNUMBER(SEARCH("대만",C798)),"TW","홀세일"))))</f>
        <v>CN</v>
      </c>
      <c r="B798" s="87" t="s">
        <v>1076</v>
      </c>
      <c r="C798" s="88" t="s">
        <v>1077</v>
      </c>
      <c r="D798" s="88" t="s">
        <v>723</v>
      </c>
      <c r="E798" s="87" t="n">
        <v>2026</v>
      </c>
      <c r="F798" s="88" t="s">
        <v>277</v>
      </c>
      <c r="G798" s="88" t="s">
        <v>180</v>
      </c>
      <c r="H798" s="87" t="s">
        <v>732</v>
      </c>
      <c r="I798" s="87" t="s">
        <v>1203</v>
      </c>
      <c r="J798" s="88" t="s">
        <v>1204</v>
      </c>
      <c r="K798" s="89" t="n">
        <v>552</v>
      </c>
      <c r="L798" s="89" t="n">
        <v>43608000</v>
      </c>
      <c r="M798" s="89" t="n">
        <v>9550564</v>
      </c>
      <c r="N798" s="90" t="n">
        <f aca="false">IF(A798="제외",0,IF(OR(N(L798)&lt;=0,N(M798)&gt;N(L798)),N(M798)/가정!$B$4,N(L798)))</f>
        <v>43608000</v>
      </c>
      <c r="O798" s="67" t="str">
        <f aca="false">IF(A798="제외","",IF(OR(N(L798)&lt;=0,N(M798)&gt;N(L798)),"택가보정(판매금액÷공급율)",""))</f>
        <v/>
      </c>
    </row>
    <row r="799" customFormat="false" ht="15" hidden="false" customHeight="true" outlineLevel="0" collapsed="false">
      <c r="A799" s="67" t="str">
        <f aca="false">IF(OR(TRIM(C799)="",SUBSTITUTE(C799," ","")="소계"),"제외",IF(ISNUMBER(SEARCH("홍콩",C799)),"HK",IF(ISNUMBER(SEARCH("상해",C799)),"CN",IF(ISNUMBER(SEARCH("대만",C799)),"TW","홀세일"))))</f>
        <v>CN</v>
      </c>
      <c r="B799" s="87" t="s">
        <v>1076</v>
      </c>
      <c r="C799" s="88" t="s">
        <v>1077</v>
      </c>
      <c r="D799" s="88" t="s">
        <v>723</v>
      </c>
      <c r="E799" s="87" t="n">
        <v>2026</v>
      </c>
      <c r="F799" s="88" t="s">
        <v>277</v>
      </c>
      <c r="G799" s="88" t="s">
        <v>180</v>
      </c>
      <c r="H799" s="87" t="s">
        <v>246</v>
      </c>
      <c r="I799" s="87" t="s">
        <v>747</v>
      </c>
      <c r="J799" s="87" t="s">
        <v>748</v>
      </c>
      <c r="K799" s="89" t="n">
        <v>497</v>
      </c>
      <c r="L799" s="89" t="n">
        <v>79023000</v>
      </c>
      <c r="M799" s="89" t="n">
        <v>25083792</v>
      </c>
      <c r="N799" s="90" t="n">
        <f aca="false">IF(A799="제외",0,IF(OR(N(L799)&lt;=0,N(M799)&gt;N(L799)),N(M799)/가정!$B$4,N(L799)))</f>
        <v>79023000</v>
      </c>
      <c r="O799" s="67" t="str">
        <f aca="false">IF(A799="제외","",IF(OR(N(L799)&lt;=0,N(M799)&gt;N(L799)),"택가보정(판매금액÷공급율)",""))</f>
        <v/>
      </c>
    </row>
    <row r="800" customFormat="false" ht="15" hidden="false" customHeight="true" outlineLevel="0" collapsed="false">
      <c r="A800" s="67" t="str">
        <f aca="false">IF(OR(TRIM(C800)="",SUBSTITUTE(C800," ","")="소계"),"제외",IF(ISNUMBER(SEARCH("홍콩",C800)),"HK",IF(ISNUMBER(SEARCH("상해",C800)),"CN",IF(ISNUMBER(SEARCH("대만",C800)),"TW","홀세일"))))</f>
        <v>CN</v>
      </c>
      <c r="B800" s="87" t="s">
        <v>1076</v>
      </c>
      <c r="C800" s="88" t="s">
        <v>1077</v>
      </c>
      <c r="D800" s="88" t="s">
        <v>723</v>
      </c>
      <c r="E800" s="87" t="n">
        <v>2026</v>
      </c>
      <c r="F800" s="88" t="s">
        <v>277</v>
      </c>
      <c r="G800" s="88" t="s">
        <v>180</v>
      </c>
      <c r="H800" s="87" t="s">
        <v>246</v>
      </c>
      <c r="I800" s="87" t="s">
        <v>749</v>
      </c>
      <c r="J800" s="87" t="s">
        <v>750</v>
      </c>
      <c r="K800" s="89" t="n">
        <v>745</v>
      </c>
      <c r="L800" s="89" t="n">
        <v>96105000</v>
      </c>
      <c r="M800" s="89" t="n">
        <v>29943785</v>
      </c>
      <c r="N800" s="90" t="n">
        <f aca="false">IF(A800="제외",0,IF(OR(N(L800)&lt;=0,N(M800)&gt;N(L800)),N(M800)/가정!$B$4,N(L800)))</f>
        <v>96105000</v>
      </c>
      <c r="O800" s="67" t="str">
        <f aca="false">IF(A800="제외","",IF(OR(N(L800)&lt;=0,N(M800)&gt;N(L800)),"택가보정(판매금액÷공급율)",""))</f>
        <v/>
      </c>
    </row>
    <row r="801" customFormat="false" ht="15" hidden="false" customHeight="true" outlineLevel="0" collapsed="false">
      <c r="A801" s="67" t="str">
        <f aca="false">IF(OR(TRIM(C801)="",SUBSTITUTE(C801," ","")="소계"),"제외",IF(ISNUMBER(SEARCH("홍콩",C801)),"HK",IF(ISNUMBER(SEARCH("상해",C801)),"CN",IF(ISNUMBER(SEARCH("대만",C801)),"TW","홀세일"))))</f>
        <v>CN</v>
      </c>
      <c r="B801" s="87" t="s">
        <v>1076</v>
      </c>
      <c r="C801" s="88" t="s">
        <v>1077</v>
      </c>
      <c r="D801" s="88" t="s">
        <v>723</v>
      </c>
      <c r="E801" s="87" t="n">
        <v>2026</v>
      </c>
      <c r="F801" s="88" t="s">
        <v>277</v>
      </c>
      <c r="G801" s="88" t="s">
        <v>180</v>
      </c>
      <c r="H801" s="87" t="s">
        <v>246</v>
      </c>
      <c r="I801" s="87" t="s">
        <v>751</v>
      </c>
      <c r="J801" s="87" t="s">
        <v>752</v>
      </c>
      <c r="K801" s="89" t="n">
        <v>287</v>
      </c>
      <c r="L801" s="89" t="n">
        <v>42763000</v>
      </c>
      <c r="M801" s="89" t="n">
        <v>12636680</v>
      </c>
      <c r="N801" s="90" t="n">
        <f aca="false">IF(A801="제외",0,IF(OR(N(L801)&lt;=0,N(M801)&gt;N(L801)),N(M801)/가정!$B$4,N(L801)))</f>
        <v>42763000</v>
      </c>
      <c r="O801" s="67" t="str">
        <f aca="false">IF(A801="제외","",IF(OR(N(L801)&lt;=0,N(M801)&gt;N(L801)),"택가보정(판매금액÷공급율)",""))</f>
        <v/>
      </c>
    </row>
    <row r="802" customFormat="false" ht="15" hidden="false" customHeight="true" outlineLevel="0" collapsed="false">
      <c r="A802" s="67" t="str">
        <f aca="false">IF(OR(TRIM(C802)="",SUBSTITUTE(C802," ","")="소계"),"제외",IF(ISNUMBER(SEARCH("홍콩",C802)),"HK",IF(ISNUMBER(SEARCH("상해",C802)),"CN",IF(ISNUMBER(SEARCH("대만",C802)),"TW","홀세일"))))</f>
        <v>CN</v>
      </c>
      <c r="B802" s="87" t="s">
        <v>1076</v>
      </c>
      <c r="C802" s="88" t="s">
        <v>1077</v>
      </c>
      <c r="D802" s="88" t="s">
        <v>723</v>
      </c>
      <c r="E802" s="87" t="n">
        <v>2026</v>
      </c>
      <c r="F802" s="88" t="s">
        <v>277</v>
      </c>
      <c r="G802" s="88" t="s">
        <v>180</v>
      </c>
      <c r="H802" s="87" t="s">
        <v>246</v>
      </c>
      <c r="I802" s="87" t="s">
        <v>753</v>
      </c>
      <c r="J802" s="87" t="s">
        <v>754</v>
      </c>
      <c r="K802" s="89" t="n">
        <v>473</v>
      </c>
      <c r="L802" s="89" t="n">
        <v>56287000</v>
      </c>
      <c r="M802" s="89" t="n">
        <v>18024071</v>
      </c>
      <c r="N802" s="90" t="n">
        <f aca="false">IF(A802="제외",0,IF(OR(N(L802)&lt;=0,N(M802)&gt;N(L802)),N(M802)/가정!$B$4,N(L802)))</f>
        <v>56287000</v>
      </c>
      <c r="O802" s="67" t="str">
        <f aca="false">IF(A802="제외","",IF(OR(N(L802)&lt;=0,N(M802)&gt;N(L802)),"택가보정(판매금액÷공급율)",""))</f>
        <v/>
      </c>
    </row>
    <row r="803" customFormat="false" ht="15" hidden="false" customHeight="true" outlineLevel="0" collapsed="false">
      <c r="A803" s="67" t="str">
        <f aca="false">IF(OR(TRIM(C803)="",SUBSTITUTE(C803," ","")="소계"),"제외",IF(ISNUMBER(SEARCH("홍콩",C803)),"HK",IF(ISNUMBER(SEARCH("상해",C803)),"CN",IF(ISNUMBER(SEARCH("대만",C803)),"TW","홀세일"))))</f>
        <v>CN</v>
      </c>
      <c r="B803" s="87" t="s">
        <v>1076</v>
      </c>
      <c r="C803" s="88" t="s">
        <v>1077</v>
      </c>
      <c r="D803" s="88" t="s">
        <v>723</v>
      </c>
      <c r="E803" s="87" t="n">
        <v>2026</v>
      </c>
      <c r="F803" s="88" t="s">
        <v>277</v>
      </c>
      <c r="G803" s="88" t="s">
        <v>180</v>
      </c>
      <c r="H803" s="87" t="s">
        <v>246</v>
      </c>
      <c r="I803" s="87" t="s">
        <v>755</v>
      </c>
      <c r="J803" s="87" t="s">
        <v>756</v>
      </c>
      <c r="K803" s="89" t="n">
        <v>541</v>
      </c>
      <c r="L803" s="89" t="n">
        <v>80609000</v>
      </c>
      <c r="M803" s="89" t="n">
        <v>27946245</v>
      </c>
      <c r="N803" s="90" t="n">
        <f aca="false">IF(A803="제외",0,IF(OR(N(L803)&lt;=0,N(M803)&gt;N(L803)),N(M803)/가정!$B$4,N(L803)))</f>
        <v>80609000</v>
      </c>
      <c r="O803" s="67" t="str">
        <f aca="false">IF(A803="제외","",IF(OR(N(L803)&lt;=0,N(M803)&gt;N(L803)),"택가보정(판매금액÷공급율)",""))</f>
        <v/>
      </c>
    </row>
    <row r="804" customFormat="false" ht="15" hidden="false" customHeight="true" outlineLevel="0" collapsed="false">
      <c r="A804" s="67" t="str">
        <f aca="false">IF(OR(TRIM(C804)="",SUBSTITUTE(C804," ","")="소계"),"제외",IF(ISNUMBER(SEARCH("홍콩",C804)),"HK",IF(ISNUMBER(SEARCH("상해",C804)),"CN",IF(ISNUMBER(SEARCH("대만",C804)),"TW","홀세일"))))</f>
        <v>CN</v>
      </c>
      <c r="B804" s="87" t="s">
        <v>1076</v>
      </c>
      <c r="C804" s="88" t="s">
        <v>1077</v>
      </c>
      <c r="D804" s="88" t="s">
        <v>723</v>
      </c>
      <c r="E804" s="87" t="n">
        <v>2026</v>
      </c>
      <c r="F804" s="88" t="s">
        <v>277</v>
      </c>
      <c r="G804" s="88" t="s">
        <v>180</v>
      </c>
      <c r="H804" s="87" t="s">
        <v>246</v>
      </c>
      <c r="I804" s="87" t="s">
        <v>1062</v>
      </c>
      <c r="J804" s="87" t="s">
        <v>1063</v>
      </c>
      <c r="K804" s="89" t="n">
        <v>1081</v>
      </c>
      <c r="L804" s="89" t="n">
        <v>182689000</v>
      </c>
      <c r="M804" s="89" t="n">
        <v>58010133</v>
      </c>
      <c r="N804" s="90" t="n">
        <f aca="false">IF(A804="제외",0,IF(OR(N(L804)&lt;=0,N(M804)&gt;N(L804)),N(M804)/가정!$B$4,N(L804)))</f>
        <v>182689000</v>
      </c>
      <c r="O804" s="67" t="str">
        <f aca="false">IF(A804="제외","",IF(OR(N(L804)&lt;=0,N(M804)&gt;N(L804)),"택가보정(판매금액÷공급율)",""))</f>
        <v/>
      </c>
    </row>
    <row r="805" customFormat="false" ht="15" hidden="false" customHeight="true" outlineLevel="0" collapsed="false">
      <c r="A805" s="67" t="str">
        <f aca="false">IF(OR(TRIM(C805)="",SUBSTITUTE(C805," ","")="소계"),"제외",IF(ISNUMBER(SEARCH("홍콩",C805)),"HK",IF(ISNUMBER(SEARCH("상해",C805)),"CN",IF(ISNUMBER(SEARCH("대만",C805)),"TW","홀세일"))))</f>
        <v>CN</v>
      </c>
      <c r="B805" s="87" t="s">
        <v>1076</v>
      </c>
      <c r="C805" s="88" t="s">
        <v>1077</v>
      </c>
      <c r="D805" s="88" t="s">
        <v>723</v>
      </c>
      <c r="E805" s="87" t="n">
        <v>2026</v>
      </c>
      <c r="F805" s="88" t="s">
        <v>277</v>
      </c>
      <c r="G805" s="88" t="s">
        <v>180</v>
      </c>
      <c r="H805" s="87" t="s">
        <v>246</v>
      </c>
      <c r="I805" s="87" t="s">
        <v>1064</v>
      </c>
      <c r="J805" s="87" t="s">
        <v>1065</v>
      </c>
      <c r="K805" s="89" t="n">
        <v>458</v>
      </c>
      <c r="L805" s="89" t="n">
        <v>63662000</v>
      </c>
      <c r="M805" s="89" t="n">
        <v>21619698</v>
      </c>
      <c r="N805" s="90" t="n">
        <f aca="false">IF(A805="제외",0,IF(OR(N(L805)&lt;=0,N(M805)&gt;N(L805)),N(M805)/가정!$B$4,N(L805)))</f>
        <v>63662000</v>
      </c>
      <c r="O805" s="67" t="str">
        <f aca="false">IF(A805="제외","",IF(OR(N(L805)&lt;=0,N(M805)&gt;N(L805)),"택가보정(판매금액÷공급율)",""))</f>
        <v/>
      </c>
    </row>
    <row r="806" customFormat="false" ht="15" hidden="false" customHeight="true" outlineLevel="0" collapsed="false">
      <c r="A806" s="67" t="str">
        <f aca="false">IF(OR(TRIM(C806)="",SUBSTITUTE(C806," ","")="소계"),"제외",IF(ISNUMBER(SEARCH("홍콩",C806)),"HK",IF(ISNUMBER(SEARCH("상해",C806)),"CN",IF(ISNUMBER(SEARCH("대만",C806)),"TW","홀세일"))))</f>
        <v>CN</v>
      </c>
      <c r="B806" s="87" t="s">
        <v>1076</v>
      </c>
      <c r="C806" s="88" t="s">
        <v>1077</v>
      </c>
      <c r="D806" s="88" t="s">
        <v>723</v>
      </c>
      <c r="E806" s="87" t="n">
        <v>2026</v>
      </c>
      <c r="F806" s="88" t="s">
        <v>277</v>
      </c>
      <c r="G806" s="88" t="s">
        <v>180</v>
      </c>
      <c r="H806" s="87" t="s">
        <v>246</v>
      </c>
      <c r="I806" s="87" t="s">
        <v>1205</v>
      </c>
      <c r="J806" s="87" t="s">
        <v>1206</v>
      </c>
      <c r="K806" s="89" t="n">
        <v>1081</v>
      </c>
      <c r="L806" s="89" t="n">
        <v>204309000</v>
      </c>
      <c r="M806" s="89" t="n">
        <v>51489308</v>
      </c>
      <c r="N806" s="90" t="n">
        <f aca="false">IF(A806="제외",0,IF(OR(N(L806)&lt;=0,N(M806)&gt;N(L806)),N(M806)/가정!$B$4,N(L806)))</f>
        <v>204309000</v>
      </c>
      <c r="O806" s="67" t="str">
        <f aca="false">IF(A806="제외","",IF(OR(N(L806)&lt;=0,N(M806)&gt;N(L806)),"택가보정(판매금액÷공급율)",""))</f>
        <v/>
      </c>
    </row>
    <row r="807" customFormat="false" ht="15" hidden="false" customHeight="true" outlineLevel="0" collapsed="false">
      <c r="A807" s="67" t="str">
        <f aca="false">IF(OR(TRIM(C807)="",SUBSTITUTE(C807," ","")="소계"),"제외",IF(ISNUMBER(SEARCH("홍콩",C807)),"HK",IF(ISNUMBER(SEARCH("상해",C807)),"CN",IF(ISNUMBER(SEARCH("대만",C807)),"TW","홀세일"))))</f>
        <v>CN</v>
      </c>
      <c r="B807" s="87" t="s">
        <v>1076</v>
      </c>
      <c r="C807" s="88" t="s">
        <v>1077</v>
      </c>
      <c r="D807" s="88" t="s">
        <v>723</v>
      </c>
      <c r="E807" s="87" t="n">
        <v>2026</v>
      </c>
      <c r="F807" s="88" t="s">
        <v>277</v>
      </c>
      <c r="G807" s="88" t="s">
        <v>180</v>
      </c>
      <c r="H807" s="87" t="s">
        <v>246</v>
      </c>
      <c r="I807" s="87" t="s">
        <v>759</v>
      </c>
      <c r="J807" s="87" t="s">
        <v>760</v>
      </c>
      <c r="K807" s="89" t="n">
        <v>635</v>
      </c>
      <c r="L807" s="89" t="n">
        <v>100965000</v>
      </c>
      <c r="M807" s="89" t="n">
        <v>26852837</v>
      </c>
      <c r="N807" s="90" t="n">
        <f aca="false">IF(A807="제외",0,IF(OR(N(L807)&lt;=0,N(M807)&gt;N(L807)),N(M807)/가정!$B$4,N(L807)))</f>
        <v>100965000</v>
      </c>
      <c r="O807" s="67" t="str">
        <f aca="false">IF(A807="제외","",IF(OR(N(L807)&lt;=0,N(M807)&gt;N(L807)),"택가보정(판매금액÷공급율)",""))</f>
        <v/>
      </c>
    </row>
    <row r="808" customFormat="false" ht="15" hidden="false" customHeight="true" outlineLevel="0" collapsed="false">
      <c r="A808" s="67" t="str">
        <f aca="false">IF(OR(TRIM(C808)="",SUBSTITUTE(C808," ","")="소계"),"제외",IF(ISNUMBER(SEARCH("홍콩",C808)),"HK",IF(ISNUMBER(SEARCH("상해",C808)),"CN",IF(ISNUMBER(SEARCH("대만",C808)),"TW","홀세일"))))</f>
        <v>CN</v>
      </c>
      <c r="B808" s="87" t="s">
        <v>1076</v>
      </c>
      <c r="C808" s="88" t="s">
        <v>1077</v>
      </c>
      <c r="D808" s="88" t="s">
        <v>723</v>
      </c>
      <c r="E808" s="87" t="n">
        <v>2026</v>
      </c>
      <c r="F808" s="88" t="s">
        <v>277</v>
      </c>
      <c r="G808" s="88" t="s">
        <v>180</v>
      </c>
      <c r="H808" s="87" t="s">
        <v>246</v>
      </c>
      <c r="I808" s="87" t="s">
        <v>1066</v>
      </c>
      <c r="J808" s="87" t="s">
        <v>1067</v>
      </c>
      <c r="K808" s="89" t="n">
        <v>412</v>
      </c>
      <c r="L808" s="89" t="n">
        <v>61388000</v>
      </c>
      <c r="M808" s="89" t="n">
        <v>18248493</v>
      </c>
      <c r="N808" s="90" t="n">
        <f aca="false">IF(A808="제외",0,IF(OR(N(L808)&lt;=0,N(M808)&gt;N(L808)),N(M808)/가정!$B$4,N(L808)))</f>
        <v>61388000</v>
      </c>
      <c r="O808" s="67" t="str">
        <f aca="false">IF(A808="제외","",IF(OR(N(L808)&lt;=0,N(M808)&gt;N(L808)),"택가보정(판매금액÷공급율)",""))</f>
        <v/>
      </c>
    </row>
    <row r="809" customFormat="false" ht="15" hidden="false" customHeight="true" outlineLevel="0" collapsed="false">
      <c r="A809" s="67" t="str">
        <f aca="false">IF(OR(TRIM(C809)="",SUBSTITUTE(C809," ","")="소계"),"제외",IF(ISNUMBER(SEARCH("홍콩",C809)),"HK",IF(ISNUMBER(SEARCH("상해",C809)),"CN",IF(ISNUMBER(SEARCH("대만",C809)),"TW","홀세일"))))</f>
        <v>CN</v>
      </c>
      <c r="B809" s="87" t="s">
        <v>1076</v>
      </c>
      <c r="C809" s="88" t="s">
        <v>1077</v>
      </c>
      <c r="D809" s="88" t="s">
        <v>723</v>
      </c>
      <c r="E809" s="87" t="n">
        <v>2026</v>
      </c>
      <c r="F809" s="88" t="s">
        <v>277</v>
      </c>
      <c r="G809" s="88" t="s">
        <v>180</v>
      </c>
      <c r="H809" s="87" t="s">
        <v>246</v>
      </c>
      <c r="I809" s="87" t="s">
        <v>1207</v>
      </c>
      <c r="J809" s="87" t="s">
        <v>1208</v>
      </c>
      <c r="K809" s="89" t="n">
        <v>1</v>
      </c>
      <c r="L809" s="89" t="n">
        <v>189000</v>
      </c>
      <c r="M809" s="89" t="n">
        <v>62741</v>
      </c>
      <c r="N809" s="90" t="n">
        <f aca="false">IF(A809="제외",0,IF(OR(N(L809)&lt;=0,N(M809)&gt;N(L809)),N(M809)/가정!$B$4,N(L809)))</f>
        <v>189000</v>
      </c>
      <c r="O809" s="67" t="str">
        <f aca="false">IF(A809="제외","",IF(OR(N(L809)&lt;=0,N(M809)&gt;N(L809)),"택가보정(판매금액÷공급율)",""))</f>
        <v/>
      </c>
    </row>
    <row r="810" customFormat="false" ht="15" hidden="false" customHeight="true" outlineLevel="0" collapsed="false">
      <c r="A810" s="67" t="str">
        <f aca="false">IF(OR(TRIM(C810)="",SUBSTITUTE(C810," ","")="소계"),"제외",IF(ISNUMBER(SEARCH("홍콩",C810)),"HK",IF(ISNUMBER(SEARCH("상해",C810)),"CN",IF(ISNUMBER(SEARCH("대만",C810)),"TW","홀세일"))))</f>
        <v>CN</v>
      </c>
      <c r="B810" s="87" t="s">
        <v>1076</v>
      </c>
      <c r="C810" s="88" t="s">
        <v>1077</v>
      </c>
      <c r="D810" s="88" t="s">
        <v>723</v>
      </c>
      <c r="E810" s="87" t="n">
        <v>2026</v>
      </c>
      <c r="F810" s="88" t="s">
        <v>277</v>
      </c>
      <c r="G810" s="88" t="s">
        <v>180</v>
      </c>
      <c r="H810" s="87" t="s">
        <v>246</v>
      </c>
      <c r="I810" s="87" t="s">
        <v>761</v>
      </c>
      <c r="J810" s="87" t="s">
        <v>762</v>
      </c>
      <c r="K810" s="89" t="n">
        <v>276</v>
      </c>
      <c r="L810" s="89" t="n">
        <v>46644000</v>
      </c>
      <c r="M810" s="89" t="n">
        <v>15920012</v>
      </c>
      <c r="N810" s="90" t="n">
        <f aca="false">IF(A810="제외",0,IF(OR(N(L810)&lt;=0,N(M810)&gt;N(L810)),N(M810)/가정!$B$4,N(L810)))</f>
        <v>46644000</v>
      </c>
      <c r="O810" s="67" t="str">
        <f aca="false">IF(A810="제외","",IF(OR(N(L810)&lt;=0,N(M810)&gt;N(L810)),"택가보정(판매금액÷공급율)",""))</f>
        <v/>
      </c>
    </row>
    <row r="811" customFormat="false" ht="15" hidden="false" customHeight="true" outlineLevel="0" collapsed="false">
      <c r="A811" s="67" t="str">
        <f aca="false">IF(OR(TRIM(C811)="",SUBSTITUTE(C811," ","")="소계"),"제외",IF(ISNUMBER(SEARCH("홍콩",C811)),"HK",IF(ISNUMBER(SEARCH("상해",C811)),"CN",IF(ISNUMBER(SEARCH("대만",C811)),"TW","홀세일"))))</f>
        <v>CN</v>
      </c>
      <c r="B811" s="87" t="s">
        <v>1076</v>
      </c>
      <c r="C811" s="88" t="s">
        <v>1077</v>
      </c>
      <c r="D811" s="88" t="s">
        <v>723</v>
      </c>
      <c r="E811" s="87" t="n">
        <v>2026</v>
      </c>
      <c r="F811" s="88" t="s">
        <v>277</v>
      </c>
      <c r="G811" s="88" t="s">
        <v>180</v>
      </c>
      <c r="H811" s="87" t="s">
        <v>246</v>
      </c>
      <c r="I811" s="87" t="s">
        <v>1209</v>
      </c>
      <c r="J811" s="87" t="s">
        <v>1210</v>
      </c>
      <c r="K811" s="89" t="n">
        <v>483</v>
      </c>
      <c r="L811" s="89" t="n">
        <v>42987000</v>
      </c>
      <c r="M811" s="89" t="n">
        <v>13315443</v>
      </c>
      <c r="N811" s="90" t="n">
        <f aca="false">IF(A811="제외",0,IF(OR(N(L811)&lt;=0,N(M811)&gt;N(L811)),N(M811)/가정!$B$4,N(L811)))</f>
        <v>42987000</v>
      </c>
      <c r="O811" s="67" t="str">
        <f aca="false">IF(A811="제외","",IF(OR(N(L811)&lt;=0,N(M811)&gt;N(L811)),"택가보정(판매금액÷공급율)",""))</f>
        <v/>
      </c>
    </row>
    <row r="812" customFormat="false" ht="15" hidden="false" customHeight="true" outlineLevel="0" collapsed="false">
      <c r="A812" s="67" t="str">
        <f aca="false">IF(OR(TRIM(C812)="",SUBSTITUTE(C812," ","")="소계"),"제외",IF(ISNUMBER(SEARCH("홍콩",C812)),"HK",IF(ISNUMBER(SEARCH("상해",C812)),"CN",IF(ISNUMBER(SEARCH("대만",C812)),"TW","홀세일"))))</f>
        <v>CN</v>
      </c>
      <c r="B812" s="87" t="s">
        <v>1076</v>
      </c>
      <c r="C812" s="88" t="s">
        <v>1077</v>
      </c>
      <c r="D812" s="88" t="s">
        <v>723</v>
      </c>
      <c r="E812" s="87" t="n">
        <v>2026</v>
      </c>
      <c r="F812" s="88" t="s">
        <v>277</v>
      </c>
      <c r="G812" s="88" t="s">
        <v>180</v>
      </c>
      <c r="H812" s="87" t="s">
        <v>246</v>
      </c>
      <c r="I812" s="87" t="s">
        <v>1211</v>
      </c>
      <c r="J812" s="87" t="s">
        <v>1212</v>
      </c>
      <c r="K812" s="89" t="n">
        <v>497</v>
      </c>
      <c r="L812" s="89" t="n">
        <v>54173000</v>
      </c>
      <c r="M812" s="89" t="n">
        <v>15942621</v>
      </c>
      <c r="N812" s="90" t="n">
        <f aca="false">IF(A812="제외",0,IF(OR(N(L812)&lt;=0,N(M812)&gt;N(L812)),N(M812)/가정!$B$4,N(L812)))</f>
        <v>54173000</v>
      </c>
      <c r="O812" s="67" t="str">
        <f aca="false">IF(A812="제외","",IF(OR(N(L812)&lt;=0,N(M812)&gt;N(L812)),"택가보정(판매금액÷공급율)",""))</f>
        <v/>
      </c>
    </row>
    <row r="813" customFormat="false" ht="15" hidden="false" customHeight="true" outlineLevel="0" collapsed="false">
      <c r="A813" s="67" t="str">
        <f aca="false">IF(OR(TRIM(C813)="",SUBSTITUTE(C813," ","")="소계"),"제외",IF(ISNUMBER(SEARCH("홍콩",C813)),"HK",IF(ISNUMBER(SEARCH("상해",C813)),"CN",IF(ISNUMBER(SEARCH("대만",C813)),"TW","홀세일"))))</f>
        <v>CN</v>
      </c>
      <c r="B813" s="87" t="s">
        <v>1076</v>
      </c>
      <c r="C813" s="88" t="s">
        <v>1077</v>
      </c>
      <c r="D813" s="88" t="s">
        <v>723</v>
      </c>
      <c r="E813" s="87" t="n">
        <v>2026</v>
      </c>
      <c r="F813" s="88" t="s">
        <v>277</v>
      </c>
      <c r="G813" s="88" t="s">
        <v>180</v>
      </c>
      <c r="H813" s="87" t="s">
        <v>246</v>
      </c>
      <c r="I813" s="87" t="s">
        <v>1068</v>
      </c>
      <c r="J813" s="87" t="s">
        <v>1069</v>
      </c>
      <c r="K813" s="89" t="n">
        <v>273</v>
      </c>
      <c r="L813" s="89" t="n">
        <v>27027000</v>
      </c>
      <c r="M813" s="89" t="n">
        <v>10319360</v>
      </c>
      <c r="N813" s="90" t="n">
        <f aca="false">IF(A813="제외",0,IF(OR(N(L813)&lt;=0,N(M813)&gt;N(L813)),N(M813)/가정!$B$4,N(L813)))</f>
        <v>27027000</v>
      </c>
      <c r="O813" s="67" t="str">
        <f aca="false">IF(A813="제외","",IF(OR(N(L813)&lt;=0,N(M813)&gt;N(L813)),"택가보정(판매금액÷공급율)",""))</f>
        <v/>
      </c>
    </row>
    <row r="814" customFormat="false" ht="15" hidden="false" customHeight="true" outlineLevel="0" collapsed="false">
      <c r="A814" s="67" t="str">
        <f aca="false">IF(OR(TRIM(C814)="",SUBSTITUTE(C814," ","")="소계"),"제외",IF(ISNUMBER(SEARCH("홍콩",C814)),"HK",IF(ISNUMBER(SEARCH("상해",C814)),"CN",IF(ISNUMBER(SEARCH("대만",C814)),"TW","홀세일"))))</f>
        <v>CN</v>
      </c>
      <c r="B814" s="87" t="s">
        <v>1076</v>
      </c>
      <c r="C814" s="88" t="s">
        <v>1077</v>
      </c>
      <c r="D814" s="88" t="s">
        <v>723</v>
      </c>
      <c r="E814" s="87" t="n">
        <v>2026</v>
      </c>
      <c r="F814" s="88" t="s">
        <v>277</v>
      </c>
      <c r="G814" s="88" t="s">
        <v>180</v>
      </c>
      <c r="H814" s="87" t="s">
        <v>246</v>
      </c>
      <c r="I814" s="87" t="s">
        <v>1070</v>
      </c>
      <c r="J814" s="87" t="s">
        <v>1071</v>
      </c>
      <c r="K814" s="89" t="n">
        <v>372</v>
      </c>
      <c r="L814" s="89" t="n">
        <v>25668000</v>
      </c>
      <c r="M814" s="89" t="n">
        <v>7761584</v>
      </c>
      <c r="N814" s="90" t="n">
        <f aca="false">IF(A814="제외",0,IF(OR(N(L814)&lt;=0,N(M814)&gt;N(L814)),N(M814)/가정!$B$4,N(L814)))</f>
        <v>25668000</v>
      </c>
      <c r="O814" s="67" t="str">
        <f aca="false">IF(A814="제외","",IF(OR(N(L814)&lt;=0,N(M814)&gt;N(L814)),"택가보정(판매금액÷공급율)",""))</f>
        <v/>
      </c>
    </row>
    <row r="815" customFormat="false" ht="15" hidden="false" customHeight="true" outlineLevel="0" collapsed="false">
      <c r="A815" s="67" t="str">
        <f aca="false">IF(OR(TRIM(C815)="",SUBSTITUTE(C815," ","")="소계"),"제외",IF(ISNUMBER(SEARCH("홍콩",C815)),"HK",IF(ISNUMBER(SEARCH("상해",C815)),"CN",IF(ISNUMBER(SEARCH("대만",C815)),"TW","홀세일"))))</f>
        <v>CN</v>
      </c>
      <c r="B815" s="87" t="s">
        <v>1076</v>
      </c>
      <c r="C815" s="88" t="s">
        <v>1077</v>
      </c>
      <c r="D815" s="88" t="s">
        <v>723</v>
      </c>
      <c r="E815" s="87" t="n">
        <v>2026</v>
      </c>
      <c r="F815" s="88" t="s">
        <v>277</v>
      </c>
      <c r="G815" s="88" t="s">
        <v>180</v>
      </c>
      <c r="H815" s="87" t="s">
        <v>246</v>
      </c>
      <c r="I815" s="87" t="s">
        <v>1072</v>
      </c>
      <c r="J815" s="87" t="s">
        <v>1073</v>
      </c>
      <c r="K815" s="89" t="n">
        <v>595</v>
      </c>
      <c r="L815" s="89" t="n">
        <v>64855000</v>
      </c>
      <c r="M815" s="89" t="n">
        <v>22581297</v>
      </c>
      <c r="N815" s="90" t="n">
        <f aca="false">IF(A815="제외",0,IF(OR(N(L815)&lt;=0,N(M815)&gt;N(L815)),N(M815)/가정!$B$4,N(L815)))</f>
        <v>64855000</v>
      </c>
      <c r="O815" s="67" t="str">
        <f aca="false">IF(A815="제외","",IF(OR(N(L815)&lt;=0,N(M815)&gt;N(L815)),"택가보정(판매금액÷공급율)",""))</f>
        <v/>
      </c>
    </row>
    <row r="816" customFormat="false" ht="15" hidden="false" customHeight="true" outlineLevel="0" collapsed="false">
      <c r="A816" s="67" t="str">
        <f aca="false">IF(OR(TRIM(C816)="",SUBSTITUTE(C816," ","")="소계"),"제외",IF(ISNUMBER(SEARCH("홍콩",C816)),"HK",IF(ISNUMBER(SEARCH("상해",C816)),"CN",IF(ISNUMBER(SEARCH("대만",C816)),"TW","홀세일"))))</f>
        <v>CN</v>
      </c>
      <c r="B816" s="87" t="s">
        <v>1076</v>
      </c>
      <c r="C816" s="88" t="s">
        <v>1077</v>
      </c>
      <c r="D816" s="88" t="s">
        <v>723</v>
      </c>
      <c r="E816" s="87" t="n">
        <v>2026</v>
      </c>
      <c r="F816" s="88" t="s">
        <v>277</v>
      </c>
      <c r="G816" s="88" t="s">
        <v>180</v>
      </c>
      <c r="H816" s="87" t="s">
        <v>246</v>
      </c>
      <c r="I816" s="87" t="s">
        <v>1213</v>
      </c>
      <c r="J816" s="87" t="s">
        <v>1214</v>
      </c>
      <c r="K816" s="89" t="n">
        <v>520</v>
      </c>
      <c r="L816" s="89" t="n">
        <v>51480000</v>
      </c>
      <c r="M816" s="89" t="n">
        <v>13232268</v>
      </c>
      <c r="N816" s="90" t="n">
        <f aca="false">IF(A816="제외",0,IF(OR(N(L816)&lt;=0,N(M816)&gt;N(L816)),N(M816)/가정!$B$4,N(L816)))</f>
        <v>51480000</v>
      </c>
      <c r="O816" s="67" t="str">
        <f aca="false">IF(A816="제외","",IF(OR(N(L816)&lt;=0,N(M816)&gt;N(L816)),"택가보정(판매금액÷공급율)",""))</f>
        <v/>
      </c>
    </row>
    <row r="817" customFormat="false" ht="15" hidden="false" customHeight="true" outlineLevel="0" collapsed="false">
      <c r="A817" s="67" t="str">
        <f aca="false">IF(OR(TRIM(C817)="",SUBSTITUTE(C817," ","")="소계"),"제외",IF(ISNUMBER(SEARCH("홍콩",C817)),"HK",IF(ISNUMBER(SEARCH("상해",C817)),"CN",IF(ISNUMBER(SEARCH("대만",C817)),"TW","홀세일"))))</f>
        <v>CN</v>
      </c>
      <c r="B817" s="87" t="s">
        <v>1076</v>
      </c>
      <c r="C817" s="88" t="s">
        <v>1077</v>
      </c>
      <c r="D817" s="88" t="s">
        <v>723</v>
      </c>
      <c r="E817" s="87" t="n">
        <v>2026</v>
      </c>
      <c r="F817" s="88" t="s">
        <v>277</v>
      </c>
      <c r="G817" s="88" t="s">
        <v>180</v>
      </c>
      <c r="H817" s="87" t="s">
        <v>246</v>
      </c>
      <c r="I817" s="87" t="s">
        <v>1215</v>
      </c>
      <c r="J817" s="87" t="s">
        <v>1216</v>
      </c>
      <c r="K817" s="89" t="n">
        <v>511</v>
      </c>
      <c r="L817" s="89" t="n">
        <v>40369000</v>
      </c>
      <c r="M817" s="89" t="n">
        <v>11303414</v>
      </c>
      <c r="N817" s="90" t="n">
        <f aca="false">IF(A817="제외",0,IF(OR(N(L817)&lt;=0,N(M817)&gt;N(L817)),N(M817)/가정!$B$4,N(L817)))</f>
        <v>40369000</v>
      </c>
      <c r="O817" s="67" t="str">
        <f aca="false">IF(A817="제외","",IF(OR(N(L817)&lt;=0,N(M817)&gt;N(L817)),"택가보정(판매금액÷공급율)",""))</f>
        <v/>
      </c>
    </row>
    <row r="818" customFormat="false" ht="15" hidden="false" customHeight="true" outlineLevel="0" collapsed="false">
      <c r="A818" s="67" t="str">
        <f aca="false">IF(OR(TRIM(C818)="",SUBSTITUTE(C818," ","")="소계"),"제외",IF(ISNUMBER(SEARCH("홍콩",C818)),"HK",IF(ISNUMBER(SEARCH("상해",C818)),"CN",IF(ISNUMBER(SEARCH("대만",C818)),"TW","홀세일"))))</f>
        <v>CN</v>
      </c>
      <c r="B818" s="87" t="s">
        <v>1076</v>
      </c>
      <c r="C818" s="88" t="s">
        <v>1077</v>
      </c>
      <c r="D818" s="88" t="s">
        <v>723</v>
      </c>
      <c r="E818" s="87" t="n">
        <v>2026</v>
      </c>
      <c r="F818" s="88" t="s">
        <v>277</v>
      </c>
      <c r="G818" s="88" t="s">
        <v>180</v>
      </c>
      <c r="H818" s="87" t="s">
        <v>246</v>
      </c>
      <c r="I818" s="87" t="s">
        <v>765</v>
      </c>
      <c r="J818" s="87" t="s">
        <v>766</v>
      </c>
      <c r="K818" s="89" t="n">
        <v>313</v>
      </c>
      <c r="L818" s="89" t="n">
        <v>30987000</v>
      </c>
      <c r="M818" s="89" t="n">
        <v>10727433</v>
      </c>
      <c r="N818" s="90" t="n">
        <f aca="false">IF(A818="제외",0,IF(OR(N(L818)&lt;=0,N(M818)&gt;N(L818)),N(M818)/가정!$B$4,N(L818)))</f>
        <v>30987000</v>
      </c>
      <c r="O818" s="67" t="str">
        <f aca="false">IF(A818="제외","",IF(OR(N(L818)&lt;=0,N(M818)&gt;N(L818)),"택가보정(판매금액÷공급율)",""))</f>
        <v/>
      </c>
    </row>
    <row r="819" customFormat="false" ht="15" hidden="false" customHeight="true" outlineLevel="0" collapsed="false">
      <c r="A819" s="67" t="str">
        <f aca="false">IF(OR(TRIM(C819)="",SUBSTITUTE(C819," ","")="소계"),"제외",IF(ISNUMBER(SEARCH("홍콩",C819)),"HK",IF(ISNUMBER(SEARCH("상해",C819)),"CN",IF(ISNUMBER(SEARCH("대만",C819)),"TW","홀세일"))))</f>
        <v>CN</v>
      </c>
      <c r="B819" s="87" t="s">
        <v>1076</v>
      </c>
      <c r="C819" s="88" t="s">
        <v>1077</v>
      </c>
      <c r="D819" s="88" t="s">
        <v>723</v>
      </c>
      <c r="E819" s="87" t="n">
        <v>2026</v>
      </c>
      <c r="F819" s="88" t="s">
        <v>277</v>
      </c>
      <c r="G819" s="88" t="s">
        <v>180</v>
      </c>
      <c r="H819" s="87" t="s">
        <v>246</v>
      </c>
      <c r="I819" s="87" t="s">
        <v>1217</v>
      </c>
      <c r="J819" s="87" t="s">
        <v>1218</v>
      </c>
      <c r="K819" s="89" t="n">
        <v>568</v>
      </c>
      <c r="L819" s="89" t="n">
        <v>56232000</v>
      </c>
      <c r="M819" s="89" t="n">
        <v>20016817</v>
      </c>
      <c r="N819" s="90" t="n">
        <f aca="false">IF(A819="제외",0,IF(OR(N(L819)&lt;=0,N(M819)&gt;N(L819)),N(M819)/가정!$B$4,N(L819)))</f>
        <v>56232000</v>
      </c>
      <c r="O819" s="67" t="str">
        <f aca="false">IF(A819="제외","",IF(OR(N(L819)&lt;=0,N(M819)&gt;N(L819)),"택가보정(판매금액÷공급율)",""))</f>
        <v/>
      </c>
    </row>
    <row r="820" customFormat="false" ht="15" hidden="false" customHeight="true" outlineLevel="0" collapsed="false">
      <c r="A820" s="67" t="str">
        <f aca="false">IF(OR(TRIM(C820)="",SUBSTITUTE(C820," ","")="소계"),"제외",IF(ISNUMBER(SEARCH("홍콩",C820)),"HK",IF(ISNUMBER(SEARCH("상해",C820)),"CN",IF(ISNUMBER(SEARCH("대만",C820)),"TW","홀세일"))))</f>
        <v>CN</v>
      </c>
      <c r="B820" s="87" t="s">
        <v>1076</v>
      </c>
      <c r="C820" s="88" t="s">
        <v>1077</v>
      </c>
      <c r="D820" s="88" t="s">
        <v>723</v>
      </c>
      <c r="E820" s="87" t="n">
        <v>2026</v>
      </c>
      <c r="F820" s="88" t="s">
        <v>421</v>
      </c>
      <c r="G820" s="88" t="s">
        <v>180</v>
      </c>
      <c r="H820" s="87" t="s">
        <v>189</v>
      </c>
      <c r="I820" s="87" t="s">
        <v>1219</v>
      </c>
      <c r="J820" s="88" t="s">
        <v>1220</v>
      </c>
      <c r="K820" s="89" t="n">
        <v>383</v>
      </c>
      <c r="L820" s="89" t="n">
        <v>60897000</v>
      </c>
      <c r="M820" s="89" t="n">
        <v>24068694</v>
      </c>
      <c r="N820" s="90" t="n">
        <f aca="false">IF(A820="제외",0,IF(OR(N(L820)&lt;=0,N(M820)&gt;N(L820)),N(M820)/가정!$B$4,N(L820)))</f>
        <v>60897000</v>
      </c>
      <c r="O820" s="67" t="str">
        <f aca="false">IF(A820="제외","",IF(OR(N(L820)&lt;=0,N(M820)&gt;N(L820)),"택가보정(판매금액÷공급율)",""))</f>
        <v/>
      </c>
    </row>
    <row r="821" customFormat="false" ht="15" hidden="false" customHeight="true" outlineLevel="0" collapsed="false">
      <c r="A821" s="67" t="str">
        <f aca="false">IF(OR(TRIM(C821)="",SUBSTITUTE(C821," ","")="소계"),"제외",IF(ISNUMBER(SEARCH("홍콩",C821)),"HK",IF(ISNUMBER(SEARCH("상해",C821)),"CN",IF(ISNUMBER(SEARCH("대만",C821)),"TW","홀세일"))))</f>
        <v>CN</v>
      </c>
      <c r="B821" s="87" t="s">
        <v>1076</v>
      </c>
      <c r="C821" s="88" t="s">
        <v>1077</v>
      </c>
      <c r="D821" s="88" t="s">
        <v>723</v>
      </c>
      <c r="E821" s="87" t="n">
        <v>2026</v>
      </c>
      <c r="F821" s="88" t="s">
        <v>421</v>
      </c>
      <c r="G821" s="88" t="s">
        <v>180</v>
      </c>
      <c r="H821" s="87" t="s">
        <v>189</v>
      </c>
      <c r="I821" s="87" t="s">
        <v>1221</v>
      </c>
      <c r="J821" s="88" t="s">
        <v>1222</v>
      </c>
      <c r="K821" s="89" t="n">
        <v>294</v>
      </c>
      <c r="L821" s="89" t="n">
        <v>52626000</v>
      </c>
      <c r="M821" s="89" t="n">
        <v>19189968</v>
      </c>
      <c r="N821" s="90" t="n">
        <f aca="false">IF(A821="제외",0,IF(OR(N(L821)&lt;=0,N(M821)&gt;N(L821)),N(M821)/가정!$B$4,N(L821)))</f>
        <v>52626000</v>
      </c>
      <c r="O821" s="67" t="str">
        <f aca="false">IF(A821="제외","",IF(OR(N(L821)&lt;=0,N(M821)&gt;N(L821)),"택가보정(판매금액÷공급율)",""))</f>
        <v/>
      </c>
    </row>
    <row r="822" customFormat="false" ht="15" hidden="false" customHeight="true" outlineLevel="0" collapsed="false">
      <c r="A822" s="67" t="str">
        <f aca="false">IF(OR(TRIM(C822)="",SUBSTITUTE(C822," ","")="소계"),"제외",IF(ISNUMBER(SEARCH("홍콩",C822)),"HK",IF(ISNUMBER(SEARCH("상해",C822)),"CN",IF(ISNUMBER(SEARCH("대만",C822)),"TW","홀세일"))))</f>
        <v>CN</v>
      </c>
      <c r="B822" s="87" t="s">
        <v>1076</v>
      </c>
      <c r="C822" s="88" t="s">
        <v>1077</v>
      </c>
      <c r="D822" s="88" t="s">
        <v>723</v>
      </c>
      <c r="E822" s="87" t="n">
        <v>2026</v>
      </c>
      <c r="F822" s="88" t="s">
        <v>421</v>
      </c>
      <c r="G822" s="88" t="s">
        <v>180</v>
      </c>
      <c r="H822" s="87" t="s">
        <v>189</v>
      </c>
      <c r="I822" s="87" t="s">
        <v>1223</v>
      </c>
      <c r="J822" s="88" t="s">
        <v>1224</v>
      </c>
      <c r="K822" s="89" t="n">
        <v>75</v>
      </c>
      <c r="L822" s="89" t="n">
        <v>14925000</v>
      </c>
      <c r="M822" s="89" t="n">
        <v>6042781</v>
      </c>
      <c r="N822" s="90" t="n">
        <f aca="false">IF(A822="제외",0,IF(OR(N(L822)&lt;=0,N(M822)&gt;N(L822)),N(M822)/가정!$B$4,N(L822)))</f>
        <v>14925000</v>
      </c>
      <c r="O822" s="67" t="str">
        <f aca="false">IF(A822="제외","",IF(OR(N(L822)&lt;=0,N(M822)&gt;N(L822)),"택가보정(판매금액÷공급율)",""))</f>
        <v/>
      </c>
    </row>
    <row r="823" customFormat="false" ht="15" hidden="false" customHeight="true" outlineLevel="0" collapsed="false">
      <c r="A823" s="67" t="str">
        <f aca="false">IF(OR(TRIM(C823)="",SUBSTITUTE(C823," ","")="소계"),"제외",IF(ISNUMBER(SEARCH("홍콩",C823)),"HK",IF(ISNUMBER(SEARCH("상해",C823)),"CN",IF(ISNUMBER(SEARCH("대만",C823)),"TW","홀세일"))))</f>
        <v>CN</v>
      </c>
      <c r="B823" s="87" t="s">
        <v>1076</v>
      </c>
      <c r="C823" s="88" t="s">
        <v>1077</v>
      </c>
      <c r="D823" s="88" t="s">
        <v>723</v>
      </c>
      <c r="E823" s="87" t="n">
        <v>2026</v>
      </c>
      <c r="F823" s="88" t="s">
        <v>421</v>
      </c>
      <c r="G823" s="88" t="s">
        <v>180</v>
      </c>
      <c r="H823" s="87" t="s">
        <v>189</v>
      </c>
      <c r="I823" s="87" t="s">
        <v>767</v>
      </c>
      <c r="J823" s="87" t="s">
        <v>768</v>
      </c>
      <c r="K823" s="89" t="n">
        <v>565</v>
      </c>
      <c r="L823" s="89" t="n">
        <v>264985000</v>
      </c>
      <c r="M823" s="89" t="n">
        <v>94020410</v>
      </c>
      <c r="N823" s="90" t="n">
        <f aca="false">IF(A823="제외",0,IF(OR(N(L823)&lt;=0,N(M823)&gt;N(L823)),N(M823)/가정!$B$4,N(L823)))</f>
        <v>264985000</v>
      </c>
      <c r="O823" s="67" t="str">
        <f aca="false">IF(A823="제외","",IF(OR(N(L823)&lt;=0,N(M823)&gt;N(L823)),"택가보정(판매금액÷공급율)",""))</f>
        <v/>
      </c>
    </row>
    <row r="824" customFormat="false" ht="15" hidden="false" customHeight="true" outlineLevel="0" collapsed="false">
      <c r="A824" s="67" t="str">
        <f aca="false">IF(OR(TRIM(C824)="",SUBSTITUTE(C824," ","")="소계"),"제외",IF(ISNUMBER(SEARCH("홍콩",C824)),"HK",IF(ISNUMBER(SEARCH("상해",C824)),"CN",IF(ISNUMBER(SEARCH("대만",C824)),"TW","홀세일"))))</f>
        <v>CN</v>
      </c>
      <c r="B824" s="87" t="s">
        <v>1076</v>
      </c>
      <c r="C824" s="88" t="s">
        <v>1077</v>
      </c>
      <c r="D824" s="88" t="s">
        <v>723</v>
      </c>
      <c r="E824" s="87" t="n">
        <v>2026</v>
      </c>
      <c r="F824" s="88" t="s">
        <v>421</v>
      </c>
      <c r="G824" s="88" t="s">
        <v>180</v>
      </c>
      <c r="H824" s="87" t="s">
        <v>189</v>
      </c>
      <c r="I824" s="87" t="s">
        <v>1225</v>
      </c>
      <c r="J824" s="88" t="s">
        <v>1226</v>
      </c>
      <c r="K824" s="89" t="n">
        <v>164</v>
      </c>
      <c r="L824" s="89" t="n">
        <v>34276000</v>
      </c>
      <c r="M824" s="89" t="n">
        <v>12558391</v>
      </c>
      <c r="N824" s="90" t="n">
        <f aca="false">IF(A824="제외",0,IF(OR(N(L824)&lt;=0,N(M824)&gt;N(L824)),N(M824)/가정!$B$4,N(L824)))</f>
        <v>34276000</v>
      </c>
      <c r="O824" s="67" t="str">
        <f aca="false">IF(A824="제외","",IF(OR(N(L824)&lt;=0,N(M824)&gt;N(L824)),"택가보정(판매금액÷공급율)",""))</f>
        <v/>
      </c>
    </row>
    <row r="825" customFormat="false" ht="15" hidden="false" customHeight="true" outlineLevel="0" collapsed="false">
      <c r="A825" s="67" t="str">
        <f aca="false">IF(OR(TRIM(C825)="",SUBSTITUTE(C825," ","")="소계"),"제외",IF(ISNUMBER(SEARCH("홍콩",C825)),"HK",IF(ISNUMBER(SEARCH("상해",C825)),"CN",IF(ISNUMBER(SEARCH("대만",C825)),"TW","홀세일"))))</f>
        <v>CN</v>
      </c>
      <c r="B825" s="87" t="s">
        <v>1076</v>
      </c>
      <c r="C825" s="88" t="s">
        <v>1077</v>
      </c>
      <c r="D825" s="88" t="s">
        <v>723</v>
      </c>
      <c r="E825" s="87" t="n">
        <v>2026</v>
      </c>
      <c r="F825" s="88" t="s">
        <v>421</v>
      </c>
      <c r="G825" s="88" t="s">
        <v>180</v>
      </c>
      <c r="H825" s="87" t="s">
        <v>181</v>
      </c>
      <c r="I825" s="87" t="s">
        <v>1227</v>
      </c>
      <c r="J825" s="88" t="s">
        <v>1228</v>
      </c>
      <c r="K825" s="89" t="n">
        <v>325</v>
      </c>
      <c r="L825" s="89" t="n">
        <v>58175000</v>
      </c>
      <c r="M825" s="89" t="n">
        <v>19709208</v>
      </c>
      <c r="N825" s="90" t="n">
        <f aca="false">IF(A825="제외",0,IF(OR(N(L825)&lt;=0,N(M825)&gt;N(L825)),N(M825)/가정!$B$4,N(L825)))</f>
        <v>58175000</v>
      </c>
      <c r="O825" s="67" t="str">
        <f aca="false">IF(A825="제외","",IF(OR(N(L825)&lt;=0,N(M825)&gt;N(L825)),"택가보정(판매금액÷공급율)",""))</f>
        <v/>
      </c>
    </row>
    <row r="826" customFormat="false" ht="15" hidden="false" customHeight="true" outlineLevel="0" collapsed="false">
      <c r="A826" s="67" t="str">
        <f aca="false">IF(OR(TRIM(C826)="",SUBSTITUTE(C826," ","")="소계"),"제외",IF(ISNUMBER(SEARCH("홍콩",C826)),"HK",IF(ISNUMBER(SEARCH("상해",C826)),"CN",IF(ISNUMBER(SEARCH("대만",C826)),"TW","홀세일"))))</f>
        <v>CN</v>
      </c>
      <c r="B826" s="87" t="s">
        <v>1076</v>
      </c>
      <c r="C826" s="88" t="s">
        <v>1077</v>
      </c>
      <c r="D826" s="88" t="s">
        <v>723</v>
      </c>
      <c r="E826" s="87" t="n">
        <v>2026</v>
      </c>
      <c r="F826" s="88" t="s">
        <v>421</v>
      </c>
      <c r="G826" s="88" t="s">
        <v>180</v>
      </c>
      <c r="H826" s="87" t="s">
        <v>189</v>
      </c>
      <c r="I826" s="87" t="s">
        <v>1229</v>
      </c>
      <c r="J826" s="88" t="s">
        <v>1230</v>
      </c>
      <c r="K826" s="89" t="n">
        <v>147</v>
      </c>
      <c r="L826" s="89" t="n">
        <v>20433000</v>
      </c>
      <c r="M826" s="89" t="n">
        <v>7887464</v>
      </c>
      <c r="N826" s="90" t="n">
        <f aca="false">IF(A826="제외",0,IF(OR(N(L826)&lt;=0,N(M826)&gt;N(L826)),N(M826)/가정!$B$4,N(L826)))</f>
        <v>20433000</v>
      </c>
      <c r="O826" s="67" t="str">
        <f aca="false">IF(A826="제외","",IF(OR(N(L826)&lt;=0,N(M826)&gt;N(L826)),"택가보정(판매금액÷공급율)",""))</f>
        <v/>
      </c>
    </row>
    <row r="827" customFormat="false" ht="15" hidden="false" customHeight="true" outlineLevel="0" collapsed="false">
      <c r="A827" s="67" t="str">
        <f aca="false">IF(OR(TRIM(C827)="",SUBSTITUTE(C827," ","")="소계"),"제외",IF(ISNUMBER(SEARCH("홍콩",C827)),"HK",IF(ISNUMBER(SEARCH("상해",C827)),"CN",IF(ISNUMBER(SEARCH("대만",C827)),"TW","홀세일"))))</f>
        <v>CN</v>
      </c>
      <c r="B827" s="87" t="s">
        <v>1076</v>
      </c>
      <c r="C827" s="88" t="s">
        <v>1077</v>
      </c>
      <c r="D827" s="88" t="s">
        <v>723</v>
      </c>
      <c r="E827" s="87" t="n">
        <v>2026</v>
      </c>
      <c r="F827" s="88" t="s">
        <v>421</v>
      </c>
      <c r="G827" s="88" t="s">
        <v>180</v>
      </c>
      <c r="H827" s="87" t="s">
        <v>189</v>
      </c>
      <c r="I827" s="87" t="s">
        <v>1231</v>
      </c>
      <c r="J827" s="88" t="s">
        <v>1232</v>
      </c>
      <c r="K827" s="89" t="n">
        <v>412</v>
      </c>
      <c r="L827" s="89" t="n">
        <v>32548000</v>
      </c>
      <c r="M827" s="89" t="n">
        <v>10674468</v>
      </c>
      <c r="N827" s="90" t="n">
        <f aca="false">IF(A827="제외",0,IF(OR(N(L827)&lt;=0,N(M827)&gt;N(L827)),N(M827)/가정!$B$4,N(L827)))</f>
        <v>32548000</v>
      </c>
      <c r="O827" s="67" t="str">
        <f aca="false">IF(A827="제외","",IF(OR(N(L827)&lt;=0,N(M827)&gt;N(L827)),"택가보정(판매금액÷공급율)",""))</f>
        <v/>
      </c>
    </row>
    <row r="828" customFormat="false" ht="15" hidden="false" customHeight="true" outlineLevel="0" collapsed="false">
      <c r="A828" s="67" t="str">
        <f aca="false">IF(OR(TRIM(C828)="",SUBSTITUTE(C828," ","")="소계"),"제외",IF(ISNUMBER(SEARCH("홍콩",C828)),"HK",IF(ISNUMBER(SEARCH("상해",C828)),"CN",IF(ISNUMBER(SEARCH("대만",C828)),"TW","홀세일"))))</f>
        <v>CN</v>
      </c>
      <c r="B828" s="87" t="s">
        <v>1076</v>
      </c>
      <c r="C828" s="88" t="s">
        <v>1077</v>
      </c>
      <c r="D828" s="88" t="s">
        <v>723</v>
      </c>
      <c r="E828" s="87" t="n">
        <v>2026</v>
      </c>
      <c r="F828" s="88" t="s">
        <v>421</v>
      </c>
      <c r="G828" s="88" t="s">
        <v>180</v>
      </c>
      <c r="H828" s="87" t="s">
        <v>246</v>
      </c>
      <c r="I828" s="87" t="s">
        <v>789</v>
      </c>
      <c r="J828" s="87" t="s">
        <v>790</v>
      </c>
      <c r="K828" s="89" t="n">
        <v>295</v>
      </c>
      <c r="L828" s="89" t="n">
        <v>32155000</v>
      </c>
      <c r="M828" s="89" t="n">
        <v>11686550</v>
      </c>
      <c r="N828" s="90" t="n">
        <f aca="false">IF(A828="제외",0,IF(OR(N(L828)&lt;=0,N(M828)&gt;N(L828)),N(M828)/가정!$B$4,N(L828)))</f>
        <v>32155000</v>
      </c>
      <c r="O828" s="67" t="str">
        <f aca="false">IF(A828="제외","",IF(OR(N(L828)&lt;=0,N(M828)&gt;N(L828)),"택가보정(판매금액÷공급율)",""))</f>
        <v/>
      </c>
    </row>
    <row r="829" customFormat="false" ht="15" hidden="false" customHeight="true" outlineLevel="0" collapsed="false">
      <c r="A829" s="67" t="str">
        <f aca="false">IF(OR(TRIM(C829)="",SUBSTITUTE(C829," ","")="소계"),"제외",IF(ISNUMBER(SEARCH("홍콩",C829)),"HK",IF(ISNUMBER(SEARCH("상해",C829)),"CN",IF(ISNUMBER(SEARCH("대만",C829)),"TW","홀세일"))))</f>
        <v>CN</v>
      </c>
      <c r="B829" s="87" t="s">
        <v>1076</v>
      </c>
      <c r="C829" s="88" t="s">
        <v>1077</v>
      </c>
      <c r="D829" s="88" t="s">
        <v>723</v>
      </c>
      <c r="E829" s="87" t="n">
        <v>2026</v>
      </c>
      <c r="F829" s="88" t="s">
        <v>421</v>
      </c>
      <c r="G829" s="88" t="s">
        <v>180</v>
      </c>
      <c r="H829" s="87" t="s">
        <v>246</v>
      </c>
      <c r="I829" s="87" t="s">
        <v>791</v>
      </c>
      <c r="J829" s="87" t="s">
        <v>792</v>
      </c>
      <c r="K829" s="89" t="n">
        <v>341</v>
      </c>
      <c r="L829" s="89" t="n">
        <v>159929000</v>
      </c>
      <c r="M829" s="89" t="n">
        <v>49822363</v>
      </c>
      <c r="N829" s="90" t="n">
        <f aca="false">IF(A829="제외",0,IF(OR(N(L829)&lt;=0,N(M829)&gt;N(L829)),N(M829)/가정!$B$4,N(L829)))</f>
        <v>159929000</v>
      </c>
      <c r="O829" s="67" t="str">
        <f aca="false">IF(A829="제외","",IF(OR(N(L829)&lt;=0,N(M829)&gt;N(L829)),"택가보정(판매금액÷공급율)",""))</f>
        <v/>
      </c>
    </row>
    <row r="830" customFormat="false" ht="15" hidden="false" customHeight="true" outlineLevel="0" collapsed="false">
      <c r="A830" s="67" t="str">
        <f aca="false">IF(OR(TRIM(C830)="",SUBSTITUTE(C830," ","")="소계"),"제외",IF(ISNUMBER(SEARCH("홍콩",C830)),"HK",IF(ISNUMBER(SEARCH("상해",C830)),"CN",IF(ISNUMBER(SEARCH("대만",C830)),"TW","홀세일"))))</f>
        <v>CN</v>
      </c>
      <c r="B830" s="87" t="s">
        <v>1076</v>
      </c>
      <c r="C830" s="88" t="s">
        <v>1077</v>
      </c>
      <c r="D830" s="88" t="s">
        <v>723</v>
      </c>
      <c r="E830" s="87" t="n">
        <v>2026</v>
      </c>
      <c r="F830" s="88" t="s">
        <v>421</v>
      </c>
      <c r="G830" s="88" t="s">
        <v>180</v>
      </c>
      <c r="H830" s="87" t="s">
        <v>246</v>
      </c>
      <c r="I830" s="87" t="s">
        <v>1233</v>
      </c>
      <c r="J830" s="87" t="s">
        <v>1234</v>
      </c>
      <c r="K830" s="89" t="n">
        <v>278</v>
      </c>
      <c r="L830" s="89" t="n">
        <v>60882000</v>
      </c>
      <c r="M830" s="89" t="n">
        <v>22768478</v>
      </c>
      <c r="N830" s="90" t="n">
        <f aca="false">IF(A830="제외",0,IF(OR(N(L830)&lt;=0,N(M830)&gt;N(L830)),N(M830)/가정!$B$4,N(L830)))</f>
        <v>60882000</v>
      </c>
      <c r="O830" s="67" t="str">
        <f aca="false">IF(A830="제외","",IF(OR(N(L830)&lt;=0,N(M830)&gt;N(L830)),"택가보정(판매금액÷공급율)",""))</f>
        <v/>
      </c>
    </row>
    <row r="831" customFormat="false" ht="15" hidden="false" customHeight="true" outlineLevel="0" collapsed="false">
      <c r="A831" s="67" t="str">
        <f aca="false">IF(OR(TRIM(C831)="",SUBSTITUTE(C831," ","")="소계"),"제외",IF(ISNUMBER(SEARCH("홍콩",C831)),"HK",IF(ISNUMBER(SEARCH("상해",C831)),"CN",IF(ISNUMBER(SEARCH("대만",C831)),"TW","홀세일"))))</f>
        <v>CN</v>
      </c>
      <c r="B831" s="87" t="s">
        <v>1076</v>
      </c>
      <c r="C831" s="88" t="s">
        <v>1077</v>
      </c>
      <c r="D831" s="88" t="s">
        <v>723</v>
      </c>
      <c r="E831" s="87" t="n">
        <v>2026</v>
      </c>
      <c r="F831" s="88" t="s">
        <v>421</v>
      </c>
      <c r="G831" s="88" t="s">
        <v>180</v>
      </c>
      <c r="H831" s="87" t="s">
        <v>246</v>
      </c>
      <c r="I831" s="87" t="s">
        <v>1074</v>
      </c>
      <c r="J831" s="87" t="s">
        <v>1075</v>
      </c>
      <c r="K831" s="89" t="n">
        <v>89</v>
      </c>
      <c r="L831" s="89" t="n">
        <v>28391000</v>
      </c>
      <c r="M831" s="89" t="n">
        <v>7483609</v>
      </c>
      <c r="N831" s="90" t="n">
        <f aca="false">IF(A831="제외",0,IF(OR(N(L831)&lt;=0,N(M831)&gt;N(L831)),N(M831)/가정!$B$4,N(L831)))</f>
        <v>28391000</v>
      </c>
      <c r="O831" s="67" t="str">
        <f aca="false">IF(A831="제외","",IF(OR(N(L831)&lt;=0,N(M831)&gt;N(L831)),"택가보정(판매금액÷공급율)",""))</f>
        <v/>
      </c>
    </row>
    <row r="832" customFormat="false" ht="15" hidden="false" customHeight="true" outlineLevel="0" collapsed="false">
      <c r="A832" s="67" t="str">
        <f aca="false">IF(OR(TRIM(C832)="",SUBSTITUTE(C832," ","")="소계"),"제외",IF(ISNUMBER(SEARCH("홍콩",C832)),"HK",IF(ISNUMBER(SEARCH("상해",C832)),"CN",IF(ISNUMBER(SEARCH("대만",C832)),"TW","홀세일"))))</f>
        <v>CN</v>
      </c>
      <c r="B832" s="87" t="s">
        <v>1076</v>
      </c>
      <c r="C832" s="88" t="s">
        <v>1077</v>
      </c>
      <c r="D832" s="88" t="s">
        <v>723</v>
      </c>
      <c r="E832" s="87" t="n">
        <v>2026</v>
      </c>
      <c r="F832" s="88" t="s">
        <v>421</v>
      </c>
      <c r="G832" s="88" t="s">
        <v>180</v>
      </c>
      <c r="H832" s="87" t="s">
        <v>246</v>
      </c>
      <c r="I832" s="87" t="s">
        <v>793</v>
      </c>
      <c r="J832" s="87" t="s">
        <v>794</v>
      </c>
      <c r="K832" s="89" t="n">
        <v>399</v>
      </c>
      <c r="L832" s="89" t="n">
        <v>79401000</v>
      </c>
      <c r="M832" s="89" t="n">
        <v>24286290</v>
      </c>
      <c r="N832" s="90" t="n">
        <f aca="false">IF(A832="제외",0,IF(OR(N(L832)&lt;=0,N(M832)&gt;N(L832)),N(M832)/가정!$B$4,N(L832)))</f>
        <v>79401000</v>
      </c>
      <c r="O832" s="67" t="str">
        <f aca="false">IF(A832="제외","",IF(OR(N(L832)&lt;=0,N(M832)&gt;N(L832)),"택가보정(판매금액÷공급율)",""))</f>
        <v/>
      </c>
    </row>
    <row r="833" customFormat="false" ht="15" hidden="false" customHeight="true" outlineLevel="0" collapsed="false">
      <c r="A833" s="67" t="str">
        <f aca="false">IF(OR(TRIM(C833)="",SUBSTITUTE(C833," ","")="소계"),"제외",IF(ISNUMBER(SEARCH("홍콩",C833)),"HK",IF(ISNUMBER(SEARCH("상해",C833)),"CN",IF(ISNUMBER(SEARCH("대만",C833)),"TW","홀세일"))))</f>
        <v>CN</v>
      </c>
      <c r="B833" s="87" t="s">
        <v>1076</v>
      </c>
      <c r="C833" s="88" t="s">
        <v>1077</v>
      </c>
      <c r="D833" s="88" t="s">
        <v>723</v>
      </c>
      <c r="E833" s="87" t="n">
        <v>2026</v>
      </c>
      <c r="F833" s="88" t="s">
        <v>421</v>
      </c>
      <c r="G833" s="88" t="s">
        <v>180</v>
      </c>
      <c r="H833" s="87" t="s">
        <v>246</v>
      </c>
      <c r="I833" s="87" t="s">
        <v>1235</v>
      </c>
      <c r="J833" s="87" t="s">
        <v>1236</v>
      </c>
      <c r="K833" s="89" t="n">
        <v>295</v>
      </c>
      <c r="L833" s="89" t="n">
        <v>58705000</v>
      </c>
      <c r="M833" s="89" t="n">
        <v>18906065</v>
      </c>
      <c r="N833" s="90" t="n">
        <f aca="false">IF(A833="제외",0,IF(OR(N(L833)&lt;=0,N(M833)&gt;N(L833)),N(M833)/가정!$B$4,N(L833)))</f>
        <v>58705000</v>
      </c>
      <c r="O833" s="67" t="str">
        <f aca="false">IF(A833="제외","",IF(OR(N(L833)&lt;=0,N(M833)&gt;N(L833)),"택가보정(판매금액÷공급율)",""))</f>
        <v/>
      </c>
    </row>
    <row r="834" customFormat="false" ht="15" hidden="false" customHeight="true" outlineLevel="0" collapsed="false">
      <c r="A834" s="67" t="str">
        <f aca="false">IF(OR(TRIM(C834)="",SUBSTITUTE(C834," ","")="소계"),"제외",IF(ISNUMBER(SEARCH("홍콩",C834)),"HK",IF(ISNUMBER(SEARCH("상해",C834)),"CN",IF(ISNUMBER(SEARCH("대만",C834)),"TW","홀세일"))))</f>
        <v>CN</v>
      </c>
      <c r="B834" s="87" t="s">
        <v>1076</v>
      </c>
      <c r="C834" s="88" t="s">
        <v>1077</v>
      </c>
      <c r="D834" s="88" t="s">
        <v>723</v>
      </c>
      <c r="E834" s="87" t="n">
        <v>2026</v>
      </c>
      <c r="F834" s="88" t="s">
        <v>421</v>
      </c>
      <c r="G834" s="88" t="s">
        <v>180</v>
      </c>
      <c r="H834" s="87" t="s">
        <v>246</v>
      </c>
      <c r="I834" s="87" t="s">
        <v>1237</v>
      </c>
      <c r="J834" s="87" t="s">
        <v>1238</v>
      </c>
      <c r="K834" s="89" t="n">
        <v>282</v>
      </c>
      <c r="L834" s="89" t="n">
        <v>16638000</v>
      </c>
      <c r="M834" s="89" t="n">
        <v>6139084</v>
      </c>
      <c r="N834" s="90" t="n">
        <f aca="false">IF(A834="제외",0,IF(OR(N(L834)&lt;=0,N(M834)&gt;N(L834)),N(M834)/가정!$B$4,N(L834)))</f>
        <v>16638000</v>
      </c>
      <c r="O834" s="67" t="str">
        <f aca="false">IF(A834="제외","",IF(OR(N(L834)&lt;=0,N(M834)&gt;N(L834)),"택가보정(판매금액÷공급율)",""))</f>
        <v/>
      </c>
    </row>
    <row r="835" customFormat="false" ht="15" hidden="false" customHeight="true" outlineLevel="0" collapsed="false">
      <c r="A835" s="67" t="str">
        <f aca="false">IF(OR(TRIM(C835)="",SUBSTITUTE(C835," ","")="소계"),"제외",IF(ISNUMBER(SEARCH("홍콩",C835)),"HK",IF(ISNUMBER(SEARCH("상해",C835)),"CN",IF(ISNUMBER(SEARCH("대만",C835)),"TW","홀세일"))))</f>
        <v>CN</v>
      </c>
      <c r="B835" s="87" t="s">
        <v>1076</v>
      </c>
      <c r="C835" s="88" t="s">
        <v>1077</v>
      </c>
      <c r="D835" s="88" t="s">
        <v>723</v>
      </c>
      <c r="E835" s="87" t="n">
        <v>2026</v>
      </c>
      <c r="F835" s="88" t="s">
        <v>532</v>
      </c>
      <c r="G835" s="88" t="s">
        <v>180</v>
      </c>
      <c r="H835" s="87" t="s">
        <v>189</v>
      </c>
      <c r="I835" s="87" t="s">
        <v>1239</v>
      </c>
      <c r="J835" s="88" t="s">
        <v>1240</v>
      </c>
      <c r="K835" s="89" t="n">
        <v>834</v>
      </c>
      <c r="L835" s="89" t="n">
        <v>165966000</v>
      </c>
      <c r="M835" s="89" t="n">
        <v>50250603</v>
      </c>
      <c r="N835" s="90" t="n">
        <f aca="false">IF(A835="제외",0,IF(OR(N(L835)&lt;=0,N(M835)&gt;N(L835)),N(M835)/가정!$B$4,N(L835)))</f>
        <v>165966000</v>
      </c>
      <c r="O835" s="67" t="str">
        <f aca="false">IF(A835="제외","",IF(OR(N(L835)&lt;=0,N(M835)&gt;N(L835)),"택가보정(판매금액÷공급율)",""))</f>
        <v/>
      </c>
    </row>
    <row r="836" customFormat="false" ht="15" hidden="false" customHeight="true" outlineLevel="0" collapsed="false">
      <c r="A836" s="67" t="str">
        <f aca="false">IF(OR(TRIM(C836)="",SUBSTITUTE(C836," ","")="소계"),"제외",IF(ISNUMBER(SEARCH("홍콩",C836)),"HK",IF(ISNUMBER(SEARCH("상해",C836)),"CN",IF(ISNUMBER(SEARCH("대만",C836)),"TW","홀세일"))))</f>
        <v>CN</v>
      </c>
      <c r="B836" s="87" t="s">
        <v>1076</v>
      </c>
      <c r="C836" s="88" t="s">
        <v>1077</v>
      </c>
      <c r="D836" s="88" t="s">
        <v>723</v>
      </c>
      <c r="E836" s="87" t="n">
        <v>2026</v>
      </c>
      <c r="F836" s="88" t="s">
        <v>532</v>
      </c>
      <c r="G836" s="88" t="s">
        <v>180</v>
      </c>
      <c r="H836" s="87" t="s">
        <v>189</v>
      </c>
      <c r="I836" s="87" t="s">
        <v>1241</v>
      </c>
      <c r="J836" s="88" t="s">
        <v>1242</v>
      </c>
      <c r="K836" s="89" t="n">
        <v>356</v>
      </c>
      <c r="L836" s="89" t="n">
        <v>70844000</v>
      </c>
      <c r="M836" s="89" t="n">
        <v>24119788</v>
      </c>
      <c r="N836" s="90" t="n">
        <f aca="false">IF(A836="제외",0,IF(OR(N(L836)&lt;=0,N(M836)&gt;N(L836)),N(M836)/가정!$B$4,N(L836)))</f>
        <v>70844000</v>
      </c>
      <c r="O836" s="67" t="str">
        <f aca="false">IF(A836="제외","",IF(OR(N(L836)&lt;=0,N(M836)&gt;N(L836)),"택가보정(판매금액÷공급율)",""))</f>
        <v/>
      </c>
    </row>
    <row r="837" customFormat="false" ht="15" hidden="false" customHeight="true" outlineLevel="0" collapsed="false">
      <c r="A837" s="67" t="str">
        <f aca="false">IF(OR(TRIM(C837)="",SUBSTITUTE(C837," ","")="소계"),"제외",IF(ISNUMBER(SEARCH("홍콩",C837)),"HK",IF(ISNUMBER(SEARCH("상해",C837)),"CN",IF(ISNUMBER(SEARCH("대만",C837)),"TW","홀세일"))))</f>
        <v>CN</v>
      </c>
      <c r="B837" s="87" t="s">
        <v>1076</v>
      </c>
      <c r="C837" s="88" t="s">
        <v>1077</v>
      </c>
      <c r="D837" s="88" t="s">
        <v>723</v>
      </c>
      <c r="E837" s="87" t="n">
        <v>2026</v>
      </c>
      <c r="F837" s="88" t="s">
        <v>532</v>
      </c>
      <c r="G837" s="88" t="s">
        <v>180</v>
      </c>
      <c r="H837" s="87" t="s">
        <v>189</v>
      </c>
      <c r="I837" s="87" t="s">
        <v>1243</v>
      </c>
      <c r="J837" s="88" t="s">
        <v>1244</v>
      </c>
      <c r="K837" s="89" t="n">
        <v>219</v>
      </c>
      <c r="L837" s="89" t="n">
        <v>39201000</v>
      </c>
      <c r="M837" s="89" t="n">
        <v>14762554</v>
      </c>
      <c r="N837" s="90" t="n">
        <f aca="false">IF(A837="제외",0,IF(OR(N(L837)&lt;=0,N(M837)&gt;N(L837)),N(M837)/가정!$B$4,N(L837)))</f>
        <v>39201000</v>
      </c>
      <c r="O837" s="67" t="str">
        <f aca="false">IF(A837="제외","",IF(OR(N(L837)&lt;=0,N(M837)&gt;N(L837)),"택가보정(판매금액÷공급율)",""))</f>
        <v/>
      </c>
    </row>
    <row r="838" customFormat="false" ht="15" hidden="false" customHeight="true" outlineLevel="0" collapsed="false">
      <c r="A838" s="67" t="str">
        <f aca="false">IF(OR(TRIM(C838)="",SUBSTITUTE(C838," ","")="소계"),"제외",IF(ISNUMBER(SEARCH("홍콩",C838)),"HK",IF(ISNUMBER(SEARCH("상해",C838)),"CN",IF(ISNUMBER(SEARCH("대만",C838)),"TW","홀세일"))))</f>
        <v>CN</v>
      </c>
      <c r="B838" s="87" t="s">
        <v>1076</v>
      </c>
      <c r="C838" s="88" t="s">
        <v>1077</v>
      </c>
      <c r="D838" s="88" t="s">
        <v>723</v>
      </c>
      <c r="E838" s="87" t="n">
        <v>2026</v>
      </c>
      <c r="F838" s="88" t="s">
        <v>532</v>
      </c>
      <c r="G838" s="88" t="s">
        <v>180</v>
      </c>
      <c r="H838" s="87" t="s">
        <v>181</v>
      </c>
      <c r="I838" s="87" t="s">
        <v>795</v>
      </c>
      <c r="J838" s="88" t="s">
        <v>796</v>
      </c>
      <c r="K838" s="89" t="n">
        <v>578</v>
      </c>
      <c r="L838" s="89" t="n">
        <v>508062000</v>
      </c>
      <c r="M838" s="89" t="n">
        <v>148007712</v>
      </c>
      <c r="N838" s="90" t="n">
        <f aca="false">IF(A838="제외",0,IF(OR(N(L838)&lt;=0,N(M838)&gt;N(L838)),N(M838)/가정!$B$4,N(L838)))</f>
        <v>508062000</v>
      </c>
      <c r="O838" s="67" t="str">
        <f aca="false">IF(A838="제외","",IF(OR(N(L838)&lt;=0,N(M838)&gt;N(L838)),"택가보정(판매금액÷공급율)",""))</f>
        <v/>
      </c>
    </row>
    <row r="839" customFormat="false" ht="15" hidden="false" customHeight="true" outlineLevel="0" collapsed="false">
      <c r="A839" s="67" t="str">
        <f aca="false">IF(OR(TRIM(C839)="",SUBSTITUTE(C839," ","")="소계"),"제외",IF(ISNUMBER(SEARCH("홍콩",C839)),"HK",IF(ISNUMBER(SEARCH("상해",C839)),"CN",IF(ISNUMBER(SEARCH("대만",C839)),"TW","홀세일"))))</f>
        <v>CN</v>
      </c>
      <c r="B839" s="87" t="s">
        <v>1076</v>
      </c>
      <c r="C839" s="88" t="s">
        <v>1077</v>
      </c>
      <c r="D839" s="88" t="s">
        <v>723</v>
      </c>
      <c r="E839" s="87" t="n">
        <v>2026</v>
      </c>
      <c r="F839" s="88" t="s">
        <v>532</v>
      </c>
      <c r="G839" s="88" t="s">
        <v>180</v>
      </c>
      <c r="H839" s="87" t="s">
        <v>181</v>
      </c>
      <c r="I839" s="87" t="s">
        <v>1245</v>
      </c>
      <c r="J839" s="88" t="s">
        <v>1246</v>
      </c>
      <c r="K839" s="89" t="n">
        <v>81</v>
      </c>
      <c r="L839" s="89" t="n">
        <v>44469000</v>
      </c>
      <c r="M839" s="89" t="n">
        <v>13876649</v>
      </c>
      <c r="N839" s="90" t="n">
        <f aca="false">IF(A839="제외",0,IF(OR(N(L839)&lt;=0,N(M839)&gt;N(L839)),N(M839)/가정!$B$4,N(L839)))</f>
        <v>44469000</v>
      </c>
      <c r="O839" s="67" t="str">
        <f aca="false">IF(A839="제외","",IF(OR(N(L839)&lt;=0,N(M839)&gt;N(L839)),"택가보정(판매금액÷공급율)",""))</f>
        <v/>
      </c>
    </row>
    <row r="840" customFormat="false" ht="15" hidden="false" customHeight="true" outlineLevel="0" collapsed="false">
      <c r="A840" s="67" t="str">
        <f aca="false">IF(OR(TRIM(C840)="",SUBSTITUTE(C840," ","")="소계"),"제외",IF(ISNUMBER(SEARCH("홍콩",C840)),"HK",IF(ISNUMBER(SEARCH("상해",C840)),"CN",IF(ISNUMBER(SEARCH("대만",C840)),"TW","홀세일"))))</f>
        <v>CN</v>
      </c>
      <c r="B840" s="87" t="s">
        <v>1076</v>
      </c>
      <c r="C840" s="88" t="s">
        <v>1077</v>
      </c>
      <c r="D840" s="88" t="s">
        <v>723</v>
      </c>
      <c r="E840" s="87" t="n">
        <v>2026</v>
      </c>
      <c r="F840" s="88" t="s">
        <v>532</v>
      </c>
      <c r="G840" s="88" t="s">
        <v>180</v>
      </c>
      <c r="H840" s="87" t="s">
        <v>181</v>
      </c>
      <c r="I840" s="87" t="s">
        <v>1247</v>
      </c>
      <c r="J840" s="88" t="s">
        <v>1248</v>
      </c>
      <c r="K840" s="89" t="n">
        <v>317</v>
      </c>
      <c r="L840" s="89" t="n">
        <v>174033000</v>
      </c>
      <c r="M840" s="89" t="n">
        <v>52744919</v>
      </c>
      <c r="N840" s="90" t="n">
        <f aca="false">IF(A840="제외",0,IF(OR(N(L840)&lt;=0,N(M840)&gt;N(L840)),N(M840)/가정!$B$4,N(L840)))</f>
        <v>174033000</v>
      </c>
      <c r="O840" s="67" t="str">
        <f aca="false">IF(A840="제외","",IF(OR(N(L840)&lt;=0,N(M840)&gt;N(L840)),"택가보정(판매금액÷공급율)",""))</f>
        <v/>
      </c>
    </row>
    <row r="841" customFormat="false" ht="15" hidden="false" customHeight="true" outlineLevel="0" collapsed="false">
      <c r="A841" s="67" t="str">
        <f aca="false">IF(OR(TRIM(C841)="",SUBSTITUTE(C841," ","")="소계"),"제외",IF(ISNUMBER(SEARCH("홍콩",C841)),"HK",IF(ISNUMBER(SEARCH("상해",C841)),"CN",IF(ISNUMBER(SEARCH("대만",C841)),"TW","홀세일"))))</f>
        <v>CN</v>
      </c>
      <c r="B841" s="87" t="s">
        <v>1076</v>
      </c>
      <c r="C841" s="88" t="s">
        <v>1077</v>
      </c>
      <c r="D841" s="88" t="s">
        <v>723</v>
      </c>
      <c r="E841" s="87" t="n">
        <v>2026</v>
      </c>
      <c r="F841" s="88" t="s">
        <v>532</v>
      </c>
      <c r="G841" s="88" t="s">
        <v>180</v>
      </c>
      <c r="H841" s="87" t="s">
        <v>189</v>
      </c>
      <c r="I841" s="87" t="s">
        <v>1249</v>
      </c>
      <c r="J841" s="88" t="s">
        <v>1250</v>
      </c>
      <c r="K841" s="89" t="n">
        <v>422</v>
      </c>
      <c r="L841" s="89" t="n">
        <v>151498000</v>
      </c>
      <c r="M841" s="89" t="n">
        <v>43656162</v>
      </c>
      <c r="N841" s="90" t="n">
        <f aca="false">IF(A841="제외",0,IF(OR(N(L841)&lt;=0,N(M841)&gt;N(L841)),N(M841)/가정!$B$4,N(L841)))</f>
        <v>151498000</v>
      </c>
      <c r="O841" s="67" t="str">
        <f aca="false">IF(A841="제외","",IF(OR(N(L841)&lt;=0,N(M841)&gt;N(L841)),"택가보정(판매금액÷공급율)",""))</f>
        <v/>
      </c>
    </row>
    <row r="842" customFormat="false" ht="15" hidden="false" customHeight="true" outlineLevel="0" collapsed="false">
      <c r="A842" s="67" t="str">
        <f aca="false">IF(OR(TRIM(C842)="",SUBSTITUTE(C842," ","")="소계"),"제외",IF(ISNUMBER(SEARCH("홍콩",C842)),"HK",IF(ISNUMBER(SEARCH("상해",C842)),"CN",IF(ISNUMBER(SEARCH("대만",C842)),"TW","홀세일"))))</f>
        <v>CN</v>
      </c>
      <c r="B842" s="87" t="s">
        <v>1076</v>
      </c>
      <c r="C842" s="88" t="s">
        <v>1077</v>
      </c>
      <c r="D842" s="88" t="s">
        <v>723</v>
      </c>
      <c r="E842" s="87" t="n">
        <v>2026</v>
      </c>
      <c r="F842" s="88" t="s">
        <v>532</v>
      </c>
      <c r="G842" s="88" t="s">
        <v>180</v>
      </c>
      <c r="H842" s="87" t="s">
        <v>189</v>
      </c>
      <c r="I842" s="87" t="s">
        <v>1251</v>
      </c>
      <c r="J842" s="88" t="s">
        <v>1252</v>
      </c>
      <c r="K842" s="89" t="n">
        <v>141</v>
      </c>
      <c r="L842" s="89" t="n">
        <v>36519000</v>
      </c>
      <c r="M842" s="89" t="n">
        <v>12266196</v>
      </c>
      <c r="N842" s="90" t="n">
        <f aca="false">IF(A842="제외",0,IF(OR(N(L842)&lt;=0,N(M842)&gt;N(L842)),N(M842)/가정!$B$4,N(L842)))</f>
        <v>36519000</v>
      </c>
      <c r="O842" s="67" t="str">
        <f aca="false">IF(A842="제외","",IF(OR(N(L842)&lt;=0,N(M842)&gt;N(L842)),"택가보정(판매금액÷공급율)",""))</f>
        <v/>
      </c>
    </row>
    <row r="843" customFormat="false" ht="15" hidden="false" customHeight="true" outlineLevel="0" collapsed="false">
      <c r="A843" s="67" t="str">
        <f aca="false">IF(OR(TRIM(C843)="",SUBSTITUTE(C843," ","")="소계"),"제외",IF(ISNUMBER(SEARCH("홍콩",C843)),"HK",IF(ISNUMBER(SEARCH("상해",C843)),"CN",IF(ISNUMBER(SEARCH("대만",C843)),"TW","홀세일"))))</f>
        <v>CN</v>
      </c>
      <c r="B843" s="87" t="s">
        <v>1076</v>
      </c>
      <c r="C843" s="88" t="s">
        <v>1077</v>
      </c>
      <c r="D843" s="88" t="s">
        <v>723</v>
      </c>
      <c r="E843" s="87" t="n">
        <v>2026</v>
      </c>
      <c r="F843" s="88" t="s">
        <v>532</v>
      </c>
      <c r="G843" s="88" t="s">
        <v>180</v>
      </c>
      <c r="H843" s="87" t="s">
        <v>189</v>
      </c>
      <c r="I843" s="87" t="s">
        <v>1253</v>
      </c>
      <c r="J843" s="88" t="s">
        <v>1254</v>
      </c>
      <c r="K843" s="89" t="n">
        <v>403</v>
      </c>
      <c r="L843" s="89" t="n">
        <v>92287000</v>
      </c>
      <c r="M843" s="89" t="n">
        <v>37721993</v>
      </c>
      <c r="N843" s="90" t="n">
        <f aca="false">IF(A843="제외",0,IF(OR(N(L843)&lt;=0,N(M843)&gt;N(L843)),N(M843)/가정!$B$4,N(L843)))</f>
        <v>92287000</v>
      </c>
      <c r="O843" s="67" t="str">
        <f aca="false">IF(A843="제외","",IF(OR(N(L843)&lt;=0,N(M843)&gt;N(L843)),"택가보정(판매금액÷공급율)",""))</f>
        <v/>
      </c>
    </row>
    <row r="844" customFormat="false" ht="15" hidden="false" customHeight="true" outlineLevel="0" collapsed="false">
      <c r="A844" s="67" t="str">
        <f aca="false">IF(OR(TRIM(C844)="",SUBSTITUTE(C844," ","")="소계"),"제외",IF(ISNUMBER(SEARCH("홍콩",C844)),"HK",IF(ISNUMBER(SEARCH("상해",C844)),"CN",IF(ISNUMBER(SEARCH("대만",C844)),"TW","홀세일"))))</f>
        <v>CN</v>
      </c>
      <c r="B844" s="87" t="s">
        <v>1076</v>
      </c>
      <c r="C844" s="88" t="s">
        <v>1077</v>
      </c>
      <c r="D844" s="88" t="s">
        <v>723</v>
      </c>
      <c r="E844" s="87" t="n">
        <v>2026</v>
      </c>
      <c r="F844" s="88" t="s">
        <v>532</v>
      </c>
      <c r="G844" s="88" t="s">
        <v>180</v>
      </c>
      <c r="H844" s="87" t="s">
        <v>189</v>
      </c>
      <c r="I844" s="87" t="s">
        <v>1255</v>
      </c>
      <c r="J844" s="88" t="s">
        <v>1256</v>
      </c>
      <c r="K844" s="89" t="n">
        <v>346</v>
      </c>
      <c r="L844" s="89" t="n">
        <v>51554000</v>
      </c>
      <c r="M844" s="89" t="n">
        <v>19874808</v>
      </c>
      <c r="N844" s="90" t="n">
        <f aca="false">IF(A844="제외",0,IF(OR(N(L844)&lt;=0,N(M844)&gt;N(L844)),N(M844)/가정!$B$4,N(L844)))</f>
        <v>51554000</v>
      </c>
      <c r="O844" s="67" t="str">
        <f aca="false">IF(A844="제외","",IF(OR(N(L844)&lt;=0,N(M844)&gt;N(L844)),"택가보정(판매금액÷공급율)",""))</f>
        <v/>
      </c>
    </row>
    <row r="845" customFormat="false" ht="15" hidden="false" customHeight="true" outlineLevel="0" collapsed="false">
      <c r="A845" s="67" t="str">
        <f aca="false">IF(OR(TRIM(C845)="",SUBSTITUTE(C845," ","")="소계"),"제외",IF(ISNUMBER(SEARCH("홍콩",C845)),"HK",IF(ISNUMBER(SEARCH("상해",C845)),"CN",IF(ISNUMBER(SEARCH("대만",C845)),"TW","홀세일"))))</f>
        <v>CN</v>
      </c>
      <c r="B845" s="87" t="s">
        <v>1076</v>
      </c>
      <c r="C845" s="88" t="s">
        <v>1077</v>
      </c>
      <c r="D845" s="88" t="s">
        <v>723</v>
      </c>
      <c r="E845" s="87" t="n">
        <v>2026</v>
      </c>
      <c r="F845" s="88" t="s">
        <v>532</v>
      </c>
      <c r="G845" s="88" t="s">
        <v>180</v>
      </c>
      <c r="H845" s="87" t="s">
        <v>189</v>
      </c>
      <c r="I845" s="87" t="s">
        <v>1257</v>
      </c>
      <c r="J845" s="88" t="s">
        <v>1258</v>
      </c>
      <c r="K845" s="89" t="n">
        <v>322</v>
      </c>
      <c r="L845" s="89" t="n">
        <v>44758000</v>
      </c>
      <c r="M845" s="89" t="n">
        <v>14481314</v>
      </c>
      <c r="N845" s="90" t="n">
        <f aca="false">IF(A845="제외",0,IF(OR(N(L845)&lt;=0,N(M845)&gt;N(L845)),N(M845)/가정!$B$4,N(L845)))</f>
        <v>44758000</v>
      </c>
      <c r="O845" s="67" t="str">
        <f aca="false">IF(A845="제외","",IF(OR(N(L845)&lt;=0,N(M845)&gt;N(L845)),"택가보정(판매금액÷공급율)",""))</f>
        <v/>
      </c>
    </row>
    <row r="846" customFormat="false" ht="15" hidden="false" customHeight="true" outlineLevel="0" collapsed="false">
      <c r="A846" s="67" t="str">
        <f aca="false">IF(OR(TRIM(C846)="",SUBSTITUTE(C846," ","")="소계"),"제외",IF(ISNUMBER(SEARCH("홍콩",C846)),"HK",IF(ISNUMBER(SEARCH("상해",C846)),"CN",IF(ISNUMBER(SEARCH("대만",C846)),"TW","홀세일"))))</f>
        <v>CN</v>
      </c>
      <c r="B846" s="87" t="s">
        <v>1076</v>
      </c>
      <c r="C846" s="88" t="s">
        <v>1077</v>
      </c>
      <c r="D846" s="88" t="s">
        <v>723</v>
      </c>
      <c r="E846" s="87" t="n">
        <v>2026</v>
      </c>
      <c r="F846" s="88" t="s">
        <v>532</v>
      </c>
      <c r="G846" s="88" t="s">
        <v>180</v>
      </c>
      <c r="H846" s="87" t="s">
        <v>189</v>
      </c>
      <c r="I846" s="87" t="s">
        <v>1259</v>
      </c>
      <c r="J846" s="88" t="s">
        <v>1260</v>
      </c>
      <c r="K846" s="89" t="n">
        <v>412</v>
      </c>
      <c r="L846" s="89" t="n">
        <v>49028000</v>
      </c>
      <c r="M846" s="89" t="n">
        <v>16801526</v>
      </c>
      <c r="N846" s="90" t="n">
        <f aca="false">IF(A846="제외",0,IF(OR(N(L846)&lt;=0,N(M846)&gt;N(L846)),N(M846)/가정!$B$4,N(L846)))</f>
        <v>49028000</v>
      </c>
      <c r="O846" s="67" t="str">
        <f aca="false">IF(A846="제외","",IF(OR(N(L846)&lt;=0,N(M846)&gt;N(L846)),"택가보정(판매금액÷공급율)",""))</f>
        <v/>
      </c>
    </row>
    <row r="847" customFormat="false" ht="15" hidden="false" customHeight="true" outlineLevel="0" collapsed="false">
      <c r="A847" s="67" t="str">
        <f aca="false">IF(OR(TRIM(C847)="",SUBSTITUTE(C847," ","")="소계"),"제외",IF(ISNUMBER(SEARCH("홍콩",C847)),"HK",IF(ISNUMBER(SEARCH("상해",C847)),"CN",IF(ISNUMBER(SEARCH("대만",C847)),"TW","홀세일"))))</f>
        <v>CN</v>
      </c>
      <c r="B847" s="87" t="s">
        <v>1076</v>
      </c>
      <c r="C847" s="88" t="s">
        <v>1077</v>
      </c>
      <c r="D847" s="88" t="s">
        <v>723</v>
      </c>
      <c r="E847" s="87" t="n">
        <v>2026</v>
      </c>
      <c r="F847" s="88" t="s">
        <v>532</v>
      </c>
      <c r="G847" s="88" t="s">
        <v>180</v>
      </c>
      <c r="H847" s="87" t="s">
        <v>181</v>
      </c>
      <c r="I847" s="87" t="s">
        <v>1261</v>
      </c>
      <c r="J847" s="87" t="s">
        <v>1262</v>
      </c>
      <c r="K847" s="89" t="n">
        <v>611</v>
      </c>
      <c r="L847" s="89" t="n">
        <v>243789000</v>
      </c>
      <c r="M847" s="89" t="n">
        <v>87532383</v>
      </c>
      <c r="N847" s="90" t="n">
        <f aca="false">IF(A847="제외",0,IF(OR(N(L847)&lt;=0,N(M847)&gt;N(L847)),N(M847)/가정!$B$4,N(L847)))</f>
        <v>243789000</v>
      </c>
      <c r="O847" s="67" t="str">
        <f aca="false">IF(A847="제외","",IF(OR(N(L847)&lt;=0,N(M847)&gt;N(L847)),"택가보정(판매금액÷공급율)",""))</f>
        <v/>
      </c>
    </row>
    <row r="848" customFormat="false" ht="15" hidden="false" customHeight="true" outlineLevel="0" collapsed="false">
      <c r="A848" s="67" t="str">
        <f aca="false">IF(OR(TRIM(C848)="",SUBSTITUTE(C848," ","")="소계"),"제외",IF(ISNUMBER(SEARCH("홍콩",C848)),"HK",IF(ISNUMBER(SEARCH("상해",C848)),"CN",IF(ISNUMBER(SEARCH("대만",C848)),"TW","홀세일"))))</f>
        <v>CN</v>
      </c>
      <c r="B848" s="87" t="s">
        <v>1076</v>
      </c>
      <c r="C848" s="88" t="s">
        <v>1077</v>
      </c>
      <c r="D848" s="88" t="s">
        <v>723</v>
      </c>
      <c r="E848" s="87" t="n">
        <v>2026</v>
      </c>
      <c r="F848" s="88" t="s">
        <v>532</v>
      </c>
      <c r="G848" s="88" t="s">
        <v>180</v>
      </c>
      <c r="H848" s="87" t="s">
        <v>181</v>
      </c>
      <c r="I848" s="87" t="s">
        <v>1263</v>
      </c>
      <c r="J848" s="88" t="s">
        <v>1264</v>
      </c>
      <c r="K848" s="89" t="n">
        <v>81</v>
      </c>
      <c r="L848" s="89" t="n">
        <v>72090000</v>
      </c>
      <c r="M848" s="89" t="n">
        <v>24521394</v>
      </c>
      <c r="N848" s="90" t="n">
        <f aca="false">IF(A848="제외",0,IF(OR(N(L848)&lt;=0,N(M848)&gt;N(L848)),N(M848)/가정!$B$4,N(L848)))</f>
        <v>72090000</v>
      </c>
      <c r="O848" s="67" t="str">
        <f aca="false">IF(A848="제외","",IF(OR(N(L848)&lt;=0,N(M848)&gt;N(L848)),"택가보정(판매금액÷공급율)",""))</f>
        <v/>
      </c>
    </row>
    <row r="849" customFormat="false" ht="15" hidden="false" customHeight="true" outlineLevel="0" collapsed="false">
      <c r="A849" s="67" t="str">
        <f aca="false">IF(OR(TRIM(C849)="",SUBSTITUTE(C849," ","")="소계"),"제외",IF(ISNUMBER(SEARCH("홍콩",C849)),"HK",IF(ISNUMBER(SEARCH("상해",C849)),"CN",IF(ISNUMBER(SEARCH("대만",C849)),"TW","홀세일"))))</f>
        <v>CN</v>
      </c>
      <c r="B849" s="87" t="s">
        <v>1076</v>
      </c>
      <c r="C849" s="88" t="s">
        <v>1077</v>
      </c>
      <c r="D849" s="88" t="s">
        <v>723</v>
      </c>
      <c r="E849" s="87" t="n">
        <v>2026</v>
      </c>
      <c r="F849" s="88" t="s">
        <v>532</v>
      </c>
      <c r="G849" s="88" t="s">
        <v>180</v>
      </c>
      <c r="H849" s="87" t="s">
        <v>189</v>
      </c>
      <c r="I849" s="87" t="s">
        <v>1265</v>
      </c>
      <c r="J849" s="88" t="s">
        <v>1266</v>
      </c>
      <c r="K849" s="89" t="n">
        <v>182</v>
      </c>
      <c r="L849" s="89" t="n">
        <v>19838000</v>
      </c>
      <c r="M849" s="89" t="n">
        <v>6349262</v>
      </c>
      <c r="N849" s="90" t="n">
        <f aca="false">IF(A849="제외",0,IF(OR(N(L849)&lt;=0,N(M849)&gt;N(L849)),N(M849)/가정!$B$4,N(L849)))</f>
        <v>19838000</v>
      </c>
      <c r="O849" s="67" t="str">
        <f aca="false">IF(A849="제외","",IF(OR(N(L849)&lt;=0,N(M849)&gt;N(L849)),"택가보정(판매금액÷공급율)",""))</f>
        <v/>
      </c>
    </row>
    <row r="850" customFormat="false" ht="15" hidden="false" customHeight="true" outlineLevel="0" collapsed="false">
      <c r="A850" s="67" t="str">
        <f aca="false">IF(OR(TRIM(C850)="",SUBSTITUTE(C850," ","")="소계"),"제외",IF(ISNUMBER(SEARCH("홍콩",C850)),"HK",IF(ISNUMBER(SEARCH("상해",C850)),"CN",IF(ISNUMBER(SEARCH("대만",C850)),"TW","홀세일"))))</f>
        <v>CN</v>
      </c>
      <c r="B850" s="87" t="s">
        <v>1076</v>
      </c>
      <c r="C850" s="88" t="s">
        <v>1077</v>
      </c>
      <c r="D850" s="88" t="s">
        <v>723</v>
      </c>
      <c r="E850" s="87" t="n">
        <v>2026</v>
      </c>
      <c r="F850" s="88" t="s">
        <v>532</v>
      </c>
      <c r="G850" s="88" t="s">
        <v>180</v>
      </c>
      <c r="H850" s="87" t="s">
        <v>246</v>
      </c>
      <c r="I850" s="87" t="s">
        <v>1267</v>
      </c>
      <c r="J850" s="87" t="s">
        <v>1268</v>
      </c>
      <c r="K850" s="89" t="n">
        <v>188</v>
      </c>
      <c r="L850" s="89" t="n">
        <v>33652000</v>
      </c>
      <c r="M850" s="89" t="n">
        <v>12519303</v>
      </c>
      <c r="N850" s="90" t="n">
        <f aca="false">IF(A850="제외",0,IF(OR(N(L850)&lt;=0,N(M850)&gt;N(L850)),N(M850)/가정!$B$4,N(L850)))</f>
        <v>33652000</v>
      </c>
      <c r="O850" s="67" t="str">
        <f aca="false">IF(A850="제외","",IF(OR(N(L850)&lt;=0,N(M850)&gt;N(L850)),"택가보정(판매금액÷공급율)",""))</f>
        <v/>
      </c>
    </row>
    <row r="851" customFormat="false" ht="15" hidden="false" customHeight="true" outlineLevel="0" collapsed="false">
      <c r="A851" s="67" t="str">
        <f aca="false">IF(OR(TRIM(C851)="",SUBSTITUTE(C851," ","")="소계"),"제외",IF(ISNUMBER(SEARCH("홍콩",C851)),"HK",IF(ISNUMBER(SEARCH("상해",C851)),"CN",IF(ISNUMBER(SEARCH("대만",C851)),"TW","홀세일"))))</f>
        <v>CN</v>
      </c>
      <c r="B851" s="87" t="s">
        <v>1076</v>
      </c>
      <c r="C851" s="88" t="s">
        <v>1077</v>
      </c>
      <c r="D851" s="88" t="s">
        <v>723</v>
      </c>
      <c r="E851" s="87" t="n">
        <v>2026</v>
      </c>
      <c r="F851" s="88" t="s">
        <v>532</v>
      </c>
      <c r="G851" s="88" t="s">
        <v>180</v>
      </c>
      <c r="H851" s="87" t="s">
        <v>246</v>
      </c>
      <c r="I851" s="87" t="s">
        <v>1269</v>
      </c>
      <c r="J851" s="87" t="s">
        <v>1270</v>
      </c>
      <c r="K851" s="89" t="n">
        <v>175</v>
      </c>
      <c r="L851" s="89" t="n">
        <v>36575000</v>
      </c>
      <c r="M851" s="89" t="n">
        <v>14461458</v>
      </c>
      <c r="N851" s="90" t="n">
        <f aca="false">IF(A851="제외",0,IF(OR(N(L851)&lt;=0,N(M851)&gt;N(L851)),N(M851)/가정!$B$4,N(L851)))</f>
        <v>36575000</v>
      </c>
      <c r="O851" s="67" t="str">
        <f aca="false">IF(A851="제외","",IF(OR(N(L851)&lt;=0,N(M851)&gt;N(L851)),"택가보정(판매금액÷공급율)",""))</f>
        <v/>
      </c>
    </row>
    <row r="852" customFormat="false" ht="15" hidden="false" customHeight="true" outlineLevel="0" collapsed="false">
      <c r="A852" s="67" t="str">
        <f aca="false">IF(OR(TRIM(C852)="",SUBSTITUTE(C852," ","")="소계"),"제외",IF(ISNUMBER(SEARCH("홍콩",C852)),"HK",IF(ISNUMBER(SEARCH("상해",C852)),"CN",IF(ISNUMBER(SEARCH("대만",C852)),"TW","홀세일"))))</f>
        <v>CN</v>
      </c>
      <c r="B852" s="87" t="s">
        <v>1076</v>
      </c>
      <c r="C852" s="88" t="s">
        <v>1077</v>
      </c>
      <c r="D852" s="88" t="s">
        <v>723</v>
      </c>
      <c r="E852" s="87" t="n">
        <v>2026</v>
      </c>
      <c r="F852" s="88" t="s">
        <v>532</v>
      </c>
      <c r="G852" s="88" t="s">
        <v>180</v>
      </c>
      <c r="H852" s="87" t="s">
        <v>246</v>
      </c>
      <c r="I852" s="87" t="s">
        <v>1271</v>
      </c>
      <c r="J852" s="87" t="s">
        <v>1272</v>
      </c>
      <c r="K852" s="89" t="n">
        <v>2</v>
      </c>
      <c r="L852" s="89" t="n">
        <v>798000</v>
      </c>
      <c r="M852" s="89" t="n">
        <v>268094</v>
      </c>
      <c r="N852" s="90" t="n">
        <f aca="false">IF(A852="제외",0,IF(OR(N(L852)&lt;=0,N(M852)&gt;N(L852)),N(M852)/가정!$B$4,N(L852)))</f>
        <v>798000</v>
      </c>
      <c r="O852" s="67" t="str">
        <f aca="false">IF(A852="제외","",IF(OR(N(L852)&lt;=0,N(M852)&gt;N(L852)),"택가보정(판매금액÷공급율)",""))</f>
        <v/>
      </c>
    </row>
    <row r="853" customFormat="false" ht="15" hidden="false" customHeight="true" outlineLevel="0" collapsed="false">
      <c r="A853" s="67" t="str">
        <f aca="false">IF(OR(TRIM(C853)="",SUBSTITUTE(C853," ","")="소계"),"제외",IF(ISNUMBER(SEARCH("홍콩",C853)),"HK",IF(ISNUMBER(SEARCH("상해",C853)),"CN",IF(ISNUMBER(SEARCH("대만",C853)),"TW","홀세일"))))</f>
        <v>CN</v>
      </c>
      <c r="B853" s="87" t="s">
        <v>1076</v>
      </c>
      <c r="C853" s="88" t="s">
        <v>1077</v>
      </c>
      <c r="D853" s="88" t="s">
        <v>723</v>
      </c>
      <c r="E853" s="87" t="n">
        <v>2026</v>
      </c>
      <c r="F853" s="88" t="s">
        <v>532</v>
      </c>
      <c r="G853" s="88" t="s">
        <v>180</v>
      </c>
      <c r="H853" s="87" t="s">
        <v>246</v>
      </c>
      <c r="I853" s="87" t="s">
        <v>797</v>
      </c>
      <c r="J853" s="87" t="s">
        <v>798</v>
      </c>
      <c r="K853" s="89" t="n">
        <v>600</v>
      </c>
      <c r="L853" s="89" t="n">
        <v>479400000</v>
      </c>
      <c r="M853" s="89" t="n">
        <v>137326302</v>
      </c>
      <c r="N853" s="90" t="n">
        <f aca="false">IF(A853="제외",0,IF(OR(N(L853)&lt;=0,N(M853)&gt;N(L853)),N(M853)/가정!$B$4,N(L853)))</f>
        <v>479400000</v>
      </c>
      <c r="O853" s="67" t="str">
        <f aca="false">IF(A853="제외","",IF(OR(N(L853)&lt;=0,N(M853)&gt;N(L853)),"택가보정(판매금액÷공급율)",""))</f>
        <v/>
      </c>
    </row>
    <row r="854" customFormat="false" ht="15" hidden="false" customHeight="true" outlineLevel="0" collapsed="false">
      <c r="A854" s="67" t="str">
        <f aca="false">IF(OR(TRIM(C854)="",SUBSTITUTE(C854," ","")="소계"),"제외",IF(ISNUMBER(SEARCH("홍콩",C854)),"HK",IF(ISNUMBER(SEARCH("상해",C854)),"CN",IF(ISNUMBER(SEARCH("대만",C854)),"TW","홀세일"))))</f>
        <v>CN</v>
      </c>
      <c r="B854" s="87" t="s">
        <v>1076</v>
      </c>
      <c r="C854" s="88" t="s">
        <v>1077</v>
      </c>
      <c r="D854" s="88" t="s">
        <v>723</v>
      </c>
      <c r="E854" s="87" t="n">
        <v>2026</v>
      </c>
      <c r="F854" s="88" t="s">
        <v>532</v>
      </c>
      <c r="G854" s="88" t="s">
        <v>180</v>
      </c>
      <c r="H854" s="87" t="s">
        <v>246</v>
      </c>
      <c r="I854" s="87" t="s">
        <v>801</v>
      </c>
      <c r="J854" s="87" t="s">
        <v>802</v>
      </c>
      <c r="K854" s="89" t="n">
        <v>133</v>
      </c>
      <c r="L854" s="89" t="n">
        <v>57057000</v>
      </c>
      <c r="M854" s="89" t="n">
        <v>17481596</v>
      </c>
      <c r="N854" s="90" t="n">
        <f aca="false">IF(A854="제외",0,IF(OR(N(L854)&lt;=0,N(M854)&gt;N(L854)),N(M854)/가정!$B$4,N(L854)))</f>
        <v>57057000</v>
      </c>
      <c r="O854" s="67" t="str">
        <f aca="false">IF(A854="제외","",IF(OR(N(L854)&lt;=0,N(M854)&gt;N(L854)),"택가보정(판매금액÷공급율)",""))</f>
        <v/>
      </c>
    </row>
    <row r="855" customFormat="false" ht="15" hidden="false" customHeight="true" outlineLevel="0" collapsed="false">
      <c r="A855" s="67" t="str">
        <f aca="false">IF(OR(TRIM(C855)="",SUBSTITUTE(C855," ","")="소계"),"제외",IF(ISNUMBER(SEARCH("홍콩",C855)),"HK",IF(ISNUMBER(SEARCH("상해",C855)),"CN",IF(ISNUMBER(SEARCH("대만",C855)),"TW","홀세일"))))</f>
        <v>CN</v>
      </c>
      <c r="B855" s="87" t="s">
        <v>1076</v>
      </c>
      <c r="C855" s="88" t="s">
        <v>1077</v>
      </c>
      <c r="D855" s="88" t="s">
        <v>723</v>
      </c>
      <c r="E855" s="87" t="n">
        <v>2026</v>
      </c>
      <c r="F855" s="88" t="s">
        <v>532</v>
      </c>
      <c r="G855" s="88" t="s">
        <v>180</v>
      </c>
      <c r="H855" s="87" t="s">
        <v>246</v>
      </c>
      <c r="I855" s="87" t="s">
        <v>803</v>
      </c>
      <c r="J855" s="87" t="s">
        <v>804</v>
      </c>
      <c r="K855" s="89" t="n">
        <v>519</v>
      </c>
      <c r="L855" s="89" t="n">
        <v>207081000</v>
      </c>
      <c r="M855" s="89" t="n">
        <v>66301719</v>
      </c>
      <c r="N855" s="90" t="n">
        <f aca="false">IF(A855="제외",0,IF(OR(N(L855)&lt;=0,N(M855)&gt;N(L855)),N(M855)/가정!$B$4,N(L855)))</f>
        <v>207081000</v>
      </c>
      <c r="O855" s="67" t="str">
        <f aca="false">IF(A855="제외","",IF(OR(N(L855)&lt;=0,N(M855)&gt;N(L855)),"택가보정(판매금액÷공급율)",""))</f>
        <v/>
      </c>
    </row>
    <row r="856" customFormat="false" ht="15" hidden="false" customHeight="true" outlineLevel="0" collapsed="false">
      <c r="A856" s="67" t="str">
        <f aca="false">IF(OR(TRIM(C856)="",SUBSTITUTE(C856," ","")="소계"),"제외",IF(ISNUMBER(SEARCH("홍콩",C856)),"HK",IF(ISNUMBER(SEARCH("상해",C856)),"CN",IF(ISNUMBER(SEARCH("대만",C856)),"TW","홀세일"))))</f>
        <v>CN</v>
      </c>
      <c r="B856" s="87" t="s">
        <v>1076</v>
      </c>
      <c r="C856" s="88" t="s">
        <v>1077</v>
      </c>
      <c r="D856" s="88" t="s">
        <v>723</v>
      </c>
      <c r="E856" s="87" t="n">
        <v>2026</v>
      </c>
      <c r="F856" s="88" t="s">
        <v>532</v>
      </c>
      <c r="G856" s="88" t="s">
        <v>180</v>
      </c>
      <c r="H856" s="87" t="s">
        <v>246</v>
      </c>
      <c r="I856" s="87" t="s">
        <v>1273</v>
      </c>
      <c r="J856" s="87" t="s">
        <v>1274</v>
      </c>
      <c r="K856" s="89" t="n">
        <v>6</v>
      </c>
      <c r="L856" s="89" t="n">
        <v>4140000</v>
      </c>
      <c r="M856" s="89" t="n">
        <v>1252098</v>
      </c>
      <c r="N856" s="90" t="n">
        <f aca="false">IF(A856="제외",0,IF(OR(N(L856)&lt;=0,N(M856)&gt;N(L856)),N(M856)/가정!$B$4,N(L856)))</f>
        <v>4140000</v>
      </c>
      <c r="O856" s="67" t="str">
        <f aca="false">IF(A856="제외","",IF(OR(N(L856)&lt;=0,N(M856)&gt;N(L856)),"택가보정(판매금액÷공급율)",""))</f>
        <v/>
      </c>
    </row>
    <row r="857" customFormat="false" ht="15" hidden="false" customHeight="true" outlineLevel="0" collapsed="false">
      <c r="A857" s="67" t="str">
        <f aca="false">IF(OR(TRIM(C857)="",SUBSTITUTE(C857," ","")="소계"),"제외",IF(ISNUMBER(SEARCH("홍콩",C857)),"HK",IF(ISNUMBER(SEARCH("상해",C857)),"CN",IF(ISNUMBER(SEARCH("대만",C857)),"TW","홀세일"))))</f>
        <v>CN</v>
      </c>
      <c r="B857" s="87" t="s">
        <v>1076</v>
      </c>
      <c r="C857" s="88" t="s">
        <v>1077</v>
      </c>
      <c r="D857" s="88" t="s">
        <v>723</v>
      </c>
      <c r="E857" s="87" t="n">
        <v>2026</v>
      </c>
      <c r="F857" s="88" t="s">
        <v>532</v>
      </c>
      <c r="G857" s="88" t="s">
        <v>180</v>
      </c>
      <c r="H857" s="87" t="s">
        <v>246</v>
      </c>
      <c r="I857" s="87" t="s">
        <v>1275</v>
      </c>
      <c r="J857" s="87" t="s">
        <v>1276</v>
      </c>
      <c r="K857" s="89" t="n">
        <v>2</v>
      </c>
      <c r="L857" s="89" t="n">
        <v>1580000</v>
      </c>
      <c r="M857" s="89" t="n">
        <v>490236</v>
      </c>
      <c r="N857" s="90" t="n">
        <f aca="false">IF(A857="제외",0,IF(OR(N(L857)&lt;=0,N(M857)&gt;N(L857)),N(M857)/가정!$B$4,N(L857)))</f>
        <v>1580000</v>
      </c>
      <c r="O857" s="67" t="str">
        <f aca="false">IF(A857="제외","",IF(OR(N(L857)&lt;=0,N(M857)&gt;N(L857)),"택가보정(판매금액÷공급율)",""))</f>
        <v/>
      </c>
    </row>
    <row r="858" customFormat="false" ht="15" hidden="false" customHeight="true" outlineLevel="0" collapsed="false">
      <c r="A858" s="67" t="str">
        <f aca="false">IF(OR(TRIM(C858)="",SUBSTITUTE(C858," ","")="소계"),"제외",IF(ISNUMBER(SEARCH("홍콩",C858)),"HK",IF(ISNUMBER(SEARCH("상해",C858)),"CN",IF(ISNUMBER(SEARCH("대만",C858)),"TW","홀세일"))))</f>
        <v>CN</v>
      </c>
      <c r="B858" s="87" t="s">
        <v>1076</v>
      </c>
      <c r="C858" s="88" t="s">
        <v>1077</v>
      </c>
      <c r="D858" s="88" t="s">
        <v>723</v>
      </c>
      <c r="E858" s="87" t="n">
        <v>2026</v>
      </c>
      <c r="F858" s="88" t="s">
        <v>532</v>
      </c>
      <c r="G858" s="88" t="s">
        <v>180</v>
      </c>
      <c r="H858" s="87" t="s">
        <v>246</v>
      </c>
      <c r="I858" s="87" t="s">
        <v>1277</v>
      </c>
      <c r="J858" s="87" t="s">
        <v>1278</v>
      </c>
      <c r="K858" s="89" t="n">
        <v>382</v>
      </c>
      <c r="L858" s="89" t="n">
        <v>137138000</v>
      </c>
      <c r="M858" s="89" t="n">
        <v>36769602</v>
      </c>
      <c r="N858" s="90" t="n">
        <f aca="false">IF(A858="제외",0,IF(OR(N(L858)&lt;=0,N(M858)&gt;N(L858)),N(M858)/가정!$B$4,N(L858)))</f>
        <v>137138000</v>
      </c>
      <c r="O858" s="67" t="str">
        <f aca="false">IF(A858="제외","",IF(OR(N(L858)&lt;=0,N(M858)&gt;N(L858)),"택가보정(판매금액÷공급율)",""))</f>
        <v/>
      </c>
    </row>
    <row r="859" customFormat="false" ht="15" hidden="false" customHeight="true" outlineLevel="0" collapsed="false">
      <c r="A859" s="67" t="str">
        <f aca="false">IF(OR(TRIM(C859)="",SUBSTITUTE(C859," ","")="소계"),"제외",IF(ISNUMBER(SEARCH("홍콩",C859)),"HK",IF(ISNUMBER(SEARCH("상해",C859)),"CN",IF(ISNUMBER(SEARCH("대만",C859)),"TW","홀세일"))))</f>
        <v>CN</v>
      </c>
      <c r="B859" s="87" t="s">
        <v>1076</v>
      </c>
      <c r="C859" s="88" t="s">
        <v>1077</v>
      </c>
      <c r="D859" s="88" t="s">
        <v>723</v>
      </c>
      <c r="E859" s="87" t="n">
        <v>2026</v>
      </c>
      <c r="F859" s="88" t="s">
        <v>532</v>
      </c>
      <c r="G859" s="88" t="s">
        <v>180</v>
      </c>
      <c r="H859" s="87" t="s">
        <v>246</v>
      </c>
      <c r="I859" s="87" t="s">
        <v>1279</v>
      </c>
      <c r="J859" s="87" t="s">
        <v>1280</v>
      </c>
      <c r="K859" s="89" t="n">
        <v>251</v>
      </c>
      <c r="L859" s="89" t="n">
        <v>75049000</v>
      </c>
      <c r="M859" s="89" t="n">
        <v>22392663</v>
      </c>
      <c r="N859" s="90" t="n">
        <f aca="false">IF(A859="제외",0,IF(OR(N(L859)&lt;=0,N(M859)&gt;N(L859)),N(M859)/가정!$B$4,N(L859)))</f>
        <v>75049000</v>
      </c>
      <c r="O859" s="67" t="str">
        <f aca="false">IF(A859="제외","",IF(OR(N(L859)&lt;=0,N(M859)&gt;N(L859)),"택가보정(판매금액÷공급율)",""))</f>
        <v/>
      </c>
    </row>
    <row r="860" customFormat="false" ht="15" hidden="false" customHeight="true" outlineLevel="0" collapsed="false">
      <c r="A860" s="67" t="str">
        <f aca="false">IF(OR(TRIM(C860)="",SUBSTITUTE(C860," ","")="소계"),"제외",IF(ISNUMBER(SEARCH("홍콩",C860)),"HK",IF(ISNUMBER(SEARCH("상해",C860)),"CN",IF(ISNUMBER(SEARCH("대만",C860)),"TW","홀세일"))))</f>
        <v>CN</v>
      </c>
      <c r="B860" s="87" t="s">
        <v>1076</v>
      </c>
      <c r="C860" s="88" t="s">
        <v>1077</v>
      </c>
      <c r="D860" s="88" t="s">
        <v>723</v>
      </c>
      <c r="E860" s="87" t="n">
        <v>2026</v>
      </c>
      <c r="F860" s="88" t="s">
        <v>532</v>
      </c>
      <c r="G860" s="88" t="s">
        <v>180</v>
      </c>
      <c r="H860" s="87" t="s">
        <v>246</v>
      </c>
      <c r="I860" s="87" t="s">
        <v>1281</v>
      </c>
      <c r="J860" s="87" t="s">
        <v>1282</v>
      </c>
      <c r="K860" s="89" t="n">
        <v>300</v>
      </c>
      <c r="L860" s="89" t="n">
        <v>47700000</v>
      </c>
      <c r="M860" s="89" t="n">
        <v>10307100</v>
      </c>
      <c r="N860" s="90" t="n">
        <f aca="false">IF(A860="제외",0,IF(OR(N(L860)&lt;=0,N(M860)&gt;N(L860)),N(M860)/가정!$B$4,N(L860)))</f>
        <v>47700000</v>
      </c>
      <c r="O860" s="67" t="str">
        <f aca="false">IF(A860="제외","",IF(OR(N(L860)&lt;=0,N(M860)&gt;N(L860)),"택가보정(판매금액÷공급율)",""))</f>
        <v/>
      </c>
    </row>
    <row r="861" customFormat="false" ht="15" hidden="false" customHeight="true" outlineLevel="0" collapsed="false">
      <c r="A861" s="67" t="str">
        <f aca="false">IF(OR(TRIM(C861)="",SUBSTITUTE(C861," ","")="소계"),"제외",IF(ISNUMBER(SEARCH("홍콩",C861)),"HK",IF(ISNUMBER(SEARCH("상해",C861)),"CN",IF(ISNUMBER(SEARCH("대만",C861)),"TW","홀세일"))))</f>
        <v>CN</v>
      </c>
      <c r="B861" s="87" t="s">
        <v>1076</v>
      </c>
      <c r="C861" s="88" t="s">
        <v>1077</v>
      </c>
      <c r="D861" s="88" t="s">
        <v>723</v>
      </c>
      <c r="E861" s="87" t="n">
        <v>2026</v>
      </c>
      <c r="F861" s="88" t="s">
        <v>532</v>
      </c>
      <c r="G861" s="88" t="s">
        <v>180</v>
      </c>
      <c r="H861" s="87" t="s">
        <v>246</v>
      </c>
      <c r="I861" s="87" t="s">
        <v>807</v>
      </c>
      <c r="J861" s="87" t="s">
        <v>808</v>
      </c>
      <c r="K861" s="89" t="n">
        <v>302</v>
      </c>
      <c r="L861" s="89" t="n">
        <v>48018000</v>
      </c>
      <c r="M861" s="89" t="n">
        <v>13679604</v>
      </c>
      <c r="N861" s="90" t="n">
        <f aca="false">IF(A861="제외",0,IF(OR(N(L861)&lt;=0,N(M861)&gt;N(L861)),N(M861)/가정!$B$4,N(L861)))</f>
        <v>48018000</v>
      </c>
      <c r="O861" s="67" t="str">
        <f aca="false">IF(A861="제외","",IF(OR(N(L861)&lt;=0,N(M861)&gt;N(L861)),"택가보정(판매금액÷공급율)",""))</f>
        <v/>
      </c>
    </row>
    <row r="862" customFormat="false" ht="15" hidden="false" customHeight="true" outlineLevel="0" collapsed="false">
      <c r="A862" s="67" t="str">
        <f aca="false">IF(OR(TRIM(C862)="",SUBSTITUTE(C862," ","")="소계"),"제외",IF(ISNUMBER(SEARCH("홍콩",C862)),"HK",IF(ISNUMBER(SEARCH("상해",C862)),"CN",IF(ISNUMBER(SEARCH("대만",C862)),"TW","홀세일"))))</f>
        <v>CN</v>
      </c>
      <c r="B862" s="87" t="s">
        <v>1076</v>
      </c>
      <c r="C862" s="88" t="s">
        <v>1077</v>
      </c>
      <c r="D862" s="88" t="s">
        <v>723</v>
      </c>
      <c r="E862" s="87" t="n">
        <v>2026</v>
      </c>
      <c r="F862" s="88" t="s">
        <v>532</v>
      </c>
      <c r="G862" s="88" t="s">
        <v>180</v>
      </c>
      <c r="H862" s="87" t="s">
        <v>246</v>
      </c>
      <c r="I862" s="87" t="s">
        <v>1283</v>
      </c>
      <c r="J862" s="87" t="s">
        <v>1284</v>
      </c>
      <c r="K862" s="89" t="n">
        <v>341</v>
      </c>
      <c r="L862" s="89" t="n">
        <v>33759000</v>
      </c>
      <c r="M862" s="89" t="n">
        <v>10344129</v>
      </c>
      <c r="N862" s="90" t="n">
        <f aca="false">IF(A862="제외",0,IF(OR(N(L862)&lt;=0,N(M862)&gt;N(L862)),N(M862)/가정!$B$4,N(L862)))</f>
        <v>33759000</v>
      </c>
      <c r="O862" s="67" t="str">
        <f aca="false">IF(A862="제외","",IF(OR(N(L862)&lt;=0,N(M862)&gt;N(L862)),"택가보정(판매금액÷공급율)",""))</f>
        <v/>
      </c>
    </row>
    <row r="863" customFormat="false" ht="15" hidden="false" customHeight="true" outlineLevel="0" collapsed="false">
      <c r="A863" s="67" t="str">
        <f aca="false">IF(OR(TRIM(C863)="",SUBSTITUTE(C863," ","")="소계"),"제외",IF(ISNUMBER(SEARCH("홍콩",C863)),"HK",IF(ISNUMBER(SEARCH("상해",C863)),"CN",IF(ISNUMBER(SEARCH("대만",C863)),"TW","홀세일"))))</f>
        <v>CN</v>
      </c>
      <c r="B863" s="87" t="s">
        <v>1076</v>
      </c>
      <c r="C863" s="88" t="s">
        <v>1077</v>
      </c>
      <c r="D863" s="88" t="s">
        <v>723</v>
      </c>
      <c r="E863" s="87" t="n">
        <v>2026</v>
      </c>
      <c r="F863" s="88" t="s">
        <v>532</v>
      </c>
      <c r="G863" s="88" t="s">
        <v>180</v>
      </c>
      <c r="H863" s="87" t="s">
        <v>246</v>
      </c>
      <c r="I863" s="87" t="s">
        <v>1285</v>
      </c>
      <c r="J863" s="87" t="s">
        <v>1286</v>
      </c>
      <c r="K863" s="89" t="n">
        <v>325</v>
      </c>
      <c r="L863" s="89" t="n">
        <v>41925000</v>
      </c>
      <c r="M863" s="89" t="n">
        <v>11874100</v>
      </c>
      <c r="N863" s="90" t="n">
        <f aca="false">IF(A863="제외",0,IF(OR(N(L863)&lt;=0,N(M863)&gt;N(L863)),N(M863)/가정!$B$4,N(L863)))</f>
        <v>41925000</v>
      </c>
      <c r="O863" s="67" t="str">
        <f aca="false">IF(A863="제외","",IF(OR(N(L863)&lt;=0,N(M863)&gt;N(L863)),"택가보정(판매금액÷공급율)",""))</f>
        <v/>
      </c>
    </row>
    <row r="864" customFormat="false" ht="15" hidden="false" customHeight="true" outlineLevel="0" collapsed="false">
      <c r="A864" s="67" t="str">
        <f aca="false">IF(OR(TRIM(C864)="",SUBSTITUTE(C864," ","")="소계"),"제외",IF(ISNUMBER(SEARCH("홍콩",C864)),"HK",IF(ISNUMBER(SEARCH("상해",C864)),"CN",IF(ISNUMBER(SEARCH("대만",C864)),"TW","홀세일"))))</f>
        <v>CN</v>
      </c>
      <c r="B864" s="87" t="s">
        <v>1076</v>
      </c>
      <c r="C864" s="88" t="s">
        <v>1077</v>
      </c>
      <c r="D864" s="88" t="s">
        <v>723</v>
      </c>
      <c r="E864" s="87" t="n">
        <v>2026</v>
      </c>
      <c r="F864" s="87" t="s">
        <v>639</v>
      </c>
      <c r="G864" s="88" t="s">
        <v>180</v>
      </c>
      <c r="H864" s="87" t="s">
        <v>189</v>
      </c>
      <c r="I864" s="87" t="s">
        <v>1287</v>
      </c>
      <c r="J864" s="88" t="s">
        <v>714</v>
      </c>
      <c r="K864" s="89" t="n">
        <v>1292</v>
      </c>
      <c r="L864" s="89" t="n">
        <v>63308000</v>
      </c>
      <c r="M864" s="89" t="n">
        <v>21490988</v>
      </c>
      <c r="N864" s="90" t="n">
        <f aca="false">IF(A864="제외",0,IF(OR(N(L864)&lt;=0,N(M864)&gt;N(L864)),N(M864)/가정!$B$4,N(L864)))</f>
        <v>63308000</v>
      </c>
      <c r="O864" s="67" t="str">
        <f aca="false">IF(A864="제외","",IF(OR(N(L864)&lt;=0,N(M864)&gt;N(L864)),"택가보정(판매금액÷공급율)",""))</f>
        <v/>
      </c>
    </row>
    <row r="865" customFormat="false" ht="15" hidden="false" customHeight="true" outlineLevel="0" collapsed="false">
      <c r="A865" s="67" t="str">
        <f aca="false">IF(OR(TRIM(C865)="",SUBSTITUTE(C865," ","")="소계"),"제외",IF(ISNUMBER(SEARCH("홍콩",C865)),"HK",IF(ISNUMBER(SEARCH("상해",C865)),"CN",IF(ISNUMBER(SEARCH("대만",C865)),"TW","홀세일"))))</f>
        <v>CN</v>
      </c>
      <c r="B865" s="87" t="s">
        <v>1076</v>
      </c>
      <c r="C865" s="88" t="s">
        <v>1077</v>
      </c>
      <c r="D865" s="88" t="s">
        <v>723</v>
      </c>
      <c r="E865" s="87" t="n">
        <v>2026</v>
      </c>
      <c r="F865" s="87" t="s">
        <v>639</v>
      </c>
      <c r="G865" s="88" t="s">
        <v>180</v>
      </c>
      <c r="H865" s="87" t="s">
        <v>246</v>
      </c>
      <c r="I865" s="87" t="s">
        <v>1288</v>
      </c>
      <c r="J865" s="87" t="s">
        <v>1289</v>
      </c>
      <c r="K865" s="89" t="n">
        <v>697</v>
      </c>
      <c r="L865" s="89" t="n">
        <v>34153000</v>
      </c>
      <c r="M865" s="89" t="n">
        <v>10056435</v>
      </c>
      <c r="N865" s="90" t="n">
        <f aca="false">IF(A865="제외",0,IF(OR(N(L865)&lt;=0,N(M865)&gt;N(L865)),N(M865)/가정!$B$4,N(L865)))</f>
        <v>34153000</v>
      </c>
      <c r="O865" s="67" t="str">
        <f aca="false">IF(A865="제외","",IF(OR(N(L865)&lt;=0,N(M865)&gt;N(L865)),"택가보정(판매금액÷공급율)",""))</f>
        <v/>
      </c>
    </row>
    <row r="866" customFormat="false" ht="15" hidden="false" customHeight="true" outlineLevel="0" collapsed="false">
      <c r="A866" s="67" t="str">
        <f aca="false">IF(OR(TRIM(C866)="",SUBSTITUTE(C866," ","")="소계"),"제외",IF(ISNUMBER(SEARCH("홍콩",C866)),"HK",IF(ISNUMBER(SEARCH("상해",C866)),"CN",IF(ISNUMBER(SEARCH("대만",C866)),"TW","홀세일"))))</f>
        <v>제외</v>
      </c>
      <c r="B866" s="87" t="s">
        <v>821</v>
      </c>
      <c r="C866" s="88" t="s">
        <v>822</v>
      </c>
      <c r="D866" s="87"/>
      <c r="E866" s="87"/>
      <c r="F866" s="87"/>
      <c r="G866" s="87"/>
      <c r="H866" s="87"/>
      <c r="I866" s="87"/>
      <c r="J866" s="87"/>
      <c r="K866" s="89" t="n">
        <v>79103</v>
      </c>
      <c r="L866" s="89" t="n">
        <v>12307600000</v>
      </c>
      <c r="M866" s="89" t="n">
        <v>3611269645</v>
      </c>
      <c r="N866" s="90" t="n">
        <f aca="false">IF(A866="제외",0,IF(OR(N(L866)&lt;=0,N(M866)&gt;N(L866)),N(M866)/가정!$B$4,N(L866)))</f>
        <v>0</v>
      </c>
      <c r="O866" s="67" t="str">
        <f aca="false">IF(A866="제외","",IF(OR(N(L866)&lt;=0,N(M866)&gt;N(L866)),"택가보정(판매금액÷공급율)",""))</f>
        <v/>
      </c>
    </row>
    <row r="867" customFormat="false" ht="15" hidden="false" customHeight="true" outlineLevel="0" collapsed="false">
      <c r="A867" s="67" t="str">
        <f aca="false">IF(OR(TRIM(C867)="",SUBSTITUTE(C867," ","")="소계"),"제외",IF(ISNUMBER(SEARCH("홍콩",C867)),"HK",IF(ISNUMBER(SEARCH("상해",C867)),"CN",IF(ISNUMBER(SEARCH("대만",C867)),"TW","홀세일"))))</f>
        <v>홀세일</v>
      </c>
      <c r="B867" s="87" t="s">
        <v>1290</v>
      </c>
      <c r="C867" s="87" t="s">
        <v>1291</v>
      </c>
      <c r="D867" s="88" t="s">
        <v>178</v>
      </c>
      <c r="E867" s="87" t="n">
        <v>2024</v>
      </c>
      <c r="F867" s="88" t="s">
        <v>277</v>
      </c>
      <c r="G867" s="88" t="s">
        <v>188</v>
      </c>
      <c r="H867" s="87" t="s">
        <v>189</v>
      </c>
      <c r="I867" s="87" t="s">
        <v>1292</v>
      </c>
      <c r="J867" s="88" t="s">
        <v>1293</v>
      </c>
      <c r="K867" s="89" t="n">
        <v>105</v>
      </c>
      <c r="L867" s="89" t="n">
        <v>4095000</v>
      </c>
      <c r="M867" s="89" t="n">
        <v>1332870</v>
      </c>
      <c r="N867" s="90" t="n">
        <f aca="false">IF(A867="제외",0,IF(OR(N(L867)&lt;=0,N(M867)&gt;N(L867)),N(M867)/가정!$B$4,N(L867)))</f>
        <v>4095000</v>
      </c>
      <c r="O867" s="67" t="str">
        <f aca="false">IF(A867="제외","",IF(OR(N(L867)&lt;=0,N(M867)&gt;N(L867)),"택가보정(판매금액÷공급율)",""))</f>
        <v/>
      </c>
    </row>
    <row r="868" customFormat="false" ht="15" hidden="false" customHeight="true" outlineLevel="0" collapsed="false">
      <c r="A868" s="67" t="str">
        <f aca="false">IF(OR(TRIM(C868)="",SUBSTITUTE(C868," ","")="소계"),"제외",IF(ISNUMBER(SEARCH("홍콩",C868)),"HK",IF(ISNUMBER(SEARCH("상해",C868)),"CN",IF(ISNUMBER(SEARCH("대만",C868)),"TW","홀세일"))))</f>
        <v>홀세일</v>
      </c>
      <c r="B868" s="87" t="s">
        <v>1290</v>
      </c>
      <c r="C868" s="87" t="s">
        <v>1291</v>
      </c>
      <c r="D868" s="88" t="s">
        <v>178</v>
      </c>
      <c r="E868" s="87" t="n">
        <v>2024</v>
      </c>
      <c r="F868" s="88" t="s">
        <v>277</v>
      </c>
      <c r="G868" s="88" t="s">
        <v>188</v>
      </c>
      <c r="H868" s="87" t="s">
        <v>189</v>
      </c>
      <c r="I868" s="87" t="s">
        <v>1294</v>
      </c>
      <c r="J868" s="88" t="s">
        <v>1295</v>
      </c>
      <c r="K868" s="89" t="n">
        <v>48</v>
      </c>
      <c r="L868" s="89" t="n">
        <v>2832000</v>
      </c>
      <c r="M868" s="89" t="n">
        <v>921072</v>
      </c>
      <c r="N868" s="90" t="n">
        <f aca="false">IF(A868="제외",0,IF(OR(N(L868)&lt;=0,N(M868)&gt;N(L868)),N(M868)/가정!$B$4,N(L868)))</f>
        <v>2832000</v>
      </c>
      <c r="O868" s="67" t="str">
        <f aca="false">IF(A868="제외","",IF(OR(N(L868)&lt;=0,N(M868)&gt;N(L868)),"택가보정(판매금액÷공급율)",""))</f>
        <v/>
      </c>
    </row>
    <row r="869" customFormat="false" ht="15" hidden="false" customHeight="true" outlineLevel="0" collapsed="false">
      <c r="A869" s="67" t="str">
        <f aca="false">IF(OR(TRIM(C869)="",SUBSTITUTE(C869," ","")="소계"),"제외",IF(ISNUMBER(SEARCH("홍콩",C869)),"HK",IF(ISNUMBER(SEARCH("상해",C869)),"CN",IF(ISNUMBER(SEARCH("대만",C869)),"TW","홀세일"))))</f>
        <v>홀세일</v>
      </c>
      <c r="B869" s="87" t="s">
        <v>1290</v>
      </c>
      <c r="C869" s="87" t="s">
        <v>1291</v>
      </c>
      <c r="D869" s="88" t="s">
        <v>178</v>
      </c>
      <c r="E869" s="87" t="n">
        <v>2025</v>
      </c>
      <c r="F869" s="88" t="s">
        <v>179</v>
      </c>
      <c r="G869" s="88" t="s">
        <v>188</v>
      </c>
      <c r="H869" s="88" t="s">
        <v>185</v>
      </c>
      <c r="I869" s="87" t="s">
        <v>1296</v>
      </c>
      <c r="J869" s="87" t="s">
        <v>1297</v>
      </c>
      <c r="K869" s="89" t="n">
        <v>100</v>
      </c>
      <c r="L869" s="89" t="n">
        <v>16900000</v>
      </c>
      <c r="M869" s="89" t="n">
        <v>6111100</v>
      </c>
      <c r="N869" s="90" t="n">
        <f aca="false">IF(A869="제외",0,IF(OR(N(L869)&lt;=0,N(M869)&gt;N(L869)),N(M869)/가정!$B$4,N(L869)))</f>
        <v>16900000</v>
      </c>
      <c r="O869" s="67" t="str">
        <f aca="false">IF(A869="제외","",IF(OR(N(L869)&lt;=0,N(M869)&gt;N(L869)),"택가보정(판매금액÷공급율)",""))</f>
        <v/>
      </c>
    </row>
    <row r="870" customFormat="false" ht="15" hidden="false" customHeight="true" outlineLevel="0" collapsed="false">
      <c r="A870" s="67" t="str">
        <f aca="false">IF(OR(TRIM(C870)="",SUBSTITUTE(C870," ","")="소계"),"제외",IF(ISNUMBER(SEARCH("홍콩",C870)),"HK",IF(ISNUMBER(SEARCH("상해",C870)),"CN",IF(ISNUMBER(SEARCH("대만",C870)),"TW","홀세일"))))</f>
        <v>홀세일</v>
      </c>
      <c r="B870" s="87" t="s">
        <v>1290</v>
      </c>
      <c r="C870" s="87" t="s">
        <v>1291</v>
      </c>
      <c r="D870" s="88" t="s">
        <v>178</v>
      </c>
      <c r="E870" s="87" t="n">
        <v>2025</v>
      </c>
      <c r="F870" s="88" t="s">
        <v>277</v>
      </c>
      <c r="G870" s="88" t="s">
        <v>180</v>
      </c>
      <c r="H870" s="87" t="s">
        <v>189</v>
      </c>
      <c r="I870" s="87" t="s">
        <v>1298</v>
      </c>
      <c r="J870" s="87" t="s">
        <v>1299</v>
      </c>
      <c r="K870" s="89" t="n">
        <v>8</v>
      </c>
      <c r="L870" s="89" t="n">
        <v>1592000</v>
      </c>
      <c r="M870" s="89" t="n">
        <v>575088</v>
      </c>
      <c r="N870" s="90" t="n">
        <f aca="false">IF(A870="제외",0,IF(OR(N(L870)&lt;=0,N(M870)&gt;N(L870)),N(M870)/가정!$B$4,N(L870)))</f>
        <v>1592000</v>
      </c>
      <c r="O870" s="67" t="str">
        <f aca="false">IF(A870="제외","",IF(OR(N(L870)&lt;=0,N(M870)&gt;N(L870)),"택가보정(판매금액÷공급율)",""))</f>
        <v/>
      </c>
    </row>
    <row r="871" customFormat="false" ht="15" hidden="false" customHeight="true" outlineLevel="0" collapsed="false">
      <c r="A871" s="67" t="str">
        <f aca="false">IF(OR(TRIM(C871)="",SUBSTITUTE(C871," ","")="소계"),"제외",IF(ISNUMBER(SEARCH("홍콩",C871)),"HK",IF(ISNUMBER(SEARCH("상해",C871)),"CN",IF(ISNUMBER(SEARCH("대만",C871)),"TW","홀세일"))))</f>
        <v>홀세일</v>
      </c>
      <c r="B871" s="87" t="s">
        <v>1290</v>
      </c>
      <c r="C871" s="87" t="s">
        <v>1291</v>
      </c>
      <c r="D871" s="88" t="s">
        <v>178</v>
      </c>
      <c r="E871" s="87" t="n">
        <v>2025</v>
      </c>
      <c r="F871" s="88" t="s">
        <v>277</v>
      </c>
      <c r="G871" s="88" t="s">
        <v>180</v>
      </c>
      <c r="H871" s="87" t="s">
        <v>181</v>
      </c>
      <c r="I871" s="87" t="s">
        <v>1300</v>
      </c>
      <c r="J871" s="88" t="s">
        <v>1301</v>
      </c>
      <c r="K871" s="89" t="n">
        <v>7</v>
      </c>
      <c r="L871" s="89" t="n">
        <v>1673000</v>
      </c>
      <c r="M871" s="89" t="n">
        <v>603428</v>
      </c>
      <c r="N871" s="90" t="n">
        <f aca="false">IF(A871="제외",0,IF(OR(N(L871)&lt;=0,N(M871)&gt;N(L871)),N(M871)/가정!$B$4,N(L871)))</f>
        <v>1673000</v>
      </c>
      <c r="O871" s="67" t="str">
        <f aca="false">IF(A871="제외","",IF(OR(N(L871)&lt;=0,N(M871)&gt;N(L871)),"택가보정(판매금액÷공급율)",""))</f>
        <v/>
      </c>
    </row>
    <row r="872" customFormat="false" ht="15" hidden="false" customHeight="true" outlineLevel="0" collapsed="false">
      <c r="A872" s="67" t="str">
        <f aca="false">IF(OR(TRIM(C872)="",SUBSTITUTE(C872," ","")="소계"),"제외",IF(ISNUMBER(SEARCH("홍콩",C872)),"HK",IF(ISNUMBER(SEARCH("상해",C872)),"CN",IF(ISNUMBER(SEARCH("대만",C872)),"TW","홀세일"))))</f>
        <v>홀세일</v>
      </c>
      <c r="B872" s="87" t="s">
        <v>1290</v>
      </c>
      <c r="C872" s="87" t="s">
        <v>1291</v>
      </c>
      <c r="D872" s="88" t="s">
        <v>178</v>
      </c>
      <c r="E872" s="87" t="n">
        <v>2025</v>
      </c>
      <c r="F872" s="88" t="s">
        <v>277</v>
      </c>
      <c r="G872" s="88" t="s">
        <v>180</v>
      </c>
      <c r="H872" s="87" t="s">
        <v>181</v>
      </c>
      <c r="I872" s="87" t="s">
        <v>1302</v>
      </c>
      <c r="J872" s="88" t="s">
        <v>1303</v>
      </c>
      <c r="K872" s="89" t="n">
        <v>65</v>
      </c>
      <c r="L872" s="89" t="n">
        <v>8385000</v>
      </c>
      <c r="M872" s="89" t="n">
        <v>2859220</v>
      </c>
      <c r="N872" s="90" t="n">
        <f aca="false">IF(A872="제외",0,IF(OR(N(L872)&lt;=0,N(M872)&gt;N(L872)),N(M872)/가정!$B$4,N(L872)))</f>
        <v>8385000</v>
      </c>
      <c r="O872" s="67" t="str">
        <f aca="false">IF(A872="제외","",IF(OR(N(L872)&lt;=0,N(M872)&gt;N(L872)),"택가보정(판매금액÷공급율)",""))</f>
        <v/>
      </c>
    </row>
    <row r="873" customFormat="false" ht="15" hidden="false" customHeight="true" outlineLevel="0" collapsed="false">
      <c r="A873" s="67" t="str">
        <f aca="false">IF(OR(TRIM(C873)="",SUBSTITUTE(C873," ","")="소계"),"제외",IF(ISNUMBER(SEARCH("홍콩",C873)),"HK",IF(ISNUMBER(SEARCH("상해",C873)),"CN",IF(ISNUMBER(SEARCH("대만",C873)),"TW","홀세일"))))</f>
        <v>홀세일</v>
      </c>
      <c r="B873" s="87" t="s">
        <v>1290</v>
      </c>
      <c r="C873" s="87" t="s">
        <v>1291</v>
      </c>
      <c r="D873" s="88" t="s">
        <v>178</v>
      </c>
      <c r="E873" s="87" t="n">
        <v>2025</v>
      </c>
      <c r="F873" s="88" t="s">
        <v>277</v>
      </c>
      <c r="G873" s="88" t="s">
        <v>180</v>
      </c>
      <c r="H873" s="87" t="s">
        <v>189</v>
      </c>
      <c r="I873" s="87" t="s">
        <v>1304</v>
      </c>
      <c r="J873" s="88" t="s">
        <v>1305</v>
      </c>
      <c r="K873" s="89" t="n">
        <v>175</v>
      </c>
      <c r="L873" s="89" t="n">
        <v>12075000</v>
      </c>
      <c r="M873" s="89" t="n">
        <v>4133150</v>
      </c>
      <c r="N873" s="90" t="n">
        <f aca="false">IF(A873="제외",0,IF(OR(N(L873)&lt;=0,N(M873)&gt;N(L873)),N(M873)/가정!$B$4,N(L873)))</f>
        <v>12075000</v>
      </c>
      <c r="O873" s="67" t="str">
        <f aca="false">IF(A873="제외","",IF(OR(N(L873)&lt;=0,N(M873)&gt;N(L873)),"택가보정(판매금액÷공급율)",""))</f>
        <v/>
      </c>
    </row>
    <row r="874" customFormat="false" ht="15" hidden="false" customHeight="true" outlineLevel="0" collapsed="false">
      <c r="A874" s="67" t="str">
        <f aca="false">IF(OR(TRIM(C874)="",SUBSTITUTE(C874," ","")="소계"),"제외",IF(ISNUMBER(SEARCH("홍콩",C874)),"HK",IF(ISNUMBER(SEARCH("상해",C874)),"CN",IF(ISNUMBER(SEARCH("대만",C874)),"TW","홀세일"))))</f>
        <v>홀세일</v>
      </c>
      <c r="B874" s="87" t="s">
        <v>1290</v>
      </c>
      <c r="C874" s="87" t="s">
        <v>1291</v>
      </c>
      <c r="D874" s="88" t="s">
        <v>178</v>
      </c>
      <c r="E874" s="87" t="n">
        <v>2025</v>
      </c>
      <c r="F874" s="88" t="s">
        <v>277</v>
      </c>
      <c r="G874" s="88" t="s">
        <v>180</v>
      </c>
      <c r="H874" s="87" t="s">
        <v>189</v>
      </c>
      <c r="I874" s="87" t="s">
        <v>1306</v>
      </c>
      <c r="J874" s="88" t="s">
        <v>1307</v>
      </c>
      <c r="K874" s="89" t="n">
        <v>195</v>
      </c>
      <c r="L874" s="89" t="n">
        <v>13455000</v>
      </c>
      <c r="M874" s="89" t="n">
        <v>4605510</v>
      </c>
      <c r="N874" s="90" t="n">
        <f aca="false">IF(A874="제외",0,IF(OR(N(L874)&lt;=0,N(M874)&gt;N(L874)),N(M874)/가정!$B$4,N(L874)))</f>
        <v>13455000</v>
      </c>
      <c r="O874" s="67" t="str">
        <f aca="false">IF(A874="제외","",IF(OR(N(L874)&lt;=0,N(M874)&gt;N(L874)),"택가보정(판매금액÷공급율)",""))</f>
        <v/>
      </c>
    </row>
    <row r="875" customFormat="false" ht="15" hidden="false" customHeight="true" outlineLevel="0" collapsed="false">
      <c r="A875" s="67" t="str">
        <f aca="false">IF(OR(TRIM(C875)="",SUBSTITUTE(C875," ","")="소계"),"제외",IF(ISNUMBER(SEARCH("홍콩",C875)),"HK",IF(ISNUMBER(SEARCH("상해",C875)),"CN",IF(ISNUMBER(SEARCH("대만",C875)),"TW","홀세일"))))</f>
        <v>홀세일</v>
      </c>
      <c r="B875" s="87" t="s">
        <v>1290</v>
      </c>
      <c r="C875" s="87" t="s">
        <v>1291</v>
      </c>
      <c r="D875" s="88" t="s">
        <v>178</v>
      </c>
      <c r="E875" s="87" t="n">
        <v>2026</v>
      </c>
      <c r="F875" s="88" t="s">
        <v>179</v>
      </c>
      <c r="G875" s="88" t="s">
        <v>180</v>
      </c>
      <c r="H875" s="87" t="s">
        <v>189</v>
      </c>
      <c r="I875" s="87" t="s">
        <v>1308</v>
      </c>
      <c r="J875" s="87" t="s">
        <v>1309</v>
      </c>
      <c r="K875" s="89" t="n">
        <v>25</v>
      </c>
      <c r="L875" s="89" t="n">
        <v>4475000</v>
      </c>
      <c r="M875" s="89" t="n">
        <v>1644600</v>
      </c>
      <c r="N875" s="90" t="n">
        <f aca="false">IF(A875="제외",0,IF(OR(N(L875)&lt;=0,N(M875)&gt;N(L875)),N(M875)/가정!$B$4,N(L875)))</f>
        <v>4475000</v>
      </c>
      <c r="O875" s="67" t="str">
        <f aca="false">IF(A875="제외","",IF(OR(N(L875)&lt;=0,N(M875)&gt;N(L875)),"택가보정(판매금액÷공급율)",""))</f>
        <v/>
      </c>
    </row>
    <row r="876" customFormat="false" ht="15" hidden="false" customHeight="true" outlineLevel="0" collapsed="false">
      <c r="A876" s="67" t="str">
        <f aca="false">IF(OR(TRIM(C876)="",SUBSTITUTE(C876," ","")="소계"),"제외",IF(ISNUMBER(SEARCH("홍콩",C876)),"HK",IF(ISNUMBER(SEARCH("상해",C876)),"CN",IF(ISNUMBER(SEARCH("대만",C876)),"TW","홀세일"))))</f>
        <v>홀세일</v>
      </c>
      <c r="B876" s="87" t="s">
        <v>1290</v>
      </c>
      <c r="C876" s="87" t="s">
        <v>1291</v>
      </c>
      <c r="D876" s="88" t="s">
        <v>178</v>
      </c>
      <c r="E876" s="87" t="n">
        <v>2026</v>
      </c>
      <c r="F876" s="88" t="s">
        <v>179</v>
      </c>
      <c r="G876" s="88" t="s">
        <v>180</v>
      </c>
      <c r="H876" s="87" t="s">
        <v>189</v>
      </c>
      <c r="I876" s="87" t="s">
        <v>1310</v>
      </c>
      <c r="J876" s="87" t="s">
        <v>1311</v>
      </c>
      <c r="K876" s="89" t="n">
        <v>25</v>
      </c>
      <c r="L876" s="89" t="n">
        <v>14750000</v>
      </c>
      <c r="M876" s="89" t="n">
        <v>5748775</v>
      </c>
      <c r="N876" s="90" t="n">
        <f aca="false">IF(A876="제외",0,IF(OR(N(L876)&lt;=0,N(M876)&gt;N(L876)),N(M876)/가정!$B$4,N(L876)))</f>
        <v>14750000</v>
      </c>
      <c r="O876" s="67" t="str">
        <f aca="false">IF(A876="제외","",IF(OR(N(L876)&lt;=0,N(M876)&gt;N(L876)),"택가보정(판매금액÷공급율)",""))</f>
        <v/>
      </c>
    </row>
    <row r="877" customFormat="false" ht="15" hidden="false" customHeight="true" outlineLevel="0" collapsed="false">
      <c r="A877" s="67" t="str">
        <f aca="false">IF(OR(TRIM(C877)="",SUBSTITUTE(C877," ","")="소계"),"제외",IF(ISNUMBER(SEARCH("홍콩",C877)),"HK",IF(ISNUMBER(SEARCH("상해",C877)),"CN",IF(ISNUMBER(SEARCH("대만",C877)),"TW","홀세일"))))</f>
        <v>홀세일</v>
      </c>
      <c r="B877" s="87" t="s">
        <v>1290</v>
      </c>
      <c r="C877" s="87" t="s">
        <v>1291</v>
      </c>
      <c r="D877" s="88" t="s">
        <v>178</v>
      </c>
      <c r="E877" s="87" t="n">
        <v>2026</v>
      </c>
      <c r="F877" s="88" t="s">
        <v>179</v>
      </c>
      <c r="G877" s="88" t="s">
        <v>180</v>
      </c>
      <c r="H877" s="87" t="s">
        <v>189</v>
      </c>
      <c r="I877" s="87" t="s">
        <v>1312</v>
      </c>
      <c r="J877" s="87" t="s">
        <v>1313</v>
      </c>
      <c r="K877" s="89" t="n">
        <v>35</v>
      </c>
      <c r="L877" s="89" t="n">
        <v>10465000</v>
      </c>
      <c r="M877" s="89" t="n">
        <v>4080685</v>
      </c>
      <c r="N877" s="90" t="n">
        <f aca="false">IF(A877="제외",0,IF(OR(N(L877)&lt;=0,N(M877)&gt;N(L877)),N(M877)/가정!$B$4,N(L877)))</f>
        <v>10465000</v>
      </c>
      <c r="O877" s="67" t="str">
        <f aca="false">IF(A877="제외","",IF(OR(N(L877)&lt;=0,N(M877)&gt;N(L877)),"택가보정(판매금액÷공급율)",""))</f>
        <v/>
      </c>
    </row>
    <row r="878" customFormat="false" ht="15" hidden="false" customHeight="true" outlineLevel="0" collapsed="false">
      <c r="A878" s="67" t="str">
        <f aca="false">IF(OR(TRIM(C878)="",SUBSTITUTE(C878," ","")="소계"),"제외",IF(ISNUMBER(SEARCH("홍콩",C878)),"HK",IF(ISNUMBER(SEARCH("상해",C878)),"CN",IF(ISNUMBER(SEARCH("대만",C878)),"TW","홀세일"))))</f>
        <v>홀세일</v>
      </c>
      <c r="B878" s="87" t="s">
        <v>1290</v>
      </c>
      <c r="C878" s="87" t="s">
        <v>1291</v>
      </c>
      <c r="D878" s="88" t="s">
        <v>178</v>
      </c>
      <c r="E878" s="87" t="n">
        <v>2026</v>
      </c>
      <c r="F878" s="88" t="s">
        <v>179</v>
      </c>
      <c r="G878" s="88" t="s">
        <v>180</v>
      </c>
      <c r="H878" s="87" t="s">
        <v>189</v>
      </c>
      <c r="I878" s="87" t="s">
        <v>839</v>
      </c>
      <c r="J878" s="87" t="s">
        <v>840</v>
      </c>
      <c r="K878" s="89" t="n">
        <v>25</v>
      </c>
      <c r="L878" s="89" t="n">
        <v>6975000</v>
      </c>
      <c r="M878" s="89" t="n">
        <v>2720200</v>
      </c>
      <c r="N878" s="90" t="n">
        <f aca="false">IF(A878="제외",0,IF(OR(N(L878)&lt;=0,N(M878)&gt;N(L878)),N(M878)/가정!$B$4,N(L878)))</f>
        <v>6975000</v>
      </c>
      <c r="O878" s="67" t="str">
        <f aca="false">IF(A878="제외","",IF(OR(N(L878)&lt;=0,N(M878)&gt;N(L878)),"택가보정(판매금액÷공급율)",""))</f>
        <v/>
      </c>
    </row>
    <row r="879" customFormat="false" ht="15" hidden="false" customHeight="true" outlineLevel="0" collapsed="false">
      <c r="A879" s="67" t="str">
        <f aca="false">IF(OR(TRIM(C879)="",SUBSTITUTE(C879," ","")="소계"),"제외",IF(ISNUMBER(SEARCH("홍콩",C879)),"HK",IF(ISNUMBER(SEARCH("상해",C879)),"CN",IF(ISNUMBER(SEARCH("대만",C879)),"TW","홀세일"))))</f>
        <v>홀세일</v>
      </c>
      <c r="B879" s="87" t="s">
        <v>1290</v>
      </c>
      <c r="C879" s="87" t="s">
        <v>1291</v>
      </c>
      <c r="D879" s="88" t="s">
        <v>178</v>
      </c>
      <c r="E879" s="87" t="n">
        <v>2026</v>
      </c>
      <c r="F879" s="88" t="s">
        <v>179</v>
      </c>
      <c r="G879" s="88" t="s">
        <v>180</v>
      </c>
      <c r="H879" s="87" t="s">
        <v>189</v>
      </c>
      <c r="I879" s="87" t="s">
        <v>1314</v>
      </c>
      <c r="J879" s="88" t="s">
        <v>1185</v>
      </c>
      <c r="K879" s="89" t="n">
        <v>40</v>
      </c>
      <c r="L879" s="89" t="n">
        <v>8760000</v>
      </c>
      <c r="M879" s="89" t="n">
        <v>3418440</v>
      </c>
      <c r="N879" s="90" t="n">
        <f aca="false">IF(A879="제외",0,IF(OR(N(L879)&lt;=0,N(M879)&gt;N(L879)),N(M879)/가정!$B$4,N(L879)))</f>
        <v>8760000</v>
      </c>
      <c r="O879" s="67" t="str">
        <f aca="false">IF(A879="제외","",IF(OR(N(L879)&lt;=0,N(M879)&gt;N(L879)),"택가보정(판매금액÷공급율)",""))</f>
        <v/>
      </c>
    </row>
    <row r="880" customFormat="false" ht="15" hidden="false" customHeight="true" outlineLevel="0" collapsed="false">
      <c r="A880" s="67" t="str">
        <f aca="false">IF(OR(TRIM(C880)="",SUBSTITUTE(C880," ","")="소계"),"제외",IF(ISNUMBER(SEARCH("홍콩",C880)),"HK",IF(ISNUMBER(SEARCH("상해",C880)),"CN",IF(ISNUMBER(SEARCH("대만",C880)),"TW","홀세일"))))</f>
        <v>홀세일</v>
      </c>
      <c r="B880" s="87" t="s">
        <v>1290</v>
      </c>
      <c r="C880" s="87" t="s">
        <v>1291</v>
      </c>
      <c r="D880" s="88" t="s">
        <v>178</v>
      </c>
      <c r="E880" s="87" t="n">
        <v>2026</v>
      </c>
      <c r="F880" s="88" t="s">
        <v>277</v>
      </c>
      <c r="G880" s="88" t="s">
        <v>180</v>
      </c>
      <c r="H880" s="87" t="s">
        <v>189</v>
      </c>
      <c r="I880" s="87" t="s">
        <v>282</v>
      </c>
      <c r="J880" s="87" t="s">
        <v>283</v>
      </c>
      <c r="K880" s="89" t="n">
        <v>50</v>
      </c>
      <c r="L880" s="89" t="n">
        <v>5450000</v>
      </c>
      <c r="M880" s="89" t="n">
        <v>2019950</v>
      </c>
      <c r="N880" s="90" t="n">
        <f aca="false">IF(A880="제외",0,IF(OR(N(L880)&lt;=0,N(M880)&gt;N(L880)),N(M880)/가정!$B$4,N(L880)))</f>
        <v>5450000</v>
      </c>
      <c r="O880" s="67" t="str">
        <f aca="false">IF(A880="제외","",IF(OR(N(L880)&lt;=0,N(M880)&gt;N(L880)),"택가보정(판매금액÷공급율)",""))</f>
        <v/>
      </c>
    </row>
    <row r="881" customFormat="false" ht="15" hidden="false" customHeight="true" outlineLevel="0" collapsed="false">
      <c r="A881" s="67" t="str">
        <f aca="false">IF(OR(TRIM(C881)="",SUBSTITUTE(C881," ","")="소계"),"제외",IF(ISNUMBER(SEARCH("홍콩",C881)),"HK",IF(ISNUMBER(SEARCH("상해",C881)),"CN",IF(ISNUMBER(SEARCH("대만",C881)),"TW","홀세일"))))</f>
        <v>홀세일</v>
      </c>
      <c r="B881" s="87" t="s">
        <v>1290</v>
      </c>
      <c r="C881" s="87" t="s">
        <v>1291</v>
      </c>
      <c r="D881" s="88" t="s">
        <v>178</v>
      </c>
      <c r="E881" s="87" t="n">
        <v>2026</v>
      </c>
      <c r="F881" s="88" t="s">
        <v>277</v>
      </c>
      <c r="G881" s="88" t="s">
        <v>180</v>
      </c>
      <c r="H881" s="87" t="s">
        <v>189</v>
      </c>
      <c r="I881" s="87" t="s">
        <v>863</v>
      </c>
      <c r="J881" s="88" t="s">
        <v>864</v>
      </c>
      <c r="K881" s="89" t="n">
        <v>40</v>
      </c>
      <c r="L881" s="89" t="n">
        <v>6360000</v>
      </c>
      <c r="M881" s="89" t="n">
        <v>2355840</v>
      </c>
      <c r="N881" s="90" t="n">
        <f aca="false">IF(A881="제외",0,IF(OR(N(L881)&lt;=0,N(M881)&gt;N(L881)),N(M881)/가정!$B$4,N(L881)))</f>
        <v>6360000</v>
      </c>
      <c r="O881" s="67" t="str">
        <f aca="false">IF(A881="제외","",IF(OR(N(L881)&lt;=0,N(M881)&gt;N(L881)),"택가보정(판매금액÷공급율)",""))</f>
        <v/>
      </c>
    </row>
    <row r="882" customFormat="false" ht="15" hidden="false" customHeight="true" outlineLevel="0" collapsed="false">
      <c r="A882" s="67" t="str">
        <f aca="false">IF(OR(TRIM(C882)="",SUBSTITUTE(C882," ","")="소계"),"제외",IF(ISNUMBER(SEARCH("홍콩",C882)),"HK",IF(ISNUMBER(SEARCH("상해",C882)),"CN",IF(ISNUMBER(SEARCH("대만",C882)),"TW","홀세일"))))</f>
        <v>홀세일</v>
      </c>
      <c r="B882" s="87" t="s">
        <v>1290</v>
      </c>
      <c r="C882" s="87" t="s">
        <v>1291</v>
      </c>
      <c r="D882" s="88" t="s">
        <v>178</v>
      </c>
      <c r="E882" s="87" t="n">
        <v>2026</v>
      </c>
      <c r="F882" s="88" t="s">
        <v>277</v>
      </c>
      <c r="G882" s="88" t="s">
        <v>180</v>
      </c>
      <c r="H882" s="87" t="s">
        <v>189</v>
      </c>
      <c r="I882" s="87" t="s">
        <v>298</v>
      </c>
      <c r="J882" s="87" t="s">
        <v>299</v>
      </c>
      <c r="K882" s="89" t="n">
        <v>75</v>
      </c>
      <c r="L882" s="89" t="n">
        <v>5175000</v>
      </c>
      <c r="M882" s="89" t="n">
        <v>1920075</v>
      </c>
      <c r="N882" s="90" t="n">
        <f aca="false">IF(A882="제외",0,IF(OR(N(L882)&lt;=0,N(M882)&gt;N(L882)),N(M882)/가정!$B$4,N(L882)))</f>
        <v>5175000</v>
      </c>
      <c r="O882" s="67" t="str">
        <f aca="false">IF(A882="제외","",IF(OR(N(L882)&lt;=0,N(M882)&gt;N(L882)),"택가보정(판매금액÷공급율)",""))</f>
        <v/>
      </c>
    </row>
    <row r="883" customFormat="false" ht="15" hidden="false" customHeight="true" outlineLevel="0" collapsed="false">
      <c r="A883" s="67" t="str">
        <f aca="false">IF(OR(TRIM(C883)="",SUBSTITUTE(C883," ","")="소계"),"제외",IF(ISNUMBER(SEARCH("홍콩",C883)),"HK",IF(ISNUMBER(SEARCH("상해",C883)),"CN",IF(ISNUMBER(SEARCH("대만",C883)),"TW","홀세일"))))</f>
        <v>홀세일</v>
      </c>
      <c r="B883" s="87" t="s">
        <v>1290</v>
      </c>
      <c r="C883" s="87" t="s">
        <v>1291</v>
      </c>
      <c r="D883" s="88" t="s">
        <v>178</v>
      </c>
      <c r="E883" s="87" t="n">
        <v>2026</v>
      </c>
      <c r="F883" s="88" t="s">
        <v>277</v>
      </c>
      <c r="G883" s="88" t="s">
        <v>180</v>
      </c>
      <c r="H883" s="87" t="s">
        <v>189</v>
      </c>
      <c r="I883" s="87" t="s">
        <v>300</v>
      </c>
      <c r="J883" s="87" t="s">
        <v>301</v>
      </c>
      <c r="K883" s="89" t="n">
        <v>50</v>
      </c>
      <c r="L883" s="89" t="n">
        <v>3950000</v>
      </c>
      <c r="M883" s="89" t="n">
        <v>1465000</v>
      </c>
      <c r="N883" s="90" t="n">
        <f aca="false">IF(A883="제외",0,IF(OR(N(L883)&lt;=0,N(M883)&gt;N(L883)),N(M883)/가정!$B$4,N(L883)))</f>
        <v>3950000</v>
      </c>
      <c r="O883" s="67" t="str">
        <f aca="false">IF(A883="제외","",IF(OR(N(L883)&lt;=0,N(M883)&gt;N(L883)),"택가보정(판매금액÷공급율)",""))</f>
        <v/>
      </c>
    </row>
    <row r="884" customFormat="false" ht="15" hidden="false" customHeight="true" outlineLevel="0" collapsed="false">
      <c r="A884" s="67" t="str">
        <f aca="false">IF(OR(TRIM(C884)="",SUBSTITUTE(C884," ","")="소계"),"제외",IF(ISNUMBER(SEARCH("홍콩",C884)),"HK",IF(ISNUMBER(SEARCH("상해",C884)),"CN",IF(ISNUMBER(SEARCH("대만",C884)),"TW","홀세일"))))</f>
        <v>홀세일</v>
      </c>
      <c r="B884" s="87" t="s">
        <v>1290</v>
      </c>
      <c r="C884" s="87" t="s">
        <v>1291</v>
      </c>
      <c r="D884" s="88" t="s">
        <v>178</v>
      </c>
      <c r="E884" s="87" t="n">
        <v>2026</v>
      </c>
      <c r="F884" s="88" t="s">
        <v>277</v>
      </c>
      <c r="G884" s="88" t="s">
        <v>180</v>
      </c>
      <c r="H884" s="87" t="s">
        <v>189</v>
      </c>
      <c r="I884" s="87" t="s">
        <v>306</v>
      </c>
      <c r="J884" s="88" t="s">
        <v>307</v>
      </c>
      <c r="K884" s="89" t="n">
        <v>50</v>
      </c>
      <c r="L884" s="89" t="n">
        <v>4950000</v>
      </c>
      <c r="M884" s="89" t="n">
        <v>1834950</v>
      </c>
      <c r="N884" s="90" t="n">
        <f aca="false">IF(A884="제외",0,IF(OR(N(L884)&lt;=0,N(M884)&gt;N(L884)),N(M884)/가정!$B$4,N(L884)))</f>
        <v>4950000</v>
      </c>
      <c r="O884" s="67" t="str">
        <f aca="false">IF(A884="제외","",IF(OR(N(L884)&lt;=0,N(M884)&gt;N(L884)),"택가보정(판매금액÷공급율)",""))</f>
        <v/>
      </c>
    </row>
    <row r="885" customFormat="false" ht="15" hidden="false" customHeight="true" outlineLevel="0" collapsed="false">
      <c r="A885" s="67" t="str">
        <f aca="false">IF(OR(TRIM(C885)="",SUBSTITUTE(C885," ","")="소계"),"제외",IF(ISNUMBER(SEARCH("홍콩",C885)),"HK",IF(ISNUMBER(SEARCH("상해",C885)),"CN",IF(ISNUMBER(SEARCH("대만",C885)),"TW","홀세일"))))</f>
        <v>홀세일</v>
      </c>
      <c r="B885" s="87" t="s">
        <v>1290</v>
      </c>
      <c r="C885" s="87" t="s">
        <v>1291</v>
      </c>
      <c r="D885" s="88" t="s">
        <v>178</v>
      </c>
      <c r="E885" s="87" t="n">
        <v>2026</v>
      </c>
      <c r="F885" s="88" t="s">
        <v>277</v>
      </c>
      <c r="G885" s="88" t="s">
        <v>180</v>
      </c>
      <c r="H885" s="87" t="s">
        <v>189</v>
      </c>
      <c r="I885" s="87" t="s">
        <v>348</v>
      </c>
      <c r="J885" s="88" t="s">
        <v>349</v>
      </c>
      <c r="K885" s="89" t="n">
        <v>50</v>
      </c>
      <c r="L885" s="89" t="n">
        <v>3450000</v>
      </c>
      <c r="M885" s="89" t="n">
        <v>1280050</v>
      </c>
      <c r="N885" s="90" t="n">
        <f aca="false">IF(A885="제외",0,IF(OR(N(L885)&lt;=0,N(M885)&gt;N(L885)),N(M885)/가정!$B$4,N(L885)))</f>
        <v>3450000</v>
      </c>
      <c r="O885" s="67" t="str">
        <f aca="false">IF(A885="제외","",IF(OR(N(L885)&lt;=0,N(M885)&gt;N(L885)),"택가보정(판매금액÷공급율)",""))</f>
        <v/>
      </c>
    </row>
    <row r="886" customFormat="false" ht="15" hidden="false" customHeight="true" outlineLevel="0" collapsed="false">
      <c r="A886" s="67" t="str">
        <f aca="false">IF(OR(TRIM(C886)="",SUBSTITUTE(C886," ","")="소계"),"제외",IF(ISNUMBER(SEARCH("홍콩",C886)),"HK",IF(ISNUMBER(SEARCH("상해",C886)),"CN",IF(ISNUMBER(SEARCH("대만",C886)),"TW","홀세일"))))</f>
        <v>홀세일</v>
      </c>
      <c r="B886" s="87" t="s">
        <v>1290</v>
      </c>
      <c r="C886" s="87" t="s">
        <v>1291</v>
      </c>
      <c r="D886" s="88" t="s">
        <v>178</v>
      </c>
      <c r="E886" s="87" t="n">
        <v>2026</v>
      </c>
      <c r="F886" s="88" t="s">
        <v>277</v>
      </c>
      <c r="G886" s="88" t="s">
        <v>180</v>
      </c>
      <c r="H886" s="87" t="s">
        <v>181</v>
      </c>
      <c r="I886" s="87" t="s">
        <v>376</v>
      </c>
      <c r="J886" s="88" t="s">
        <v>377</v>
      </c>
      <c r="K886" s="89" t="n">
        <v>50</v>
      </c>
      <c r="L886" s="89" t="n">
        <v>2950000</v>
      </c>
      <c r="M886" s="89" t="n">
        <v>1086600</v>
      </c>
      <c r="N886" s="90" t="n">
        <f aca="false">IF(A886="제외",0,IF(OR(N(L886)&lt;=0,N(M886)&gt;N(L886)),N(M886)/가정!$B$4,N(L886)))</f>
        <v>2950000</v>
      </c>
      <c r="O886" s="67" t="str">
        <f aca="false">IF(A886="제외","",IF(OR(N(L886)&lt;=0,N(M886)&gt;N(L886)),"택가보정(판매금액÷공급율)",""))</f>
        <v/>
      </c>
    </row>
    <row r="887" customFormat="false" ht="15" hidden="false" customHeight="true" outlineLevel="0" collapsed="false">
      <c r="A887" s="67" t="str">
        <f aca="false">IF(OR(TRIM(C887)="",SUBSTITUTE(C887," ","")="소계"),"제외",IF(ISNUMBER(SEARCH("홍콩",C887)),"HK",IF(ISNUMBER(SEARCH("상해",C887)),"CN",IF(ISNUMBER(SEARCH("대만",C887)),"TW","홀세일"))))</f>
        <v>홀세일</v>
      </c>
      <c r="B887" s="87" t="s">
        <v>1290</v>
      </c>
      <c r="C887" s="87" t="s">
        <v>1291</v>
      </c>
      <c r="D887" s="88" t="s">
        <v>178</v>
      </c>
      <c r="E887" s="87" t="n">
        <v>2026</v>
      </c>
      <c r="F887" s="88" t="s">
        <v>277</v>
      </c>
      <c r="G887" s="88" t="s">
        <v>180</v>
      </c>
      <c r="H887" s="87" t="s">
        <v>181</v>
      </c>
      <c r="I887" s="87" t="s">
        <v>378</v>
      </c>
      <c r="J887" s="88" t="s">
        <v>379</v>
      </c>
      <c r="K887" s="89" t="n">
        <v>50</v>
      </c>
      <c r="L887" s="89" t="n">
        <v>3450000</v>
      </c>
      <c r="M887" s="89" t="n">
        <v>1270150</v>
      </c>
      <c r="N887" s="90" t="n">
        <f aca="false">IF(A887="제외",0,IF(OR(N(L887)&lt;=0,N(M887)&gt;N(L887)),N(M887)/가정!$B$4,N(L887)))</f>
        <v>3450000</v>
      </c>
      <c r="O887" s="67" t="str">
        <f aca="false">IF(A887="제외","",IF(OR(N(L887)&lt;=0,N(M887)&gt;N(L887)),"택가보정(판매금액÷공급율)",""))</f>
        <v/>
      </c>
    </row>
    <row r="888" customFormat="false" ht="15" hidden="false" customHeight="true" outlineLevel="0" collapsed="false">
      <c r="A888" s="67" t="str">
        <f aca="false">IF(OR(TRIM(C888)="",SUBSTITUTE(C888," ","")="소계"),"제외",IF(ISNUMBER(SEARCH("홍콩",C888)),"HK",IF(ISNUMBER(SEARCH("상해",C888)),"CN",IF(ISNUMBER(SEARCH("대만",C888)),"TW","홀세일"))))</f>
        <v>홀세일</v>
      </c>
      <c r="B888" s="87" t="s">
        <v>1290</v>
      </c>
      <c r="C888" s="87" t="s">
        <v>1291</v>
      </c>
      <c r="D888" s="88" t="s">
        <v>178</v>
      </c>
      <c r="E888" s="87" t="n">
        <v>2026</v>
      </c>
      <c r="F888" s="88" t="s">
        <v>277</v>
      </c>
      <c r="G888" s="88" t="s">
        <v>180</v>
      </c>
      <c r="H888" s="88" t="s">
        <v>185</v>
      </c>
      <c r="I888" s="87" t="s">
        <v>1315</v>
      </c>
      <c r="J888" s="87" t="s">
        <v>1316</v>
      </c>
      <c r="K888" s="89" t="n">
        <v>25</v>
      </c>
      <c r="L888" s="89" t="n">
        <v>1475000</v>
      </c>
      <c r="M888" s="89" t="n">
        <v>547525</v>
      </c>
      <c r="N888" s="90" t="n">
        <f aca="false">IF(A888="제외",0,IF(OR(N(L888)&lt;=0,N(M888)&gt;N(L888)),N(M888)/가정!$B$4,N(L888)))</f>
        <v>1475000</v>
      </c>
      <c r="O888" s="67" t="str">
        <f aca="false">IF(A888="제외","",IF(OR(N(L888)&lt;=0,N(M888)&gt;N(L888)),"택가보정(판매금액÷공급율)",""))</f>
        <v/>
      </c>
    </row>
    <row r="889" customFormat="false" ht="15" hidden="false" customHeight="true" outlineLevel="0" collapsed="false">
      <c r="A889" s="67" t="str">
        <f aca="false">IF(OR(TRIM(C889)="",SUBSTITUTE(C889," ","")="소계"),"제외",IF(ISNUMBER(SEARCH("홍콩",C889)),"HK",IF(ISNUMBER(SEARCH("상해",C889)),"CN",IF(ISNUMBER(SEARCH("대만",C889)),"TW","홀세일"))))</f>
        <v>홀세일</v>
      </c>
      <c r="B889" s="87" t="s">
        <v>1290</v>
      </c>
      <c r="C889" s="87" t="s">
        <v>1291</v>
      </c>
      <c r="D889" s="88" t="s">
        <v>178</v>
      </c>
      <c r="E889" s="87" t="n">
        <v>2026</v>
      </c>
      <c r="F889" s="88" t="s">
        <v>277</v>
      </c>
      <c r="G889" s="88" t="s">
        <v>180</v>
      </c>
      <c r="H889" s="88" t="s">
        <v>185</v>
      </c>
      <c r="I889" s="87" t="s">
        <v>1317</v>
      </c>
      <c r="J889" s="87" t="s">
        <v>1318</v>
      </c>
      <c r="K889" s="89" t="n">
        <v>25</v>
      </c>
      <c r="L889" s="89" t="n">
        <v>1475000</v>
      </c>
      <c r="M889" s="89" t="n">
        <v>547525</v>
      </c>
      <c r="N889" s="90" t="n">
        <f aca="false">IF(A889="제외",0,IF(OR(N(L889)&lt;=0,N(M889)&gt;N(L889)),N(M889)/가정!$B$4,N(L889)))</f>
        <v>1475000</v>
      </c>
      <c r="O889" s="67" t="str">
        <f aca="false">IF(A889="제외","",IF(OR(N(L889)&lt;=0,N(M889)&gt;N(L889)),"택가보정(판매금액÷공급율)",""))</f>
        <v/>
      </c>
    </row>
    <row r="890" customFormat="false" ht="15" hidden="false" customHeight="true" outlineLevel="0" collapsed="false">
      <c r="A890" s="67" t="str">
        <f aca="false">IF(OR(TRIM(C890)="",SUBSTITUTE(C890," ","")="소계"),"제외",IF(ISNUMBER(SEARCH("홍콩",C890)),"HK",IF(ISNUMBER(SEARCH("상해",C890)),"CN",IF(ISNUMBER(SEARCH("대만",C890)),"TW","홀세일"))))</f>
        <v>홀세일</v>
      </c>
      <c r="B890" s="87" t="s">
        <v>1290</v>
      </c>
      <c r="C890" s="87" t="s">
        <v>1291</v>
      </c>
      <c r="D890" s="88" t="s">
        <v>178</v>
      </c>
      <c r="E890" s="87" t="n">
        <v>2026</v>
      </c>
      <c r="F890" s="88" t="s">
        <v>277</v>
      </c>
      <c r="G890" s="88" t="s">
        <v>180</v>
      </c>
      <c r="H890" s="87" t="s">
        <v>246</v>
      </c>
      <c r="I890" s="87" t="s">
        <v>388</v>
      </c>
      <c r="J890" s="87" t="s">
        <v>389</v>
      </c>
      <c r="K890" s="89" t="n">
        <v>40</v>
      </c>
      <c r="L890" s="89" t="n">
        <v>5560000</v>
      </c>
      <c r="M890" s="89" t="n">
        <v>2059880</v>
      </c>
      <c r="N890" s="90" t="n">
        <f aca="false">IF(A890="제외",0,IF(OR(N(L890)&lt;=0,N(M890)&gt;N(L890)),N(M890)/가정!$B$4,N(L890)))</f>
        <v>5560000</v>
      </c>
      <c r="O890" s="67" t="str">
        <f aca="false">IF(A890="제외","",IF(OR(N(L890)&lt;=0,N(M890)&gt;N(L890)),"택가보정(판매금액÷공급율)",""))</f>
        <v/>
      </c>
    </row>
    <row r="891" customFormat="false" ht="15" hidden="false" customHeight="true" outlineLevel="0" collapsed="false">
      <c r="A891" s="67" t="str">
        <f aca="false">IF(OR(TRIM(C891)="",SUBSTITUTE(C891," ","")="소계"),"제외",IF(ISNUMBER(SEARCH("홍콩",C891)),"HK",IF(ISNUMBER(SEARCH("상해",C891)),"CN",IF(ISNUMBER(SEARCH("대만",C891)),"TW","홀세일"))))</f>
        <v>제외</v>
      </c>
      <c r="B891" s="87" t="s">
        <v>821</v>
      </c>
      <c r="C891" s="88" t="s">
        <v>822</v>
      </c>
      <c r="D891" s="87"/>
      <c r="E891" s="87"/>
      <c r="F891" s="87"/>
      <c r="G891" s="87"/>
      <c r="H891" s="87"/>
      <c r="I891" s="87"/>
      <c r="J891" s="87"/>
      <c r="K891" s="89" t="n">
        <v>1358</v>
      </c>
      <c r="L891" s="89" t="n">
        <v>150677000</v>
      </c>
      <c r="M891" s="89" t="n">
        <v>55141683</v>
      </c>
      <c r="N891" s="90" t="n">
        <f aca="false">IF(A891="제외",0,IF(OR(N(L891)&lt;=0,N(M891)&gt;N(L891)),N(M891)/가정!$B$4,N(L891)))</f>
        <v>0</v>
      </c>
      <c r="O891" s="67" t="str">
        <f aca="false">IF(A891="제외","",IF(OR(N(L891)&lt;=0,N(M891)&gt;N(L891)),"택가보정(판매금액÷공급율)",""))</f>
        <v/>
      </c>
    </row>
    <row r="892" customFormat="false" ht="15" hidden="false" customHeight="true" outlineLevel="0" collapsed="false">
      <c r="A892" s="67" t="str">
        <f aca="false">IF(OR(TRIM(C892)="",SUBSTITUTE(C892," ","")="소계"),"제외",IF(ISNUMBER(SEARCH("홍콩",C892)),"HK",IF(ISNUMBER(SEARCH("상해",C892)),"CN",IF(ISNUMBER(SEARCH("대만",C892)),"TW","홀세일"))))</f>
        <v>홀세일</v>
      </c>
      <c r="B892" s="87" t="s">
        <v>1319</v>
      </c>
      <c r="C892" s="87" t="s">
        <v>1320</v>
      </c>
      <c r="D892" s="88" t="s">
        <v>178</v>
      </c>
      <c r="E892" s="87" t="n">
        <v>2022</v>
      </c>
      <c r="F892" s="87" t="s">
        <v>639</v>
      </c>
      <c r="G892" s="88" t="s">
        <v>180</v>
      </c>
      <c r="H892" s="87" t="s">
        <v>189</v>
      </c>
      <c r="I892" s="87" t="s">
        <v>1321</v>
      </c>
      <c r="J892" s="87" t="s">
        <v>1322</v>
      </c>
      <c r="K892" s="89" t="n">
        <v>113</v>
      </c>
      <c r="L892" s="89" t="n">
        <v>5537000</v>
      </c>
      <c r="M892" s="89" t="n">
        <v>1290912</v>
      </c>
      <c r="N892" s="90" t="n">
        <f aca="false">IF(A892="제외",0,IF(OR(N(L892)&lt;=0,N(M892)&gt;N(L892)),N(M892)/가정!$B$4,N(L892)))</f>
        <v>5537000</v>
      </c>
      <c r="O892" s="67" t="str">
        <f aca="false">IF(A892="제외","",IF(OR(N(L892)&lt;=0,N(M892)&gt;N(L892)),"택가보정(판매금액÷공급율)",""))</f>
        <v/>
      </c>
    </row>
    <row r="893" customFormat="false" ht="15" hidden="false" customHeight="true" outlineLevel="0" collapsed="false">
      <c r="A893" s="67" t="str">
        <f aca="false">IF(OR(TRIM(C893)="",SUBSTITUTE(C893," ","")="소계"),"제외",IF(ISNUMBER(SEARCH("홍콩",C893)),"HK",IF(ISNUMBER(SEARCH("상해",C893)),"CN",IF(ISNUMBER(SEARCH("대만",C893)),"TW","홀세일"))))</f>
        <v>홀세일</v>
      </c>
      <c r="B893" s="87" t="s">
        <v>1319</v>
      </c>
      <c r="C893" s="87" t="s">
        <v>1320</v>
      </c>
      <c r="D893" s="88" t="s">
        <v>178</v>
      </c>
      <c r="E893" s="87" t="n">
        <v>2025</v>
      </c>
      <c r="F893" s="87" t="s">
        <v>639</v>
      </c>
      <c r="G893" s="88" t="s">
        <v>827</v>
      </c>
      <c r="H893" s="88" t="s">
        <v>185</v>
      </c>
      <c r="I893" s="87" t="s">
        <v>1082</v>
      </c>
      <c r="J893" s="87" t="s">
        <v>1083</v>
      </c>
      <c r="K893" s="89" t="n">
        <v>10</v>
      </c>
      <c r="L893" s="89" t="n">
        <v>2290000</v>
      </c>
      <c r="M893" s="89" t="n">
        <v>1149310</v>
      </c>
      <c r="N893" s="90" t="n">
        <f aca="false">IF(A893="제외",0,IF(OR(N(L893)&lt;=0,N(M893)&gt;N(L893)),N(M893)/가정!$B$4,N(L893)))</f>
        <v>2290000</v>
      </c>
      <c r="O893" s="67" t="str">
        <f aca="false">IF(A893="제외","",IF(OR(N(L893)&lt;=0,N(M893)&gt;N(L893)),"택가보정(판매금액÷공급율)",""))</f>
        <v/>
      </c>
    </row>
    <row r="894" customFormat="false" ht="15" hidden="false" customHeight="true" outlineLevel="0" collapsed="false">
      <c r="A894" s="67" t="str">
        <f aca="false">IF(OR(TRIM(C894)="",SUBSTITUTE(C894," ","")="소계"),"제외",IF(ISNUMBER(SEARCH("홍콩",C894)),"HK",IF(ISNUMBER(SEARCH("상해",C894)),"CN",IF(ISNUMBER(SEARCH("대만",C894)),"TW","홀세일"))))</f>
        <v>홀세일</v>
      </c>
      <c r="B894" s="87" t="s">
        <v>1319</v>
      </c>
      <c r="C894" s="87" t="s">
        <v>1320</v>
      </c>
      <c r="D894" s="88" t="s">
        <v>178</v>
      </c>
      <c r="E894" s="87" t="n">
        <v>2025</v>
      </c>
      <c r="F894" s="87" t="s">
        <v>639</v>
      </c>
      <c r="G894" s="88" t="s">
        <v>827</v>
      </c>
      <c r="H894" s="88" t="s">
        <v>185</v>
      </c>
      <c r="I894" s="87" t="s">
        <v>828</v>
      </c>
      <c r="J894" s="87" t="s">
        <v>829</v>
      </c>
      <c r="K894" s="89" t="n">
        <v>10</v>
      </c>
      <c r="L894" s="89" t="n">
        <v>2590000</v>
      </c>
      <c r="M894" s="89" t="n">
        <v>1299210</v>
      </c>
      <c r="N894" s="90" t="n">
        <f aca="false">IF(A894="제외",0,IF(OR(N(L894)&lt;=0,N(M894)&gt;N(L894)),N(M894)/가정!$B$4,N(L894)))</f>
        <v>2590000</v>
      </c>
      <c r="O894" s="67" t="str">
        <f aca="false">IF(A894="제외","",IF(OR(N(L894)&lt;=0,N(M894)&gt;N(L894)),"택가보정(판매금액÷공급율)",""))</f>
        <v/>
      </c>
    </row>
    <row r="895" customFormat="false" ht="15" hidden="false" customHeight="true" outlineLevel="0" collapsed="false">
      <c r="A895" s="67" t="str">
        <f aca="false">IF(OR(TRIM(C895)="",SUBSTITUTE(C895," ","")="소계"),"제외",IF(ISNUMBER(SEARCH("홍콩",C895)),"HK",IF(ISNUMBER(SEARCH("상해",C895)),"CN",IF(ISNUMBER(SEARCH("대만",C895)),"TW","홀세일"))))</f>
        <v>홀세일</v>
      </c>
      <c r="B895" s="87" t="s">
        <v>1319</v>
      </c>
      <c r="C895" s="87" t="s">
        <v>1320</v>
      </c>
      <c r="D895" s="88" t="s">
        <v>178</v>
      </c>
      <c r="E895" s="87" t="n">
        <v>2025</v>
      </c>
      <c r="F895" s="87" t="s">
        <v>639</v>
      </c>
      <c r="G895" s="88" t="s">
        <v>827</v>
      </c>
      <c r="H895" s="88" t="s">
        <v>185</v>
      </c>
      <c r="I895" s="87" t="s">
        <v>1084</v>
      </c>
      <c r="J895" s="87" t="s">
        <v>1085</v>
      </c>
      <c r="K895" s="89" t="n">
        <v>10</v>
      </c>
      <c r="L895" s="89" t="n">
        <v>3090000</v>
      </c>
      <c r="M895" s="89" t="n">
        <v>1550530</v>
      </c>
      <c r="N895" s="90" t="n">
        <f aca="false">IF(A895="제외",0,IF(OR(N(L895)&lt;=0,N(M895)&gt;N(L895)),N(M895)/가정!$B$4,N(L895)))</f>
        <v>3090000</v>
      </c>
      <c r="O895" s="67" t="str">
        <f aca="false">IF(A895="제외","",IF(OR(N(L895)&lt;=0,N(M895)&gt;N(L895)),"택가보정(판매금액÷공급율)",""))</f>
        <v/>
      </c>
    </row>
    <row r="896" customFormat="false" ht="15" hidden="false" customHeight="true" outlineLevel="0" collapsed="false">
      <c r="A896" s="67" t="str">
        <f aca="false">IF(OR(TRIM(C896)="",SUBSTITUTE(C896," ","")="소계"),"제외",IF(ISNUMBER(SEARCH("홍콩",C896)),"HK",IF(ISNUMBER(SEARCH("상해",C896)),"CN",IF(ISNUMBER(SEARCH("대만",C896)),"TW","홀세일"))))</f>
        <v>홀세일</v>
      </c>
      <c r="B896" s="87" t="s">
        <v>1319</v>
      </c>
      <c r="C896" s="87" t="s">
        <v>1320</v>
      </c>
      <c r="D896" s="88" t="s">
        <v>178</v>
      </c>
      <c r="E896" s="87" t="n">
        <v>2026</v>
      </c>
      <c r="F896" s="88" t="s">
        <v>179</v>
      </c>
      <c r="G896" s="88" t="s">
        <v>188</v>
      </c>
      <c r="H896" s="87" t="s">
        <v>189</v>
      </c>
      <c r="I896" s="87" t="s">
        <v>190</v>
      </c>
      <c r="J896" s="88" t="s">
        <v>191</v>
      </c>
      <c r="K896" s="89" t="n">
        <v>50</v>
      </c>
      <c r="L896" s="89" t="n">
        <v>8450000</v>
      </c>
      <c r="M896" s="89" t="n">
        <v>3299500</v>
      </c>
      <c r="N896" s="90" t="n">
        <f aca="false">IF(A896="제외",0,IF(OR(N(L896)&lt;=0,N(M896)&gt;N(L896)),N(M896)/가정!$B$4,N(L896)))</f>
        <v>8450000</v>
      </c>
      <c r="O896" s="67" t="str">
        <f aca="false">IF(A896="제외","",IF(OR(N(L896)&lt;=0,N(M896)&gt;N(L896)),"택가보정(판매금액÷공급율)",""))</f>
        <v/>
      </c>
    </row>
    <row r="897" customFormat="false" ht="15" hidden="false" customHeight="true" outlineLevel="0" collapsed="false">
      <c r="A897" s="67" t="str">
        <f aca="false">IF(OR(TRIM(C897)="",SUBSTITUTE(C897," ","")="소계"),"제외",IF(ISNUMBER(SEARCH("홍콩",C897)),"HK",IF(ISNUMBER(SEARCH("상해",C897)),"CN",IF(ISNUMBER(SEARCH("대만",C897)),"TW","홀세일"))))</f>
        <v>홀세일</v>
      </c>
      <c r="B897" s="87" t="s">
        <v>1319</v>
      </c>
      <c r="C897" s="87" t="s">
        <v>1320</v>
      </c>
      <c r="D897" s="88" t="s">
        <v>178</v>
      </c>
      <c r="E897" s="87" t="n">
        <v>2026</v>
      </c>
      <c r="F897" s="88" t="s">
        <v>179</v>
      </c>
      <c r="G897" s="88" t="s">
        <v>188</v>
      </c>
      <c r="H897" s="87" t="s">
        <v>189</v>
      </c>
      <c r="I897" s="87" t="s">
        <v>192</v>
      </c>
      <c r="J897" s="88" t="s">
        <v>193</v>
      </c>
      <c r="K897" s="89" t="n">
        <v>50</v>
      </c>
      <c r="L897" s="89" t="n">
        <v>8950000</v>
      </c>
      <c r="M897" s="89" t="n">
        <v>3497900</v>
      </c>
      <c r="N897" s="90" t="n">
        <f aca="false">IF(A897="제외",0,IF(OR(N(L897)&lt;=0,N(M897)&gt;N(L897)),N(M897)/가정!$B$4,N(L897)))</f>
        <v>8950000</v>
      </c>
      <c r="O897" s="67" t="str">
        <f aca="false">IF(A897="제외","",IF(OR(N(L897)&lt;=0,N(M897)&gt;N(L897)),"택가보정(판매금액÷공급율)",""))</f>
        <v/>
      </c>
    </row>
    <row r="898" customFormat="false" ht="15" hidden="false" customHeight="true" outlineLevel="0" collapsed="false">
      <c r="A898" s="67" t="str">
        <f aca="false">IF(OR(TRIM(C898)="",SUBSTITUTE(C898," ","")="소계"),"제외",IF(ISNUMBER(SEARCH("홍콩",C898)),"HK",IF(ISNUMBER(SEARCH("상해",C898)),"CN",IF(ISNUMBER(SEARCH("대만",C898)),"TW","홀세일"))))</f>
        <v>홀세일</v>
      </c>
      <c r="B898" s="87" t="s">
        <v>1319</v>
      </c>
      <c r="C898" s="87" t="s">
        <v>1320</v>
      </c>
      <c r="D898" s="88" t="s">
        <v>178</v>
      </c>
      <c r="E898" s="87" t="n">
        <v>2026</v>
      </c>
      <c r="F898" s="88" t="s">
        <v>179</v>
      </c>
      <c r="G898" s="88" t="s">
        <v>188</v>
      </c>
      <c r="H898" s="87" t="s">
        <v>189</v>
      </c>
      <c r="I898" s="87" t="s">
        <v>194</v>
      </c>
      <c r="J898" s="88" t="s">
        <v>195</v>
      </c>
      <c r="K898" s="89" t="n">
        <v>30</v>
      </c>
      <c r="L898" s="89" t="n">
        <v>5070000</v>
      </c>
      <c r="M898" s="89" t="n">
        <v>1979700</v>
      </c>
      <c r="N898" s="90" t="n">
        <f aca="false">IF(A898="제외",0,IF(OR(N(L898)&lt;=0,N(M898)&gt;N(L898)),N(M898)/가정!$B$4,N(L898)))</f>
        <v>5070000</v>
      </c>
      <c r="O898" s="67" t="str">
        <f aca="false">IF(A898="제외","",IF(OR(N(L898)&lt;=0,N(M898)&gt;N(L898)),"택가보정(판매금액÷공급율)",""))</f>
        <v/>
      </c>
    </row>
    <row r="899" customFormat="false" ht="15" hidden="false" customHeight="true" outlineLevel="0" collapsed="false">
      <c r="A899" s="67" t="str">
        <f aca="false">IF(OR(TRIM(C899)="",SUBSTITUTE(C899," ","")="소계"),"제외",IF(ISNUMBER(SEARCH("홍콩",C899)),"HK",IF(ISNUMBER(SEARCH("상해",C899)),"CN",IF(ISNUMBER(SEARCH("대만",C899)),"TW","홀세일"))))</f>
        <v>홀세일</v>
      </c>
      <c r="B899" s="87" t="s">
        <v>1319</v>
      </c>
      <c r="C899" s="87" t="s">
        <v>1320</v>
      </c>
      <c r="D899" s="88" t="s">
        <v>178</v>
      </c>
      <c r="E899" s="87" t="n">
        <v>2026</v>
      </c>
      <c r="F899" s="88" t="s">
        <v>179</v>
      </c>
      <c r="G899" s="88" t="s">
        <v>188</v>
      </c>
      <c r="H899" s="87" t="s">
        <v>189</v>
      </c>
      <c r="I899" s="87" t="s">
        <v>196</v>
      </c>
      <c r="J899" s="88" t="s">
        <v>197</v>
      </c>
      <c r="K899" s="89" t="n">
        <v>15</v>
      </c>
      <c r="L899" s="89" t="n">
        <v>2235000</v>
      </c>
      <c r="M899" s="89" t="n">
        <v>873000</v>
      </c>
      <c r="N899" s="90" t="n">
        <f aca="false">IF(A899="제외",0,IF(OR(N(L899)&lt;=0,N(M899)&gt;N(L899)),N(M899)/가정!$B$4,N(L899)))</f>
        <v>2235000</v>
      </c>
      <c r="O899" s="67" t="str">
        <f aca="false">IF(A899="제외","",IF(OR(N(L899)&lt;=0,N(M899)&gt;N(L899)),"택가보정(판매금액÷공급율)",""))</f>
        <v/>
      </c>
    </row>
    <row r="900" customFormat="false" ht="15" hidden="false" customHeight="true" outlineLevel="0" collapsed="false">
      <c r="A900" s="67" t="str">
        <f aca="false">IF(OR(TRIM(C900)="",SUBSTITUTE(C900," ","")="소계"),"제외",IF(ISNUMBER(SEARCH("홍콩",C900)),"HK",IF(ISNUMBER(SEARCH("상해",C900)),"CN",IF(ISNUMBER(SEARCH("대만",C900)),"TW","홀세일"))))</f>
        <v>홀세일</v>
      </c>
      <c r="B900" s="87" t="s">
        <v>1319</v>
      </c>
      <c r="C900" s="87" t="s">
        <v>1320</v>
      </c>
      <c r="D900" s="88" t="s">
        <v>178</v>
      </c>
      <c r="E900" s="87" t="n">
        <v>2026</v>
      </c>
      <c r="F900" s="88" t="s">
        <v>179</v>
      </c>
      <c r="G900" s="88" t="s">
        <v>188</v>
      </c>
      <c r="H900" s="87" t="s">
        <v>189</v>
      </c>
      <c r="I900" s="87" t="s">
        <v>198</v>
      </c>
      <c r="J900" s="88" t="s">
        <v>199</v>
      </c>
      <c r="K900" s="89" t="n">
        <v>20</v>
      </c>
      <c r="L900" s="89" t="n">
        <v>2980000</v>
      </c>
      <c r="M900" s="89" t="n">
        <v>1164000</v>
      </c>
      <c r="N900" s="90" t="n">
        <f aca="false">IF(A900="제외",0,IF(OR(N(L900)&lt;=0,N(M900)&gt;N(L900)),N(M900)/가정!$B$4,N(L900)))</f>
        <v>2980000</v>
      </c>
      <c r="O900" s="67" t="str">
        <f aca="false">IF(A900="제외","",IF(OR(N(L900)&lt;=0,N(M900)&gt;N(L900)),"택가보정(판매금액÷공급율)",""))</f>
        <v/>
      </c>
    </row>
    <row r="901" customFormat="false" ht="15" hidden="false" customHeight="true" outlineLevel="0" collapsed="false">
      <c r="A901" s="67" t="str">
        <f aca="false">IF(OR(TRIM(C901)="",SUBSTITUTE(C901," ","")="소계"),"제외",IF(ISNUMBER(SEARCH("홍콩",C901)),"HK",IF(ISNUMBER(SEARCH("상해",C901)),"CN",IF(ISNUMBER(SEARCH("대만",C901)),"TW","홀세일"))))</f>
        <v>홀세일</v>
      </c>
      <c r="B901" s="87" t="s">
        <v>1319</v>
      </c>
      <c r="C901" s="87" t="s">
        <v>1320</v>
      </c>
      <c r="D901" s="88" t="s">
        <v>178</v>
      </c>
      <c r="E901" s="87" t="n">
        <v>2026</v>
      </c>
      <c r="F901" s="88" t="s">
        <v>179</v>
      </c>
      <c r="G901" s="88" t="s">
        <v>188</v>
      </c>
      <c r="H901" s="87" t="s">
        <v>189</v>
      </c>
      <c r="I901" s="87" t="s">
        <v>200</v>
      </c>
      <c r="J901" s="88" t="s">
        <v>201</v>
      </c>
      <c r="K901" s="89" t="n">
        <v>30</v>
      </c>
      <c r="L901" s="89" t="n">
        <v>5070000</v>
      </c>
      <c r="M901" s="89" t="n">
        <v>1979700</v>
      </c>
      <c r="N901" s="90" t="n">
        <f aca="false">IF(A901="제외",0,IF(OR(N(L901)&lt;=0,N(M901)&gt;N(L901)),N(M901)/가정!$B$4,N(L901)))</f>
        <v>5070000</v>
      </c>
      <c r="O901" s="67" t="str">
        <f aca="false">IF(A901="제외","",IF(OR(N(L901)&lt;=0,N(M901)&gt;N(L901)),"택가보정(판매금액÷공급율)",""))</f>
        <v/>
      </c>
    </row>
    <row r="902" customFormat="false" ht="15" hidden="false" customHeight="true" outlineLevel="0" collapsed="false">
      <c r="A902" s="67" t="str">
        <f aca="false">IF(OR(TRIM(C902)="",SUBSTITUTE(C902," ","")="소계"),"제외",IF(ISNUMBER(SEARCH("홍콩",C902)),"HK",IF(ISNUMBER(SEARCH("상해",C902)),"CN",IF(ISNUMBER(SEARCH("대만",C902)),"TW","홀세일"))))</f>
        <v>홀세일</v>
      </c>
      <c r="B902" s="87" t="s">
        <v>1319</v>
      </c>
      <c r="C902" s="87" t="s">
        <v>1320</v>
      </c>
      <c r="D902" s="88" t="s">
        <v>178</v>
      </c>
      <c r="E902" s="87" t="n">
        <v>2026</v>
      </c>
      <c r="F902" s="88" t="s">
        <v>179</v>
      </c>
      <c r="G902" s="88" t="s">
        <v>188</v>
      </c>
      <c r="H902" s="87" t="s">
        <v>189</v>
      </c>
      <c r="I902" s="87" t="s">
        <v>202</v>
      </c>
      <c r="J902" s="88" t="s">
        <v>203</v>
      </c>
      <c r="K902" s="89" t="n">
        <v>15</v>
      </c>
      <c r="L902" s="89" t="n">
        <v>2535000</v>
      </c>
      <c r="M902" s="89" t="n">
        <v>989850</v>
      </c>
      <c r="N902" s="90" t="n">
        <f aca="false">IF(A902="제외",0,IF(OR(N(L902)&lt;=0,N(M902)&gt;N(L902)),N(M902)/가정!$B$4,N(L902)))</f>
        <v>2535000</v>
      </c>
      <c r="O902" s="67" t="str">
        <f aca="false">IF(A902="제외","",IF(OR(N(L902)&lt;=0,N(M902)&gt;N(L902)),"택가보정(판매금액÷공급율)",""))</f>
        <v/>
      </c>
    </row>
    <row r="903" customFormat="false" ht="15" hidden="false" customHeight="true" outlineLevel="0" collapsed="false">
      <c r="A903" s="67" t="str">
        <f aca="false">IF(OR(TRIM(C903)="",SUBSTITUTE(C903," ","")="소계"),"제외",IF(ISNUMBER(SEARCH("홍콩",C903)),"HK",IF(ISNUMBER(SEARCH("상해",C903)),"CN",IF(ISNUMBER(SEARCH("대만",C903)),"TW","홀세일"))))</f>
        <v>홀세일</v>
      </c>
      <c r="B903" s="87" t="s">
        <v>1319</v>
      </c>
      <c r="C903" s="87" t="s">
        <v>1320</v>
      </c>
      <c r="D903" s="88" t="s">
        <v>178</v>
      </c>
      <c r="E903" s="87" t="n">
        <v>2026</v>
      </c>
      <c r="F903" s="88" t="s">
        <v>179</v>
      </c>
      <c r="G903" s="88" t="s">
        <v>188</v>
      </c>
      <c r="H903" s="87" t="s">
        <v>189</v>
      </c>
      <c r="I903" s="87" t="s">
        <v>204</v>
      </c>
      <c r="J903" s="88" t="s">
        <v>205</v>
      </c>
      <c r="K903" s="89" t="n">
        <v>15</v>
      </c>
      <c r="L903" s="89" t="n">
        <v>2835000</v>
      </c>
      <c r="M903" s="89" t="n">
        <v>1106685</v>
      </c>
      <c r="N903" s="90" t="n">
        <f aca="false">IF(A903="제외",0,IF(OR(N(L903)&lt;=0,N(M903)&gt;N(L903)),N(M903)/가정!$B$4,N(L903)))</f>
        <v>2835000</v>
      </c>
      <c r="O903" s="67" t="str">
        <f aca="false">IF(A903="제외","",IF(OR(N(L903)&lt;=0,N(M903)&gt;N(L903)),"택가보정(판매금액÷공급율)",""))</f>
        <v/>
      </c>
    </row>
    <row r="904" customFormat="false" ht="15" hidden="false" customHeight="true" outlineLevel="0" collapsed="false">
      <c r="A904" s="67" t="str">
        <f aca="false">IF(OR(TRIM(C904)="",SUBSTITUTE(C904," ","")="소계"),"제외",IF(ISNUMBER(SEARCH("홍콩",C904)),"HK",IF(ISNUMBER(SEARCH("상해",C904)),"CN",IF(ISNUMBER(SEARCH("대만",C904)),"TW","홀세일"))))</f>
        <v>홀세일</v>
      </c>
      <c r="B904" s="87" t="s">
        <v>1319</v>
      </c>
      <c r="C904" s="87" t="s">
        <v>1320</v>
      </c>
      <c r="D904" s="88" t="s">
        <v>178</v>
      </c>
      <c r="E904" s="87" t="n">
        <v>2026</v>
      </c>
      <c r="F904" s="88" t="s">
        <v>179</v>
      </c>
      <c r="G904" s="88" t="s">
        <v>188</v>
      </c>
      <c r="H904" s="87" t="s">
        <v>189</v>
      </c>
      <c r="I904" s="87" t="s">
        <v>206</v>
      </c>
      <c r="J904" s="88" t="s">
        <v>207</v>
      </c>
      <c r="K904" s="89" t="n">
        <v>30</v>
      </c>
      <c r="L904" s="89" t="n">
        <v>5370000</v>
      </c>
      <c r="M904" s="89" t="n">
        <v>2098740</v>
      </c>
      <c r="N904" s="90" t="n">
        <f aca="false">IF(A904="제외",0,IF(OR(N(L904)&lt;=0,N(M904)&gt;N(L904)),N(M904)/가정!$B$4,N(L904)))</f>
        <v>5370000</v>
      </c>
      <c r="O904" s="67" t="str">
        <f aca="false">IF(A904="제외","",IF(OR(N(L904)&lt;=0,N(M904)&gt;N(L904)),"택가보정(판매금액÷공급율)",""))</f>
        <v/>
      </c>
    </row>
    <row r="905" customFormat="false" ht="15" hidden="false" customHeight="true" outlineLevel="0" collapsed="false">
      <c r="A905" s="67" t="str">
        <f aca="false">IF(OR(TRIM(C905)="",SUBSTITUTE(C905," ","")="소계"),"제외",IF(ISNUMBER(SEARCH("홍콩",C905)),"HK",IF(ISNUMBER(SEARCH("상해",C905)),"CN",IF(ISNUMBER(SEARCH("대만",C905)),"TW","홀세일"))))</f>
        <v>홀세일</v>
      </c>
      <c r="B905" s="87" t="s">
        <v>1319</v>
      </c>
      <c r="C905" s="87" t="s">
        <v>1320</v>
      </c>
      <c r="D905" s="88" t="s">
        <v>178</v>
      </c>
      <c r="E905" s="87" t="n">
        <v>2026</v>
      </c>
      <c r="F905" s="88" t="s">
        <v>179</v>
      </c>
      <c r="G905" s="88" t="s">
        <v>188</v>
      </c>
      <c r="H905" s="87" t="s">
        <v>189</v>
      </c>
      <c r="I905" s="87" t="s">
        <v>208</v>
      </c>
      <c r="J905" s="88" t="s">
        <v>209</v>
      </c>
      <c r="K905" s="89" t="n">
        <v>20</v>
      </c>
      <c r="L905" s="89" t="n">
        <v>3780000</v>
      </c>
      <c r="M905" s="89" t="n">
        <v>1475580</v>
      </c>
      <c r="N905" s="90" t="n">
        <f aca="false">IF(A905="제외",0,IF(OR(N(L905)&lt;=0,N(M905)&gt;N(L905)),N(M905)/가정!$B$4,N(L905)))</f>
        <v>3780000</v>
      </c>
      <c r="O905" s="67" t="str">
        <f aca="false">IF(A905="제외","",IF(OR(N(L905)&lt;=0,N(M905)&gt;N(L905)),"택가보정(판매금액÷공급율)",""))</f>
        <v/>
      </c>
    </row>
    <row r="906" customFormat="false" ht="15" hidden="false" customHeight="true" outlineLevel="0" collapsed="false">
      <c r="A906" s="67" t="str">
        <f aca="false">IF(OR(TRIM(C906)="",SUBSTITUTE(C906," ","")="소계"),"제외",IF(ISNUMBER(SEARCH("홍콩",C906)),"HK",IF(ISNUMBER(SEARCH("상해",C906)),"CN",IF(ISNUMBER(SEARCH("대만",C906)),"TW","홀세일"))))</f>
        <v>홀세일</v>
      </c>
      <c r="B906" s="87" t="s">
        <v>1319</v>
      </c>
      <c r="C906" s="87" t="s">
        <v>1320</v>
      </c>
      <c r="D906" s="88" t="s">
        <v>178</v>
      </c>
      <c r="E906" s="87" t="n">
        <v>2026</v>
      </c>
      <c r="F906" s="88" t="s">
        <v>179</v>
      </c>
      <c r="G906" s="88" t="s">
        <v>180</v>
      </c>
      <c r="H906" s="87" t="s">
        <v>189</v>
      </c>
      <c r="I906" s="87" t="s">
        <v>214</v>
      </c>
      <c r="J906" s="88" t="s">
        <v>215</v>
      </c>
      <c r="K906" s="89" t="n">
        <v>25</v>
      </c>
      <c r="L906" s="89" t="n">
        <v>4225000</v>
      </c>
      <c r="M906" s="89" t="n">
        <v>1534650</v>
      </c>
      <c r="N906" s="90" t="n">
        <f aca="false">IF(A906="제외",0,IF(OR(N(L906)&lt;=0,N(M906)&gt;N(L906)),N(M906)/가정!$B$4,N(L906)))</f>
        <v>4225000</v>
      </c>
      <c r="O906" s="67" t="str">
        <f aca="false">IF(A906="제외","",IF(OR(N(L906)&lt;=0,N(M906)&gt;N(L906)),"택가보정(판매금액÷공급율)",""))</f>
        <v/>
      </c>
    </row>
    <row r="907" customFormat="false" ht="15" hidden="false" customHeight="true" outlineLevel="0" collapsed="false">
      <c r="A907" s="67" t="str">
        <f aca="false">IF(OR(TRIM(C907)="",SUBSTITUTE(C907," ","")="소계"),"제외",IF(ISNUMBER(SEARCH("홍콩",C907)),"HK",IF(ISNUMBER(SEARCH("상해",C907)),"CN",IF(ISNUMBER(SEARCH("대만",C907)),"TW","홀세일"))))</f>
        <v>홀세일</v>
      </c>
      <c r="B907" s="87" t="s">
        <v>1319</v>
      </c>
      <c r="C907" s="87" t="s">
        <v>1320</v>
      </c>
      <c r="D907" s="88" t="s">
        <v>178</v>
      </c>
      <c r="E907" s="87" t="n">
        <v>2026</v>
      </c>
      <c r="F907" s="88" t="s">
        <v>179</v>
      </c>
      <c r="G907" s="88" t="s">
        <v>180</v>
      </c>
      <c r="H907" s="87" t="s">
        <v>189</v>
      </c>
      <c r="I907" s="87" t="s">
        <v>1086</v>
      </c>
      <c r="J907" s="87" t="s">
        <v>1087</v>
      </c>
      <c r="K907" s="89" t="n">
        <v>30</v>
      </c>
      <c r="L907" s="89" t="n">
        <v>4770000</v>
      </c>
      <c r="M907" s="89" t="n">
        <v>1764150</v>
      </c>
      <c r="N907" s="90" t="n">
        <f aca="false">IF(A907="제외",0,IF(OR(N(L907)&lt;=0,N(M907)&gt;N(L907)),N(M907)/가정!$B$4,N(L907)))</f>
        <v>4770000</v>
      </c>
      <c r="O907" s="67" t="str">
        <f aca="false">IF(A907="제외","",IF(OR(N(L907)&lt;=0,N(M907)&gt;N(L907)),"택가보정(판매금액÷공급율)",""))</f>
        <v/>
      </c>
    </row>
    <row r="908" customFormat="false" ht="15" hidden="false" customHeight="true" outlineLevel="0" collapsed="false">
      <c r="A908" s="67" t="str">
        <f aca="false">IF(OR(TRIM(C908)="",SUBSTITUTE(C908," ","")="소계"),"제외",IF(ISNUMBER(SEARCH("홍콩",C908)),"HK",IF(ISNUMBER(SEARCH("상해",C908)),"CN",IF(ISNUMBER(SEARCH("대만",C908)),"TW","홀세일"))))</f>
        <v>홀세일</v>
      </c>
      <c r="B908" s="87" t="s">
        <v>1319</v>
      </c>
      <c r="C908" s="87" t="s">
        <v>1320</v>
      </c>
      <c r="D908" s="88" t="s">
        <v>178</v>
      </c>
      <c r="E908" s="87" t="n">
        <v>2026</v>
      </c>
      <c r="F908" s="88" t="s">
        <v>179</v>
      </c>
      <c r="G908" s="88" t="s">
        <v>180</v>
      </c>
      <c r="H908" s="87" t="s">
        <v>189</v>
      </c>
      <c r="I908" s="87" t="s">
        <v>1088</v>
      </c>
      <c r="J908" s="87" t="s">
        <v>1089</v>
      </c>
      <c r="K908" s="89" t="n">
        <v>40</v>
      </c>
      <c r="L908" s="89" t="n">
        <v>4760000</v>
      </c>
      <c r="M908" s="89" t="n">
        <v>1761200</v>
      </c>
      <c r="N908" s="90" t="n">
        <f aca="false">IF(A908="제외",0,IF(OR(N(L908)&lt;=0,N(M908)&gt;N(L908)),N(M908)/가정!$B$4,N(L908)))</f>
        <v>4760000</v>
      </c>
      <c r="O908" s="67" t="str">
        <f aca="false">IF(A908="제외","",IF(OR(N(L908)&lt;=0,N(M908)&gt;N(L908)),"택가보정(판매금액÷공급율)",""))</f>
        <v/>
      </c>
    </row>
    <row r="909" customFormat="false" ht="15" hidden="false" customHeight="true" outlineLevel="0" collapsed="false">
      <c r="A909" s="67" t="str">
        <f aca="false">IF(OR(TRIM(C909)="",SUBSTITUTE(C909," ","")="소계"),"제외",IF(ISNUMBER(SEARCH("홍콩",C909)),"HK",IF(ISNUMBER(SEARCH("상해",C909)),"CN",IF(ISNUMBER(SEARCH("대만",C909)),"TW","홀세일"))))</f>
        <v>홀세일</v>
      </c>
      <c r="B909" s="87" t="s">
        <v>1319</v>
      </c>
      <c r="C909" s="87" t="s">
        <v>1320</v>
      </c>
      <c r="D909" s="88" t="s">
        <v>178</v>
      </c>
      <c r="E909" s="87" t="n">
        <v>2026</v>
      </c>
      <c r="F909" s="88" t="s">
        <v>179</v>
      </c>
      <c r="G909" s="88" t="s">
        <v>180</v>
      </c>
      <c r="H909" s="87" t="s">
        <v>189</v>
      </c>
      <c r="I909" s="87" t="s">
        <v>218</v>
      </c>
      <c r="J909" s="88" t="s">
        <v>219</v>
      </c>
      <c r="K909" s="89" t="n">
        <v>45</v>
      </c>
      <c r="L909" s="89" t="n">
        <v>4905000</v>
      </c>
      <c r="M909" s="89" t="n">
        <v>1815120</v>
      </c>
      <c r="N909" s="90" t="n">
        <f aca="false">IF(A909="제외",0,IF(OR(N(L909)&lt;=0,N(M909)&gt;N(L909)),N(M909)/가정!$B$4,N(L909)))</f>
        <v>4905000</v>
      </c>
      <c r="O909" s="67" t="str">
        <f aca="false">IF(A909="제외","",IF(OR(N(L909)&lt;=0,N(M909)&gt;N(L909)),"택가보정(판매금액÷공급율)",""))</f>
        <v/>
      </c>
    </row>
    <row r="910" customFormat="false" ht="15" hidden="false" customHeight="true" outlineLevel="0" collapsed="false">
      <c r="A910" s="67" t="str">
        <f aca="false">IF(OR(TRIM(C910)="",SUBSTITUTE(C910," ","")="소계"),"제외",IF(ISNUMBER(SEARCH("홍콩",C910)),"HK",IF(ISNUMBER(SEARCH("상해",C910)),"CN",IF(ISNUMBER(SEARCH("대만",C910)),"TW","홀세일"))))</f>
        <v>홀세일</v>
      </c>
      <c r="B910" s="87" t="s">
        <v>1319</v>
      </c>
      <c r="C910" s="87" t="s">
        <v>1320</v>
      </c>
      <c r="D910" s="88" t="s">
        <v>178</v>
      </c>
      <c r="E910" s="87" t="n">
        <v>2026</v>
      </c>
      <c r="F910" s="88" t="s">
        <v>179</v>
      </c>
      <c r="G910" s="88" t="s">
        <v>180</v>
      </c>
      <c r="H910" s="87" t="s">
        <v>189</v>
      </c>
      <c r="I910" s="87" t="s">
        <v>847</v>
      </c>
      <c r="J910" s="88" t="s">
        <v>848</v>
      </c>
      <c r="K910" s="89" t="n">
        <v>20</v>
      </c>
      <c r="L910" s="89" t="n">
        <v>2580000</v>
      </c>
      <c r="M910" s="89" t="n">
        <v>954460</v>
      </c>
      <c r="N910" s="90" t="n">
        <f aca="false">IF(A910="제외",0,IF(OR(N(L910)&lt;=0,N(M910)&gt;N(L910)),N(M910)/가정!$B$4,N(L910)))</f>
        <v>2580000</v>
      </c>
      <c r="O910" s="67" t="str">
        <f aca="false">IF(A910="제외","",IF(OR(N(L910)&lt;=0,N(M910)&gt;N(L910)),"택가보정(판매금액÷공급율)",""))</f>
        <v/>
      </c>
    </row>
    <row r="911" customFormat="false" ht="15" hidden="false" customHeight="true" outlineLevel="0" collapsed="false">
      <c r="A911" s="67" t="str">
        <f aca="false">IF(OR(TRIM(C911)="",SUBSTITUTE(C911," ","")="소계"),"제외",IF(ISNUMBER(SEARCH("홍콩",C911)),"HK",IF(ISNUMBER(SEARCH("상해",C911)),"CN",IF(ISNUMBER(SEARCH("대만",C911)),"TW","홀세일"))))</f>
        <v>홀세일</v>
      </c>
      <c r="B911" s="87" t="s">
        <v>1319</v>
      </c>
      <c r="C911" s="87" t="s">
        <v>1320</v>
      </c>
      <c r="D911" s="88" t="s">
        <v>178</v>
      </c>
      <c r="E911" s="87" t="n">
        <v>2026</v>
      </c>
      <c r="F911" s="88" t="s">
        <v>179</v>
      </c>
      <c r="G911" s="88" t="s">
        <v>180</v>
      </c>
      <c r="H911" s="87" t="s">
        <v>189</v>
      </c>
      <c r="I911" s="87" t="s">
        <v>220</v>
      </c>
      <c r="J911" s="88" t="s">
        <v>221</v>
      </c>
      <c r="K911" s="89" t="n">
        <v>25</v>
      </c>
      <c r="L911" s="89" t="n">
        <v>4975000</v>
      </c>
      <c r="M911" s="89" t="n">
        <v>1919200</v>
      </c>
      <c r="N911" s="90" t="n">
        <f aca="false">IF(A911="제외",0,IF(OR(N(L911)&lt;=0,N(M911)&gt;N(L911)),N(M911)/가정!$B$4,N(L911)))</f>
        <v>4975000</v>
      </c>
      <c r="O911" s="67" t="str">
        <f aca="false">IF(A911="제외","",IF(OR(N(L911)&lt;=0,N(M911)&gt;N(L911)),"택가보정(판매금액÷공급율)",""))</f>
        <v/>
      </c>
    </row>
    <row r="912" customFormat="false" ht="15" hidden="false" customHeight="true" outlineLevel="0" collapsed="false">
      <c r="A912" s="67" t="str">
        <f aca="false">IF(OR(TRIM(C912)="",SUBSTITUTE(C912," ","")="소계"),"제외",IF(ISNUMBER(SEARCH("홍콩",C912)),"HK",IF(ISNUMBER(SEARCH("상해",C912)),"CN",IF(ISNUMBER(SEARCH("대만",C912)),"TW","홀세일"))))</f>
        <v>홀세일</v>
      </c>
      <c r="B912" s="87" t="s">
        <v>1319</v>
      </c>
      <c r="C912" s="87" t="s">
        <v>1320</v>
      </c>
      <c r="D912" s="88" t="s">
        <v>178</v>
      </c>
      <c r="E912" s="87" t="n">
        <v>2026</v>
      </c>
      <c r="F912" s="88" t="s">
        <v>179</v>
      </c>
      <c r="G912" s="88" t="s">
        <v>180</v>
      </c>
      <c r="H912" s="87" t="s">
        <v>189</v>
      </c>
      <c r="I912" s="87" t="s">
        <v>851</v>
      </c>
      <c r="J912" s="88" t="s">
        <v>852</v>
      </c>
      <c r="K912" s="89" t="n">
        <v>20</v>
      </c>
      <c r="L912" s="89" t="n">
        <v>3180000</v>
      </c>
      <c r="M912" s="89" t="n">
        <v>1176100</v>
      </c>
      <c r="N912" s="90" t="n">
        <f aca="false">IF(A912="제외",0,IF(OR(N(L912)&lt;=0,N(M912)&gt;N(L912)),N(M912)/가정!$B$4,N(L912)))</f>
        <v>3180000</v>
      </c>
      <c r="O912" s="67" t="str">
        <f aca="false">IF(A912="제외","",IF(OR(N(L912)&lt;=0,N(M912)&gt;N(L912)),"택가보정(판매금액÷공급율)",""))</f>
        <v/>
      </c>
    </row>
    <row r="913" customFormat="false" ht="15" hidden="false" customHeight="true" outlineLevel="0" collapsed="false">
      <c r="A913" s="67" t="str">
        <f aca="false">IF(OR(TRIM(C913)="",SUBSTITUTE(C913," ","")="소계"),"제외",IF(ISNUMBER(SEARCH("홍콩",C913)),"HK",IF(ISNUMBER(SEARCH("상해",C913)),"CN",IF(ISNUMBER(SEARCH("대만",C913)),"TW","홀세일"))))</f>
        <v>홀세일</v>
      </c>
      <c r="B913" s="87" t="s">
        <v>1319</v>
      </c>
      <c r="C913" s="87" t="s">
        <v>1320</v>
      </c>
      <c r="D913" s="88" t="s">
        <v>178</v>
      </c>
      <c r="E913" s="87" t="n">
        <v>2026</v>
      </c>
      <c r="F913" s="88" t="s">
        <v>179</v>
      </c>
      <c r="G913" s="88" t="s">
        <v>180</v>
      </c>
      <c r="H913" s="87" t="s">
        <v>189</v>
      </c>
      <c r="I913" s="87" t="s">
        <v>234</v>
      </c>
      <c r="J913" s="88" t="s">
        <v>235</v>
      </c>
      <c r="K913" s="89" t="n">
        <v>60</v>
      </c>
      <c r="L913" s="89" t="n">
        <v>4740000</v>
      </c>
      <c r="M913" s="89" t="n">
        <v>1755300</v>
      </c>
      <c r="N913" s="90" t="n">
        <f aca="false">IF(A913="제외",0,IF(OR(N(L913)&lt;=0,N(M913)&gt;N(L913)),N(M913)/가정!$B$4,N(L913)))</f>
        <v>4740000</v>
      </c>
      <c r="O913" s="67" t="str">
        <f aca="false">IF(A913="제외","",IF(OR(N(L913)&lt;=0,N(M913)&gt;N(L913)),"택가보정(판매금액÷공급율)",""))</f>
        <v/>
      </c>
    </row>
    <row r="914" customFormat="false" ht="15" hidden="false" customHeight="true" outlineLevel="0" collapsed="false">
      <c r="A914" s="67" t="str">
        <f aca="false">IF(OR(TRIM(C914)="",SUBSTITUTE(C914," ","")="소계"),"제외",IF(ISNUMBER(SEARCH("홍콩",C914)),"HK",IF(ISNUMBER(SEARCH("상해",C914)),"CN",IF(ISNUMBER(SEARCH("대만",C914)),"TW","홀세일"))))</f>
        <v>홀세일</v>
      </c>
      <c r="B914" s="87" t="s">
        <v>1319</v>
      </c>
      <c r="C914" s="87" t="s">
        <v>1320</v>
      </c>
      <c r="D914" s="88" t="s">
        <v>178</v>
      </c>
      <c r="E914" s="87" t="n">
        <v>2026</v>
      </c>
      <c r="F914" s="88" t="s">
        <v>179</v>
      </c>
      <c r="G914" s="88" t="s">
        <v>180</v>
      </c>
      <c r="H914" s="87" t="s">
        <v>189</v>
      </c>
      <c r="I914" s="87" t="s">
        <v>236</v>
      </c>
      <c r="J914" s="88" t="s">
        <v>237</v>
      </c>
      <c r="K914" s="89" t="n">
        <v>40</v>
      </c>
      <c r="L914" s="89" t="n">
        <v>3560000</v>
      </c>
      <c r="M914" s="89" t="n">
        <v>1317920</v>
      </c>
      <c r="N914" s="90" t="n">
        <f aca="false">IF(A914="제외",0,IF(OR(N(L914)&lt;=0,N(M914)&gt;N(L914)),N(M914)/가정!$B$4,N(L914)))</f>
        <v>3560000</v>
      </c>
      <c r="O914" s="67" t="str">
        <f aca="false">IF(A914="제외","",IF(OR(N(L914)&lt;=0,N(M914)&gt;N(L914)),"택가보정(판매금액÷공급율)",""))</f>
        <v/>
      </c>
    </row>
    <row r="915" customFormat="false" ht="15" hidden="false" customHeight="true" outlineLevel="0" collapsed="false">
      <c r="A915" s="67" t="str">
        <f aca="false">IF(OR(TRIM(C915)="",SUBSTITUTE(C915," ","")="소계"),"제외",IF(ISNUMBER(SEARCH("홍콩",C915)),"HK",IF(ISNUMBER(SEARCH("상해",C915)),"CN",IF(ISNUMBER(SEARCH("대만",C915)),"TW","홀세일"))))</f>
        <v>홀세일</v>
      </c>
      <c r="B915" s="87" t="s">
        <v>1319</v>
      </c>
      <c r="C915" s="87" t="s">
        <v>1320</v>
      </c>
      <c r="D915" s="88" t="s">
        <v>178</v>
      </c>
      <c r="E915" s="87" t="n">
        <v>2026</v>
      </c>
      <c r="F915" s="88" t="s">
        <v>179</v>
      </c>
      <c r="G915" s="88" t="s">
        <v>180</v>
      </c>
      <c r="H915" s="87" t="s">
        <v>189</v>
      </c>
      <c r="I915" s="87" t="s">
        <v>238</v>
      </c>
      <c r="J915" s="88" t="s">
        <v>239</v>
      </c>
      <c r="K915" s="89" t="n">
        <v>40</v>
      </c>
      <c r="L915" s="89" t="n">
        <v>3560000</v>
      </c>
      <c r="M915" s="89" t="n">
        <v>1317920</v>
      </c>
      <c r="N915" s="90" t="n">
        <f aca="false">IF(A915="제외",0,IF(OR(N(L915)&lt;=0,N(M915)&gt;N(L915)),N(M915)/가정!$B$4,N(L915)))</f>
        <v>3560000</v>
      </c>
      <c r="O915" s="67" t="str">
        <f aca="false">IF(A915="제외","",IF(OR(N(L915)&lt;=0,N(M915)&gt;N(L915)),"택가보정(판매금액÷공급율)",""))</f>
        <v/>
      </c>
    </row>
    <row r="916" customFormat="false" ht="15" hidden="false" customHeight="true" outlineLevel="0" collapsed="false">
      <c r="A916" s="67" t="str">
        <f aca="false">IF(OR(TRIM(C916)="",SUBSTITUTE(C916," ","")="소계"),"제외",IF(ISNUMBER(SEARCH("홍콩",C916)),"HK",IF(ISNUMBER(SEARCH("상해",C916)),"CN",IF(ISNUMBER(SEARCH("대만",C916)),"TW","홀세일"))))</f>
        <v>홀세일</v>
      </c>
      <c r="B916" s="87" t="s">
        <v>1319</v>
      </c>
      <c r="C916" s="87" t="s">
        <v>1320</v>
      </c>
      <c r="D916" s="88" t="s">
        <v>178</v>
      </c>
      <c r="E916" s="87" t="n">
        <v>2026</v>
      </c>
      <c r="F916" s="88" t="s">
        <v>179</v>
      </c>
      <c r="G916" s="88" t="s">
        <v>180</v>
      </c>
      <c r="H916" s="87" t="s">
        <v>189</v>
      </c>
      <c r="I916" s="87" t="s">
        <v>240</v>
      </c>
      <c r="J916" s="88" t="s">
        <v>241</v>
      </c>
      <c r="K916" s="89" t="n">
        <v>20</v>
      </c>
      <c r="L916" s="89" t="n">
        <v>2380000</v>
      </c>
      <c r="M916" s="89" t="n">
        <v>880600</v>
      </c>
      <c r="N916" s="90" t="n">
        <f aca="false">IF(A916="제외",0,IF(OR(N(L916)&lt;=0,N(M916)&gt;N(L916)),N(M916)/가정!$B$4,N(L916)))</f>
        <v>2380000</v>
      </c>
      <c r="O916" s="67" t="str">
        <f aca="false">IF(A916="제외","",IF(OR(N(L916)&lt;=0,N(M916)&gt;N(L916)),"택가보정(판매금액÷공급율)",""))</f>
        <v/>
      </c>
    </row>
    <row r="917" customFormat="false" ht="15" hidden="false" customHeight="true" outlineLevel="0" collapsed="false">
      <c r="A917" s="67" t="str">
        <f aca="false">IF(OR(TRIM(C917)="",SUBSTITUTE(C917," ","")="소계"),"제외",IF(ISNUMBER(SEARCH("홍콩",C917)),"HK",IF(ISNUMBER(SEARCH("상해",C917)),"CN",IF(ISNUMBER(SEARCH("대만",C917)),"TW","홀세일"))))</f>
        <v>홀세일</v>
      </c>
      <c r="B917" s="87" t="s">
        <v>1319</v>
      </c>
      <c r="C917" s="87" t="s">
        <v>1320</v>
      </c>
      <c r="D917" s="88" t="s">
        <v>178</v>
      </c>
      <c r="E917" s="87" t="n">
        <v>2026</v>
      </c>
      <c r="F917" s="88" t="s">
        <v>179</v>
      </c>
      <c r="G917" s="88" t="s">
        <v>180</v>
      </c>
      <c r="H917" s="87" t="s">
        <v>189</v>
      </c>
      <c r="I917" s="87" t="s">
        <v>242</v>
      </c>
      <c r="J917" s="88" t="s">
        <v>243</v>
      </c>
      <c r="K917" s="89" t="n">
        <v>30</v>
      </c>
      <c r="L917" s="89" t="n">
        <v>2370000</v>
      </c>
      <c r="M917" s="89" t="n">
        <v>877650</v>
      </c>
      <c r="N917" s="90" t="n">
        <f aca="false">IF(A917="제외",0,IF(OR(N(L917)&lt;=0,N(M917)&gt;N(L917)),N(M917)/가정!$B$4,N(L917)))</f>
        <v>2370000</v>
      </c>
      <c r="O917" s="67" t="str">
        <f aca="false">IF(A917="제외","",IF(OR(N(L917)&lt;=0,N(M917)&gt;N(L917)),"택가보정(판매금액÷공급율)",""))</f>
        <v/>
      </c>
    </row>
    <row r="918" customFormat="false" ht="15" hidden="false" customHeight="true" outlineLevel="0" collapsed="false">
      <c r="A918" s="67" t="str">
        <f aca="false">IF(OR(TRIM(C918)="",SUBSTITUTE(C918," ","")="소계"),"제외",IF(ISNUMBER(SEARCH("홍콩",C918)),"HK",IF(ISNUMBER(SEARCH("상해",C918)),"CN",IF(ISNUMBER(SEARCH("대만",C918)),"TW","홀세일"))))</f>
        <v>홀세일</v>
      </c>
      <c r="B918" s="87" t="s">
        <v>1319</v>
      </c>
      <c r="C918" s="87" t="s">
        <v>1320</v>
      </c>
      <c r="D918" s="88" t="s">
        <v>178</v>
      </c>
      <c r="E918" s="87" t="n">
        <v>2026</v>
      </c>
      <c r="F918" s="88" t="s">
        <v>179</v>
      </c>
      <c r="G918" s="88" t="s">
        <v>180</v>
      </c>
      <c r="H918" s="87" t="s">
        <v>189</v>
      </c>
      <c r="I918" s="87" t="s">
        <v>244</v>
      </c>
      <c r="J918" s="88" t="s">
        <v>245</v>
      </c>
      <c r="K918" s="89" t="n">
        <v>105</v>
      </c>
      <c r="L918" s="89" t="n">
        <v>6195000</v>
      </c>
      <c r="M918" s="89" t="n">
        <v>2296035</v>
      </c>
      <c r="N918" s="90" t="n">
        <f aca="false">IF(A918="제외",0,IF(OR(N(L918)&lt;=0,N(M918)&gt;N(L918)),N(M918)/가정!$B$4,N(L918)))</f>
        <v>6195000</v>
      </c>
      <c r="O918" s="67" t="str">
        <f aca="false">IF(A918="제외","",IF(OR(N(L918)&lt;=0,N(M918)&gt;N(L918)),"택가보정(판매금액÷공급율)",""))</f>
        <v/>
      </c>
    </row>
    <row r="919" customFormat="false" ht="15" hidden="false" customHeight="true" outlineLevel="0" collapsed="false">
      <c r="A919" s="67" t="str">
        <f aca="false">IF(OR(TRIM(C919)="",SUBSTITUTE(C919," ","")="소계"),"제외",IF(ISNUMBER(SEARCH("홍콩",C919)),"HK",IF(ISNUMBER(SEARCH("상해",C919)),"CN",IF(ISNUMBER(SEARCH("대만",C919)),"TW","홀세일"))))</f>
        <v>홀세일</v>
      </c>
      <c r="B919" s="87" t="s">
        <v>1319</v>
      </c>
      <c r="C919" s="87" t="s">
        <v>1320</v>
      </c>
      <c r="D919" s="88" t="s">
        <v>178</v>
      </c>
      <c r="E919" s="87" t="n">
        <v>2026</v>
      </c>
      <c r="F919" s="88" t="s">
        <v>179</v>
      </c>
      <c r="G919" s="88" t="s">
        <v>180</v>
      </c>
      <c r="H919" s="87" t="s">
        <v>181</v>
      </c>
      <c r="I919" s="87" t="s">
        <v>1323</v>
      </c>
      <c r="J919" s="88" t="s">
        <v>1324</v>
      </c>
      <c r="K919" s="89" t="n">
        <v>40</v>
      </c>
      <c r="L919" s="89" t="n">
        <v>2760000</v>
      </c>
      <c r="M919" s="89" t="n">
        <v>1002240</v>
      </c>
      <c r="N919" s="90" t="n">
        <f aca="false">IF(A919="제외",0,IF(OR(N(L919)&lt;=0,N(M919)&gt;N(L919)),N(M919)/가정!$B$4,N(L919)))</f>
        <v>2760000</v>
      </c>
      <c r="O919" s="67" t="str">
        <f aca="false">IF(A919="제외","",IF(OR(N(L919)&lt;=0,N(M919)&gt;N(L919)),"택가보정(판매금액÷공급율)",""))</f>
        <v/>
      </c>
    </row>
    <row r="920" customFormat="false" ht="15" hidden="false" customHeight="true" outlineLevel="0" collapsed="false">
      <c r="A920" s="67" t="str">
        <f aca="false">IF(OR(TRIM(C920)="",SUBSTITUTE(C920," ","")="소계"),"제외",IF(ISNUMBER(SEARCH("홍콩",C920)),"HK",IF(ISNUMBER(SEARCH("상해",C920)),"CN",IF(ISNUMBER(SEARCH("대만",C920)),"TW","홀세일"))))</f>
        <v>홀세일</v>
      </c>
      <c r="B920" s="87" t="s">
        <v>1319</v>
      </c>
      <c r="C920" s="87" t="s">
        <v>1320</v>
      </c>
      <c r="D920" s="88" t="s">
        <v>178</v>
      </c>
      <c r="E920" s="87" t="n">
        <v>2026</v>
      </c>
      <c r="F920" s="88" t="s">
        <v>179</v>
      </c>
      <c r="G920" s="88" t="s">
        <v>180</v>
      </c>
      <c r="H920" s="87" t="s">
        <v>181</v>
      </c>
      <c r="I920" s="87" t="s">
        <v>1325</v>
      </c>
      <c r="J920" s="88" t="s">
        <v>1326</v>
      </c>
      <c r="K920" s="89" t="n">
        <v>75</v>
      </c>
      <c r="L920" s="89" t="n">
        <v>3675000</v>
      </c>
      <c r="M920" s="89" t="n">
        <v>1362975</v>
      </c>
      <c r="N920" s="90" t="n">
        <f aca="false">IF(A920="제외",0,IF(OR(N(L920)&lt;=0,N(M920)&gt;N(L920)),N(M920)/가정!$B$4,N(L920)))</f>
        <v>3675000</v>
      </c>
      <c r="O920" s="67" t="str">
        <f aca="false">IF(A920="제외","",IF(OR(N(L920)&lt;=0,N(M920)&gt;N(L920)),"택가보정(판매금액÷공급율)",""))</f>
        <v/>
      </c>
    </row>
    <row r="921" customFormat="false" ht="15" hidden="false" customHeight="true" outlineLevel="0" collapsed="false">
      <c r="A921" s="67" t="str">
        <f aca="false">IF(OR(TRIM(C921)="",SUBSTITUTE(C921," ","")="소계"),"제외",IF(ISNUMBER(SEARCH("홍콩",C921)),"HK",IF(ISNUMBER(SEARCH("상해",C921)),"CN",IF(ISNUMBER(SEARCH("대만",C921)),"TW","홀세일"))))</f>
        <v>홀세일</v>
      </c>
      <c r="B921" s="87" t="s">
        <v>1319</v>
      </c>
      <c r="C921" s="87" t="s">
        <v>1320</v>
      </c>
      <c r="D921" s="88" t="s">
        <v>178</v>
      </c>
      <c r="E921" s="87" t="n">
        <v>2026</v>
      </c>
      <c r="F921" s="88" t="s">
        <v>179</v>
      </c>
      <c r="G921" s="88" t="s">
        <v>180</v>
      </c>
      <c r="H921" s="87" t="s">
        <v>246</v>
      </c>
      <c r="I921" s="87" t="s">
        <v>255</v>
      </c>
      <c r="J921" s="87" t="s">
        <v>256</v>
      </c>
      <c r="K921" s="89" t="n">
        <v>45</v>
      </c>
      <c r="L921" s="89" t="n">
        <v>6705000</v>
      </c>
      <c r="M921" s="89" t="n">
        <v>2435850</v>
      </c>
      <c r="N921" s="90" t="n">
        <f aca="false">IF(A921="제외",0,IF(OR(N(L921)&lt;=0,N(M921)&gt;N(L921)),N(M921)/가정!$B$4,N(L921)))</f>
        <v>6705000</v>
      </c>
      <c r="O921" s="67" t="str">
        <f aca="false">IF(A921="제외","",IF(OR(N(L921)&lt;=0,N(M921)&gt;N(L921)),"택가보정(판매금액÷공급율)",""))</f>
        <v/>
      </c>
    </row>
    <row r="922" customFormat="false" ht="15" hidden="false" customHeight="true" outlineLevel="0" collapsed="false">
      <c r="A922" s="67" t="str">
        <f aca="false">IF(OR(TRIM(C922)="",SUBSTITUTE(C922," ","")="소계"),"제외",IF(ISNUMBER(SEARCH("홍콩",C922)),"HK",IF(ISNUMBER(SEARCH("상해",C922)),"CN",IF(ISNUMBER(SEARCH("대만",C922)),"TW","홀세일"))))</f>
        <v>홀세일</v>
      </c>
      <c r="B922" s="87" t="s">
        <v>1319</v>
      </c>
      <c r="C922" s="87" t="s">
        <v>1320</v>
      </c>
      <c r="D922" s="88" t="s">
        <v>178</v>
      </c>
      <c r="E922" s="87" t="n">
        <v>2026</v>
      </c>
      <c r="F922" s="88" t="s">
        <v>179</v>
      </c>
      <c r="G922" s="88" t="s">
        <v>180</v>
      </c>
      <c r="H922" s="87" t="s">
        <v>246</v>
      </c>
      <c r="I922" s="87" t="s">
        <v>257</v>
      </c>
      <c r="J922" s="87" t="s">
        <v>258</v>
      </c>
      <c r="K922" s="89" t="n">
        <v>35</v>
      </c>
      <c r="L922" s="89" t="n">
        <v>5565000</v>
      </c>
      <c r="M922" s="89" t="n">
        <v>2021530</v>
      </c>
      <c r="N922" s="90" t="n">
        <f aca="false">IF(A922="제외",0,IF(OR(N(L922)&lt;=0,N(M922)&gt;N(L922)),N(M922)/가정!$B$4,N(L922)))</f>
        <v>5565000</v>
      </c>
      <c r="O922" s="67" t="str">
        <f aca="false">IF(A922="제외","",IF(OR(N(L922)&lt;=0,N(M922)&gt;N(L922)),"택가보정(판매금액÷공급율)",""))</f>
        <v/>
      </c>
    </row>
    <row r="923" customFormat="false" ht="15" hidden="false" customHeight="true" outlineLevel="0" collapsed="false">
      <c r="A923" s="67" t="str">
        <f aca="false">IF(OR(TRIM(C923)="",SUBSTITUTE(C923," ","")="소계"),"제외",IF(ISNUMBER(SEARCH("홍콩",C923)),"HK",IF(ISNUMBER(SEARCH("상해",C923)),"CN",IF(ISNUMBER(SEARCH("대만",C923)),"TW","홀세일"))))</f>
        <v>홀세일</v>
      </c>
      <c r="B923" s="87" t="s">
        <v>1319</v>
      </c>
      <c r="C923" s="87" t="s">
        <v>1320</v>
      </c>
      <c r="D923" s="88" t="s">
        <v>178</v>
      </c>
      <c r="E923" s="87" t="n">
        <v>2026</v>
      </c>
      <c r="F923" s="88" t="s">
        <v>179</v>
      </c>
      <c r="G923" s="88" t="s">
        <v>180</v>
      </c>
      <c r="H923" s="87" t="s">
        <v>246</v>
      </c>
      <c r="I923" s="87" t="s">
        <v>261</v>
      </c>
      <c r="J923" s="87" t="s">
        <v>262</v>
      </c>
      <c r="K923" s="89" t="n">
        <v>60</v>
      </c>
      <c r="L923" s="89" t="n">
        <v>11940000</v>
      </c>
      <c r="M923" s="89" t="n">
        <v>4606080</v>
      </c>
      <c r="N923" s="90" t="n">
        <f aca="false">IF(A923="제외",0,IF(OR(N(L923)&lt;=0,N(M923)&gt;N(L923)),N(M923)/가정!$B$4,N(L923)))</f>
        <v>11940000</v>
      </c>
      <c r="O923" s="67" t="str">
        <f aca="false">IF(A923="제외","",IF(OR(N(L923)&lt;=0,N(M923)&gt;N(L923)),"택가보정(판매금액÷공급율)",""))</f>
        <v/>
      </c>
    </row>
    <row r="924" customFormat="false" ht="15" hidden="false" customHeight="true" outlineLevel="0" collapsed="false">
      <c r="A924" s="67" t="str">
        <f aca="false">IF(OR(TRIM(C924)="",SUBSTITUTE(C924," ","")="소계"),"제외",IF(ISNUMBER(SEARCH("홍콩",C924)),"HK",IF(ISNUMBER(SEARCH("상해",C924)),"CN",IF(ISNUMBER(SEARCH("대만",C924)),"TW","홀세일"))))</f>
        <v>홀세일</v>
      </c>
      <c r="B924" s="87" t="s">
        <v>1319</v>
      </c>
      <c r="C924" s="87" t="s">
        <v>1320</v>
      </c>
      <c r="D924" s="88" t="s">
        <v>178</v>
      </c>
      <c r="E924" s="87" t="n">
        <v>2026</v>
      </c>
      <c r="F924" s="88" t="s">
        <v>179</v>
      </c>
      <c r="G924" s="88" t="s">
        <v>180</v>
      </c>
      <c r="H924" s="87" t="s">
        <v>246</v>
      </c>
      <c r="I924" s="87" t="s">
        <v>267</v>
      </c>
      <c r="J924" s="87" t="s">
        <v>268</v>
      </c>
      <c r="K924" s="89" t="n">
        <v>30</v>
      </c>
      <c r="L924" s="89" t="n">
        <v>3570000</v>
      </c>
      <c r="M924" s="89" t="n">
        <v>1320900</v>
      </c>
      <c r="N924" s="90" t="n">
        <f aca="false">IF(A924="제외",0,IF(OR(N(L924)&lt;=0,N(M924)&gt;N(L924)),N(M924)/가정!$B$4,N(L924)))</f>
        <v>3570000</v>
      </c>
      <c r="O924" s="67" t="str">
        <f aca="false">IF(A924="제외","",IF(OR(N(L924)&lt;=0,N(M924)&gt;N(L924)),"택가보정(판매금액÷공급율)",""))</f>
        <v/>
      </c>
    </row>
    <row r="925" customFormat="false" ht="15" hidden="false" customHeight="true" outlineLevel="0" collapsed="false">
      <c r="A925" s="67" t="str">
        <f aca="false">IF(OR(TRIM(C925)="",SUBSTITUTE(C925," ","")="소계"),"제외",IF(ISNUMBER(SEARCH("홍콩",C925)),"HK",IF(ISNUMBER(SEARCH("상해",C925)),"CN",IF(ISNUMBER(SEARCH("대만",C925)),"TW","홀세일"))))</f>
        <v>홀세일</v>
      </c>
      <c r="B925" s="87" t="s">
        <v>1319</v>
      </c>
      <c r="C925" s="87" t="s">
        <v>1320</v>
      </c>
      <c r="D925" s="88" t="s">
        <v>178</v>
      </c>
      <c r="E925" s="87" t="n">
        <v>2026</v>
      </c>
      <c r="F925" s="88" t="s">
        <v>179</v>
      </c>
      <c r="G925" s="88" t="s">
        <v>180</v>
      </c>
      <c r="H925" s="87" t="s">
        <v>246</v>
      </c>
      <c r="I925" s="87" t="s">
        <v>269</v>
      </c>
      <c r="J925" s="87" t="s">
        <v>270</v>
      </c>
      <c r="K925" s="89" t="n">
        <v>40</v>
      </c>
      <c r="L925" s="89" t="n">
        <v>3960000</v>
      </c>
      <c r="M925" s="89" t="n">
        <v>1465680</v>
      </c>
      <c r="N925" s="90" t="n">
        <f aca="false">IF(A925="제외",0,IF(OR(N(L925)&lt;=0,N(M925)&gt;N(L925)),N(M925)/가정!$B$4,N(L925)))</f>
        <v>3960000</v>
      </c>
      <c r="O925" s="67" t="str">
        <f aca="false">IF(A925="제외","",IF(OR(N(L925)&lt;=0,N(M925)&gt;N(L925)),"택가보정(판매금액÷공급율)",""))</f>
        <v/>
      </c>
    </row>
    <row r="926" customFormat="false" ht="15" hidden="false" customHeight="true" outlineLevel="0" collapsed="false">
      <c r="A926" s="67" t="str">
        <f aca="false">IF(OR(TRIM(C926)="",SUBSTITUTE(C926," ","")="소계"),"제외",IF(ISNUMBER(SEARCH("홍콩",C926)),"HK",IF(ISNUMBER(SEARCH("상해",C926)),"CN",IF(ISNUMBER(SEARCH("대만",C926)),"TW","홀세일"))))</f>
        <v>홀세일</v>
      </c>
      <c r="B926" s="87" t="s">
        <v>1319</v>
      </c>
      <c r="C926" s="87" t="s">
        <v>1320</v>
      </c>
      <c r="D926" s="88" t="s">
        <v>178</v>
      </c>
      <c r="E926" s="87" t="n">
        <v>2026</v>
      </c>
      <c r="F926" s="88" t="s">
        <v>179</v>
      </c>
      <c r="G926" s="88" t="s">
        <v>180</v>
      </c>
      <c r="H926" s="87" t="s">
        <v>246</v>
      </c>
      <c r="I926" s="87" t="s">
        <v>273</v>
      </c>
      <c r="J926" s="87" t="s">
        <v>274</v>
      </c>
      <c r="K926" s="89" t="n">
        <v>30</v>
      </c>
      <c r="L926" s="89" t="n">
        <v>2970000</v>
      </c>
      <c r="M926" s="89" t="n">
        <v>1099260</v>
      </c>
      <c r="N926" s="90" t="n">
        <f aca="false">IF(A926="제외",0,IF(OR(N(L926)&lt;=0,N(M926)&gt;N(L926)),N(M926)/가정!$B$4,N(L926)))</f>
        <v>2970000</v>
      </c>
      <c r="O926" s="67" t="str">
        <f aca="false">IF(A926="제외","",IF(OR(N(L926)&lt;=0,N(M926)&gt;N(L926)),"택가보정(판매금액÷공급율)",""))</f>
        <v/>
      </c>
    </row>
    <row r="927" customFormat="false" ht="15" hidden="false" customHeight="true" outlineLevel="0" collapsed="false">
      <c r="A927" s="67" t="str">
        <f aca="false">IF(OR(TRIM(C927)="",SUBSTITUTE(C927," ","")="소계"),"제외",IF(ISNUMBER(SEARCH("홍콩",C927)),"HK",IF(ISNUMBER(SEARCH("상해",C927)),"CN",IF(ISNUMBER(SEARCH("대만",C927)),"TW","홀세일"))))</f>
        <v>홀세일</v>
      </c>
      <c r="B927" s="87" t="s">
        <v>1319</v>
      </c>
      <c r="C927" s="87" t="s">
        <v>1320</v>
      </c>
      <c r="D927" s="88" t="s">
        <v>178</v>
      </c>
      <c r="E927" s="87" t="n">
        <v>2026</v>
      </c>
      <c r="F927" s="88" t="s">
        <v>179</v>
      </c>
      <c r="G927" s="88" t="s">
        <v>180</v>
      </c>
      <c r="H927" s="87" t="s">
        <v>246</v>
      </c>
      <c r="I927" s="87" t="s">
        <v>1327</v>
      </c>
      <c r="J927" s="87" t="s">
        <v>1328</v>
      </c>
      <c r="K927" s="89" t="n">
        <v>30</v>
      </c>
      <c r="L927" s="89" t="n">
        <v>2070000</v>
      </c>
      <c r="M927" s="89" t="n">
        <v>766830</v>
      </c>
      <c r="N927" s="90" t="n">
        <f aca="false">IF(A927="제외",0,IF(OR(N(L927)&lt;=0,N(M927)&gt;N(L927)),N(M927)/가정!$B$4,N(L927)))</f>
        <v>2070000</v>
      </c>
      <c r="O927" s="67" t="str">
        <f aca="false">IF(A927="제외","",IF(OR(N(L927)&lt;=0,N(M927)&gt;N(L927)),"택가보정(판매금액÷공급율)",""))</f>
        <v/>
      </c>
    </row>
    <row r="928" customFormat="false" ht="15" hidden="false" customHeight="true" outlineLevel="0" collapsed="false">
      <c r="A928" s="67" t="str">
        <f aca="false">IF(OR(TRIM(C928)="",SUBSTITUTE(C928," ","")="소계"),"제외",IF(ISNUMBER(SEARCH("홍콩",C928)),"HK",IF(ISNUMBER(SEARCH("상해",C928)),"CN",IF(ISNUMBER(SEARCH("대만",C928)),"TW","홀세일"))))</f>
        <v>홀세일</v>
      </c>
      <c r="B928" s="87" t="s">
        <v>1319</v>
      </c>
      <c r="C928" s="87" t="s">
        <v>1320</v>
      </c>
      <c r="D928" s="88" t="s">
        <v>178</v>
      </c>
      <c r="E928" s="87" t="n">
        <v>2026</v>
      </c>
      <c r="F928" s="88" t="s">
        <v>277</v>
      </c>
      <c r="G928" s="88" t="s">
        <v>188</v>
      </c>
      <c r="H928" s="87" t="s">
        <v>189</v>
      </c>
      <c r="I928" s="87" t="s">
        <v>1329</v>
      </c>
      <c r="J928" s="88" t="s">
        <v>1330</v>
      </c>
      <c r="K928" s="89" t="n">
        <v>10</v>
      </c>
      <c r="L928" s="89" t="n">
        <v>450000</v>
      </c>
      <c r="M928" s="89" t="n">
        <v>177130</v>
      </c>
      <c r="N928" s="90" t="n">
        <f aca="false">IF(A928="제외",0,IF(OR(N(L928)&lt;=0,N(M928)&gt;N(L928)),N(M928)/가정!$B$4,N(L928)))</f>
        <v>450000</v>
      </c>
      <c r="O928" s="67" t="str">
        <f aca="false">IF(A928="제외","",IF(OR(N(L928)&lt;=0,N(M928)&gt;N(L928)),"택가보정(판매금액÷공급율)",""))</f>
        <v/>
      </c>
    </row>
    <row r="929" customFormat="false" ht="15" hidden="false" customHeight="true" outlineLevel="0" collapsed="false">
      <c r="A929" s="67" t="str">
        <f aca="false">IF(OR(TRIM(C929)="",SUBSTITUTE(C929," ","")="소계"),"제외",IF(ISNUMBER(SEARCH("홍콩",C929)),"HK",IF(ISNUMBER(SEARCH("상해",C929)),"CN",IF(ISNUMBER(SEARCH("대만",C929)),"TW","홀세일"))))</f>
        <v>홀세일</v>
      </c>
      <c r="B929" s="87" t="s">
        <v>1319</v>
      </c>
      <c r="C929" s="87" t="s">
        <v>1320</v>
      </c>
      <c r="D929" s="88" t="s">
        <v>178</v>
      </c>
      <c r="E929" s="87" t="n">
        <v>2026</v>
      </c>
      <c r="F929" s="88" t="s">
        <v>277</v>
      </c>
      <c r="G929" s="88" t="s">
        <v>188</v>
      </c>
      <c r="H929" s="87" t="s">
        <v>189</v>
      </c>
      <c r="I929" s="87" t="s">
        <v>1094</v>
      </c>
      <c r="J929" s="87" t="s">
        <v>1095</v>
      </c>
      <c r="K929" s="89" t="n">
        <v>10</v>
      </c>
      <c r="L929" s="89" t="n">
        <v>650000</v>
      </c>
      <c r="M929" s="89" t="n">
        <v>255370</v>
      </c>
      <c r="N929" s="90" t="n">
        <f aca="false">IF(A929="제외",0,IF(OR(N(L929)&lt;=0,N(M929)&gt;N(L929)),N(M929)/가정!$B$4,N(L929)))</f>
        <v>650000</v>
      </c>
      <c r="O929" s="67" t="str">
        <f aca="false">IF(A929="제외","",IF(OR(N(L929)&lt;=0,N(M929)&gt;N(L929)),"택가보정(판매금액÷공급율)",""))</f>
        <v/>
      </c>
    </row>
    <row r="930" customFormat="false" ht="15" hidden="false" customHeight="true" outlineLevel="0" collapsed="false">
      <c r="A930" s="67" t="str">
        <f aca="false">IF(OR(TRIM(C930)="",SUBSTITUTE(C930," ","")="소계"),"제외",IF(ISNUMBER(SEARCH("홍콩",C930)),"HK",IF(ISNUMBER(SEARCH("상해",C930)),"CN",IF(ISNUMBER(SEARCH("대만",C930)),"TW","홀세일"))))</f>
        <v>홀세일</v>
      </c>
      <c r="B930" s="87" t="s">
        <v>1319</v>
      </c>
      <c r="C930" s="87" t="s">
        <v>1320</v>
      </c>
      <c r="D930" s="88" t="s">
        <v>178</v>
      </c>
      <c r="E930" s="87" t="n">
        <v>2026</v>
      </c>
      <c r="F930" s="88" t="s">
        <v>277</v>
      </c>
      <c r="G930" s="88" t="s">
        <v>180</v>
      </c>
      <c r="H930" s="87" t="s">
        <v>189</v>
      </c>
      <c r="I930" s="87" t="s">
        <v>1331</v>
      </c>
      <c r="J930" s="87" t="s">
        <v>1332</v>
      </c>
      <c r="K930" s="89" t="n">
        <v>75</v>
      </c>
      <c r="L930" s="89" t="n">
        <v>5925000</v>
      </c>
      <c r="M930" s="89" t="n">
        <v>2187525</v>
      </c>
      <c r="N930" s="90" t="n">
        <f aca="false">IF(A930="제외",0,IF(OR(N(L930)&lt;=0,N(M930)&gt;N(L930)),N(M930)/가정!$B$4,N(L930)))</f>
        <v>5925000</v>
      </c>
      <c r="O930" s="67" t="str">
        <f aca="false">IF(A930="제외","",IF(OR(N(L930)&lt;=0,N(M930)&gt;N(L930)),"택가보정(판매금액÷공급율)",""))</f>
        <v/>
      </c>
    </row>
    <row r="931" customFormat="false" ht="15" hidden="false" customHeight="true" outlineLevel="0" collapsed="false">
      <c r="A931" s="67" t="str">
        <f aca="false">IF(OR(TRIM(C931)="",SUBSTITUTE(C931," ","")="소계"),"제외",IF(ISNUMBER(SEARCH("홍콩",C931)),"HK",IF(ISNUMBER(SEARCH("상해",C931)),"CN",IF(ISNUMBER(SEARCH("대만",C931)),"TW","홀세일"))))</f>
        <v>홀세일</v>
      </c>
      <c r="B931" s="87" t="s">
        <v>1319</v>
      </c>
      <c r="C931" s="87" t="s">
        <v>1320</v>
      </c>
      <c r="D931" s="88" t="s">
        <v>178</v>
      </c>
      <c r="E931" s="87" t="n">
        <v>2026</v>
      </c>
      <c r="F931" s="88" t="s">
        <v>277</v>
      </c>
      <c r="G931" s="88" t="s">
        <v>180</v>
      </c>
      <c r="H931" s="87" t="s">
        <v>189</v>
      </c>
      <c r="I931" s="87" t="s">
        <v>863</v>
      </c>
      <c r="J931" s="88" t="s">
        <v>864</v>
      </c>
      <c r="K931" s="89" t="n">
        <v>80</v>
      </c>
      <c r="L931" s="89" t="n">
        <v>12720000</v>
      </c>
      <c r="M931" s="89" t="n">
        <v>4595760</v>
      </c>
      <c r="N931" s="90" t="n">
        <f aca="false">IF(A931="제외",0,IF(OR(N(L931)&lt;=0,N(M931)&gt;N(L931)),N(M931)/가정!$B$4,N(L931)))</f>
        <v>12720000</v>
      </c>
      <c r="O931" s="67" t="str">
        <f aca="false">IF(A931="제외","",IF(OR(N(L931)&lt;=0,N(M931)&gt;N(L931)),"택가보정(판매금액÷공급율)",""))</f>
        <v/>
      </c>
    </row>
    <row r="932" customFormat="false" ht="15" hidden="false" customHeight="true" outlineLevel="0" collapsed="false">
      <c r="A932" s="67" t="str">
        <f aca="false">IF(OR(TRIM(C932)="",SUBSTITUTE(C932," ","")="소계"),"제외",IF(ISNUMBER(SEARCH("홍콩",C932)),"HK",IF(ISNUMBER(SEARCH("상해",C932)),"CN",IF(ISNUMBER(SEARCH("대만",C932)),"TW","홀세일"))))</f>
        <v>홀세일</v>
      </c>
      <c r="B932" s="87" t="s">
        <v>1319</v>
      </c>
      <c r="C932" s="87" t="s">
        <v>1320</v>
      </c>
      <c r="D932" s="88" t="s">
        <v>178</v>
      </c>
      <c r="E932" s="87" t="n">
        <v>2026</v>
      </c>
      <c r="F932" s="88" t="s">
        <v>277</v>
      </c>
      <c r="G932" s="88" t="s">
        <v>180</v>
      </c>
      <c r="H932" s="87" t="s">
        <v>189</v>
      </c>
      <c r="I932" s="87" t="s">
        <v>1098</v>
      </c>
      <c r="J932" s="87" t="s">
        <v>1099</v>
      </c>
      <c r="K932" s="89" t="n">
        <v>15</v>
      </c>
      <c r="L932" s="89" t="n">
        <v>3285000</v>
      </c>
      <c r="M932" s="89" t="n">
        <v>1266900</v>
      </c>
      <c r="N932" s="90" t="n">
        <f aca="false">IF(A932="제외",0,IF(OR(N(L932)&lt;=0,N(M932)&gt;N(L932)),N(M932)/가정!$B$4,N(L932)))</f>
        <v>3285000</v>
      </c>
      <c r="O932" s="67" t="str">
        <f aca="false">IF(A932="제외","",IF(OR(N(L932)&lt;=0,N(M932)&gt;N(L932)),"택가보정(판매금액÷공급율)",""))</f>
        <v/>
      </c>
    </row>
    <row r="933" customFormat="false" ht="15" hidden="false" customHeight="true" outlineLevel="0" collapsed="false">
      <c r="A933" s="67" t="str">
        <f aca="false">IF(OR(TRIM(C933)="",SUBSTITUTE(C933," ","")="소계"),"제외",IF(ISNUMBER(SEARCH("홍콩",C933)),"HK",IF(ISNUMBER(SEARCH("상해",C933)),"CN",IF(ISNUMBER(SEARCH("대만",C933)),"TW","홀세일"))))</f>
        <v>홀세일</v>
      </c>
      <c r="B933" s="87" t="s">
        <v>1319</v>
      </c>
      <c r="C933" s="87" t="s">
        <v>1320</v>
      </c>
      <c r="D933" s="88" t="s">
        <v>178</v>
      </c>
      <c r="E933" s="87" t="n">
        <v>2026</v>
      </c>
      <c r="F933" s="88" t="s">
        <v>277</v>
      </c>
      <c r="G933" s="88" t="s">
        <v>180</v>
      </c>
      <c r="H933" s="87" t="s">
        <v>189</v>
      </c>
      <c r="I933" s="87" t="s">
        <v>871</v>
      </c>
      <c r="J933" s="87" t="s">
        <v>872</v>
      </c>
      <c r="K933" s="89" t="n">
        <v>15</v>
      </c>
      <c r="L933" s="89" t="n">
        <v>2985000</v>
      </c>
      <c r="M933" s="89" t="n">
        <v>1151520</v>
      </c>
      <c r="N933" s="90" t="n">
        <f aca="false">IF(A933="제외",0,IF(OR(N(L933)&lt;=0,N(M933)&gt;N(L933)),N(M933)/가정!$B$4,N(L933)))</f>
        <v>2985000</v>
      </c>
      <c r="O933" s="67" t="str">
        <f aca="false">IF(A933="제외","",IF(OR(N(L933)&lt;=0,N(M933)&gt;N(L933)),"택가보정(판매금액÷공급율)",""))</f>
        <v/>
      </c>
    </row>
    <row r="934" customFormat="false" ht="15" hidden="false" customHeight="true" outlineLevel="0" collapsed="false">
      <c r="A934" s="67" t="str">
        <f aca="false">IF(OR(TRIM(C934)="",SUBSTITUTE(C934," ","")="소계"),"제외",IF(ISNUMBER(SEARCH("홍콩",C934)),"HK",IF(ISNUMBER(SEARCH("상해",C934)),"CN",IF(ISNUMBER(SEARCH("대만",C934)),"TW","홀세일"))))</f>
        <v>홀세일</v>
      </c>
      <c r="B934" s="87" t="s">
        <v>1319</v>
      </c>
      <c r="C934" s="87" t="s">
        <v>1320</v>
      </c>
      <c r="D934" s="88" t="s">
        <v>178</v>
      </c>
      <c r="E934" s="87" t="n">
        <v>2026</v>
      </c>
      <c r="F934" s="88" t="s">
        <v>277</v>
      </c>
      <c r="G934" s="88" t="s">
        <v>180</v>
      </c>
      <c r="H934" s="87" t="s">
        <v>181</v>
      </c>
      <c r="I934" s="87" t="s">
        <v>286</v>
      </c>
      <c r="J934" s="88" t="s">
        <v>287</v>
      </c>
      <c r="K934" s="89" t="n">
        <v>90</v>
      </c>
      <c r="L934" s="89" t="n">
        <v>8010000</v>
      </c>
      <c r="M934" s="89" t="n">
        <v>2967930</v>
      </c>
      <c r="N934" s="90" t="n">
        <f aca="false">IF(A934="제외",0,IF(OR(N(L934)&lt;=0,N(M934)&gt;N(L934)),N(M934)/가정!$B$4,N(L934)))</f>
        <v>8010000</v>
      </c>
      <c r="O934" s="67" t="str">
        <f aca="false">IF(A934="제외","",IF(OR(N(L934)&lt;=0,N(M934)&gt;N(L934)),"택가보정(판매금액÷공급율)",""))</f>
        <v/>
      </c>
    </row>
    <row r="935" customFormat="false" ht="15" hidden="false" customHeight="true" outlineLevel="0" collapsed="false">
      <c r="A935" s="67" t="str">
        <f aca="false">IF(OR(TRIM(C935)="",SUBSTITUTE(C935," ","")="소계"),"제외",IF(ISNUMBER(SEARCH("홍콩",C935)),"HK",IF(ISNUMBER(SEARCH("상해",C935)),"CN",IF(ISNUMBER(SEARCH("대만",C935)),"TW","홀세일"))))</f>
        <v>홀세일</v>
      </c>
      <c r="B935" s="87" t="s">
        <v>1319</v>
      </c>
      <c r="C935" s="87" t="s">
        <v>1320</v>
      </c>
      <c r="D935" s="88" t="s">
        <v>178</v>
      </c>
      <c r="E935" s="87" t="n">
        <v>2026</v>
      </c>
      <c r="F935" s="88" t="s">
        <v>277</v>
      </c>
      <c r="G935" s="88" t="s">
        <v>180</v>
      </c>
      <c r="H935" s="87" t="s">
        <v>181</v>
      </c>
      <c r="I935" s="87" t="s">
        <v>288</v>
      </c>
      <c r="J935" s="88" t="s">
        <v>289</v>
      </c>
      <c r="K935" s="89" t="n">
        <v>55</v>
      </c>
      <c r="L935" s="89" t="n">
        <v>5995000</v>
      </c>
      <c r="M935" s="89" t="n">
        <v>2211880</v>
      </c>
      <c r="N935" s="90" t="n">
        <f aca="false">IF(A935="제외",0,IF(OR(N(L935)&lt;=0,N(M935)&gt;N(L935)),N(M935)/가정!$B$4,N(L935)))</f>
        <v>5995000</v>
      </c>
      <c r="O935" s="67" t="str">
        <f aca="false">IF(A935="제외","",IF(OR(N(L935)&lt;=0,N(M935)&gt;N(L935)),"택가보정(판매금액÷공급율)",""))</f>
        <v/>
      </c>
    </row>
    <row r="936" customFormat="false" ht="15" hidden="false" customHeight="true" outlineLevel="0" collapsed="false">
      <c r="A936" s="67" t="str">
        <f aca="false">IF(OR(TRIM(C936)="",SUBSTITUTE(C936," ","")="소계"),"제외",IF(ISNUMBER(SEARCH("홍콩",C936)),"HK",IF(ISNUMBER(SEARCH("상해",C936)),"CN",IF(ISNUMBER(SEARCH("대만",C936)),"TW","홀세일"))))</f>
        <v>홀세일</v>
      </c>
      <c r="B936" s="87" t="s">
        <v>1319</v>
      </c>
      <c r="C936" s="87" t="s">
        <v>1320</v>
      </c>
      <c r="D936" s="88" t="s">
        <v>178</v>
      </c>
      <c r="E936" s="87" t="n">
        <v>2026</v>
      </c>
      <c r="F936" s="88" t="s">
        <v>277</v>
      </c>
      <c r="G936" s="88" t="s">
        <v>180</v>
      </c>
      <c r="H936" s="87" t="s">
        <v>189</v>
      </c>
      <c r="I936" s="87" t="s">
        <v>1333</v>
      </c>
      <c r="J936" s="88" t="s">
        <v>1334</v>
      </c>
      <c r="K936" s="89" t="n">
        <v>40</v>
      </c>
      <c r="L936" s="89" t="n">
        <v>4360000</v>
      </c>
      <c r="M936" s="89" t="n">
        <v>1608640</v>
      </c>
      <c r="N936" s="90" t="n">
        <f aca="false">IF(A936="제외",0,IF(OR(N(L936)&lt;=0,N(M936)&gt;N(L936)),N(M936)/가정!$B$4,N(L936)))</f>
        <v>4360000</v>
      </c>
      <c r="O936" s="67" t="str">
        <f aca="false">IF(A936="제외","",IF(OR(N(L936)&lt;=0,N(M936)&gt;N(L936)),"택가보정(판매금액÷공급율)",""))</f>
        <v/>
      </c>
    </row>
    <row r="937" customFormat="false" ht="15" hidden="false" customHeight="true" outlineLevel="0" collapsed="false">
      <c r="A937" s="67" t="str">
        <f aca="false">IF(OR(TRIM(C937)="",SUBSTITUTE(C937," ","")="소계"),"제외",IF(ISNUMBER(SEARCH("홍콩",C937)),"HK",IF(ISNUMBER(SEARCH("상해",C937)),"CN",IF(ISNUMBER(SEARCH("대만",C937)),"TW","홀세일"))))</f>
        <v>홀세일</v>
      </c>
      <c r="B937" s="87" t="s">
        <v>1319</v>
      </c>
      <c r="C937" s="87" t="s">
        <v>1320</v>
      </c>
      <c r="D937" s="88" t="s">
        <v>178</v>
      </c>
      <c r="E937" s="87" t="n">
        <v>2026</v>
      </c>
      <c r="F937" s="88" t="s">
        <v>277</v>
      </c>
      <c r="G937" s="88" t="s">
        <v>180</v>
      </c>
      <c r="H937" s="87" t="s">
        <v>189</v>
      </c>
      <c r="I937" s="87" t="s">
        <v>1335</v>
      </c>
      <c r="J937" s="88" t="s">
        <v>1336</v>
      </c>
      <c r="K937" s="89" t="n">
        <v>10</v>
      </c>
      <c r="L937" s="89" t="n">
        <v>1090000</v>
      </c>
      <c r="M937" s="89" t="n">
        <v>402160</v>
      </c>
      <c r="N937" s="90" t="n">
        <f aca="false">IF(A937="제외",0,IF(OR(N(L937)&lt;=0,N(M937)&gt;N(L937)),N(M937)/가정!$B$4,N(L937)))</f>
        <v>1090000</v>
      </c>
      <c r="O937" s="67" t="str">
        <f aca="false">IF(A937="제외","",IF(OR(N(L937)&lt;=0,N(M937)&gt;N(L937)),"택가보정(판매금액÷공급율)",""))</f>
        <v/>
      </c>
    </row>
    <row r="938" customFormat="false" ht="15" hidden="false" customHeight="true" outlineLevel="0" collapsed="false">
      <c r="A938" s="67" t="str">
        <f aca="false">IF(OR(TRIM(C938)="",SUBSTITUTE(C938," ","")="소계"),"제외",IF(ISNUMBER(SEARCH("홍콩",C938)),"HK",IF(ISNUMBER(SEARCH("상해",C938)),"CN",IF(ISNUMBER(SEARCH("대만",C938)),"TW","홀세일"))))</f>
        <v>홀세일</v>
      </c>
      <c r="B938" s="87" t="s">
        <v>1319</v>
      </c>
      <c r="C938" s="87" t="s">
        <v>1320</v>
      </c>
      <c r="D938" s="88" t="s">
        <v>178</v>
      </c>
      <c r="E938" s="87" t="n">
        <v>2026</v>
      </c>
      <c r="F938" s="88" t="s">
        <v>277</v>
      </c>
      <c r="G938" s="88" t="s">
        <v>180</v>
      </c>
      <c r="H938" s="87" t="s">
        <v>181</v>
      </c>
      <c r="I938" s="87" t="s">
        <v>290</v>
      </c>
      <c r="J938" s="88" t="s">
        <v>291</v>
      </c>
      <c r="K938" s="89" t="n">
        <v>35</v>
      </c>
      <c r="L938" s="89" t="n">
        <v>5215000</v>
      </c>
      <c r="M938" s="89" t="n">
        <v>1923145</v>
      </c>
      <c r="N938" s="90" t="n">
        <f aca="false">IF(A938="제외",0,IF(OR(N(L938)&lt;=0,N(M938)&gt;N(L938)),N(M938)/가정!$B$4,N(L938)))</f>
        <v>5215000</v>
      </c>
      <c r="O938" s="67" t="str">
        <f aca="false">IF(A938="제외","",IF(OR(N(L938)&lt;=0,N(M938)&gt;N(L938)),"택가보정(판매금액÷공급율)",""))</f>
        <v/>
      </c>
    </row>
    <row r="939" customFormat="false" ht="15" hidden="false" customHeight="true" outlineLevel="0" collapsed="false">
      <c r="A939" s="67" t="str">
        <f aca="false">IF(OR(TRIM(C939)="",SUBSTITUTE(C939," ","")="소계"),"제외",IF(ISNUMBER(SEARCH("홍콩",C939)),"HK",IF(ISNUMBER(SEARCH("상해",C939)),"CN",IF(ISNUMBER(SEARCH("대만",C939)),"TW","홀세일"))))</f>
        <v>홀세일</v>
      </c>
      <c r="B939" s="87" t="s">
        <v>1319</v>
      </c>
      <c r="C939" s="87" t="s">
        <v>1320</v>
      </c>
      <c r="D939" s="88" t="s">
        <v>178</v>
      </c>
      <c r="E939" s="87" t="n">
        <v>2026</v>
      </c>
      <c r="F939" s="88" t="s">
        <v>277</v>
      </c>
      <c r="G939" s="88" t="s">
        <v>180</v>
      </c>
      <c r="H939" s="87" t="s">
        <v>189</v>
      </c>
      <c r="I939" s="87" t="s">
        <v>292</v>
      </c>
      <c r="J939" s="88" t="s">
        <v>293</v>
      </c>
      <c r="K939" s="89" t="n">
        <v>60</v>
      </c>
      <c r="L939" s="89" t="n">
        <v>3540000</v>
      </c>
      <c r="M939" s="89" t="n">
        <v>1310760</v>
      </c>
      <c r="N939" s="90" t="n">
        <f aca="false">IF(A939="제외",0,IF(OR(N(L939)&lt;=0,N(M939)&gt;N(L939)),N(M939)/가정!$B$4,N(L939)))</f>
        <v>3540000</v>
      </c>
      <c r="O939" s="67" t="str">
        <f aca="false">IF(A939="제외","",IF(OR(N(L939)&lt;=0,N(M939)&gt;N(L939)),"택가보정(판매금액÷공급율)",""))</f>
        <v/>
      </c>
    </row>
    <row r="940" customFormat="false" ht="15" hidden="false" customHeight="true" outlineLevel="0" collapsed="false">
      <c r="A940" s="67" t="str">
        <f aca="false">IF(OR(TRIM(C940)="",SUBSTITUTE(C940," ","")="소계"),"제외",IF(ISNUMBER(SEARCH("홍콩",C940)),"HK",IF(ISNUMBER(SEARCH("상해",C940)),"CN",IF(ISNUMBER(SEARCH("대만",C940)),"TW","홀세일"))))</f>
        <v>홀세일</v>
      </c>
      <c r="B940" s="87" t="s">
        <v>1319</v>
      </c>
      <c r="C940" s="87" t="s">
        <v>1320</v>
      </c>
      <c r="D940" s="88" t="s">
        <v>178</v>
      </c>
      <c r="E940" s="87" t="n">
        <v>2026</v>
      </c>
      <c r="F940" s="88" t="s">
        <v>277</v>
      </c>
      <c r="G940" s="88" t="s">
        <v>180</v>
      </c>
      <c r="H940" s="87" t="s">
        <v>189</v>
      </c>
      <c r="I940" s="87" t="s">
        <v>298</v>
      </c>
      <c r="J940" s="87" t="s">
        <v>299</v>
      </c>
      <c r="K940" s="89" t="n">
        <v>120</v>
      </c>
      <c r="L940" s="89" t="n">
        <v>8280000</v>
      </c>
      <c r="M940" s="89" t="n">
        <v>3012720</v>
      </c>
      <c r="N940" s="90" t="n">
        <f aca="false">IF(A940="제외",0,IF(OR(N(L940)&lt;=0,N(M940)&gt;N(L940)),N(M940)/가정!$B$4,N(L940)))</f>
        <v>8280000</v>
      </c>
      <c r="O940" s="67" t="str">
        <f aca="false">IF(A940="제외","",IF(OR(N(L940)&lt;=0,N(M940)&gt;N(L940)),"택가보정(판매금액÷공급율)",""))</f>
        <v/>
      </c>
    </row>
    <row r="941" customFormat="false" ht="15" hidden="false" customHeight="true" outlineLevel="0" collapsed="false">
      <c r="A941" s="67" t="str">
        <f aca="false">IF(OR(TRIM(C941)="",SUBSTITUTE(C941," ","")="소계"),"제외",IF(ISNUMBER(SEARCH("홍콩",C941)),"HK",IF(ISNUMBER(SEARCH("상해",C941)),"CN",IF(ISNUMBER(SEARCH("대만",C941)),"TW","홀세일"))))</f>
        <v>홀세일</v>
      </c>
      <c r="B941" s="87" t="s">
        <v>1319</v>
      </c>
      <c r="C941" s="87" t="s">
        <v>1320</v>
      </c>
      <c r="D941" s="88" t="s">
        <v>178</v>
      </c>
      <c r="E941" s="87" t="n">
        <v>2026</v>
      </c>
      <c r="F941" s="88" t="s">
        <v>277</v>
      </c>
      <c r="G941" s="88" t="s">
        <v>180</v>
      </c>
      <c r="H941" s="87" t="s">
        <v>189</v>
      </c>
      <c r="I941" s="87" t="s">
        <v>300</v>
      </c>
      <c r="J941" s="87" t="s">
        <v>301</v>
      </c>
      <c r="K941" s="89" t="n">
        <v>100</v>
      </c>
      <c r="L941" s="89" t="n">
        <v>7900000</v>
      </c>
      <c r="M941" s="89" t="n">
        <v>2916700</v>
      </c>
      <c r="N941" s="90" t="n">
        <f aca="false">IF(A941="제외",0,IF(OR(N(L941)&lt;=0,N(M941)&gt;N(L941)),N(M941)/가정!$B$4,N(L941)))</f>
        <v>7900000</v>
      </c>
      <c r="O941" s="67" t="str">
        <f aca="false">IF(A941="제외","",IF(OR(N(L941)&lt;=0,N(M941)&gt;N(L941)),"택가보정(판매금액÷공급율)",""))</f>
        <v/>
      </c>
    </row>
    <row r="942" customFormat="false" ht="15" hidden="false" customHeight="true" outlineLevel="0" collapsed="false">
      <c r="A942" s="67" t="str">
        <f aca="false">IF(OR(TRIM(C942)="",SUBSTITUTE(C942," ","")="소계"),"제외",IF(ISNUMBER(SEARCH("홍콩",C942)),"HK",IF(ISNUMBER(SEARCH("상해",C942)),"CN",IF(ISNUMBER(SEARCH("대만",C942)),"TW","홀세일"))))</f>
        <v>홀세일</v>
      </c>
      <c r="B942" s="87" t="s">
        <v>1319</v>
      </c>
      <c r="C942" s="87" t="s">
        <v>1320</v>
      </c>
      <c r="D942" s="88" t="s">
        <v>178</v>
      </c>
      <c r="E942" s="87" t="n">
        <v>2026</v>
      </c>
      <c r="F942" s="88" t="s">
        <v>277</v>
      </c>
      <c r="G942" s="88" t="s">
        <v>180</v>
      </c>
      <c r="H942" s="87" t="s">
        <v>181</v>
      </c>
      <c r="I942" s="87" t="s">
        <v>302</v>
      </c>
      <c r="J942" s="88" t="s">
        <v>303</v>
      </c>
      <c r="K942" s="89" t="n">
        <v>40</v>
      </c>
      <c r="L942" s="89" t="n">
        <v>3160000</v>
      </c>
      <c r="M942" s="89" t="n">
        <v>1166680</v>
      </c>
      <c r="N942" s="90" t="n">
        <f aca="false">IF(A942="제외",0,IF(OR(N(L942)&lt;=0,N(M942)&gt;N(L942)),N(M942)/가정!$B$4,N(L942)))</f>
        <v>3160000</v>
      </c>
      <c r="O942" s="67" t="str">
        <f aca="false">IF(A942="제외","",IF(OR(N(L942)&lt;=0,N(M942)&gt;N(L942)),"택가보정(판매금액÷공급율)",""))</f>
        <v/>
      </c>
    </row>
    <row r="943" customFormat="false" ht="15" hidden="false" customHeight="true" outlineLevel="0" collapsed="false">
      <c r="A943" s="67" t="str">
        <f aca="false">IF(OR(TRIM(C943)="",SUBSTITUTE(C943," ","")="소계"),"제외",IF(ISNUMBER(SEARCH("홍콩",C943)),"HK",IF(ISNUMBER(SEARCH("상해",C943)),"CN",IF(ISNUMBER(SEARCH("대만",C943)),"TW","홀세일"))))</f>
        <v>홀세일</v>
      </c>
      <c r="B943" s="87" t="s">
        <v>1319</v>
      </c>
      <c r="C943" s="87" t="s">
        <v>1320</v>
      </c>
      <c r="D943" s="88" t="s">
        <v>178</v>
      </c>
      <c r="E943" s="87" t="n">
        <v>2026</v>
      </c>
      <c r="F943" s="88" t="s">
        <v>277</v>
      </c>
      <c r="G943" s="88" t="s">
        <v>180</v>
      </c>
      <c r="H943" s="87" t="s">
        <v>189</v>
      </c>
      <c r="I943" s="87" t="s">
        <v>304</v>
      </c>
      <c r="J943" s="88" t="s">
        <v>305</v>
      </c>
      <c r="K943" s="89" t="n">
        <v>70</v>
      </c>
      <c r="L943" s="89" t="n">
        <v>5530000</v>
      </c>
      <c r="M943" s="89" t="n">
        <v>1974350</v>
      </c>
      <c r="N943" s="90" t="n">
        <f aca="false">IF(A943="제외",0,IF(OR(N(L943)&lt;=0,N(M943)&gt;N(L943)),N(M943)/가정!$B$4,N(L943)))</f>
        <v>5530000</v>
      </c>
      <c r="O943" s="67" t="str">
        <f aca="false">IF(A943="제외","",IF(OR(N(L943)&lt;=0,N(M943)&gt;N(L943)),"택가보정(판매금액÷공급율)",""))</f>
        <v/>
      </c>
    </row>
    <row r="944" customFormat="false" ht="15" hidden="false" customHeight="true" outlineLevel="0" collapsed="false">
      <c r="A944" s="67" t="str">
        <f aca="false">IF(OR(TRIM(C944)="",SUBSTITUTE(C944," ","")="소계"),"제외",IF(ISNUMBER(SEARCH("홍콩",C944)),"HK",IF(ISNUMBER(SEARCH("상해",C944)),"CN",IF(ISNUMBER(SEARCH("대만",C944)),"TW","홀세일"))))</f>
        <v>홀세일</v>
      </c>
      <c r="B944" s="87" t="s">
        <v>1319</v>
      </c>
      <c r="C944" s="87" t="s">
        <v>1320</v>
      </c>
      <c r="D944" s="88" t="s">
        <v>178</v>
      </c>
      <c r="E944" s="87" t="n">
        <v>2026</v>
      </c>
      <c r="F944" s="88" t="s">
        <v>277</v>
      </c>
      <c r="G944" s="88" t="s">
        <v>180</v>
      </c>
      <c r="H944" s="87" t="s">
        <v>189</v>
      </c>
      <c r="I944" s="87" t="s">
        <v>306</v>
      </c>
      <c r="J944" s="88" t="s">
        <v>307</v>
      </c>
      <c r="K944" s="89" t="n">
        <v>70</v>
      </c>
      <c r="L944" s="89" t="n">
        <v>6930000</v>
      </c>
      <c r="M944" s="89" t="n">
        <v>2472960</v>
      </c>
      <c r="N944" s="90" t="n">
        <f aca="false">IF(A944="제외",0,IF(OR(N(L944)&lt;=0,N(M944)&gt;N(L944)),N(M944)/가정!$B$4,N(L944)))</f>
        <v>6930000</v>
      </c>
      <c r="O944" s="67" t="str">
        <f aca="false">IF(A944="제외","",IF(OR(N(L944)&lt;=0,N(M944)&gt;N(L944)),"택가보정(판매금액÷공급율)",""))</f>
        <v/>
      </c>
    </row>
    <row r="945" customFormat="false" ht="15" hidden="false" customHeight="true" outlineLevel="0" collapsed="false">
      <c r="A945" s="67" t="str">
        <f aca="false">IF(OR(TRIM(C945)="",SUBSTITUTE(C945," ","")="소계"),"제외",IF(ISNUMBER(SEARCH("홍콩",C945)),"HK",IF(ISNUMBER(SEARCH("상해",C945)),"CN",IF(ISNUMBER(SEARCH("대만",C945)),"TW","홀세일"))))</f>
        <v>홀세일</v>
      </c>
      <c r="B945" s="87" t="s">
        <v>1319</v>
      </c>
      <c r="C945" s="87" t="s">
        <v>1320</v>
      </c>
      <c r="D945" s="88" t="s">
        <v>178</v>
      </c>
      <c r="E945" s="87" t="n">
        <v>2026</v>
      </c>
      <c r="F945" s="88" t="s">
        <v>277</v>
      </c>
      <c r="G945" s="88" t="s">
        <v>180</v>
      </c>
      <c r="H945" s="87" t="s">
        <v>189</v>
      </c>
      <c r="I945" s="87" t="s">
        <v>308</v>
      </c>
      <c r="J945" s="88" t="s">
        <v>309</v>
      </c>
      <c r="K945" s="89" t="n">
        <v>85</v>
      </c>
      <c r="L945" s="89" t="n">
        <v>7565000</v>
      </c>
      <c r="M945" s="89" t="n">
        <v>2700110</v>
      </c>
      <c r="N945" s="90" t="n">
        <f aca="false">IF(A945="제외",0,IF(OR(N(L945)&lt;=0,N(M945)&gt;N(L945)),N(M945)/가정!$B$4,N(L945)))</f>
        <v>7565000</v>
      </c>
      <c r="O945" s="67" t="str">
        <f aca="false">IF(A945="제외","",IF(OR(N(L945)&lt;=0,N(M945)&gt;N(L945)),"택가보정(판매금액÷공급율)",""))</f>
        <v/>
      </c>
    </row>
    <row r="946" customFormat="false" ht="15" hidden="false" customHeight="true" outlineLevel="0" collapsed="false">
      <c r="A946" s="67" t="str">
        <f aca="false">IF(OR(TRIM(C946)="",SUBSTITUTE(C946," ","")="소계"),"제외",IF(ISNUMBER(SEARCH("홍콩",C946)),"HK",IF(ISNUMBER(SEARCH("상해",C946)),"CN",IF(ISNUMBER(SEARCH("대만",C946)),"TW","홀세일"))))</f>
        <v>홀세일</v>
      </c>
      <c r="B946" s="87" t="s">
        <v>1319</v>
      </c>
      <c r="C946" s="87" t="s">
        <v>1320</v>
      </c>
      <c r="D946" s="88" t="s">
        <v>178</v>
      </c>
      <c r="E946" s="87" t="n">
        <v>2026</v>
      </c>
      <c r="F946" s="88" t="s">
        <v>277</v>
      </c>
      <c r="G946" s="88" t="s">
        <v>180</v>
      </c>
      <c r="H946" s="87" t="s">
        <v>189</v>
      </c>
      <c r="I946" s="87" t="s">
        <v>310</v>
      </c>
      <c r="J946" s="88" t="s">
        <v>311</v>
      </c>
      <c r="K946" s="89" t="n">
        <v>45</v>
      </c>
      <c r="L946" s="89" t="n">
        <v>3555000</v>
      </c>
      <c r="M946" s="89" t="n">
        <v>1269225</v>
      </c>
      <c r="N946" s="90" t="n">
        <f aca="false">IF(A946="제외",0,IF(OR(N(L946)&lt;=0,N(M946)&gt;N(L946)),N(M946)/가정!$B$4,N(L946)))</f>
        <v>3555000</v>
      </c>
      <c r="O946" s="67" t="str">
        <f aca="false">IF(A946="제외","",IF(OR(N(L946)&lt;=0,N(M946)&gt;N(L946)),"택가보정(판매금액÷공급율)",""))</f>
        <v/>
      </c>
    </row>
    <row r="947" customFormat="false" ht="15" hidden="false" customHeight="true" outlineLevel="0" collapsed="false">
      <c r="A947" s="67" t="str">
        <f aca="false">IF(OR(TRIM(C947)="",SUBSTITUTE(C947," ","")="소계"),"제외",IF(ISNUMBER(SEARCH("홍콩",C947)),"HK",IF(ISNUMBER(SEARCH("상해",C947)),"CN",IF(ISNUMBER(SEARCH("대만",C947)),"TW","홀세일"))))</f>
        <v>홀세일</v>
      </c>
      <c r="B947" s="87" t="s">
        <v>1319</v>
      </c>
      <c r="C947" s="87" t="s">
        <v>1320</v>
      </c>
      <c r="D947" s="88" t="s">
        <v>178</v>
      </c>
      <c r="E947" s="87" t="n">
        <v>2026</v>
      </c>
      <c r="F947" s="88" t="s">
        <v>277</v>
      </c>
      <c r="G947" s="88" t="s">
        <v>180</v>
      </c>
      <c r="H947" s="87" t="s">
        <v>189</v>
      </c>
      <c r="I947" s="87" t="s">
        <v>312</v>
      </c>
      <c r="J947" s="88" t="s">
        <v>313</v>
      </c>
      <c r="K947" s="89" t="n">
        <v>105</v>
      </c>
      <c r="L947" s="89" t="n">
        <v>8295000</v>
      </c>
      <c r="M947" s="89" t="n">
        <v>3074400</v>
      </c>
      <c r="N947" s="90" t="n">
        <f aca="false">IF(A947="제외",0,IF(OR(N(L947)&lt;=0,N(M947)&gt;N(L947)),N(M947)/가정!$B$4,N(L947)))</f>
        <v>8295000</v>
      </c>
      <c r="O947" s="67" t="str">
        <f aca="false">IF(A947="제외","",IF(OR(N(L947)&lt;=0,N(M947)&gt;N(L947)),"택가보정(판매금액÷공급율)",""))</f>
        <v/>
      </c>
    </row>
    <row r="948" customFormat="false" ht="15" hidden="false" customHeight="true" outlineLevel="0" collapsed="false">
      <c r="A948" s="67" t="str">
        <f aca="false">IF(OR(TRIM(C948)="",SUBSTITUTE(C948," ","")="소계"),"제외",IF(ISNUMBER(SEARCH("홍콩",C948)),"HK",IF(ISNUMBER(SEARCH("상해",C948)),"CN",IF(ISNUMBER(SEARCH("대만",C948)),"TW","홀세일"))))</f>
        <v>홀세일</v>
      </c>
      <c r="B948" s="87" t="s">
        <v>1319</v>
      </c>
      <c r="C948" s="87" t="s">
        <v>1320</v>
      </c>
      <c r="D948" s="88" t="s">
        <v>178</v>
      </c>
      <c r="E948" s="87" t="n">
        <v>2026</v>
      </c>
      <c r="F948" s="88" t="s">
        <v>277</v>
      </c>
      <c r="G948" s="88" t="s">
        <v>180</v>
      </c>
      <c r="H948" s="87" t="s">
        <v>189</v>
      </c>
      <c r="I948" s="87" t="s">
        <v>1337</v>
      </c>
      <c r="J948" s="87" t="s">
        <v>1338</v>
      </c>
      <c r="K948" s="89" t="n">
        <v>40</v>
      </c>
      <c r="L948" s="89" t="n">
        <v>3960000</v>
      </c>
      <c r="M948" s="89" t="n">
        <v>1447040</v>
      </c>
      <c r="N948" s="90" t="n">
        <f aca="false">IF(A948="제외",0,IF(OR(N(L948)&lt;=0,N(M948)&gt;N(L948)),N(M948)/가정!$B$4,N(L948)))</f>
        <v>3960000</v>
      </c>
      <c r="O948" s="67" t="str">
        <f aca="false">IF(A948="제외","",IF(OR(N(L948)&lt;=0,N(M948)&gt;N(L948)),"택가보정(판매금액÷공급율)",""))</f>
        <v/>
      </c>
    </row>
    <row r="949" customFormat="false" ht="15" hidden="false" customHeight="true" outlineLevel="0" collapsed="false">
      <c r="A949" s="67" t="str">
        <f aca="false">IF(OR(TRIM(C949)="",SUBSTITUTE(C949," ","")="소계"),"제외",IF(ISNUMBER(SEARCH("홍콩",C949)),"HK",IF(ISNUMBER(SEARCH("상해",C949)),"CN",IF(ISNUMBER(SEARCH("대만",C949)),"TW","홀세일"))))</f>
        <v>홀세일</v>
      </c>
      <c r="B949" s="87" t="s">
        <v>1319</v>
      </c>
      <c r="C949" s="87" t="s">
        <v>1320</v>
      </c>
      <c r="D949" s="88" t="s">
        <v>178</v>
      </c>
      <c r="E949" s="87" t="n">
        <v>2026</v>
      </c>
      <c r="F949" s="88" t="s">
        <v>277</v>
      </c>
      <c r="G949" s="88" t="s">
        <v>180</v>
      </c>
      <c r="H949" s="87" t="s">
        <v>189</v>
      </c>
      <c r="I949" s="87" t="s">
        <v>316</v>
      </c>
      <c r="J949" s="88" t="s">
        <v>317</v>
      </c>
      <c r="K949" s="89" t="n">
        <v>45</v>
      </c>
      <c r="L949" s="89" t="n">
        <v>5805000</v>
      </c>
      <c r="M949" s="89" t="n">
        <v>2070495</v>
      </c>
      <c r="N949" s="90" t="n">
        <f aca="false">IF(A949="제외",0,IF(OR(N(L949)&lt;=0,N(M949)&gt;N(L949)),N(M949)/가정!$B$4,N(L949)))</f>
        <v>5805000</v>
      </c>
      <c r="O949" s="67" t="str">
        <f aca="false">IF(A949="제외","",IF(OR(N(L949)&lt;=0,N(M949)&gt;N(L949)),"택가보정(판매금액÷공급율)",""))</f>
        <v/>
      </c>
    </row>
    <row r="950" customFormat="false" ht="15" hidden="false" customHeight="true" outlineLevel="0" collapsed="false">
      <c r="A950" s="67" t="str">
        <f aca="false">IF(OR(TRIM(C950)="",SUBSTITUTE(C950," ","")="소계"),"제외",IF(ISNUMBER(SEARCH("홍콩",C950)),"HK",IF(ISNUMBER(SEARCH("상해",C950)),"CN",IF(ISNUMBER(SEARCH("대만",C950)),"TW","홀세일"))))</f>
        <v>홀세일</v>
      </c>
      <c r="B950" s="87" t="s">
        <v>1319</v>
      </c>
      <c r="C950" s="87" t="s">
        <v>1320</v>
      </c>
      <c r="D950" s="88" t="s">
        <v>178</v>
      </c>
      <c r="E950" s="87" t="n">
        <v>2026</v>
      </c>
      <c r="F950" s="88" t="s">
        <v>277</v>
      </c>
      <c r="G950" s="88" t="s">
        <v>180</v>
      </c>
      <c r="H950" s="87" t="s">
        <v>189</v>
      </c>
      <c r="I950" s="87" t="s">
        <v>320</v>
      </c>
      <c r="J950" s="88" t="s">
        <v>321</v>
      </c>
      <c r="K950" s="89" t="n">
        <v>60</v>
      </c>
      <c r="L950" s="89" t="n">
        <v>7740000</v>
      </c>
      <c r="M950" s="89" t="n">
        <v>3030120</v>
      </c>
      <c r="N950" s="90" t="n">
        <f aca="false">IF(A950="제외",0,IF(OR(N(L950)&lt;=0,N(M950)&gt;N(L950)),N(M950)/가정!$B$4,N(L950)))</f>
        <v>7740000</v>
      </c>
      <c r="O950" s="67" t="str">
        <f aca="false">IF(A950="제외","",IF(OR(N(L950)&lt;=0,N(M950)&gt;N(L950)),"택가보정(판매금액÷공급율)",""))</f>
        <v/>
      </c>
    </row>
    <row r="951" customFormat="false" ht="15" hidden="false" customHeight="true" outlineLevel="0" collapsed="false">
      <c r="A951" s="67" t="str">
        <f aca="false">IF(OR(TRIM(C951)="",SUBSTITUTE(C951," ","")="소계"),"제외",IF(ISNUMBER(SEARCH("홍콩",C951)),"HK",IF(ISNUMBER(SEARCH("상해",C951)),"CN",IF(ISNUMBER(SEARCH("대만",C951)),"TW","홀세일"))))</f>
        <v>홀세일</v>
      </c>
      <c r="B951" s="87" t="s">
        <v>1319</v>
      </c>
      <c r="C951" s="87" t="s">
        <v>1320</v>
      </c>
      <c r="D951" s="88" t="s">
        <v>178</v>
      </c>
      <c r="E951" s="87" t="n">
        <v>2026</v>
      </c>
      <c r="F951" s="88" t="s">
        <v>277</v>
      </c>
      <c r="G951" s="88" t="s">
        <v>180</v>
      </c>
      <c r="H951" s="87" t="s">
        <v>189</v>
      </c>
      <c r="I951" s="87" t="s">
        <v>324</v>
      </c>
      <c r="J951" s="88" t="s">
        <v>325</v>
      </c>
      <c r="K951" s="89" t="n">
        <v>20</v>
      </c>
      <c r="L951" s="89" t="n">
        <v>1980000</v>
      </c>
      <c r="M951" s="89" t="n">
        <v>733480</v>
      </c>
      <c r="N951" s="90" t="n">
        <f aca="false">IF(A951="제외",0,IF(OR(N(L951)&lt;=0,N(M951)&gt;N(L951)),N(M951)/가정!$B$4,N(L951)))</f>
        <v>1980000</v>
      </c>
      <c r="O951" s="67" t="str">
        <f aca="false">IF(A951="제외","",IF(OR(N(L951)&lt;=0,N(M951)&gt;N(L951)),"택가보정(판매금액÷공급율)",""))</f>
        <v/>
      </c>
    </row>
    <row r="952" customFormat="false" ht="15" hidden="false" customHeight="true" outlineLevel="0" collapsed="false">
      <c r="A952" s="67" t="str">
        <f aca="false">IF(OR(TRIM(C952)="",SUBSTITUTE(C952," ","")="소계"),"제외",IF(ISNUMBER(SEARCH("홍콩",C952)),"HK",IF(ISNUMBER(SEARCH("상해",C952)),"CN",IF(ISNUMBER(SEARCH("대만",C952)),"TW","홀세일"))))</f>
        <v>홀세일</v>
      </c>
      <c r="B952" s="87" t="s">
        <v>1319</v>
      </c>
      <c r="C952" s="87" t="s">
        <v>1320</v>
      </c>
      <c r="D952" s="88" t="s">
        <v>178</v>
      </c>
      <c r="E952" s="87" t="n">
        <v>2026</v>
      </c>
      <c r="F952" s="88" t="s">
        <v>277</v>
      </c>
      <c r="G952" s="88" t="s">
        <v>180</v>
      </c>
      <c r="H952" s="87" t="s">
        <v>189</v>
      </c>
      <c r="I952" s="87" t="s">
        <v>885</v>
      </c>
      <c r="J952" s="88" t="s">
        <v>886</v>
      </c>
      <c r="K952" s="89" t="n">
        <v>65</v>
      </c>
      <c r="L952" s="89" t="n">
        <v>9035000</v>
      </c>
      <c r="M952" s="89" t="n">
        <v>3480685</v>
      </c>
      <c r="N952" s="90" t="n">
        <f aca="false">IF(A952="제외",0,IF(OR(N(L952)&lt;=0,N(M952)&gt;N(L952)),N(M952)/가정!$B$4,N(L952)))</f>
        <v>9035000</v>
      </c>
      <c r="O952" s="67" t="str">
        <f aca="false">IF(A952="제외","",IF(OR(N(L952)&lt;=0,N(M952)&gt;N(L952)),"택가보정(판매금액÷공급율)",""))</f>
        <v/>
      </c>
    </row>
    <row r="953" customFormat="false" ht="15" hidden="false" customHeight="true" outlineLevel="0" collapsed="false">
      <c r="A953" s="67" t="str">
        <f aca="false">IF(OR(TRIM(C953)="",SUBSTITUTE(C953," ","")="소계"),"제외",IF(ISNUMBER(SEARCH("홍콩",C953)),"HK",IF(ISNUMBER(SEARCH("상해",C953)),"CN",IF(ISNUMBER(SEARCH("대만",C953)),"TW","홀세일"))))</f>
        <v>홀세일</v>
      </c>
      <c r="B953" s="87" t="s">
        <v>1319</v>
      </c>
      <c r="C953" s="87" t="s">
        <v>1320</v>
      </c>
      <c r="D953" s="88" t="s">
        <v>178</v>
      </c>
      <c r="E953" s="87" t="n">
        <v>2026</v>
      </c>
      <c r="F953" s="88" t="s">
        <v>277</v>
      </c>
      <c r="G953" s="88" t="s">
        <v>180</v>
      </c>
      <c r="H953" s="87" t="s">
        <v>189</v>
      </c>
      <c r="I953" s="87" t="s">
        <v>326</v>
      </c>
      <c r="J953" s="88" t="s">
        <v>327</v>
      </c>
      <c r="K953" s="89" t="n">
        <v>90</v>
      </c>
      <c r="L953" s="89" t="n">
        <v>15210000</v>
      </c>
      <c r="M953" s="89" t="n">
        <v>5756400</v>
      </c>
      <c r="N953" s="90" t="n">
        <f aca="false">IF(A953="제외",0,IF(OR(N(L953)&lt;=0,N(M953)&gt;N(L953)),N(M953)/가정!$B$4,N(L953)))</f>
        <v>15210000</v>
      </c>
      <c r="O953" s="67" t="str">
        <f aca="false">IF(A953="제외","",IF(OR(N(L953)&lt;=0,N(M953)&gt;N(L953)),"택가보정(판매금액÷공급율)",""))</f>
        <v/>
      </c>
    </row>
    <row r="954" customFormat="false" ht="15" hidden="false" customHeight="true" outlineLevel="0" collapsed="false">
      <c r="A954" s="67" t="str">
        <f aca="false">IF(OR(TRIM(C954)="",SUBSTITUTE(C954," ","")="소계"),"제외",IF(ISNUMBER(SEARCH("홍콩",C954)),"HK",IF(ISNUMBER(SEARCH("상해",C954)),"CN",IF(ISNUMBER(SEARCH("대만",C954)),"TW","홀세일"))))</f>
        <v>홀세일</v>
      </c>
      <c r="B954" s="87" t="s">
        <v>1319</v>
      </c>
      <c r="C954" s="87" t="s">
        <v>1320</v>
      </c>
      <c r="D954" s="88" t="s">
        <v>178</v>
      </c>
      <c r="E954" s="87" t="n">
        <v>2026</v>
      </c>
      <c r="F954" s="88" t="s">
        <v>277</v>
      </c>
      <c r="G954" s="88" t="s">
        <v>180</v>
      </c>
      <c r="H954" s="87" t="s">
        <v>189</v>
      </c>
      <c r="I954" s="87" t="s">
        <v>330</v>
      </c>
      <c r="J954" s="88" t="s">
        <v>331</v>
      </c>
      <c r="K954" s="89" t="n">
        <v>85</v>
      </c>
      <c r="L954" s="89" t="n">
        <v>16065000</v>
      </c>
      <c r="M954" s="89" t="n">
        <v>5834570</v>
      </c>
      <c r="N954" s="90" t="n">
        <f aca="false">IF(A954="제외",0,IF(OR(N(L954)&lt;=0,N(M954)&gt;N(L954)),N(M954)/가정!$B$4,N(L954)))</f>
        <v>16065000</v>
      </c>
      <c r="O954" s="67" t="str">
        <f aca="false">IF(A954="제외","",IF(OR(N(L954)&lt;=0,N(M954)&gt;N(L954)),"택가보정(판매금액÷공급율)",""))</f>
        <v/>
      </c>
    </row>
    <row r="955" customFormat="false" ht="15" hidden="false" customHeight="true" outlineLevel="0" collapsed="false">
      <c r="A955" s="67" t="str">
        <f aca="false">IF(OR(TRIM(C955)="",SUBSTITUTE(C955," ","")="소계"),"제외",IF(ISNUMBER(SEARCH("홍콩",C955)),"HK",IF(ISNUMBER(SEARCH("상해",C955)),"CN",IF(ISNUMBER(SEARCH("대만",C955)),"TW","홀세일"))))</f>
        <v>홀세일</v>
      </c>
      <c r="B955" s="87" t="s">
        <v>1319</v>
      </c>
      <c r="C955" s="87" t="s">
        <v>1320</v>
      </c>
      <c r="D955" s="88" t="s">
        <v>178</v>
      </c>
      <c r="E955" s="87" t="n">
        <v>2026</v>
      </c>
      <c r="F955" s="88" t="s">
        <v>277</v>
      </c>
      <c r="G955" s="88" t="s">
        <v>180</v>
      </c>
      <c r="H955" s="87" t="s">
        <v>189</v>
      </c>
      <c r="I955" s="87" t="s">
        <v>334</v>
      </c>
      <c r="J955" s="88" t="s">
        <v>335</v>
      </c>
      <c r="K955" s="89" t="n">
        <v>55</v>
      </c>
      <c r="L955" s="89" t="n">
        <v>8195000</v>
      </c>
      <c r="M955" s="89" t="n">
        <v>2922370</v>
      </c>
      <c r="N955" s="90" t="n">
        <f aca="false">IF(A955="제외",0,IF(OR(N(L955)&lt;=0,N(M955)&gt;N(L955)),N(M955)/가정!$B$4,N(L955)))</f>
        <v>8195000</v>
      </c>
      <c r="O955" s="67" t="str">
        <f aca="false">IF(A955="제외","",IF(OR(N(L955)&lt;=0,N(M955)&gt;N(L955)),"택가보정(판매금액÷공급율)",""))</f>
        <v/>
      </c>
    </row>
    <row r="956" customFormat="false" ht="15" hidden="false" customHeight="true" outlineLevel="0" collapsed="false">
      <c r="A956" s="67" t="str">
        <f aca="false">IF(OR(TRIM(C956)="",SUBSTITUTE(C956," ","")="소계"),"제외",IF(ISNUMBER(SEARCH("홍콩",C956)),"HK",IF(ISNUMBER(SEARCH("상해",C956)),"CN",IF(ISNUMBER(SEARCH("대만",C956)),"TW","홀세일"))))</f>
        <v>홀세일</v>
      </c>
      <c r="B956" s="87" t="s">
        <v>1319</v>
      </c>
      <c r="C956" s="87" t="s">
        <v>1320</v>
      </c>
      <c r="D956" s="88" t="s">
        <v>178</v>
      </c>
      <c r="E956" s="87" t="n">
        <v>2026</v>
      </c>
      <c r="F956" s="88" t="s">
        <v>277</v>
      </c>
      <c r="G956" s="88" t="s">
        <v>180</v>
      </c>
      <c r="H956" s="87" t="s">
        <v>189</v>
      </c>
      <c r="I956" s="87" t="s">
        <v>1339</v>
      </c>
      <c r="J956" s="88" t="s">
        <v>1340</v>
      </c>
      <c r="K956" s="89" t="n">
        <v>100</v>
      </c>
      <c r="L956" s="89" t="n">
        <v>8900000</v>
      </c>
      <c r="M956" s="89" t="n">
        <v>3176600</v>
      </c>
      <c r="N956" s="90" t="n">
        <f aca="false">IF(A956="제외",0,IF(OR(N(L956)&lt;=0,N(M956)&gt;N(L956)),N(M956)/가정!$B$4,N(L956)))</f>
        <v>8900000</v>
      </c>
      <c r="O956" s="67" t="str">
        <f aca="false">IF(A956="제외","",IF(OR(N(L956)&lt;=0,N(M956)&gt;N(L956)),"택가보정(판매금액÷공급율)",""))</f>
        <v/>
      </c>
    </row>
    <row r="957" customFormat="false" ht="15" hidden="false" customHeight="true" outlineLevel="0" collapsed="false">
      <c r="A957" s="67" t="str">
        <f aca="false">IF(OR(TRIM(C957)="",SUBSTITUTE(C957," ","")="소계"),"제외",IF(ISNUMBER(SEARCH("홍콩",C957)),"HK",IF(ISNUMBER(SEARCH("상해",C957)),"CN",IF(ISNUMBER(SEARCH("대만",C957)),"TW","홀세일"))))</f>
        <v>홀세일</v>
      </c>
      <c r="B957" s="87" t="s">
        <v>1319</v>
      </c>
      <c r="C957" s="87" t="s">
        <v>1320</v>
      </c>
      <c r="D957" s="88" t="s">
        <v>178</v>
      </c>
      <c r="E957" s="87" t="n">
        <v>2026</v>
      </c>
      <c r="F957" s="88" t="s">
        <v>277</v>
      </c>
      <c r="G957" s="88" t="s">
        <v>180</v>
      </c>
      <c r="H957" s="87" t="s">
        <v>189</v>
      </c>
      <c r="I957" s="87" t="s">
        <v>336</v>
      </c>
      <c r="J957" s="88" t="s">
        <v>337</v>
      </c>
      <c r="K957" s="89" t="n">
        <v>95</v>
      </c>
      <c r="L957" s="89" t="n">
        <v>9405000</v>
      </c>
      <c r="M957" s="89" t="n">
        <v>3356160</v>
      </c>
      <c r="N957" s="90" t="n">
        <f aca="false">IF(A957="제외",0,IF(OR(N(L957)&lt;=0,N(M957)&gt;N(L957)),N(M957)/가정!$B$4,N(L957)))</f>
        <v>9405000</v>
      </c>
      <c r="O957" s="67" t="str">
        <f aca="false">IF(A957="제외","",IF(OR(N(L957)&lt;=0,N(M957)&gt;N(L957)),"택가보정(판매금액÷공급율)",""))</f>
        <v/>
      </c>
    </row>
    <row r="958" customFormat="false" ht="15" hidden="false" customHeight="true" outlineLevel="0" collapsed="false">
      <c r="A958" s="67" t="str">
        <f aca="false">IF(OR(TRIM(C958)="",SUBSTITUTE(C958," ","")="소계"),"제외",IF(ISNUMBER(SEARCH("홍콩",C958)),"HK",IF(ISNUMBER(SEARCH("상해",C958)),"CN",IF(ISNUMBER(SEARCH("대만",C958)),"TW","홀세일"))))</f>
        <v>홀세일</v>
      </c>
      <c r="B958" s="87" t="s">
        <v>1319</v>
      </c>
      <c r="C958" s="87" t="s">
        <v>1320</v>
      </c>
      <c r="D958" s="88" t="s">
        <v>178</v>
      </c>
      <c r="E958" s="87" t="n">
        <v>2026</v>
      </c>
      <c r="F958" s="88" t="s">
        <v>277</v>
      </c>
      <c r="G958" s="88" t="s">
        <v>180</v>
      </c>
      <c r="H958" s="87" t="s">
        <v>189</v>
      </c>
      <c r="I958" s="87" t="s">
        <v>340</v>
      </c>
      <c r="J958" s="88" t="s">
        <v>341</v>
      </c>
      <c r="K958" s="89" t="n">
        <v>90</v>
      </c>
      <c r="L958" s="89" t="n">
        <v>11610000</v>
      </c>
      <c r="M958" s="89" t="n">
        <v>4140990</v>
      </c>
      <c r="N958" s="90" t="n">
        <f aca="false">IF(A958="제외",0,IF(OR(N(L958)&lt;=0,N(M958)&gt;N(L958)),N(M958)/가정!$B$4,N(L958)))</f>
        <v>11610000</v>
      </c>
      <c r="O958" s="67" t="str">
        <f aca="false">IF(A958="제외","",IF(OR(N(L958)&lt;=0,N(M958)&gt;N(L958)),"택가보정(판매금액÷공급율)",""))</f>
        <v/>
      </c>
    </row>
    <row r="959" customFormat="false" ht="15" hidden="false" customHeight="true" outlineLevel="0" collapsed="false">
      <c r="A959" s="67" t="str">
        <f aca="false">IF(OR(TRIM(C959)="",SUBSTITUTE(C959," ","")="소계"),"제외",IF(ISNUMBER(SEARCH("홍콩",C959)),"HK",IF(ISNUMBER(SEARCH("상해",C959)),"CN",IF(ISNUMBER(SEARCH("대만",C959)),"TW","홀세일"))))</f>
        <v>홀세일</v>
      </c>
      <c r="B959" s="87" t="s">
        <v>1319</v>
      </c>
      <c r="C959" s="87" t="s">
        <v>1320</v>
      </c>
      <c r="D959" s="88" t="s">
        <v>178</v>
      </c>
      <c r="E959" s="87" t="n">
        <v>2026</v>
      </c>
      <c r="F959" s="88" t="s">
        <v>277</v>
      </c>
      <c r="G959" s="88" t="s">
        <v>180</v>
      </c>
      <c r="H959" s="87" t="s">
        <v>189</v>
      </c>
      <c r="I959" s="87" t="s">
        <v>344</v>
      </c>
      <c r="J959" s="88" t="s">
        <v>345</v>
      </c>
      <c r="K959" s="89" t="n">
        <v>265</v>
      </c>
      <c r="L959" s="89" t="n">
        <v>15635000</v>
      </c>
      <c r="M959" s="89" t="n">
        <v>5660930</v>
      </c>
      <c r="N959" s="90" t="n">
        <f aca="false">IF(A959="제외",0,IF(OR(N(L959)&lt;=0,N(M959)&gt;N(L959)),N(M959)/가정!$B$4,N(L959)))</f>
        <v>15635000</v>
      </c>
      <c r="O959" s="67" t="str">
        <f aca="false">IF(A959="제외","",IF(OR(N(L959)&lt;=0,N(M959)&gt;N(L959)),"택가보정(판매금액÷공급율)",""))</f>
        <v/>
      </c>
    </row>
    <row r="960" customFormat="false" ht="15" hidden="false" customHeight="true" outlineLevel="0" collapsed="false">
      <c r="A960" s="67" t="str">
        <f aca="false">IF(OR(TRIM(C960)="",SUBSTITUTE(C960," ","")="소계"),"제외",IF(ISNUMBER(SEARCH("홍콩",C960)),"HK",IF(ISNUMBER(SEARCH("상해",C960)),"CN",IF(ISNUMBER(SEARCH("대만",C960)),"TW","홀세일"))))</f>
        <v>홀세일</v>
      </c>
      <c r="B960" s="87" t="s">
        <v>1319</v>
      </c>
      <c r="C960" s="87" t="s">
        <v>1320</v>
      </c>
      <c r="D960" s="88" t="s">
        <v>178</v>
      </c>
      <c r="E960" s="87" t="n">
        <v>2026</v>
      </c>
      <c r="F960" s="88" t="s">
        <v>277</v>
      </c>
      <c r="G960" s="88" t="s">
        <v>180</v>
      </c>
      <c r="H960" s="87" t="s">
        <v>189</v>
      </c>
      <c r="I960" s="87" t="s">
        <v>346</v>
      </c>
      <c r="J960" s="88" t="s">
        <v>347</v>
      </c>
      <c r="K960" s="89" t="n">
        <v>245</v>
      </c>
      <c r="L960" s="89" t="n">
        <v>14455000</v>
      </c>
      <c r="M960" s="89" t="n">
        <v>5233690</v>
      </c>
      <c r="N960" s="90" t="n">
        <f aca="false">IF(A960="제외",0,IF(OR(N(L960)&lt;=0,N(M960)&gt;N(L960)),N(M960)/가정!$B$4,N(L960)))</f>
        <v>14455000</v>
      </c>
      <c r="O960" s="67" t="str">
        <f aca="false">IF(A960="제외","",IF(OR(N(L960)&lt;=0,N(M960)&gt;N(L960)),"택가보정(판매금액÷공급율)",""))</f>
        <v/>
      </c>
    </row>
    <row r="961" customFormat="false" ht="15" hidden="false" customHeight="true" outlineLevel="0" collapsed="false">
      <c r="A961" s="67" t="str">
        <f aca="false">IF(OR(TRIM(C961)="",SUBSTITUTE(C961," ","")="소계"),"제외",IF(ISNUMBER(SEARCH("홍콩",C961)),"HK",IF(ISNUMBER(SEARCH("상해",C961)),"CN",IF(ISNUMBER(SEARCH("대만",C961)),"TW","홀세일"))))</f>
        <v>홀세일</v>
      </c>
      <c r="B961" s="87" t="s">
        <v>1319</v>
      </c>
      <c r="C961" s="87" t="s">
        <v>1320</v>
      </c>
      <c r="D961" s="88" t="s">
        <v>178</v>
      </c>
      <c r="E961" s="87" t="n">
        <v>2026</v>
      </c>
      <c r="F961" s="88" t="s">
        <v>277</v>
      </c>
      <c r="G961" s="88" t="s">
        <v>180</v>
      </c>
      <c r="H961" s="87" t="s">
        <v>189</v>
      </c>
      <c r="I961" s="87" t="s">
        <v>348</v>
      </c>
      <c r="J961" s="88" t="s">
        <v>349</v>
      </c>
      <c r="K961" s="89" t="n">
        <v>270</v>
      </c>
      <c r="L961" s="89" t="n">
        <v>18630000</v>
      </c>
      <c r="M961" s="89" t="n">
        <v>6742170</v>
      </c>
      <c r="N961" s="90" t="n">
        <f aca="false">IF(A961="제외",0,IF(OR(N(L961)&lt;=0,N(M961)&gt;N(L961)),N(M961)/가정!$B$4,N(L961)))</f>
        <v>18630000</v>
      </c>
      <c r="O961" s="67" t="str">
        <f aca="false">IF(A961="제외","",IF(OR(N(L961)&lt;=0,N(M961)&gt;N(L961)),"택가보정(판매금액÷공급율)",""))</f>
        <v/>
      </c>
    </row>
    <row r="962" customFormat="false" ht="15" hidden="false" customHeight="true" outlineLevel="0" collapsed="false">
      <c r="A962" s="67" t="str">
        <f aca="false">IF(OR(TRIM(C962)="",SUBSTITUTE(C962," ","")="소계"),"제외",IF(ISNUMBER(SEARCH("홍콩",C962)),"HK",IF(ISNUMBER(SEARCH("상해",C962)),"CN",IF(ISNUMBER(SEARCH("대만",C962)),"TW","홀세일"))))</f>
        <v>홀세일</v>
      </c>
      <c r="B962" s="87" t="s">
        <v>1319</v>
      </c>
      <c r="C962" s="87" t="s">
        <v>1320</v>
      </c>
      <c r="D962" s="88" t="s">
        <v>178</v>
      </c>
      <c r="E962" s="87" t="n">
        <v>2026</v>
      </c>
      <c r="F962" s="88" t="s">
        <v>277</v>
      </c>
      <c r="G962" s="88" t="s">
        <v>180</v>
      </c>
      <c r="H962" s="87" t="s">
        <v>189</v>
      </c>
      <c r="I962" s="87" t="s">
        <v>350</v>
      </c>
      <c r="J962" s="88" t="s">
        <v>351</v>
      </c>
      <c r="K962" s="89" t="n">
        <v>90</v>
      </c>
      <c r="L962" s="89" t="n">
        <v>5310000</v>
      </c>
      <c r="M962" s="89" t="n">
        <v>1913670</v>
      </c>
      <c r="N962" s="90" t="n">
        <f aca="false">IF(A962="제외",0,IF(OR(N(L962)&lt;=0,N(M962)&gt;N(L962)),N(M962)/가정!$B$4,N(L962)))</f>
        <v>5310000</v>
      </c>
      <c r="O962" s="67" t="str">
        <f aca="false">IF(A962="제외","",IF(OR(N(L962)&lt;=0,N(M962)&gt;N(L962)),"택가보정(판매금액÷공급율)",""))</f>
        <v/>
      </c>
    </row>
    <row r="963" customFormat="false" ht="15" hidden="false" customHeight="true" outlineLevel="0" collapsed="false">
      <c r="A963" s="67" t="str">
        <f aca="false">IF(OR(TRIM(C963)="",SUBSTITUTE(C963," ","")="소계"),"제외",IF(ISNUMBER(SEARCH("홍콩",C963)),"HK",IF(ISNUMBER(SEARCH("상해",C963)),"CN",IF(ISNUMBER(SEARCH("대만",C963)),"TW","홀세일"))))</f>
        <v>홀세일</v>
      </c>
      <c r="B963" s="87" t="s">
        <v>1319</v>
      </c>
      <c r="C963" s="87" t="s">
        <v>1320</v>
      </c>
      <c r="D963" s="88" t="s">
        <v>178</v>
      </c>
      <c r="E963" s="87" t="n">
        <v>2026</v>
      </c>
      <c r="F963" s="88" t="s">
        <v>277</v>
      </c>
      <c r="G963" s="88" t="s">
        <v>180</v>
      </c>
      <c r="H963" s="87" t="s">
        <v>189</v>
      </c>
      <c r="I963" s="87" t="s">
        <v>352</v>
      </c>
      <c r="J963" s="88" t="s">
        <v>353</v>
      </c>
      <c r="K963" s="89" t="n">
        <v>40</v>
      </c>
      <c r="L963" s="89" t="n">
        <v>2360000</v>
      </c>
      <c r="M963" s="89" t="n">
        <v>850520</v>
      </c>
      <c r="N963" s="90" t="n">
        <f aca="false">IF(A963="제외",0,IF(OR(N(L963)&lt;=0,N(M963)&gt;N(L963)),N(M963)/가정!$B$4,N(L963)))</f>
        <v>2360000</v>
      </c>
      <c r="O963" s="67" t="str">
        <f aca="false">IF(A963="제외","",IF(OR(N(L963)&lt;=0,N(M963)&gt;N(L963)),"택가보정(판매금액÷공급율)",""))</f>
        <v/>
      </c>
    </row>
    <row r="964" customFormat="false" ht="15" hidden="false" customHeight="true" outlineLevel="0" collapsed="false">
      <c r="A964" s="67" t="str">
        <f aca="false">IF(OR(TRIM(C964)="",SUBSTITUTE(C964," ","")="소계"),"제외",IF(ISNUMBER(SEARCH("홍콩",C964)),"HK",IF(ISNUMBER(SEARCH("상해",C964)),"CN",IF(ISNUMBER(SEARCH("대만",C964)),"TW","홀세일"))))</f>
        <v>홀세일</v>
      </c>
      <c r="B964" s="87" t="s">
        <v>1319</v>
      </c>
      <c r="C964" s="87" t="s">
        <v>1320</v>
      </c>
      <c r="D964" s="88" t="s">
        <v>178</v>
      </c>
      <c r="E964" s="87" t="n">
        <v>2026</v>
      </c>
      <c r="F964" s="88" t="s">
        <v>277</v>
      </c>
      <c r="G964" s="88" t="s">
        <v>180</v>
      </c>
      <c r="H964" s="87" t="s">
        <v>189</v>
      </c>
      <c r="I964" s="87" t="s">
        <v>354</v>
      </c>
      <c r="J964" s="88" t="s">
        <v>355</v>
      </c>
      <c r="K964" s="89" t="n">
        <v>170</v>
      </c>
      <c r="L964" s="89" t="n">
        <v>11730000</v>
      </c>
      <c r="M964" s="89" t="n">
        <v>4225350</v>
      </c>
      <c r="N964" s="90" t="n">
        <f aca="false">IF(A964="제외",0,IF(OR(N(L964)&lt;=0,N(M964)&gt;N(L964)),N(M964)/가정!$B$4,N(L964)))</f>
        <v>11730000</v>
      </c>
      <c r="O964" s="67" t="str">
        <f aca="false">IF(A964="제외","",IF(OR(N(L964)&lt;=0,N(M964)&gt;N(L964)),"택가보정(판매금액÷공급율)",""))</f>
        <v/>
      </c>
    </row>
    <row r="965" customFormat="false" ht="15" hidden="false" customHeight="true" outlineLevel="0" collapsed="false">
      <c r="A965" s="67" t="str">
        <f aca="false">IF(OR(TRIM(C965)="",SUBSTITUTE(C965," ","")="소계"),"제외",IF(ISNUMBER(SEARCH("홍콩",C965)),"HK",IF(ISNUMBER(SEARCH("상해",C965)),"CN",IF(ISNUMBER(SEARCH("대만",C965)),"TW","홀세일"))))</f>
        <v>홀세일</v>
      </c>
      <c r="B965" s="87" t="s">
        <v>1319</v>
      </c>
      <c r="C965" s="87" t="s">
        <v>1320</v>
      </c>
      <c r="D965" s="88" t="s">
        <v>178</v>
      </c>
      <c r="E965" s="87" t="n">
        <v>2026</v>
      </c>
      <c r="F965" s="88" t="s">
        <v>277</v>
      </c>
      <c r="G965" s="88" t="s">
        <v>180</v>
      </c>
      <c r="H965" s="87" t="s">
        <v>189</v>
      </c>
      <c r="I965" s="87" t="s">
        <v>356</v>
      </c>
      <c r="J965" s="88" t="s">
        <v>357</v>
      </c>
      <c r="K965" s="89" t="n">
        <v>135</v>
      </c>
      <c r="L965" s="89" t="n">
        <v>7965000</v>
      </c>
      <c r="M965" s="89" t="n">
        <v>2949210</v>
      </c>
      <c r="N965" s="90" t="n">
        <f aca="false">IF(A965="제외",0,IF(OR(N(L965)&lt;=0,N(M965)&gt;N(L965)),N(M965)/가정!$B$4,N(L965)))</f>
        <v>7965000</v>
      </c>
      <c r="O965" s="67" t="str">
        <f aca="false">IF(A965="제외","",IF(OR(N(L965)&lt;=0,N(M965)&gt;N(L965)),"택가보정(판매금액÷공급율)",""))</f>
        <v/>
      </c>
    </row>
    <row r="966" customFormat="false" ht="15" hidden="false" customHeight="true" outlineLevel="0" collapsed="false">
      <c r="A966" s="67" t="str">
        <f aca="false">IF(OR(TRIM(C966)="",SUBSTITUTE(C966," ","")="소계"),"제외",IF(ISNUMBER(SEARCH("홍콩",C966)),"HK",IF(ISNUMBER(SEARCH("상해",C966)),"CN",IF(ISNUMBER(SEARCH("대만",C966)),"TW","홀세일"))))</f>
        <v>홀세일</v>
      </c>
      <c r="B966" s="87" t="s">
        <v>1319</v>
      </c>
      <c r="C966" s="87" t="s">
        <v>1320</v>
      </c>
      <c r="D966" s="88" t="s">
        <v>178</v>
      </c>
      <c r="E966" s="87" t="n">
        <v>2026</v>
      </c>
      <c r="F966" s="88" t="s">
        <v>277</v>
      </c>
      <c r="G966" s="88" t="s">
        <v>180</v>
      </c>
      <c r="H966" s="87" t="s">
        <v>189</v>
      </c>
      <c r="I966" s="87" t="s">
        <v>358</v>
      </c>
      <c r="J966" s="88" t="s">
        <v>359</v>
      </c>
      <c r="K966" s="89" t="n">
        <v>205</v>
      </c>
      <c r="L966" s="89" t="n">
        <v>14145000</v>
      </c>
      <c r="M966" s="89" t="n">
        <v>5235085</v>
      </c>
      <c r="N966" s="90" t="n">
        <f aca="false">IF(A966="제외",0,IF(OR(N(L966)&lt;=0,N(M966)&gt;N(L966)),N(M966)/가정!$B$4,N(L966)))</f>
        <v>14145000</v>
      </c>
      <c r="O966" s="67" t="str">
        <f aca="false">IF(A966="제외","",IF(OR(N(L966)&lt;=0,N(M966)&gt;N(L966)),"택가보정(판매금액÷공급율)",""))</f>
        <v/>
      </c>
    </row>
    <row r="967" customFormat="false" ht="15" hidden="false" customHeight="true" outlineLevel="0" collapsed="false">
      <c r="A967" s="67" t="str">
        <f aca="false">IF(OR(TRIM(C967)="",SUBSTITUTE(C967," ","")="소계"),"제외",IF(ISNUMBER(SEARCH("홍콩",C967)),"HK",IF(ISNUMBER(SEARCH("상해",C967)),"CN",IF(ISNUMBER(SEARCH("대만",C967)),"TW","홀세일"))))</f>
        <v>홀세일</v>
      </c>
      <c r="B967" s="87" t="s">
        <v>1319</v>
      </c>
      <c r="C967" s="87" t="s">
        <v>1320</v>
      </c>
      <c r="D967" s="88" t="s">
        <v>178</v>
      </c>
      <c r="E967" s="87" t="n">
        <v>2026</v>
      </c>
      <c r="F967" s="88" t="s">
        <v>277</v>
      </c>
      <c r="G967" s="88" t="s">
        <v>180</v>
      </c>
      <c r="H967" s="87" t="s">
        <v>189</v>
      </c>
      <c r="I967" s="87" t="s">
        <v>360</v>
      </c>
      <c r="J967" s="88" t="s">
        <v>361</v>
      </c>
      <c r="K967" s="89" t="n">
        <v>50</v>
      </c>
      <c r="L967" s="89" t="n">
        <v>3450000</v>
      </c>
      <c r="M967" s="89" t="n">
        <v>1276850</v>
      </c>
      <c r="N967" s="90" t="n">
        <f aca="false">IF(A967="제외",0,IF(OR(N(L967)&lt;=0,N(M967)&gt;N(L967)),N(M967)/가정!$B$4,N(L967)))</f>
        <v>3450000</v>
      </c>
      <c r="O967" s="67" t="str">
        <f aca="false">IF(A967="제외","",IF(OR(N(L967)&lt;=0,N(M967)&gt;N(L967)),"택가보정(판매금액÷공급율)",""))</f>
        <v/>
      </c>
    </row>
    <row r="968" customFormat="false" ht="15" hidden="false" customHeight="true" outlineLevel="0" collapsed="false">
      <c r="A968" s="67" t="str">
        <f aca="false">IF(OR(TRIM(C968)="",SUBSTITUTE(C968," ","")="소계"),"제외",IF(ISNUMBER(SEARCH("홍콩",C968)),"HK",IF(ISNUMBER(SEARCH("상해",C968)),"CN",IF(ISNUMBER(SEARCH("대만",C968)),"TW","홀세일"))))</f>
        <v>홀세일</v>
      </c>
      <c r="B968" s="87" t="s">
        <v>1319</v>
      </c>
      <c r="C968" s="87" t="s">
        <v>1320</v>
      </c>
      <c r="D968" s="88" t="s">
        <v>178</v>
      </c>
      <c r="E968" s="87" t="n">
        <v>2026</v>
      </c>
      <c r="F968" s="88" t="s">
        <v>277</v>
      </c>
      <c r="G968" s="88" t="s">
        <v>180</v>
      </c>
      <c r="H968" s="87" t="s">
        <v>189</v>
      </c>
      <c r="I968" s="87" t="s">
        <v>362</v>
      </c>
      <c r="J968" s="88" t="s">
        <v>363</v>
      </c>
      <c r="K968" s="89" t="n">
        <v>135</v>
      </c>
      <c r="L968" s="89" t="n">
        <v>7965000</v>
      </c>
      <c r="M968" s="89" t="n">
        <v>2949210</v>
      </c>
      <c r="N968" s="90" t="n">
        <f aca="false">IF(A968="제외",0,IF(OR(N(L968)&lt;=0,N(M968)&gt;N(L968)),N(M968)/가정!$B$4,N(L968)))</f>
        <v>7965000</v>
      </c>
      <c r="O968" s="67" t="str">
        <f aca="false">IF(A968="제외","",IF(OR(N(L968)&lt;=0,N(M968)&gt;N(L968)),"택가보정(판매금액÷공급율)",""))</f>
        <v/>
      </c>
    </row>
    <row r="969" customFormat="false" ht="15" hidden="false" customHeight="true" outlineLevel="0" collapsed="false">
      <c r="A969" s="67" t="str">
        <f aca="false">IF(OR(TRIM(C969)="",SUBSTITUTE(C969," ","")="소계"),"제외",IF(ISNUMBER(SEARCH("홍콩",C969)),"HK",IF(ISNUMBER(SEARCH("상해",C969)),"CN",IF(ISNUMBER(SEARCH("대만",C969)),"TW","홀세일"))))</f>
        <v>홀세일</v>
      </c>
      <c r="B969" s="87" t="s">
        <v>1319</v>
      </c>
      <c r="C969" s="87" t="s">
        <v>1320</v>
      </c>
      <c r="D969" s="88" t="s">
        <v>178</v>
      </c>
      <c r="E969" s="87" t="n">
        <v>2026</v>
      </c>
      <c r="F969" s="88" t="s">
        <v>277</v>
      </c>
      <c r="G969" s="88" t="s">
        <v>180</v>
      </c>
      <c r="H969" s="87" t="s">
        <v>189</v>
      </c>
      <c r="I969" s="87" t="s">
        <v>366</v>
      </c>
      <c r="J969" s="88" t="s">
        <v>367</v>
      </c>
      <c r="K969" s="89" t="n">
        <v>75</v>
      </c>
      <c r="L969" s="89" t="n">
        <v>6675000</v>
      </c>
      <c r="M969" s="89" t="n">
        <v>2382450</v>
      </c>
      <c r="N969" s="90" t="n">
        <f aca="false">IF(A969="제외",0,IF(OR(N(L969)&lt;=0,N(M969)&gt;N(L969)),N(M969)/가정!$B$4,N(L969)))</f>
        <v>6675000</v>
      </c>
      <c r="O969" s="67" t="str">
        <f aca="false">IF(A969="제외","",IF(OR(N(L969)&lt;=0,N(M969)&gt;N(L969)),"택가보정(판매금액÷공급율)",""))</f>
        <v/>
      </c>
    </row>
    <row r="970" customFormat="false" ht="15" hidden="false" customHeight="true" outlineLevel="0" collapsed="false">
      <c r="A970" s="67" t="str">
        <f aca="false">IF(OR(TRIM(C970)="",SUBSTITUTE(C970," ","")="소계"),"제외",IF(ISNUMBER(SEARCH("홍콩",C970)),"HK",IF(ISNUMBER(SEARCH("상해",C970)),"CN",IF(ISNUMBER(SEARCH("대만",C970)),"TW","홀세일"))))</f>
        <v>홀세일</v>
      </c>
      <c r="B970" s="87" t="s">
        <v>1319</v>
      </c>
      <c r="C970" s="87" t="s">
        <v>1320</v>
      </c>
      <c r="D970" s="88" t="s">
        <v>178</v>
      </c>
      <c r="E970" s="87" t="n">
        <v>2026</v>
      </c>
      <c r="F970" s="88" t="s">
        <v>277</v>
      </c>
      <c r="G970" s="88" t="s">
        <v>180</v>
      </c>
      <c r="H970" s="87" t="s">
        <v>189</v>
      </c>
      <c r="I970" s="87" t="s">
        <v>368</v>
      </c>
      <c r="J970" s="88" t="s">
        <v>369</v>
      </c>
      <c r="K970" s="89" t="n">
        <v>50</v>
      </c>
      <c r="L970" s="89" t="n">
        <v>4450000</v>
      </c>
      <c r="M970" s="89" t="n">
        <v>1588300</v>
      </c>
      <c r="N970" s="90" t="n">
        <f aca="false">IF(A970="제외",0,IF(OR(N(L970)&lt;=0,N(M970)&gt;N(L970)),N(M970)/가정!$B$4,N(L970)))</f>
        <v>4450000</v>
      </c>
      <c r="O970" s="67" t="str">
        <f aca="false">IF(A970="제외","",IF(OR(N(L970)&lt;=0,N(M970)&gt;N(L970)),"택가보정(판매금액÷공급율)",""))</f>
        <v/>
      </c>
    </row>
    <row r="971" customFormat="false" ht="15" hidden="false" customHeight="true" outlineLevel="0" collapsed="false">
      <c r="A971" s="67" t="str">
        <f aca="false">IF(OR(TRIM(C971)="",SUBSTITUTE(C971," ","")="소계"),"제외",IF(ISNUMBER(SEARCH("홍콩",C971)),"HK",IF(ISNUMBER(SEARCH("상해",C971)),"CN",IF(ISNUMBER(SEARCH("대만",C971)),"TW","홀세일"))))</f>
        <v>홀세일</v>
      </c>
      <c r="B971" s="87" t="s">
        <v>1319</v>
      </c>
      <c r="C971" s="87" t="s">
        <v>1320</v>
      </c>
      <c r="D971" s="88" t="s">
        <v>178</v>
      </c>
      <c r="E971" s="87" t="n">
        <v>2026</v>
      </c>
      <c r="F971" s="88" t="s">
        <v>277</v>
      </c>
      <c r="G971" s="88" t="s">
        <v>180</v>
      </c>
      <c r="H971" s="87" t="s">
        <v>189</v>
      </c>
      <c r="I971" s="87" t="s">
        <v>370</v>
      </c>
      <c r="J971" s="88" t="s">
        <v>371</v>
      </c>
      <c r="K971" s="89" t="n">
        <v>215</v>
      </c>
      <c r="L971" s="89" t="n">
        <v>19135000</v>
      </c>
      <c r="M971" s="89" t="n">
        <v>7090055</v>
      </c>
      <c r="N971" s="90" t="n">
        <f aca="false">IF(A971="제외",0,IF(OR(N(L971)&lt;=0,N(M971)&gt;N(L971)),N(M971)/가정!$B$4,N(L971)))</f>
        <v>19135000</v>
      </c>
      <c r="O971" s="67" t="str">
        <f aca="false">IF(A971="제외","",IF(OR(N(L971)&lt;=0,N(M971)&gt;N(L971)),"택가보정(판매금액÷공급율)",""))</f>
        <v/>
      </c>
    </row>
    <row r="972" customFormat="false" ht="15" hidden="false" customHeight="true" outlineLevel="0" collapsed="false">
      <c r="A972" s="67" t="str">
        <f aca="false">IF(OR(TRIM(C972)="",SUBSTITUTE(C972," ","")="소계"),"제외",IF(ISNUMBER(SEARCH("홍콩",C972)),"HK",IF(ISNUMBER(SEARCH("상해",C972)),"CN",IF(ISNUMBER(SEARCH("대만",C972)),"TW","홀세일"))))</f>
        <v>홀세일</v>
      </c>
      <c r="B972" s="87" t="s">
        <v>1319</v>
      </c>
      <c r="C972" s="87" t="s">
        <v>1320</v>
      </c>
      <c r="D972" s="88" t="s">
        <v>178</v>
      </c>
      <c r="E972" s="87" t="n">
        <v>2026</v>
      </c>
      <c r="F972" s="88" t="s">
        <v>277</v>
      </c>
      <c r="G972" s="88" t="s">
        <v>180</v>
      </c>
      <c r="H972" s="87" t="s">
        <v>189</v>
      </c>
      <c r="I972" s="87" t="s">
        <v>1341</v>
      </c>
      <c r="J972" s="88" t="s">
        <v>1342</v>
      </c>
      <c r="K972" s="89" t="n">
        <v>30</v>
      </c>
      <c r="L972" s="89" t="n">
        <v>1770000</v>
      </c>
      <c r="M972" s="89" t="n">
        <v>655380</v>
      </c>
      <c r="N972" s="90" t="n">
        <f aca="false">IF(A972="제외",0,IF(OR(N(L972)&lt;=0,N(M972)&gt;N(L972)),N(M972)/가정!$B$4,N(L972)))</f>
        <v>1770000</v>
      </c>
      <c r="O972" s="67" t="str">
        <f aca="false">IF(A972="제외","",IF(OR(N(L972)&lt;=0,N(M972)&gt;N(L972)),"택가보정(판매금액÷공급율)",""))</f>
        <v/>
      </c>
    </row>
    <row r="973" customFormat="false" ht="15" hidden="false" customHeight="true" outlineLevel="0" collapsed="false">
      <c r="A973" s="67" t="str">
        <f aca="false">IF(OR(TRIM(C973)="",SUBSTITUTE(C973," ","")="소계"),"제외",IF(ISNUMBER(SEARCH("홍콩",C973)),"HK",IF(ISNUMBER(SEARCH("상해",C973)),"CN",IF(ISNUMBER(SEARCH("대만",C973)),"TW","홀세일"))))</f>
        <v>홀세일</v>
      </c>
      <c r="B973" s="87" t="s">
        <v>1319</v>
      </c>
      <c r="C973" s="87" t="s">
        <v>1320</v>
      </c>
      <c r="D973" s="88" t="s">
        <v>178</v>
      </c>
      <c r="E973" s="87" t="n">
        <v>2026</v>
      </c>
      <c r="F973" s="88" t="s">
        <v>277</v>
      </c>
      <c r="G973" s="88" t="s">
        <v>180</v>
      </c>
      <c r="H973" s="87" t="s">
        <v>189</v>
      </c>
      <c r="I973" s="87" t="s">
        <v>1343</v>
      </c>
      <c r="J973" s="87" t="s">
        <v>1344</v>
      </c>
      <c r="K973" s="89" t="n">
        <v>115</v>
      </c>
      <c r="L973" s="89" t="n">
        <v>7935000</v>
      </c>
      <c r="M973" s="89" t="n">
        <v>2455480</v>
      </c>
      <c r="N973" s="90" t="n">
        <f aca="false">IF(A973="제외",0,IF(OR(N(L973)&lt;=0,N(M973)&gt;N(L973)),N(M973)/가정!$B$4,N(L973)))</f>
        <v>7935000</v>
      </c>
      <c r="O973" s="67" t="str">
        <f aca="false">IF(A973="제외","",IF(OR(N(L973)&lt;=0,N(M973)&gt;N(L973)),"택가보정(판매금액÷공급율)",""))</f>
        <v/>
      </c>
    </row>
    <row r="974" customFormat="false" ht="15" hidden="false" customHeight="true" outlineLevel="0" collapsed="false">
      <c r="A974" s="67" t="str">
        <f aca="false">IF(OR(TRIM(C974)="",SUBSTITUTE(C974," ","")="소계"),"제외",IF(ISNUMBER(SEARCH("홍콩",C974)),"HK",IF(ISNUMBER(SEARCH("상해",C974)),"CN",IF(ISNUMBER(SEARCH("대만",C974)),"TW","홀세일"))))</f>
        <v>홀세일</v>
      </c>
      <c r="B974" s="87" t="s">
        <v>1319</v>
      </c>
      <c r="C974" s="87" t="s">
        <v>1320</v>
      </c>
      <c r="D974" s="88" t="s">
        <v>178</v>
      </c>
      <c r="E974" s="87" t="n">
        <v>2026</v>
      </c>
      <c r="F974" s="88" t="s">
        <v>277</v>
      </c>
      <c r="G974" s="88" t="s">
        <v>180</v>
      </c>
      <c r="H974" s="87" t="s">
        <v>189</v>
      </c>
      <c r="I974" s="87" t="s">
        <v>1345</v>
      </c>
      <c r="J974" s="87" t="s">
        <v>1346</v>
      </c>
      <c r="K974" s="89" t="n">
        <v>65</v>
      </c>
      <c r="L974" s="89" t="n">
        <v>4485000</v>
      </c>
      <c r="M974" s="89" t="n">
        <v>1387880</v>
      </c>
      <c r="N974" s="90" t="n">
        <f aca="false">IF(A974="제외",0,IF(OR(N(L974)&lt;=0,N(M974)&gt;N(L974)),N(M974)/가정!$B$4,N(L974)))</f>
        <v>4485000</v>
      </c>
      <c r="O974" s="67" t="str">
        <f aca="false">IF(A974="제외","",IF(OR(N(L974)&lt;=0,N(M974)&gt;N(L974)),"택가보정(판매금액÷공급율)",""))</f>
        <v/>
      </c>
    </row>
    <row r="975" customFormat="false" ht="15" hidden="false" customHeight="true" outlineLevel="0" collapsed="false">
      <c r="A975" s="67" t="str">
        <f aca="false">IF(OR(TRIM(C975)="",SUBSTITUTE(C975," ","")="소계"),"제외",IF(ISNUMBER(SEARCH("홍콩",C975)),"HK",IF(ISNUMBER(SEARCH("상해",C975)),"CN",IF(ISNUMBER(SEARCH("대만",C975)),"TW","홀세일"))))</f>
        <v>홀세일</v>
      </c>
      <c r="B975" s="87" t="s">
        <v>1319</v>
      </c>
      <c r="C975" s="87" t="s">
        <v>1320</v>
      </c>
      <c r="D975" s="88" t="s">
        <v>178</v>
      </c>
      <c r="E975" s="87" t="n">
        <v>2026</v>
      </c>
      <c r="F975" s="88" t="s">
        <v>277</v>
      </c>
      <c r="G975" s="88" t="s">
        <v>180</v>
      </c>
      <c r="H975" s="87" t="s">
        <v>189</v>
      </c>
      <c r="I975" s="87" t="s">
        <v>1347</v>
      </c>
      <c r="J975" s="87" t="s">
        <v>1348</v>
      </c>
      <c r="K975" s="89" t="n">
        <v>40</v>
      </c>
      <c r="L975" s="89" t="n">
        <v>2760000</v>
      </c>
      <c r="M975" s="89" t="n">
        <v>854080</v>
      </c>
      <c r="N975" s="90" t="n">
        <f aca="false">IF(A975="제외",0,IF(OR(N(L975)&lt;=0,N(M975)&gt;N(L975)),N(M975)/가정!$B$4,N(L975)))</f>
        <v>2760000</v>
      </c>
      <c r="O975" s="67" t="str">
        <f aca="false">IF(A975="제외","",IF(OR(N(L975)&lt;=0,N(M975)&gt;N(L975)),"택가보정(판매금액÷공급율)",""))</f>
        <v/>
      </c>
    </row>
    <row r="976" customFormat="false" ht="15" hidden="false" customHeight="true" outlineLevel="0" collapsed="false">
      <c r="A976" s="67" t="str">
        <f aca="false">IF(OR(TRIM(C976)="",SUBSTITUTE(C976," ","")="소계"),"제외",IF(ISNUMBER(SEARCH("홍콩",C976)),"HK",IF(ISNUMBER(SEARCH("상해",C976)),"CN",IF(ISNUMBER(SEARCH("대만",C976)),"TW","홀세일"))))</f>
        <v>홀세일</v>
      </c>
      <c r="B976" s="87" t="s">
        <v>1319</v>
      </c>
      <c r="C976" s="87" t="s">
        <v>1320</v>
      </c>
      <c r="D976" s="88" t="s">
        <v>178</v>
      </c>
      <c r="E976" s="87" t="n">
        <v>2026</v>
      </c>
      <c r="F976" s="88" t="s">
        <v>277</v>
      </c>
      <c r="G976" s="88" t="s">
        <v>180</v>
      </c>
      <c r="H976" s="87" t="s">
        <v>181</v>
      </c>
      <c r="I976" s="87" t="s">
        <v>372</v>
      </c>
      <c r="J976" s="88" t="s">
        <v>373</v>
      </c>
      <c r="K976" s="89" t="n">
        <v>100</v>
      </c>
      <c r="L976" s="89" t="n">
        <v>5900000</v>
      </c>
      <c r="M976" s="89" t="n">
        <v>2126300</v>
      </c>
      <c r="N976" s="90" t="n">
        <f aca="false">IF(A976="제외",0,IF(OR(N(L976)&lt;=0,N(M976)&gt;N(L976)),N(M976)/가정!$B$4,N(L976)))</f>
        <v>5900000</v>
      </c>
      <c r="O976" s="67" t="str">
        <f aca="false">IF(A976="제외","",IF(OR(N(L976)&lt;=0,N(M976)&gt;N(L976)),"택가보정(판매금액÷공급율)",""))</f>
        <v/>
      </c>
    </row>
    <row r="977" customFormat="false" ht="15" hidden="false" customHeight="true" outlineLevel="0" collapsed="false">
      <c r="A977" s="67" t="str">
        <f aca="false">IF(OR(TRIM(C977)="",SUBSTITUTE(C977," ","")="소계"),"제외",IF(ISNUMBER(SEARCH("홍콩",C977)),"HK",IF(ISNUMBER(SEARCH("상해",C977)),"CN",IF(ISNUMBER(SEARCH("대만",C977)),"TW","홀세일"))))</f>
        <v>홀세일</v>
      </c>
      <c r="B977" s="87" t="s">
        <v>1319</v>
      </c>
      <c r="C977" s="87" t="s">
        <v>1320</v>
      </c>
      <c r="D977" s="88" t="s">
        <v>178</v>
      </c>
      <c r="E977" s="87" t="n">
        <v>2026</v>
      </c>
      <c r="F977" s="88" t="s">
        <v>277</v>
      </c>
      <c r="G977" s="88" t="s">
        <v>180</v>
      </c>
      <c r="H977" s="87" t="s">
        <v>181</v>
      </c>
      <c r="I977" s="87" t="s">
        <v>376</v>
      </c>
      <c r="J977" s="88" t="s">
        <v>377</v>
      </c>
      <c r="K977" s="89" t="n">
        <v>75</v>
      </c>
      <c r="L977" s="89" t="n">
        <v>4425000</v>
      </c>
      <c r="M977" s="89" t="n">
        <v>1640025</v>
      </c>
      <c r="N977" s="90" t="n">
        <f aca="false">IF(A977="제외",0,IF(OR(N(L977)&lt;=0,N(M977)&gt;N(L977)),N(M977)/가정!$B$4,N(L977)))</f>
        <v>4425000</v>
      </c>
      <c r="O977" s="67" t="str">
        <f aca="false">IF(A977="제외","",IF(OR(N(L977)&lt;=0,N(M977)&gt;N(L977)),"택가보정(판매금액÷공급율)",""))</f>
        <v/>
      </c>
    </row>
    <row r="978" customFormat="false" ht="15" hidden="false" customHeight="true" outlineLevel="0" collapsed="false">
      <c r="A978" s="67" t="str">
        <f aca="false">IF(OR(TRIM(C978)="",SUBSTITUTE(C978," ","")="소계"),"제외",IF(ISNUMBER(SEARCH("홍콩",C978)),"HK",IF(ISNUMBER(SEARCH("상해",C978)),"CN",IF(ISNUMBER(SEARCH("대만",C978)),"TW","홀세일"))))</f>
        <v>홀세일</v>
      </c>
      <c r="B978" s="87" t="s">
        <v>1319</v>
      </c>
      <c r="C978" s="87" t="s">
        <v>1320</v>
      </c>
      <c r="D978" s="88" t="s">
        <v>178</v>
      </c>
      <c r="E978" s="87" t="n">
        <v>2026</v>
      </c>
      <c r="F978" s="88" t="s">
        <v>277</v>
      </c>
      <c r="G978" s="88" t="s">
        <v>180</v>
      </c>
      <c r="H978" s="87" t="s">
        <v>181</v>
      </c>
      <c r="I978" s="87" t="s">
        <v>378</v>
      </c>
      <c r="J978" s="88" t="s">
        <v>379</v>
      </c>
      <c r="K978" s="89" t="n">
        <v>45</v>
      </c>
      <c r="L978" s="89" t="n">
        <v>3105000</v>
      </c>
      <c r="M978" s="89" t="n">
        <v>1150245</v>
      </c>
      <c r="N978" s="90" t="n">
        <f aca="false">IF(A978="제외",0,IF(OR(N(L978)&lt;=0,N(M978)&gt;N(L978)),N(M978)/가정!$B$4,N(L978)))</f>
        <v>3105000</v>
      </c>
      <c r="O978" s="67" t="str">
        <f aca="false">IF(A978="제외","",IF(OR(N(L978)&lt;=0,N(M978)&gt;N(L978)),"택가보정(판매금액÷공급율)",""))</f>
        <v/>
      </c>
    </row>
    <row r="979" customFormat="false" ht="15" hidden="false" customHeight="true" outlineLevel="0" collapsed="false">
      <c r="A979" s="67" t="str">
        <f aca="false">IF(OR(TRIM(C979)="",SUBSTITUTE(C979," ","")="소계"),"제외",IF(ISNUMBER(SEARCH("홍콩",C979)),"HK",IF(ISNUMBER(SEARCH("상해",C979)),"CN",IF(ISNUMBER(SEARCH("대만",C979)),"TW","홀세일"))))</f>
        <v>홀세일</v>
      </c>
      <c r="B979" s="87" t="s">
        <v>1319</v>
      </c>
      <c r="C979" s="87" t="s">
        <v>1320</v>
      </c>
      <c r="D979" s="88" t="s">
        <v>178</v>
      </c>
      <c r="E979" s="87" t="n">
        <v>2026</v>
      </c>
      <c r="F979" s="88" t="s">
        <v>277</v>
      </c>
      <c r="G979" s="88" t="s">
        <v>418</v>
      </c>
      <c r="H979" s="87" t="s">
        <v>189</v>
      </c>
      <c r="I979" s="87" t="s">
        <v>1349</v>
      </c>
      <c r="J979" s="88" t="s">
        <v>1350</v>
      </c>
      <c r="K979" s="89" t="n">
        <v>120</v>
      </c>
      <c r="L979" s="89" t="n">
        <v>5880000</v>
      </c>
      <c r="M979" s="89" t="n">
        <v>2504400</v>
      </c>
      <c r="N979" s="90" t="n">
        <f aca="false">IF(A979="제외",0,IF(OR(N(L979)&lt;=0,N(M979)&gt;N(L979)),N(M979)/가정!$B$4,N(L979)))</f>
        <v>5880000</v>
      </c>
      <c r="O979" s="67" t="str">
        <f aca="false">IF(A979="제외","",IF(OR(N(L979)&lt;=0,N(M979)&gt;N(L979)),"택가보정(판매금액÷공급율)",""))</f>
        <v/>
      </c>
    </row>
    <row r="980" customFormat="false" ht="15" hidden="false" customHeight="true" outlineLevel="0" collapsed="false">
      <c r="A980" s="67" t="str">
        <f aca="false">IF(OR(TRIM(C980)="",SUBSTITUTE(C980," ","")="소계"),"제외",IF(ISNUMBER(SEARCH("홍콩",C980)),"HK",IF(ISNUMBER(SEARCH("상해",C980)),"CN",IF(ISNUMBER(SEARCH("대만",C980)),"TW","홀세일"))))</f>
        <v>홀세일</v>
      </c>
      <c r="B980" s="87" t="s">
        <v>1319</v>
      </c>
      <c r="C980" s="87" t="s">
        <v>1320</v>
      </c>
      <c r="D980" s="88" t="s">
        <v>178</v>
      </c>
      <c r="E980" s="87" t="n">
        <v>2026</v>
      </c>
      <c r="F980" s="88" t="s">
        <v>277</v>
      </c>
      <c r="G980" s="88" t="s">
        <v>180</v>
      </c>
      <c r="H980" s="87" t="s">
        <v>246</v>
      </c>
      <c r="I980" s="87" t="s">
        <v>1351</v>
      </c>
      <c r="J980" s="87" t="s">
        <v>1352</v>
      </c>
      <c r="K980" s="89" t="n">
        <v>20</v>
      </c>
      <c r="L980" s="89" t="n">
        <v>1780000</v>
      </c>
      <c r="M980" s="89" t="n">
        <v>657000</v>
      </c>
      <c r="N980" s="90" t="n">
        <f aca="false">IF(A980="제외",0,IF(OR(N(L980)&lt;=0,N(M980)&gt;N(L980)),N(M980)/가정!$B$4,N(L980)))</f>
        <v>1780000</v>
      </c>
      <c r="O980" s="67" t="str">
        <f aca="false">IF(A980="제외","",IF(OR(N(L980)&lt;=0,N(M980)&gt;N(L980)),"택가보정(판매금액÷공급율)",""))</f>
        <v/>
      </c>
    </row>
    <row r="981" customFormat="false" ht="15" hidden="false" customHeight="true" outlineLevel="0" collapsed="false">
      <c r="A981" s="67" t="str">
        <f aca="false">IF(OR(TRIM(C981)="",SUBSTITUTE(C981," ","")="소계"),"제외",IF(ISNUMBER(SEARCH("홍콩",C981)),"HK",IF(ISNUMBER(SEARCH("상해",C981)),"CN",IF(ISNUMBER(SEARCH("대만",C981)),"TW","홀세일"))))</f>
        <v>홀세일</v>
      </c>
      <c r="B981" s="87" t="s">
        <v>1319</v>
      </c>
      <c r="C981" s="87" t="s">
        <v>1320</v>
      </c>
      <c r="D981" s="88" t="s">
        <v>178</v>
      </c>
      <c r="E981" s="87" t="n">
        <v>2026</v>
      </c>
      <c r="F981" s="88" t="s">
        <v>277</v>
      </c>
      <c r="G981" s="88" t="s">
        <v>180</v>
      </c>
      <c r="H981" s="87" t="s">
        <v>246</v>
      </c>
      <c r="I981" s="87" t="s">
        <v>380</v>
      </c>
      <c r="J981" s="87" t="s">
        <v>381</v>
      </c>
      <c r="K981" s="89" t="n">
        <v>15</v>
      </c>
      <c r="L981" s="89" t="n">
        <v>1185000</v>
      </c>
      <c r="M981" s="89" t="n">
        <v>423075</v>
      </c>
      <c r="N981" s="90" t="n">
        <f aca="false">IF(A981="제외",0,IF(OR(N(L981)&lt;=0,N(M981)&gt;N(L981)),N(M981)/가정!$B$4,N(L981)))</f>
        <v>1185000</v>
      </c>
      <c r="O981" s="67" t="str">
        <f aca="false">IF(A981="제외","",IF(OR(N(L981)&lt;=0,N(M981)&gt;N(L981)),"택가보정(판매금액÷공급율)",""))</f>
        <v/>
      </c>
    </row>
    <row r="982" customFormat="false" ht="15" hidden="false" customHeight="true" outlineLevel="0" collapsed="false">
      <c r="A982" s="67" t="str">
        <f aca="false">IF(OR(TRIM(C982)="",SUBSTITUTE(C982," ","")="소계"),"제외",IF(ISNUMBER(SEARCH("홍콩",C982)),"HK",IF(ISNUMBER(SEARCH("상해",C982)),"CN",IF(ISNUMBER(SEARCH("대만",C982)),"TW","홀세일"))))</f>
        <v>홀세일</v>
      </c>
      <c r="B982" s="87" t="s">
        <v>1319</v>
      </c>
      <c r="C982" s="87" t="s">
        <v>1320</v>
      </c>
      <c r="D982" s="88" t="s">
        <v>178</v>
      </c>
      <c r="E982" s="87" t="n">
        <v>2026</v>
      </c>
      <c r="F982" s="88" t="s">
        <v>277</v>
      </c>
      <c r="G982" s="88" t="s">
        <v>180</v>
      </c>
      <c r="H982" s="87" t="s">
        <v>246</v>
      </c>
      <c r="I982" s="87" t="s">
        <v>384</v>
      </c>
      <c r="J982" s="87" t="s">
        <v>385</v>
      </c>
      <c r="K982" s="89" t="n">
        <v>35</v>
      </c>
      <c r="L982" s="89" t="n">
        <v>2765000</v>
      </c>
      <c r="M982" s="89" t="n">
        <v>987175</v>
      </c>
      <c r="N982" s="90" t="n">
        <f aca="false">IF(A982="제외",0,IF(OR(N(L982)&lt;=0,N(M982)&gt;N(L982)),N(M982)/가정!$B$4,N(L982)))</f>
        <v>2765000</v>
      </c>
      <c r="O982" s="67" t="str">
        <f aca="false">IF(A982="제외","",IF(OR(N(L982)&lt;=0,N(M982)&gt;N(L982)),"택가보정(판매금액÷공급율)",""))</f>
        <v/>
      </c>
    </row>
    <row r="983" customFormat="false" ht="15" hidden="false" customHeight="true" outlineLevel="0" collapsed="false">
      <c r="A983" s="67" t="str">
        <f aca="false">IF(OR(TRIM(C983)="",SUBSTITUTE(C983," ","")="소계"),"제외",IF(ISNUMBER(SEARCH("홍콩",C983)),"HK",IF(ISNUMBER(SEARCH("상해",C983)),"CN",IF(ISNUMBER(SEARCH("대만",C983)),"TW","홀세일"))))</f>
        <v>홀세일</v>
      </c>
      <c r="B983" s="87" t="s">
        <v>1319</v>
      </c>
      <c r="C983" s="87" t="s">
        <v>1320</v>
      </c>
      <c r="D983" s="88" t="s">
        <v>178</v>
      </c>
      <c r="E983" s="87" t="n">
        <v>2026</v>
      </c>
      <c r="F983" s="88" t="s">
        <v>277</v>
      </c>
      <c r="G983" s="88" t="s">
        <v>180</v>
      </c>
      <c r="H983" s="87" t="s">
        <v>246</v>
      </c>
      <c r="I983" s="87" t="s">
        <v>895</v>
      </c>
      <c r="J983" s="87" t="s">
        <v>896</v>
      </c>
      <c r="K983" s="89" t="n">
        <v>20</v>
      </c>
      <c r="L983" s="89" t="n">
        <v>1780000</v>
      </c>
      <c r="M983" s="89" t="n">
        <v>657000</v>
      </c>
      <c r="N983" s="90" t="n">
        <f aca="false">IF(A983="제외",0,IF(OR(N(L983)&lt;=0,N(M983)&gt;N(L983)),N(M983)/가정!$B$4,N(L983)))</f>
        <v>1780000</v>
      </c>
      <c r="O983" s="67" t="str">
        <f aca="false">IF(A983="제외","",IF(OR(N(L983)&lt;=0,N(M983)&gt;N(L983)),"택가보정(판매금액÷공급율)",""))</f>
        <v/>
      </c>
    </row>
    <row r="984" customFormat="false" ht="15" hidden="false" customHeight="true" outlineLevel="0" collapsed="false">
      <c r="A984" s="67" t="str">
        <f aca="false">IF(OR(TRIM(C984)="",SUBSTITUTE(C984," ","")="소계"),"제외",IF(ISNUMBER(SEARCH("홍콩",C984)),"HK",IF(ISNUMBER(SEARCH("상해",C984)),"CN",IF(ISNUMBER(SEARCH("대만",C984)),"TW","홀세일"))))</f>
        <v>홀세일</v>
      </c>
      <c r="B984" s="87" t="s">
        <v>1319</v>
      </c>
      <c r="C984" s="87" t="s">
        <v>1320</v>
      </c>
      <c r="D984" s="88" t="s">
        <v>178</v>
      </c>
      <c r="E984" s="87" t="n">
        <v>2026</v>
      </c>
      <c r="F984" s="88" t="s">
        <v>277</v>
      </c>
      <c r="G984" s="88" t="s">
        <v>180</v>
      </c>
      <c r="H984" s="87" t="s">
        <v>246</v>
      </c>
      <c r="I984" s="87" t="s">
        <v>388</v>
      </c>
      <c r="J984" s="87" t="s">
        <v>389</v>
      </c>
      <c r="K984" s="89" t="n">
        <v>20</v>
      </c>
      <c r="L984" s="89" t="n">
        <v>2780000</v>
      </c>
      <c r="M984" s="89" t="n">
        <v>1010040</v>
      </c>
      <c r="N984" s="90" t="n">
        <f aca="false">IF(A984="제외",0,IF(OR(N(L984)&lt;=0,N(M984)&gt;N(L984)),N(M984)/가정!$B$4,N(L984)))</f>
        <v>2780000</v>
      </c>
      <c r="O984" s="67" t="str">
        <f aca="false">IF(A984="제외","",IF(OR(N(L984)&lt;=0,N(M984)&gt;N(L984)),"택가보정(판매금액÷공급율)",""))</f>
        <v/>
      </c>
    </row>
    <row r="985" customFormat="false" ht="15" hidden="false" customHeight="true" outlineLevel="0" collapsed="false">
      <c r="A985" s="67" t="str">
        <f aca="false">IF(OR(TRIM(C985)="",SUBSTITUTE(C985," ","")="소계"),"제외",IF(ISNUMBER(SEARCH("홍콩",C985)),"HK",IF(ISNUMBER(SEARCH("상해",C985)),"CN",IF(ISNUMBER(SEARCH("대만",C985)),"TW","홀세일"))))</f>
        <v>홀세일</v>
      </c>
      <c r="B985" s="87" t="s">
        <v>1319</v>
      </c>
      <c r="C985" s="87" t="s">
        <v>1320</v>
      </c>
      <c r="D985" s="88" t="s">
        <v>178</v>
      </c>
      <c r="E985" s="87" t="n">
        <v>2026</v>
      </c>
      <c r="F985" s="88" t="s">
        <v>277</v>
      </c>
      <c r="G985" s="88" t="s">
        <v>180</v>
      </c>
      <c r="H985" s="87" t="s">
        <v>246</v>
      </c>
      <c r="I985" s="87" t="s">
        <v>390</v>
      </c>
      <c r="J985" s="87" t="s">
        <v>391</v>
      </c>
      <c r="K985" s="89" t="n">
        <v>30</v>
      </c>
      <c r="L985" s="89" t="n">
        <v>3870000</v>
      </c>
      <c r="M985" s="89" t="n">
        <v>1406220</v>
      </c>
      <c r="N985" s="90" t="n">
        <f aca="false">IF(A985="제외",0,IF(OR(N(L985)&lt;=0,N(M985)&gt;N(L985)),N(M985)/가정!$B$4,N(L985)))</f>
        <v>3870000</v>
      </c>
      <c r="O985" s="67" t="str">
        <f aca="false">IF(A985="제외","",IF(OR(N(L985)&lt;=0,N(M985)&gt;N(L985)),"택가보정(판매금액÷공급율)",""))</f>
        <v/>
      </c>
    </row>
    <row r="986" customFormat="false" ht="15" hidden="false" customHeight="true" outlineLevel="0" collapsed="false">
      <c r="A986" s="67" t="str">
        <f aca="false">IF(OR(TRIM(C986)="",SUBSTITUTE(C986," ","")="소계"),"제외",IF(ISNUMBER(SEARCH("홍콩",C986)),"HK",IF(ISNUMBER(SEARCH("상해",C986)),"CN",IF(ISNUMBER(SEARCH("대만",C986)),"TW","홀세일"))))</f>
        <v>홀세일</v>
      </c>
      <c r="B986" s="87" t="s">
        <v>1319</v>
      </c>
      <c r="C986" s="87" t="s">
        <v>1320</v>
      </c>
      <c r="D986" s="88" t="s">
        <v>178</v>
      </c>
      <c r="E986" s="87" t="n">
        <v>2026</v>
      </c>
      <c r="F986" s="88" t="s">
        <v>277</v>
      </c>
      <c r="G986" s="88" t="s">
        <v>180</v>
      </c>
      <c r="H986" s="87" t="s">
        <v>246</v>
      </c>
      <c r="I986" s="87" t="s">
        <v>392</v>
      </c>
      <c r="J986" s="87" t="s">
        <v>393</v>
      </c>
      <c r="K986" s="89" t="n">
        <v>20</v>
      </c>
      <c r="L986" s="89" t="n">
        <v>2980000</v>
      </c>
      <c r="M986" s="89" t="n">
        <v>1062680</v>
      </c>
      <c r="N986" s="90" t="n">
        <f aca="false">IF(A986="제외",0,IF(OR(N(L986)&lt;=0,N(M986)&gt;N(L986)),N(M986)/가정!$B$4,N(L986)))</f>
        <v>2980000</v>
      </c>
      <c r="O986" s="67" t="str">
        <f aca="false">IF(A986="제외","",IF(OR(N(L986)&lt;=0,N(M986)&gt;N(L986)),"택가보정(판매금액÷공급율)",""))</f>
        <v/>
      </c>
    </row>
    <row r="987" customFormat="false" ht="15" hidden="false" customHeight="true" outlineLevel="0" collapsed="false">
      <c r="A987" s="67" t="str">
        <f aca="false">IF(OR(TRIM(C987)="",SUBSTITUTE(C987," ","")="소계"),"제외",IF(ISNUMBER(SEARCH("홍콩",C987)),"HK",IF(ISNUMBER(SEARCH("상해",C987)),"CN",IF(ISNUMBER(SEARCH("대만",C987)),"TW","홀세일"))))</f>
        <v>홀세일</v>
      </c>
      <c r="B987" s="87" t="s">
        <v>1319</v>
      </c>
      <c r="C987" s="87" t="s">
        <v>1320</v>
      </c>
      <c r="D987" s="88" t="s">
        <v>178</v>
      </c>
      <c r="E987" s="87" t="n">
        <v>2026</v>
      </c>
      <c r="F987" s="88" t="s">
        <v>277</v>
      </c>
      <c r="G987" s="88" t="s">
        <v>180</v>
      </c>
      <c r="H987" s="87" t="s">
        <v>246</v>
      </c>
      <c r="I987" s="87" t="s">
        <v>396</v>
      </c>
      <c r="J987" s="87" t="s">
        <v>397</v>
      </c>
      <c r="K987" s="89" t="n">
        <v>45</v>
      </c>
      <c r="L987" s="89" t="n">
        <v>5805000</v>
      </c>
      <c r="M987" s="89" t="n">
        <v>2109330</v>
      </c>
      <c r="N987" s="90" t="n">
        <f aca="false">IF(A987="제외",0,IF(OR(N(L987)&lt;=0,N(M987)&gt;N(L987)),N(M987)/가정!$B$4,N(L987)))</f>
        <v>5805000</v>
      </c>
      <c r="O987" s="67" t="str">
        <f aca="false">IF(A987="제외","",IF(OR(N(L987)&lt;=0,N(M987)&gt;N(L987)),"택가보정(판매금액÷공급율)",""))</f>
        <v/>
      </c>
    </row>
    <row r="988" customFormat="false" ht="15" hidden="false" customHeight="true" outlineLevel="0" collapsed="false">
      <c r="A988" s="67" t="str">
        <f aca="false">IF(OR(TRIM(C988)="",SUBSTITUTE(C988," ","")="소계"),"제외",IF(ISNUMBER(SEARCH("홍콩",C988)),"HK",IF(ISNUMBER(SEARCH("상해",C988)),"CN",IF(ISNUMBER(SEARCH("대만",C988)),"TW","홀세일"))))</f>
        <v>홀세일</v>
      </c>
      <c r="B988" s="87" t="s">
        <v>1319</v>
      </c>
      <c r="C988" s="87" t="s">
        <v>1320</v>
      </c>
      <c r="D988" s="88" t="s">
        <v>178</v>
      </c>
      <c r="E988" s="87" t="n">
        <v>2026</v>
      </c>
      <c r="F988" s="88" t="s">
        <v>277</v>
      </c>
      <c r="G988" s="88" t="s">
        <v>180</v>
      </c>
      <c r="H988" s="87" t="s">
        <v>246</v>
      </c>
      <c r="I988" s="87" t="s">
        <v>398</v>
      </c>
      <c r="J988" s="87" t="s">
        <v>399</v>
      </c>
      <c r="K988" s="89" t="n">
        <v>40</v>
      </c>
      <c r="L988" s="89" t="n">
        <v>4760000</v>
      </c>
      <c r="M988" s="89" t="n">
        <v>1698000</v>
      </c>
      <c r="N988" s="90" t="n">
        <f aca="false">IF(A988="제외",0,IF(OR(N(L988)&lt;=0,N(M988)&gt;N(L988)),N(M988)/가정!$B$4,N(L988)))</f>
        <v>4760000</v>
      </c>
      <c r="O988" s="67" t="str">
        <f aca="false">IF(A988="제외","",IF(OR(N(L988)&lt;=0,N(M988)&gt;N(L988)),"택가보정(판매금액÷공급율)",""))</f>
        <v/>
      </c>
    </row>
    <row r="989" customFormat="false" ht="15" hidden="false" customHeight="true" outlineLevel="0" collapsed="false">
      <c r="A989" s="67" t="str">
        <f aca="false">IF(OR(TRIM(C989)="",SUBSTITUTE(C989," ","")="소계"),"제외",IF(ISNUMBER(SEARCH("홍콩",C989)),"HK",IF(ISNUMBER(SEARCH("상해",C989)),"CN",IF(ISNUMBER(SEARCH("대만",C989)),"TW","홀세일"))))</f>
        <v>홀세일</v>
      </c>
      <c r="B989" s="87" t="s">
        <v>1319</v>
      </c>
      <c r="C989" s="87" t="s">
        <v>1320</v>
      </c>
      <c r="D989" s="88" t="s">
        <v>178</v>
      </c>
      <c r="E989" s="87" t="n">
        <v>2026</v>
      </c>
      <c r="F989" s="88" t="s">
        <v>277</v>
      </c>
      <c r="G989" s="88" t="s">
        <v>180</v>
      </c>
      <c r="H989" s="87" t="s">
        <v>246</v>
      </c>
      <c r="I989" s="87" t="s">
        <v>1353</v>
      </c>
      <c r="J989" s="87" t="s">
        <v>1354</v>
      </c>
      <c r="K989" s="89" t="n">
        <v>40</v>
      </c>
      <c r="L989" s="89" t="n">
        <v>6360000</v>
      </c>
      <c r="M989" s="89" t="n">
        <v>2404560</v>
      </c>
      <c r="N989" s="90" t="n">
        <f aca="false">IF(A989="제외",0,IF(OR(N(L989)&lt;=0,N(M989)&gt;N(L989)),N(M989)/가정!$B$4,N(L989)))</f>
        <v>6360000</v>
      </c>
      <c r="O989" s="67" t="str">
        <f aca="false">IF(A989="제외","",IF(OR(N(L989)&lt;=0,N(M989)&gt;N(L989)),"택가보정(판매금액÷공급율)",""))</f>
        <v/>
      </c>
    </row>
    <row r="990" customFormat="false" ht="15" hidden="false" customHeight="true" outlineLevel="0" collapsed="false">
      <c r="A990" s="67" t="str">
        <f aca="false">IF(OR(TRIM(C990)="",SUBSTITUTE(C990," ","")="소계"),"제외",IF(ISNUMBER(SEARCH("홍콩",C990)),"HK",IF(ISNUMBER(SEARCH("상해",C990)),"CN",IF(ISNUMBER(SEARCH("대만",C990)),"TW","홀세일"))))</f>
        <v>홀세일</v>
      </c>
      <c r="B990" s="87" t="s">
        <v>1319</v>
      </c>
      <c r="C990" s="87" t="s">
        <v>1320</v>
      </c>
      <c r="D990" s="88" t="s">
        <v>178</v>
      </c>
      <c r="E990" s="87" t="n">
        <v>2026</v>
      </c>
      <c r="F990" s="88" t="s">
        <v>277</v>
      </c>
      <c r="G990" s="88" t="s">
        <v>180</v>
      </c>
      <c r="H990" s="87" t="s">
        <v>246</v>
      </c>
      <c r="I990" s="87" t="s">
        <v>404</v>
      </c>
      <c r="J990" s="87" t="s">
        <v>405</v>
      </c>
      <c r="K990" s="89" t="n">
        <v>50</v>
      </c>
      <c r="L990" s="89" t="n">
        <v>9450000</v>
      </c>
      <c r="M990" s="89" t="n">
        <v>3432100</v>
      </c>
      <c r="N990" s="90" t="n">
        <f aca="false">IF(A990="제외",0,IF(OR(N(L990)&lt;=0,N(M990)&gt;N(L990)),N(M990)/가정!$B$4,N(L990)))</f>
        <v>9450000</v>
      </c>
      <c r="O990" s="67" t="str">
        <f aca="false">IF(A990="제외","",IF(OR(N(L990)&lt;=0,N(M990)&gt;N(L990)),"택가보정(판매금액÷공급율)",""))</f>
        <v/>
      </c>
    </row>
    <row r="991" customFormat="false" ht="15" hidden="false" customHeight="true" outlineLevel="0" collapsed="false">
      <c r="A991" s="67" t="str">
        <f aca="false">IF(OR(TRIM(C991)="",SUBSTITUTE(C991," ","")="소계"),"제외",IF(ISNUMBER(SEARCH("홍콩",C991)),"HK",IF(ISNUMBER(SEARCH("상해",C991)),"CN",IF(ISNUMBER(SEARCH("대만",C991)),"TW","홀세일"))))</f>
        <v>홀세일</v>
      </c>
      <c r="B991" s="87" t="s">
        <v>1319</v>
      </c>
      <c r="C991" s="87" t="s">
        <v>1320</v>
      </c>
      <c r="D991" s="88" t="s">
        <v>178</v>
      </c>
      <c r="E991" s="87" t="n">
        <v>2026</v>
      </c>
      <c r="F991" s="88" t="s">
        <v>277</v>
      </c>
      <c r="G991" s="88" t="s">
        <v>180</v>
      </c>
      <c r="H991" s="87" t="s">
        <v>246</v>
      </c>
      <c r="I991" s="87" t="s">
        <v>1355</v>
      </c>
      <c r="J991" s="87" t="s">
        <v>1356</v>
      </c>
      <c r="K991" s="89" t="n">
        <v>20</v>
      </c>
      <c r="L991" s="89" t="n">
        <v>2580000</v>
      </c>
      <c r="M991" s="89" t="n">
        <v>937480</v>
      </c>
      <c r="N991" s="90" t="n">
        <f aca="false">IF(A991="제외",0,IF(OR(N(L991)&lt;=0,N(M991)&gt;N(L991)),N(M991)/가정!$B$4,N(L991)))</f>
        <v>2580000</v>
      </c>
      <c r="O991" s="67" t="str">
        <f aca="false">IF(A991="제외","",IF(OR(N(L991)&lt;=0,N(M991)&gt;N(L991)),"택가보정(판매금액÷공급율)",""))</f>
        <v/>
      </c>
    </row>
    <row r="992" customFormat="false" ht="15" hidden="false" customHeight="true" outlineLevel="0" collapsed="false">
      <c r="A992" s="67" t="str">
        <f aca="false">IF(OR(TRIM(C992)="",SUBSTITUTE(C992," ","")="소계"),"제외",IF(ISNUMBER(SEARCH("홍콩",C992)),"HK",IF(ISNUMBER(SEARCH("상해",C992)),"CN",IF(ISNUMBER(SEARCH("대만",C992)),"TW","홀세일"))))</f>
        <v>홀세일</v>
      </c>
      <c r="B992" s="87" t="s">
        <v>1319</v>
      </c>
      <c r="C992" s="87" t="s">
        <v>1320</v>
      </c>
      <c r="D992" s="88" t="s">
        <v>178</v>
      </c>
      <c r="E992" s="87" t="n">
        <v>2026</v>
      </c>
      <c r="F992" s="88" t="s">
        <v>277</v>
      </c>
      <c r="G992" s="88" t="s">
        <v>180</v>
      </c>
      <c r="H992" s="87" t="s">
        <v>246</v>
      </c>
      <c r="I992" s="87" t="s">
        <v>903</v>
      </c>
      <c r="J992" s="87" t="s">
        <v>904</v>
      </c>
      <c r="K992" s="89" t="n">
        <v>40</v>
      </c>
      <c r="L992" s="89" t="n">
        <v>7160000</v>
      </c>
      <c r="M992" s="89" t="n">
        <v>2552720</v>
      </c>
      <c r="N992" s="90" t="n">
        <f aca="false">IF(A992="제외",0,IF(OR(N(L992)&lt;=0,N(M992)&gt;N(L992)),N(M992)/가정!$B$4,N(L992)))</f>
        <v>7160000</v>
      </c>
      <c r="O992" s="67" t="str">
        <f aca="false">IF(A992="제외","",IF(OR(N(L992)&lt;=0,N(M992)&gt;N(L992)),"택가보정(판매금액÷공급율)",""))</f>
        <v/>
      </c>
    </row>
    <row r="993" customFormat="false" ht="15" hidden="false" customHeight="true" outlineLevel="0" collapsed="false">
      <c r="A993" s="67" t="str">
        <f aca="false">IF(OR(TRIM(C993)="",SUBSTITUTE(C993," ","")="소계"),"제외",IF(ISNUMBER(SEARCH("홍콩",C993)),"HK",IF(ISNUMBER(SEARCH("상해",C993)),"CN",IF(ISNUMBER(SEARCH("대만",C993)),"TW","홀세일"))))</f>
        <v>홀세일</v>
      </c>
      <c r="B993" s="87" t="s">
        <v>1319</v>
      </c>
      <c r="C993" s="87" t="s">
        <v>1320</v>
      </c>
      <c r="D993" s="88" t="s">
        <v>178</v>
      </c>
      <c r="E993" s="87" t="n">
        <v>2026</v>
      </c>
      <c r="F993" s="88" t="s">
        <v>277</v>
      </c>
      <c r="G993" s="88" t="s">
        <v>180</v>
      </c>
      <c r="H993" s="87" t="s">
        <v>246</v>
      </c>
      <c r="I993" s="87" t="s">
        <v>408</v>
      </c>
      <c r="J993" s="87" t="s">
        <v>409</v>
      </c>
      <c r="K993" s="89" t="n">
        <v>15</v>
      </c>
      <c r="L993" s="89" t="n">
        <v>2385000</v>
      </c>
      <c r="M993" s="89" t="n">
        <v>879435</v>
      </c>
      <c r="N993" s="90" t="n">
        <f aca="false">IF(A993="제외",0,IF(OR(N(L993)&lt;=0,N(M993)&gt;N(L993)),N(M993)/가정!$B$4,N(L993)))</f>
        <v>2385000</v>
      </c>
      <c r="O993" s="67" t="str">
        <f aca="false">IF(A993="제외","",IF(OR(N(L993)&lt;=0,N(M993)&gt;N(L993)),"택가보정(판매금액÷공급율)",""))</f>
        <v/>
      </c>
    </row>
    <row r="994" customFormat="false" ht="15" hidden="false" customHeight="true" outlineLevel="0" collapsed="false">
      <c r="A994" s="67" t="str">
        <f aca="false">IF(OR(TRIM(C994)="",SUBSTITUTE(C994," ","")="소계"),"제외",IF(ISNUMBER(SEARCH("홍콩",C994)),"HK",IF(ISNUMBER(SEARCH("상해",C994)),"CN",IF(ISNUMBER(SEARCH("대만",C994)),"TW","홀세일"))))</f>
        <v>홀세일</v>
      </c>
      <c r="B994" s="87" t="s">
        <v>1319</v>
      </c>
      <c r="C994" s="87" t="s">
        <v>1320</v>
      </c>
      <c r="D994" s="88" t="s">
        <v>178</v>
      </c>
      <c r="E994" s="87" t="n">
        <v>2026</v>
      </c>
      <c r="F994" s="88" t="s">
        <v>277</v>
      </c>
      <c r="G994" s="88" t="s">
        <v>180</v>
      </c>
      <c r="H994" s="87" t="s">
        <v>246</v>
      </c>
      <c r="I994" s="87" t="s">
        <v>1357</v>
      </c>
      <c r="J994" s="87" t="s">
        <v>1358</v>
      </c>
      <c r="K994" s="89" t="n">
        <v>30</v>
      </c>
      <c r="L994" s="89" t="n">
        <v>2670000</v>
      </c>
      <c r="M994" s="89" t="n">
        <v>952980</v>
      </c>
      <c r="N994" s="90" t="n">
        <f aca="false">IF(A994="제외",0,IF(OR(N(L994)&lt;=0,N(M994)&gt;N(L994)),N(M994)/가정!$B$4,N(L994)))</f>
        <v>2670000</v>
      </c>
      <c r="O994" s="67" t="str">
        <f aca="false">IF(A994="제외","",IF(OR(N(L994)&lt;=0,N(M994)&gt;N(L994)),"택가보정(판매금액÷공급율)",""))</f>
        <v/>
      </c>
    </row>
    <row r="995" customFormat="false" ht="15" hidden="false" customHeight="true" outlineLevel="0" collapsed="false">
      <c r="A995" s="67" t="str">
        <f aca="false">IF(OR(TRIM(C995)="",SUBSTITUTE(C995," ","")="소계"),"제외",IF(ISNUMBER(SEARCH("홍콩",C995)),"HK",IF(ISNUMBER(SEARCH("상해",C995)),"CN",IF(ISNUMBER(SEARCH("대만",C995)),"TW","홀세일"))))</f>
        <v>홀세일</v>
      </c>
      <c r="B995" s="87" t="s">
        <v>1319</v>
      </c>
      <c r="C995" s="87" t="s">
        <v>1320</v>
      </c>
      <c r="D995" s="88" t="s">
        <v>178</v>
      </c>
      <c r="E995" s="87" t="n">
        <v>2026</v>
      </c>
      <c r="F995" s="88" t="s">
        <v>277</v>
      </c>
      <c r="G995" s="88" t="s">
        <v>180</v>
      </c>
      <c r="H995" s="87" t="s">
        <v>246</v>
      </c>
      <c r="I995" s="87" t="s">
        <v>1359</v>
      </c>
      <c r="J995" s="87" t="s">
        <v>1360</v>
      </c>
      <c r="K995" s="89" t="n">
        <v>20</v>
      </c>
      <c r="L995" s="89" t="n">
        <v>1980000</v>
      </c>
      <c r="M995" s="89" t="n">
        <v>706560</v>
      </c>
      <c r="N995" s="90" t="n">
        <f aca="false">IF(A995="제외",0,IF(OR(N(L995)&lt;=0,N(M995)&gt;N(L995)),N(M995)/가정!$B$4,N(L995)))</f>
        <v>1980000</v>
      </c>
      <c r="O995" s="67" t="str">
        <f aca="false">IF(A995="제외","",IF(OR(N(L995)&lt;=0,N(M995)&gt;N(L995)),"택가보정(판매금액÷공급율)",""))</f>
        <v/>
      </c>
    </row>
    <row r="996" customFormat="false" ht="15" hidden="false" customHeight="true" outlineLevel="0" collapsed="false">
      <c r="A996" s="67" t="str">
        <f aca="false">IF(OR(TRIM(C996)="",SUBSTITUTE(C996," ","")="소계"),"제외",IF(ISNUMBER(SEARCH("홍콩",C996)),"HK",IF(ISNUMBER(SEARCH("상해",C996)),"CN",IF(ISNUMBER(SEARCH("대만",C996)),"TW","홀세일"))))</f>
        <v>홀세일</v>
      </c>
      <c r="B996" s="87" t="s">
        <v>1319</v>
      </c>
      <c r="C996" s="87" t="s">
        <v>1320</v>
      </c>
      <c r="D996" s="88" t="s">
        <v>178</v>
      </c>
      <c r="E996" s="87" t="n">
        <v>2026</v>
      </c>
      <c r="F996" s="88" t="s">
        <v>277</v>
      </c>
      <c r="G996" s="88" t="s">
        <v>180</v>
      </c>
      <c r="H996" s="87" t="s">
        <v>246</v>
      </c>
      <c r="I996" s="87" t="s">
        <v>1361</v>
      </c>
      <c r="J996" s="87" t="s">
        <v>1362</v>
      </c>
      <c r="K996" s="89" t="n">
        <v>20</v>
      </c>
      <c r="L996" s="89" t="n">
        <v>1980000</v>
      </c>
      <c r="M996" s="89" t="n">
        <v>730660</v>
      </c>
      <c r="N996" s="90" t="n">
        <f aca="false">IF(A996="제외",0,IF(OR(N(L996)&lt;=0,N(M996)&gt;N(L996)),N(M996)/가정!$B$4,N(L996)))</f>
        <v>1980000</v>
      </c>
      <c r="O996" s="67" t="str">
        <f aca="false">IF(A996="제외","",IF(OR(N(L996)&lt;=0,N(M996)&gt;N(L996)),"택가보정(판매금액÷공급율)",""))</f>
        <v/>
      </c>
    </row>
    <row r="997" customFormat="false" ht="15" hidden="false" customHeight="true" outlineLevel="0" collapsed="false">
      <c r="A997" s="67" t="str">
        <f aca="false">IF(OR(TRIM(C997)="",SUBSTITUTE(C997," ","")="소계"),"제외",IF(ISNUMBER(SEARCH("홍콩",C997)),"HK",IF(ISNUMBER(SEARCH("상해",C997)),"CN",IF(ISNUMBER(SEARCH("대만",C997)),"TW","홀세일"))))</f>
        <v>홀세일</v>
      </c>
      <c r="B997" s="87" t="s">
        <v>1319</v>
      </c>
      <c r="C997" s="87" t="s">
        <v>1320</v>
      </c>
      <c r="D997" s="88" t="s">
        <v>178</v>
      </c>
      <c r="E997" s="87" t="n">
        <v>2026</v>
      </c>
      <c r="F997" s="88" t="s">
        <v>277</v>
      </c>
      <c r="G997" s="88" t="s">
        <v>180</v>
      </c>
      <c r="H997" s="87" t="s">
        <v>246</v>
      </c>
      <c r="I997" s="87" t="s">
        <v>412</v>
      </c>
      <c r="J997" s="87" t="s">
        <v>413</v>
      </c>
      <c r="K997" s="89" t="n">
        <v>30</v>
      </c>
      <c r="L997" s="89" t="n">
        <v>3270000</v>
      </c>
      <c r="M997" s="89" t="n">
        <v>1166670</v>
      </c>
      <c r="N997" s="90" t="n">
        <f aca="false">IF(A997="제외",0,IF(OR(N(L997)&lt;=0,N(M997)&gt;N(L997)),N(M997)/가정!$B$4,N(L997)))</f>
        <v>3270000</v>
      </c>
      <c r="O997" s="67" t="str">
        <f aca="false">IF(A997="제외","",IF(OR(N(L997)&lt;=0,N(M997)&gt;N(L997)),"택가보정(판매금액÷공급율)",""))</f>
        <v/>
      </c>
    </row>
    <row r="998" customFormat="false" ht="15" hidden="false" customHeight="true" outlineLevel="0" collapsed="false">
      <c r="A998" s="67" t="str">
        <f aca="false">IF(OR(TRIM(C998)="",SUBSTITUTE(C998," ","")="소계"),"제외",IF(ISNUMBER(SEARCH("홍콩",C998)),"HK",IF(ISNUMBER(SEARCH("상해",C998)),"CN",IF(ISNUMBER(SEARCH("대만",C998)),"TW","홀세일"))))</f>
        <v>홀세일</v>
      </c>
      <c r="B998" s="87" t="s">
        <v>1319</v>
      </c>
      <c r="C998" s="87" t="s">
        <v>1320</v>
      </c>
      <c r="D998" s="88" t="s">
        <v>178</v>
      </c>
      <c r="E998" s="87" t="n">
        <v>2026</v>
      </c>
      <c r="F998" s="88" t="s">
        <v>277</v>
      </c>
      <c r="G998" s="88" t="s">
        <v>180</v>
      </c>
      <c r="H998" s="87" t="s">
        <v>246</v>
      </c>
      <c r="I998" s="87" t="s">
        <v>1110</v>
      </c>
      <c r="J998" s="87" t="s">
        <v>1111</v>
      </c>
      <c r="K998" s="89" t="n">
        <v>30</v>
      </c>
      <c r="L998" s="89" t="n">
        <v>3870000</v>
      </c>
      <c r="M998" s="89" t="n">
        <v>1427430</v>
      </c>
      <c r="N998" s="90" t="n">
        <f aca="false">IF(A998="제외",0,IF(OR(N(L998)&lt;=0,N(M998)&gt;N(L998)),N(M998)/가정!$B$4,N(L998)))</f>
        <v>3870000</v>
      </c>
      <c r="O998" s="67" t="str">
        <f aca="false">IF(A998="제외","",IF(OR(N(L998)&lt;=0,N(M998)&gt;N(L998)),"택가보정(판매금액÷공급율)",""))</f>
        <v/>
      </c>
    </row>
    <row r="999" customFormat="false" ht="15" hidden="false" customHeight="true" outlineLevel="0" collapsed="false">
      <c r="A999" s="67" t="str">
        <f aca="false">IF(OR(TRIM(C999)="",SUBSTITUTE(C999," ","")="소계"),"제외",IF(ISNUMBER(SEARCH("홍콩",C999)),"HK",IF(ISNUMBER(SEARCH("상해",C999)),"CN",IF(ISNUMBER(SEARCH("대만",C999)),"TW","홀세일"))))</f>
        <v>홀세일</v>
      </c>
      <c r="B999" s="87" t="s">
        <v>1319</v>
      </c>
      <c r="C999" s="87" t="s">
        <v>1320</v>
      </c>
      <c r="D999" s="88" t="s">
        <v>178</v>
      </c>
      <c r="E999" s="87" t="n">
        <v>2026</v>
      </c>
      <c r="F999" s="88" t="s">
        <v>277</v>
      </c>
      <c r="G999" s="88" t="s">
        <v>180</v>
      </c>
      <c r="H999" s="87" t="s">
        <v>246</v>
      </c>
      <c r="I999" s="87" t="s">
        <v>905</v>
      </c>
      <c r="J999" s="87" t="s">
        <v>906</v>
      </c>
      <c r="K999" s="89" t="n">
        <v>35</v>
      </c>
      <c r="L999" s="89" t="n">
        <v>2065000</v>
      </c>
      <c r="M999" s="89" t="n">
        <v>747670</v>
      </c>
      <c r="N999" s="90" t="n">
        <f aca="false">IF(A999="제외",0,IF(OR(N(L999)&lt;=0,N(M999)&gt;N(L999)),N(M999)/가정!$B$4,N(L999)))</f>
        <v>2065000</v>
      </c>
      <c r="O999" s="67" t="str">
        <f aca="false">IF(A999="제외","",IF(OR(N(L999)&lt;=0,N(M999)&gt;N(L999)),"택가보정(판매금액÷공급율)",""))</f>
        <v/>
      </c>
    </row>
    <row r="1000" customFormat="false" ht="15" hidden="false" customHeight="true" outlineLevel="0" collapsed="false">
      <c r="A1000" s="67" t="str">
        <f aca="false">IF(OR(TRIM(C1000)="",SUBSTITUTE(C1000," ","")="소계"),"제외",IF(ISNUMBER(SEARCH("홍콩",C1000)),"HK",IF(ISNUMBER(SEARCH("상해",C1000)),"CN",IF(ISNUMBER(SEARCH("대만",C1000)),"TW","홀세일"))))</f>
        <v>홀세일</v>
      </c>
      <c r="B1000" s="87" t="s">
        <v>1319</v>
      </c>
      <c r="C1000" s="87" t="s">
        <v>1320</v>
      </c>
      <c r="D1000" s="88" t="s">
        <v>178</v>
      </c>
      <c r="E1000" s="87" t="n">
        <v>2026</v>
      </c>
      <c r="F1000" s="88" t="s">
        <v>277</v>
      </c>
      <c r="G1000" s="88" t="s">
        <v>180</v>
      </c>
      <c r="H1000" s="87" t="s">
        <v>246</v>
      </c>
      <c r="I1000" s="87" t="s">
        <v>911</v>
      </c>
      <c r="J1000" s="87" t="s">
        <v>912</v>
      </c>
      <c r="K1000" s="89" t="n">
        <v>30</v>
      </c>
      <c r="L1000" s="89" t="n">
        <v>1770000</v>
      </c>
      <c r="M1000" s="89" t="n">
        <v>766110</v>
      </c>
      <c r="N1000" s="90" t="n">
        <f aca="false">IF(A1000="제외",0,IF(OR(N(L1000)&lt;=0,N(M1000)&gt;N(L1000)),N(M1000)/가정!$B$4,N(L1000)))</f>
        <v>1770000</v>
      </c>
      <c r="O1000" s="67" t="str">
        <f aca="false">IF(A1000="제외","",IF(OR(N(L1000)&lt;=0,N(M1000)&gt;N(L1000)),"택가보정(판매금액÷공급율)",""))</f>
        <v/>
      </c>
    </row>
    <row r="1001" customFormat="false" ht="15" hidden="false" customHeight="true" outlineLevel="0" collapsed="false">
      <c r="A1001" s="67" t="str">
        <f aca="false">IF(OR(TRIM(C1001)="",SUBSTITUTE(C1001," ","")="소계"),"제외",IF(ISNUMBER(SEARCH("홍콩",C1001)),"HK",IF(ISNUMBER(SEARCH("상해",C1001)),"CN",IF(ISNUMBER(SEARCH("대만",C1001)),"TW","홀세일"))))</f>
        <v>홀세일</v>
      </c>
      <c r="B1001" s="87" t="s">
        <v>1319</v>
      </c>
      <c r="C1001" s="87" t="s">
        <v>1320</v>
      </c>
      <c r="D1001" s="88" t="s">
        <v>178</v>
      </c>
      <c r="E1001" s="87" t="n">
        <v>2026</v>
      </c>
      <c r="F1001" s="88" t="s">
        <v>277</v>
      </c>
      <c r="G1001" s="88" t="s">
        <v>180</v>
      </c>
      <c r="H1001" s="87" t="s">
        <v>246</v>
      </c>
      <c r="I1001" s="87" t="s">
        <v>915</v>
      </c>
      <c r="J1001" s="87" t="s">
        <v>916</v>
      </c>
      <c r="K1001" s="89" t="n">
        <v>15</v>
      </c>
      <c r="L1001" s="89" t="n">
        <v>885000</v>
      </c>
      <c r="M1001" s="89" t="n">
        <v>327690</v>
      </c>
      <c r="N1001" s="90" t="n">
        <f aca="false">IF(A1001="제외",0,IF(OR(N(L1001)&lt;=0,N(M1001)&gt;N(L1001)),N(M1001)/가정!$B$4,N(L1001)))</f>
        <v>885000</v>
      </c>
      <c r="O1001" s="67" t="str">
        <f aca="false">IF(A1001="제외","",IF(OR(N(L1001)&lt;=0,N(M1001)&gt;N(L1001)),"택가보정(판매금액÷공급율)",""))</f>
        <v/>
      </c>
    </row>
    <row r="1002" customFormat="false" ht="15" hidden="false" customHeight="true" outlineLevel="0" collapsed="false">
      <c r="A1002" s="67" t="str">
        <f aca="false">IF(OR(TRIM(C1002)="",SUBSTITUTE(C1002," ","")="소계"),"제외",IF(ISNUMBER(SEARCH("홍콩",C1002)),"HK",IF(ISNUMBER(SEARCH("상해",C1002)),"CN",IF(ISNUMBER(SEARCH("대만",C1002)),"TW","홀세일"))))</f>
        <v>홀세일</v>
      </c>
      <c r="B1002" s="87" t="s">
        <v>1319</v>
      </c>
      <c r="C1002" s="87" t="s">
        <v>1320</v>
      </c>
      <c r="D1002" s="88" t="s">
        <v>178</v>
      </c>
      <c r="E1002" s="87" t="n">
        <v>2026</v>
      </c>
      <c r="F1002" s="88" t="s">
        <v>277</v>
      </c>
      <c r="G1002" s="88" t="s">
        <v>180</v>
      </c>
      <c r="H1002" s="87" t="s">
        <v>246</v>
      </c>
      <c r="I1002" s="87" t="s">
        <v>416</v>
      </c>
      <c r="J1002" s="87" t="s">
        <v>417</v>
      </c>
      <c r="K1002" s="89" t="n">
        <v>45</v>
      </c>
      <c r="L1002" s="89" t="n">
        <v>3555000</v>
      </c>
      <c r="M1002" s="89" t="n">
        <v>1269225</v>
      </c>
      <c r="N1002" s="90" t="n">
        <f aca="false">IF(A1002="제외",0,IF(OR(N(L1002)&lt;=0,N(M1002)&gt;N(L1002)),N(M1002)/가정!$B$4,N(L1002)))</f>
        <v>3555000</v>
      </c>
      <c r="O1002" s="67" t="str">
        <f aca="false">IF(A1002="제외","",IF(OR(N(L1002)&lt;=0,N(M1002)&gt;N(L1002)),"택가보정(판매금액÷공급율)",""))</f>
        <v/>
      </c>
    </row>
    <row r="1003" customFormat="false" ht="15" hidden="false" customHeight="true" outlineLevel="0" collapsed="false">
      <c r="A1003" s="67" t="str">
        <f aca="false">IF(OR(TRIM(C1003)="",SUBSTITUTE(C1003," ","")="소계"),"제외",IF(ISNUMBER(SEARCH("홍콩",C1003)),"HK",IF(ISNUMBER(SEARCH("상해",C1003)),"CN",IF(ISNUMBER(SEARCH("대만",C1003)),"TW","홀세일"))))</f>
        <v>홀세일</v>
      </c>
      <c r="B1003" s="87" t="s">
        <v>1319</v>
      </c>
      <c r="C1003" s="87" t="s">
        <v>1320</v>
      </c>
      <c r="D1003" s="88" t="s">
        <v>178</v>
      </c>
      <c r="E1003" s="87" t="n">
        <v>2026</v>
      </c>
      <c r="F1003" s="88" t="s">
        <v>421</v>
      </c>
      <c r="G1003" s="88" t="s">
        <v>188</v>
      </c>
      <c r="H1003" s="87" t="s">
        <v>189</v>
      </c>
      <c r="I1003" s="87" t="s">
        <v>424</v>
      </c>
      <c r="J1003" s="88" t="s">
        <v>425</v>
      </c>
      <c r="K1003" s="89" t="n">
        <v>50</v>
      </c>
      <c r="L1003" s="89" t="n">
        <v>7950000</v>
      </c>
      <c r="M1003" s="89" t="n">
        <v>2951850</v>
      </c>
      <c r="N1003" s="90" t="n">
        <f aca="false">IF(A1003="제외",0,IF(OR(N(L1003)&lt;=0,N(M1003)&gt;N(L1003)),N(M1003)/가정!$B$4,N(L1003)))</f>
        <v>7950000</v>
      </c>
      <c r="O1003" s="67" t="str">
        <f aca="false">IF(A1003="제외","",IF(OR(N(L1003)&lt;=0,N(M1003)&gt;N(L1003)),"택가보정(판매금액÷공급율)",""))</f>
        <v/>
      </c>
    </row>
    <row r="1004" customFormat="false" ht="15" hidden="false" customHeight="true" outlineLevel="0" collapsed="false">
      <c r="A1004" s="67" t="str">
        <f aca="false">IF(OR(TRIM(C1004)="",SUBSTITUTE(C1004," ","")="소계"),"제외",IF(ISNUMBER(SEARCH("홍콩",C1004)),"HK",IF(ISNUMBER(SEARCH("상해",C1004)),"CN",IF(ISNUMBER(SEARCH("대만",C1004)),"TW","홀세일"))))</f>
        <v>홀세일</v>
      </c>
      <c r="B1004" s="87" t="s">
        <v>1319</v>
      </c>
      <c r="C1004" s="87" t="s">
        <v>1320</v>
      </c>
      <c r="D1004" s="88" t="s">
        <v>178</v>
      </c>
      <c r="E1004" s="87" t="n">
        <v>2026</v>
      </c>
      <c r="F1004" s="88" t="s">
        <v>421</v>
      </c>
      <c r="G1004" s="88" t="s">
        <v>188</v>
      </c>
      <c r="H1004" s="87" t="s">
        <v>189</v>
      </c>
      <c r="I1004" s="87" t="s">
        <v>921</v>
      </c>
      <c r="J1004" s="87" t="s">
        <v>922</v>
      </c>
      <c r="K1004" s="89" t="n">
        <v>10</v>
      </c>
      <c r="L1004" s="89" t="n">
        <v>2590000</v>
      </c>
      <c r="M1004" s="89" t="n">
        <v>866320</v>
      </c>
      <c r="N1004" s="90" t="n">
        <f aca="false">IF(A1004="제외",0,IF(OR(N(L1004)&lt;=0,N(M1004)&gt;N(L1004)),N(M1004)/가정!$B$4,N(L1004)))</f>
        <v>2590000</v>
      </c>
      <c r="O1004" s="67" t="str">
        <f aca="false">IF(A1004="제외","",IF(OR(N(L1004)&lt;=0,N(M1004)&gt;N(L1004)),"택가보정(판매금액÷공급율)",""))</f>
        <v/>
      </c>
    </row>
    <row r="1005" customFormat="false" ht="15" hidden="false" customHeight="true" outlineLevel="0" collapsed="false">
      <c r="A1005" s="67" t="str">
        <f aca="false">IF(OR(TRIM(C1005)="",SUBSTITUTE(C1005," ","")="소계"),"제외",IF(ISNUMBER(SEARCH("홍콩",C1005)),"HK",IF(ISNUMBER(SEARCH("상해",C1005)),"CN",IF(ISNUMBER(SEARCH("대만",C1005)),"TW","홀세일"))))</f>
        <v>홀세일</v>
      </c>
      <c r="B1005" s="87" t="s">
        <v>1319</v>
      </c>
      <c r="C1005" s="87" t="s">
        <v>1320</v>
      </c>
      <c r="D1005" s="88" t="s">
        <v>178</v>
      </c>
      <c r="E1005" s="87" t="n">
        <v>2026</v>
      </c>
      <c r="F1005" s="88" t="s">
        <v>421</v>
      </c>
      <c r="G1005" s="88" t="s">
        <v>188</v>
      </c>
      <c r="H1005" s="87" t="s">
        <v>189</v>
      </c>
      <c r="I1005" s="87" t="s">
        <v>923</v>
      </c>
      <c r="J1005" s="87" t="s">
        <v>924</v>
      </c>
      <c r="K1005" s="89" t="n">
        <v>35</v>
      </c>
      <c r="L1005" s="89" t="n">
        <v>3815000</v>
      </c>
      <c r="M1005" s="89" t="n">
        <v>1275680</v>
      </c>
      <c r="N1005" s="90" t="n">
        <f aca="false">IF(A1005="제외",0,IF(OR(N(L1005)&lt;=0,N(M1005)&gt;N(L1005)),N(M1005)/가정!$B$4,N(L1005)))</f>
        <v>3815000</v>
      </c>
      <c r="O1005" s="67" t="str">
        <f aca="false">IF(A1005="제외","",IF(OR(N(L1005)&lt;=0,N(M1005)&gt;N(L1005)),"택가보정(판매금액÷공급율)",""))</f>
        <v/>
      </c>
    </row>
    <row r="1006" customFormat="false" ht="15" hidden="false" customHeight="true" outlineLevel="0" collapsed="false">
      <c r="A1006" s="67" t="str">
        <f aca="false">IF(OR(TRIM(C1006)="",SUBSTITUTE(C1006," ","")="소계"),"제외",IF(ISNUMBER(SEARCH("홍콩",C1006)),"HK",IF(ISNUMBER(SEARCH("상해",C1006)),"CN",IF(ISNUMBER(SEARCH("대만",C1006)),"TW","홀세일"))))</f>
        <v>홀세일</v>
      </c>
      <c r="B1006" s="87" t="s">
        <v>1319</v>
      </c>
      <c r="C1006" s="87" t="s">
        <v>1320</v>
      </c>
      <c r="D1006" s="88" t="s">
        <v>178</v>
      </c>
      <c r="E1006" s="87" t="n">
        <v>2026</v>
      </c>
      <c r="F1006" s="88" t="s">
        <v>421</v>
      </c>
      <c r="G1006" s="88" t="s">
        <v>188</v>
      </c>
      <c r="H1006" s="87" t="s">
        <v>189</v>
      </c>
      <c r="I1006" s="87" t="s">
        <v>426</v>
      </c>
      <c r="J1006" s="88" t="s">
        <v>427</v>
      </c>
      <c r="K1006" s="89" t="n">
        <v>50</v>
      </c>
      <c r="L1006" s="89" t="n">
        <v>4450000</v>
      </c>
      <c r="M1006" s="89" t="n">
        <v>1653350</v>
      </c>
      <c r="N1006" s="90" t="n">
        <f aca="false">IF(A1006="제외",0,IF(OR(N(L1006)&lt;=0,N(M1006)&gt;N(L1006)),N(M1006)/가정!$B$4,N(L1006)))</f>
        <v>4450000</v>
      </c>
      <c r="O1006" s="67" t="str">
        <f aca="false">IF(A1006="제외","",IF(OR(N(L1006)&lt;=0,N(M1006)&gt;N(L1006)),"택가보정(판매금액÷공급율)",""))</f>
        <v/>
      </c>
    </row>
    <row r="1007" customFormat="false" ht="15" hidden="false" customHeight="true" outlineLevel="0" collapsed="false">
      <c r="A1007" s="67" t="str">
        <f aca="false">IF(OR(TRIM(C1007)="",SUBSTITUTE(C1007," ","")="소계"),"제외",IF(ISNUMBER(SEARCH("홍콩",C1007)),"HK",IF(ISNUMBER(SEARCH("상해",C1007)),"CN",IF(ISNUMBER(SEARCH("대만",C1007)),"TW","홀세일"))))</f>
        <v>홀세일</v>
      </c>
      <c r="B1007" s="87" t="s">
        <v>1319</v>
      </c>
      <c r="C1007" s="87" t="s">
        <v>1320</v>
      </c>
      <c r="D1007" s="88" t="s">
        <v>178</v>
      </c>
      <c r="E1007" s="87" t="n">
        <v>2026</v>
      </c>
      <c r="F1007" s="88" t="s">
        <v>421</v>
      </c>
      <c r="G1007" s="88" t="s">
        <v>188</v>
      </c>
      <c r="H1007" s="87" t="s">
        <v>189</v>
      </c>
      <c r="I1007" s="87" t="s">
        <v>428</v>
      </c>
      <c r="J1007" s="88" t="s">
        <v>429</v>
      </c>
      <c r="K1007" s="89" t="n">
        <v>40</v>
      </c>
      <c r="L1007" s="89" t="n">
        <v>2760000</v>
      </c>
      <c r="M1007" s="89" t="n">
        <v>1026720</v>
      </c>
      <c r="N1007" s="90" t="n">
        <f aca="false">IF(A1007="제외",0,IF(OR(N(L1007)&lt;=0,N(M1007)&gt;N(L1007)),N(M1007)/가정!$B$4,N(L1007)))</f>
        <v>2760000</v>
      </c>
      <c r="O1007" s="67" t="str">
        <f aca="false">IF(A1007="제외","",IF(OR(N(L1007)&lt;=0,N(M1007)&gt;N(L1007)),"택가보정(판매금액÷공급율)",""))</f>
        <v/>
      </c>
    </row>
    <row r="1008" customFormat="false" ht="15" hidden="false" customHeight="true" outlineLevel="0" collapsed="false">
      <c r="A1008" s="67" t="str">
        <f aca="false">IF(OR(TRIM(C1008)="",SUBSTITUTE(C1008," ","")="소계"),"제외",IF(ISNUMBER(SEARCH("홍콩",C1008)),"HK",IF(ISNUMBER(SEARCH("상해",C1008)),"CN",IF(ISNUMBER(SEARCH("대만",C1008)),"TW","홀세일"))))</f>
        <v>홀세일</v>
      </c>
      <c r="B1008" s="87" t="s">
        <v>1319</v>
      </c>
      <c r="C1008" s="87" t="s">
        <v>1320</v>
      </c>
      <c r="D1008" s="88" t="s">
        <v>178</v>
      </c>
      <c r="E1008" s="87" t="n">
        <v>2026</v>
      </c>
      <c r="F1008" s="88" t="s">
        <v>421</v>
      </c>
      <c r="G1008" s="88" t="s">
        <v>188</v>
      </c>
      <c r="H1008" s="87" t="s">
        <v>189</v>
      </c>
      <c r="I1008" s="87" t="s">
        <v>430</v>
      </c>
      <c r="J1008" s="87" t="s">
        <v>431</v>
      </c>
      <c r="K1008" s="89" t="n">
        <v>40</v>
      </c>
      <c r="L1008" s="89" t="n">
        <v>3960000</v>
      </c>
      <c r="M1008" s="89" t="n">
        <v>1327360</v>
      </c>
      <c r="N1008" s="90" t="n">
        <f aca="false">IF(A1008="제외",0,IF(OR(N(L1008)&lt;=0,N(M1008)&gt;N(L1008)),N(M1008)/가정!$B$4,N(L1008)))</f>
        <v>3960000</v>
      </c>
      <c r="O1008" s="67" t="str">
        <f aca="false">IF(A1008="제외","",IF(OR(N(L1008)&lt;=0,N(M1008)&gt;N(L1008)),"택가보정(판매금액÷공급율)",""))</f>
        <v/>
      </c>
    </row>
    <row r="1009" customFormat="false" ht="15" hidden="false" customHeight="true" outlineLevel="0" collapsed="false">
      <c r="A1009" s="67" t="str">
        <f aca="false">IF(OR(TRIM(C1009)="",SUBSTITUTE(C1009," ","")="소계"),"제외",IF(ISNUMBER(SEARCH("홍콩",C1009)),"HK",IF(ISNUMBER(SEARCH("상해",C1009)),"CN",IF(ISNUMBER(SEARCH("대만",C1009)),"TW","홀세일"))))</f>
        <v>홀세일</v>
      </c>
      <c r="B1009" s="87" t="s">
        <v>1319</v>
      </c>
      <c r="C1009" s="87" t="s">
        <v>1320</v>
      </c>
      <c r="D1009" s="88" t="s">
        <v>178</v>
      </c>
      <c r="E1009" s="87" t="n">
        <v>2026</v>
      </c>
      <c r="F1009" s="88" t="s">
        <v>421</v>
      </c>
      <c r="G1009" s="88" t="s">
        <v>188</v>
      </c>
      <c r="H1009" s="87" t="s">
        <v>189</v>
      </c>
      <c r="I1009" s="87" t="s">
        <v>434</v>
      </c>
      <c r="J1009" s="87" t="s">
        <v>435</v>
      </c>
      <c r="K1009" s="89" t="n">
        <v>50</v>
      </c>
      <c r="L1009" s="89" t="n">
        <v>4450000</v>
      </c>
      <c r="M1009" s="89" t="n">
        <v>1489200</v>
      </c>
      <c r="N1009" s="90" t="n">
        <f aca="false">IF(A1009="제외",0,IF(OR(N(L1009)&lt;=0,N(M1009)&gt;N(L1009)),N(M1009)/가정!$B$4,N(L1009)))</f>
        <v>4450000</v>
      </c>
      <c r="O1009" s="67" t="str">
        <f aca="false">IF(A1009="제외","",IF(OR(N(L1009)&lt;=0,N(M1009)&gt;N(L1009)),"택가보정(판매금액÷공급율)",""))</f>
        <v/>
      </c>
    </row>
    <row r="1010" customFormat="false" ht="15" hidden="false" customHeight="true" outlineLevel="0" collapsed="false">
      <c r="A1010" s="67" t="str">
        <f aca="false">IF(OR(TRIM(C1010)="",SUBSTITUTE(C1010," ","")="소계"),"제외",IF(ISNUMBER(SEARCH("홍콩",C1010)),"HK",IF(ISNUMBER(SEARCH("상해",C1010)),"CN",IF(ISNUMBER(SEARCH("대만",C1010)),"TW","홀세일"))))</f>
        <v>홀세일</v>
      </c>
      <c r="B1010" s="87" t="s">
        <v>1319</v>
      </c>
      <c r="C1010" s="87" t="s">
        <v>1320</v>
      </c>
      <c r="D1010" s="88" t="s">
        <v>178</v>
      </c>
      <c r="E1010" s="87" t="n">
        <v>2026</v>
      </c>
      <c r="F1010" s="88" t="s">
        <v>421</v>
      </c>
      <c r="G1010" s="88" t="s">
        <v>188</v>
      </c>
      <c r="H1010" s="87" t="s">
        <v>189</v>
      </c>
      <c r="I1010" s="87" t="s">
        <v>438</v>
      </c>
      <c r="J1010" s="88" t="s">
        <v>439</v>
      </c>
      <c r="K1010" s="89" t="n">
        <v>25</v>
      </c>
      <c r="L1010" s="89" t="n">
        <v>1475000</v>
      </c>
      <c r="M1010" s="89" t="n">
        <v>496400</v>
      </c>
      <c r="N1010" s="90" t="n">
        <f aca="false">IF(A1010="제외",0,IF(OR(N(L1010)&lt;=0,N(M1010)&gt;N(L1010)),N(M1010)/가정!$B$4,N(L1010)))</f>
        <v>1475000</v>
      </c>
      <c r="O1010" s="67" t="str">
        <f aca="false">IF(A1010="제외","",IF(OR(N(L1010)&lt;=0,N(M1010)&gt;N(L1010)),"택가보정(판매금액÷공급율)",""))</f>
        <v/>
      </c>
    </row>
    <row r="1011" customFormat="false" ht="15" hidden="false" customHeight="true" outlineLevel="0" collapsed="false">
      <c r="A1011" s="67" t="str">
        <f aca="false">IF(OR(TRIM(C1011)="",SUBSTITUTE(C1011," ","")="소계"),"제외",IF(ISNUMBER(SEARCH("홍콩",C1011)),"HK",IF(ISNUMBER(SEARCH("상해",C1011)),"CN",IF(ISNUMBER(SEARCH("대만",C1011)),"TW","홀세일"))))</f>
        <v>홀세일</v>
      </c>
      <c r="B1011" s="87" t="s">
        <v>1319</v>
      </c>
      <c r="C1011" s="87" t="s">
        <v>1320</v>
      </c>
      <c r="D1011" s="88" t="s">
        <v>178</v>
      </c>
      <c r="E1011" s="87" t="n">
        <v>2026</v>
      </c>
      <c r="F1011" s="88" t="s">
        <v>421</v>
      </c>
      <c r="G1011" s="88" t="s">
        <v>188</v>
      </c>
      <c r="H1011" s="87" t="s">
        <v>189</v>
      </c>
      <c r="I1011" s="87" t="s">
        <v>1112</v>
      </c>
      <c r="J1011" s="88" t="s">
        <v>1113</v>
      </c>
      <c r="K1011" s="89" t="n">
        <v>25</v>
      </c>
      <c r="L1011" s="89" t="n">
        <v>1475000</v>
      </c>
      <c r="M1011" s="89" t="n">
        <v>496400</v>
      </c>
      <c r="N1011" s="90" t="n">
        <f aca="false">IF(A1011="제외",0,IF(OR(N(L1011)&lt;=0,N(M1011)&gt;N(L1011)),N(M1011)/가정!$B$4,N(L1011)))</f>
        <v>1475000</v>
      </c>
      <c r="O1011" s="67" t="str">
        <f aca="false">IF(A1011="제외","",IF(OR(N(L1011)&lt;=0,N(M1011)&gt;N(L1011)),"택가보정(판매금액÷공급율)",""))</f>
        <v/>
      </c>
    </row>
    <row r="1012" customFormat="false" ht="15" hidden="false" customHeight="true" outlineLevel="0" collapsed="false">
      <c r="A1012" s="67" t="str">
        <f aca="false">IF(OR(TRIM(C1012)="",SUBSTITUTE(C1012," ","")="소계"),"제외",IF(ISNUMBER(SEARCH("홍콩",C1012)),"HK",IF(ISNUMBER(SEARCH("상해",C1012)),"CN",IF(ISNUMBER(SEARCH("대만",C1012)),"TW","홀세일"))))</f>
        <v>홀세일</v>
      </c>
      <c r="B1012" s="87" t="s">
        <v>1319</v>
      </c>
      <c r="C1012" s="87" t="s">
        <v>1320</v>
      </c>
      <c r="D1012" s="88" t="s">
        <v>178</v>
      </c>
      <c r="E1012" s="87" t="n">
        <v>2026</v>
      </c>
      <c r="F1012" s="88" t="s">
        <v>421</v>
      </c>
      <c r="G1012" s="88" t="s">
        <v>188</v>
      </c>
      <c r="H1012" s="87" t="s">
        <v>189</v>
      </c>
      <c r="I1012" s="87" t="s">
        <v>442</v>
      </c>
      <c r="J1012" s="87" t="s">
        <v>443</v>
      </c>
      <c r="K1012" s="89" t="n">
        <v>20</v>
      </c>
      <c r="L1012" s="89" t="n">
        <v>1580000</v>
      </c>
      <c r="M1012" s="89" t="n">
        <v>530400</v>
      </c>
      <c r="N1012" s="90" t="n">
        <f aca="false">IF(A1012="제외",0,IF(OR(N(L1012)&lt;=0,N(M1012)&gt;N(L1012)),N(M1012)/가정!$B$4,N(L1012)))</f>
        <v>1580000</v>
      </c>
      <c r="O1012" s="67" t="str">
        <f aca="false">IF(A1012="제외","",IF(OR(N(L1012)&lt;=0,N(M1012)&gt;N(L1012)),"택가보정(판매금액÷공급율)",""))</f>
        <v/>
      </c>
    </row>
    <row r="1013" customFormat="false" ht="15" hidden="false" customHeight="true" outlineLevel="0" collapsed="false">
      <c r="A1013" s="67" t="str">
        <f aca="false">IF(OR(TRIM(C1013)="",SUBSTITUTE(C1013," ","")="소계"),"제외",IF(ISNUMBER(SEARCH("홍콩",C1013)),"HK",IF(ISNUMBER(SEARCH("상해",C1013)),"CN",IF(ISNUMBER(SEARCH("대만",C1013)),"TW","홀세일"))))</f>
        <v>홀세일</v>
      </c>
      <c r="B1013" s="87" t="s">
        <v>1319</v>
      </c>
      <c r="C1013" s="87" t="s">
        <v>1320</v>
      </c>
      <c r="D1013" s="88" t="s">
        <v>178</v>
      </c>
      <c r="E1013" s="87" t="n">
        <v>2026</v>
      </c>
      <c r="F1013" s="88" t="s">
        <v>421</v>
      </c>
      <c r="G1013" s="88" t="s">
        <v>188</v>
      </c>
      <c r="H1013" s="87" t="s">
        <v>189</v>
      </c>
      <c r="I1013" s="87" t="s">
        <v>925</v>
      </c>
      <c r="J1013" s="88" t="s">
        <v>926</v>
      </c>
      <c r="K1013" s="89" t="n">
        <v>60</v>
      </c>
      <c r="L1013" s="89" t="n">
        <v>2940000</v>
      </c>
      <c r="M1013" s="89" t="n">
        <v>987360</v>
      </c>
      <c r="N1013" s="90" t="n">
        <f aca="false">IF(A1013="제외",0,IF(OR(N(L1013)&lt;=0,N(M1013)&gt;N(L1013)),N(M1013)/가정!$B$4,N(L1013)))</f>
        <v>2940000</v>
      </c>
      <c r="O1013" s="67" t="str">
        <f aca="false">IF(A1013="제외","",IF(OR(N(L1013)&lt;=0,N(M1013)&gt;N(L1013)),"택가보정(판매금액÷공급율)",""))</f>
        <v/>
      </c>
    </row>
    <row r="1014" customFormat="false" ht="15" hidden="false" customHeight="true" outlineLevel="0" collapsed="false">
      <c r="A1014" s="67" t="str">
        <f aca="false">IF(OR(TRIM(C1014)="",SUBSTITUTE(C1014," ","")="소계"),"제외",IF(ISNUMBER(SEARCH("홍콩",C1014)),"HK",IF(ISNUMBER(SEARCH("상해",C1014)),"CN",IF(ISNUMBER(SEARCH("대만",C1014)),"TW","홀세일"))))</f>
        <v>홀세일</v>
      </c>
      <c r="B1014" s="87" t="s">
        <v>1319</v>
      </c>
      <c r="C1014" s="87" t="s">
        <v>1320</v>
      </c>
      <c r="D1014" s="88" t="s">
        <v>178</v>
      </c>
      <c r="E1014" s="87" t="n">
        <v>2026</v>
      </c>
      <c r="F1014" s="88" t="s">
        <v>421</v>
      </c>
      <c r="G1014" s="88" t="s">
        <v>188</v>
      </c>
      <c r="H1014" s="87" t="s">
        <v>189</v>
      </c>
      <c r="I1014" s="87" t="s">
        <v>927</v>
      </c>
      <c r="J1014" s="88" t="s">
        <v>928</v>
      </c>
      <c r="K1014" s="89" t="n">
        <v>65</v>
      </c>
      <c r="L1014" s="89" t="n">
        <v>3185000</v>
      </c>
      <c r="M1014" s="89" t="n">
        <v>1069640</v>
      </c>
      <c r="N1014" s="90" t="n">
        <f aca="false">IF(A1014="제외",0,IF(OR(N(L1014)&lt;=0,N(M1014)&gt;N(L1014)),N(M1014)/가정!$B$4,N(L1014)))</f>
        <v>3185000</v>
      </c>
      <c r="O1014" s="67" t="str">
        <f aca="false">IF(A1014="제외","",IF(OR(N(L1014)&lt;=0,N(M1014)&gt;N(L1014)),"택가보정(판매금액÷공급율)",""))</f>
        <v/>
      </c>
    </row>
    <row r="1015" customFormat="false" ht="15" hidden="false" customHeight="true" outlineLevel="0" collapsed="false">
      <c r="A1015" s="67" t="str">
        <f aca="false">IF(OR(TRIM(C1015)="",SUBSTITUTE(C1015," ","")="소계"),"제외",IF(ISNUMBER(SEARCH("홍콩",C1015)),"HK",IF(ISNUMBER(SEARCH("상해",C1015)),"CN",IF(ISNUMBER(SEARCH("대만",C1015)),"TW","홀세일"))))</f>
        <v>홀세일</v>
      </c>
      <c r="B1015" s="87" t="s">
        <v>1319</v>
      </c>
      <c r="C1015" s="87" t="s">
        <v>1320</v>
      </c>
      <c r="D1015" s="88" t="s">
        <v>178</v>
      </c>
      <c r="E1015" s="87" t="n">
        <v>2026</v>
      </c>
      <c r="F1015" s="88" t="s">
        <v>421</v>
      </c>
      <c r="G1015" s="88" t="s">
        <v>188</v>
      </c>
      <c r="H1015" s="87" t="s">
        <v>189</v>
      </c>
      <c r="I1015" s="87" t="s">
        <v>444</v>
      </c>
      <c r="J1015" s="88" t="s">
        <v>445</v>
      </c>
      <c r="K1015" s="89" t="n">
        <v>65</v>
      </c>
      <c r="L1015" s="89" t="n">
        <v>3185000</v>
      </c>
      <c r="M1015" s="89" t="n">
        <v>1069640</v>
      </c>
      <c r="N1015" s="90" t="n">
        <f aca="false">IF(A1015="제외",0,IF(OR(N(L1015)&lt;=0,N(M1015)&gt;N(L1015)),N(M1015)/가정!$B$4,N(L1015)))</f>
        <v>3185000</v>
      </c>
      <c r="O1015" s="67" t="str">
        <f aca="false">IF(A1015="제외","",IF(OR(N(L1015)&lt;=0,N(M1015)&gt;N(L1015)),"택가보정(판매금액÷공급율)",""))</f>
        <v/>
      </c>
    </row>
    <row r="1016" customFormat="false" ht="15" hidden="false" customHeight="true" outlineLevel="0" collapsed="false">
      <c r="A1016" s="67" t="str">
        <f aca="false">IF(OR(TRIM(C1016)="",SUBSTITUTE(C1016," ","")="소계"),"제외",IF(ISNUMBER(SEARCH("홍콩",C1016)),"HK",IF(ISNUMBER(SEARCH("상해",C1016)),"CN",IF(ISNUMBER(SEARCH("대만",C1016)),"TW","홀세일"))))</f>
        <v>홀세일</v>
      </c>
      <c r="B1016" s="87" t="s">
        <v>1319</v>
      </c>
      <c r="C1016" s="87" t="s">
        <v>1320</v>
      </c>
      <c r="D1016" s="88" t="s">
        <v>178</v>
      </c>
      <c r="E1016" s="87" t="n">
        <v>2026</v>
      </c>
      <c r="F1016" s="88" t="s">
        <v>421</v>
      </c>
      <c r="G1016" s="88" t="s">
        <v>188</v>
      </c>
      <c r="H1016" s="87" t="s">
        <v>189</v>
      </c>
      <c r="I1016" s="87" t="s">
        <v>1363</v>
      </c>
      <c r="J1016" s="87" t="s">
        <v>1364</v>
      </c>
      <c r="K1016" s="89" t="n">
        <v>40</v>
      </c>
      <c r="L1016" s="89" t="n">
        <v>2360000</v>
      </c>
      <c r="M1016" s="89" t="n">
        <v>794240</v>
      </c>
      <c r="N1016" s="90" t="n">
        <f aca="false">IF(A1016="제외",0,IF(OR(N(L1016)&lt;=0,N(M1016)&gt;N(L1016)),N(M1016)/가정!$B$4,N(L1016)))</f>
        <v>2360000</v>
      </c>
      <c r="O1016" s="67" t="str">
        <f aca="false">IF(A1016="제외","",IF(OR(N(L1016)&lt;=0,N(M1016)&gt;N(L1016)),"택가보정(판매금액÷공급율)",""))</f>
        <v/>
      </c>
    </row>
    <row r="1017" customFormat="false" ht="15" hidden="false" customHeight="true" outlineLevel="0" collapsed="false">
      <c r="A1017" s="67" t="str">
        <f aca="false">IF(OR(TRIM(C1017)="",SUBSTITUTE(C1017," ","")="소계"),"제외",IF(ISNUMBER(SEARCH("홍콩",C1017)),"HK",IF(ISNUMBER(SEARCH("상해",C1017)),"CN",IF(ISNUMBER(SEARCH("대만",C1017)),"TW","홀세일"))))</f>
        <v>홀세일</v>
      </c>
      <c r="B1017" s="87" t="s">
        <v>1319</v>
      </c>
      <c r="C1017" s="87" t="s">
        <v>1320</v>
      </c>
      <c r="D1017" s="88" t="s">
        <v>178</v>
      </c>
      <c r="E1017" s="87" t="n">
        <v>2026</v>
      </c>
      <c r="F1017" s="88" t="s">
        <v>421</v>
      </c>
      <c r="G1017" s="88" t="s">
        <v>188</v>
      </c>
      <c r="H1017" s="87" t="s">
        <v>189</v>
      </c>
      <c r="I1017" s="87" t="s">
        <v>452</v>
      </c>
      <c r="J1017" s="88" t="s">
        <v>453</v>
      </c>
      <c r="K1017" s="89" t="n">
        <v>15</v>
      </c>
      <c r="L1017" s="89" t="n">
        <v>885000</v>
      </c>
      <c r="M1017" s="89" t="n">
        <v>297840</v>
      </c>
      <c r="N1017" s="90" t="n">
        <f aca="false">IF(A1017="제외",0,IF(OR(N(L1017)&lt;=0,N(M1017)&gt;N(L1017)),N(M1017)/가정!$B$4,N(L1017)))</f>
        <v>885000</v>
      </c>
      <c r="O1017" s="67" t="str">
        <f aca="false">IF(A1017="제외","",IF(OR(N(L1017)&lt;=0,N(M1017)&gt;N(L1017)),"택가보정(판매금액÷공급율)",""))</f>
        <v/>
      </c>
    </row>
    <row r="1018" customFormat="false" ht="15" hidden="false" customHeight="true" outlineLevel="0" collapsed="false">
      <c r="A1018" s="67" t="str">
        <f aca="false">IF(OR(TRIM(C1018)="",SUBSTITUTE(C1018," ","")="소계"),"제외",IF(ISNUMBER(SEARCH("홍콩",C1018)),"HK",IF(ISNUMBER(SEARCH("상해",C1018)),"CN",IF(ISNUMBER(SEARCH("대만",C1018)),"TW","홀세일"))))</f>
        <v>홀세일</v>
      </c>
      <c r="B1018" s="87" t="s">
        <v>1319</v>
      </c>
      <c r="C1018" s="87" t="s">
        <v>1320</v>
      </c>
      <c r="D1018" s="88" t="s">
        <v>178</v>
      </c>
      <c r="E1018" s="87" t="n">
        <v>2026</v>
      </c>
      <c r="F1018" s="88" t="s">
        <v>421</v>
      </c>
      <c r="G1018" s="88" t="s">
        <v>188</v>
      </c>
      <c r="H1018" s="87" t="s">
        <v>189</v>
      </c>
      <c r="I1018" s="87" t="s">
        <v>454</v>
      </c>
      <c r="J1018" s="88" t="s">
        <v>455</v>
      </c>
      <c r="K1018" s="89" t="n">
        <v>20</v>
      </c>
      <c r="L1018" s="89" t="n">
        <v>2980000</v>
      </c>
      <c r="M1018" s="89" t="n">
        <v>1180740</v>
      </c>
      <c r="N1018" s="90" t="n">
        <f aca="false">IF(A1018="제외",0,IF(OR(N(L1018)&lt;=0,N(M1018)&gt;N(L1018)),N(M1018)/가정!$B$4,N(L1018)))</f>
        <v>2980000</v>
      </c>
      <c r="O1018" s="67" t="str">
        <f aca="false">IF(A1018="제외","",IF(OR(N(L1018)&lt;=0,N(M1018)&gt;N(L1018)),"택가보정(판매금액÷공급율)",""))</f>
        <v/>
      </c>
    </row>
    <row r="1019" customFormat="false" ht="15" hidden="false" customHeight="true" outlineLevel="0" collapsed="false">
      <c r="A1019" s="67" t="str">
        <f aca="false">IF(OR(TRIM(C1019)="",SUBSTITUTE(C1019," ","")="소계"),"제외",IF(ISNUMBER(SEARCH("홍콩",C1019)),"HK",IF(ISNUMBER(SEARCH("상해",C1019)),"CN",IF(ISNUMBER(SEARCH("대만",C1019)),"TW","홀세일"))))</f>
        <v>홀세일</v>
      </c>
      <c r="B1019" s="87" t="s">
        <v>1319</v>
      </c>
      <c r="C1019" s="87" t="s">
        <v>1320</v>
      </c>
      <c r="D1019" s="88" t="s">
        <v>178</v>
      </c>
      <c r="E1019" s="87" t="n">
        <v>2026</v>
      </c>
      <c r="F1019" s="88" t="s">
        <v>421</v>
      </c>
      <c r="G1019" s="88" t="s">
        <v>180</v>
      </c>
      <c r="H1019" s="87" t="s">
        <v>189</v>
      </c>
      <c r="I1019" s="87" t="s">
        <v>456</v>
      </c>
      <c r="J1019" s="88" t="s">
        <v>457</v>
      </c>
      <c r="K1019" s="89" t="n">
        <v>55</v>
      </c>
      <c r="L1019" s="89" t="n">
        <v>7645000</v>
      </c>
      <c r="M1019" s="89" t="n">
        <v>2498210</v>
      </c>
      <c r="N1019" s="90" t="n">
        <f aca="false">IF(A1019="제외",0,IF(OR(N(L1019)&lt;=0,N(M1019)&gt;N(L1019)),N(M1019)/가정!$B$4,N(L1019)))</f>
        <v>7645000</v>
      </c>
      <c r="O1019" s="67" t="str">
        <f aca="false">IF(A1019="제외","",IF(OR(N(L1019)&lt;=0,N(M1019)&gt;N(L1019)),"택가보정(판매금액÷공급율)",""))</f>
        <v/>
      </c>
    </row>
    <row r="1020" customFormat="false" ht="15" hidden="false" customHeight="true" outlineLevel="0" collapsed="false">
      <c r="A1020" s="67" t="str">
        <f aca="false">IF(OR(TRIM(C1020)="",SUBSTITUTE(C1020," ","")="소계"),"제외",IF(ISNUMBER(SEARCH("홍콩",C1020)),"HK",IF(ISNUMBER(SEARCH("상해",C1020)),"CN",IF(ISNUMBER(SEARCH("대만",C1020)),"TW","홀세일"))))</f>
        <v>홀세일</v>
      </c>
      <c r="B1020" s="87" t="s">
        <v>1319</v>
      </c>
      <c r="C1020" s="87" t="s">
        <v>1320</v>
      </c>
      <c r="D1020" s="88" t="s">
        <v>178</v>
      </c>
      <c r="E1020" s="87" t="n">
        <v>2026</v>
      </c>
      <c r="F1020" s="88" t="s">
        <v>421</v>
      </c>
      <c r="G1020" s="88" t="s">
        <v>180</v>
      </c>
      <c r="H1020" s="87" t="s">
        <v>189</v>
      </c>
      <c r="I1020" s="87" t="s">
        <v>460</v>
      </c>
      <c r="J1020" s="88" t="s">
        <v>461</v>
      </c>
      <c r="K1020" s="89" t="n">
        <v>40</v>
      </c>
      <c r="L1020" s="89" t="n">
        <v>6360000</v>
      </c>
      <c r="M1020" s="89" t="n">
        <v>2115520</v>
      </c>
      <c r="N1020" s="90" t="n">
        <f aca="false">IF(A1020="제외",0,IF(OR(N(L1020)&lt;=0,N(M1020)&gt;N(L1020)),N(M1020)/가정!$B$4,N(L1020)))</f>
        <v>6360000</v>
      </c>
      <c r="O1020" s="67" t="str">
        <f aca="false">IF(A1020="제외","",IF(OR(N(L1020)&lt;=0,N(M1020)&gt;N(L1020)),"택가보정(판매금액÷공급율)",""))</f>
        <v/>
      </c>
    </row>
    <row r="1021" customFormat="false" ht="15" hidden="false" customHeight="true" outlineLevel="0" collapsed="false">
      <c r="A1021" s="67" t="str">
        <f aca="false">IF(OR(TRIM(C1021)="",SUBSTITUTE(C1021," ","")="소계"),"제외",IF(ISNUMBER(SEARCH("홍콩",C1021)),"HK",IF(ISNUMBER(SEARCH("상해",C1021)),"CN",IF(ISNUMBER(SEARCH("대만",C1021)),"TW","홀세일"))))</f>
        <v>홀세일</v>
      </c>
      <c r="B1021" s="87" t="s">
        <v>1319</v>
      </c>
      <c r="C1021" s="87" t="s">
        <v>1320</v>
      </c>
      <c r="D1021" s="88" t="s">
        <v>178</v>
      </c>
      <c r="E1021" s="87" t="n">
        <v>2026</v>
      </c>
      <c r="F1021" s="88" t="s">
        <v>421</v>
      </c>
      <c r="G1021" s="88" t="s">
        <v>180</v>
      </c>
      <c r="H1021" s="87" t="s">
        <v>189</v>
      </c>
      <c r="I1021" s="87" t="s">
        <v>935</v>
      </c>
      <c r="J1021" s="87" t="s">
        <v>936</v>
      </c>
      <c r="K1021" s="89" t="n">
        <v>20</v>
      </c>
      <c r="L1021" s="89" t="n">
        <v>5180000</v>
      </c>
      <c r="M1021" s="89" t="n">
        <v>1732000</v>
      </c>
      <c r="N1021" s="90" t="n">
        <f aca="false">IF(A1021="제외",0,IF(OR(N(L1021)&lt;=0,N(M1021)&gt;N(L1021)),N(M1021)/가정!$B$4,N(L1021)))</f>
        <v>5180000</v>
      </c>
      <c r="O1021" s="67" t="str">
        <f aca="false">IF(A1021="제외","",IF(OR(N(L1021)&lt;=0,N(M1021)&gt;N(L1021)),"택가보정(판매금액÷공급율)",""))</f>
        <v/>
      </c>
    </row>
    <row r="1022" customFormat="false" ht="15" hidden="false" customHeight="true" outlineLevel="0" collapsed="false">
      <c r="A1022" s="67" t="str">
        <f aca="false">IF(OR(TRIM(C1022)="",SUBSTITUTE(C1022," ","")="소계"),"제외",IF(ISNUMBER(SEARCH("홍콩",C1022)),"HK",IF(ISNUMBER(SEARCH("상해",C1022)),"CN",IF(ISNUMBER(SEARCH("대만",C1022)),"TW","홀세일"))))</f>
        <v>홀세일</v>
      </c>
      <c r="B1022" s="87" t="s">
        <v>1319</v>
      </c>
      <c r="C1022" s="87" t="s">
        <v>1320</v>
      </c>
      <c r="D1022" s="88" t="s">
        <v>178</v>
      </c>
      <c r="E1022" s="87" t="n">
        <v>2026</v>
      </c>
      <c r="F1022" s="88" t="s">
        <v>421</v>
      </c>
      <c r="G1022" s="88" t="s">
        <v>180</v>
      </c>
      <c r="H1022" s="87" t="s">
        <v>189</v>
      </c>
      <c r="I1022" s="87" t="s">
        <v>466</v>
      </c>
      <c r="J1022" s="87" t="s">
        <v>467</v>
      </c>
      <c r="K1022" s="89" t="n">
        <v>20</v>
      </c>
      <c r="L1022" s="89" t="n">
        <v>11800000</v>
      </c>
      <c r="M1022" s="89" t="n">
        <v>3938560</v>
      </c>
      <c r="N1022" s="90" t="n">
        <f aca="false">IF(A1022="제외",0,IF(OR(N(L1022)&lt;=0,N(M1022)&gt;N(L1022)),N(M1022)/가정!$B$4,N(L1022)))</f>
        <v>11800000</v>
      </c>
      <c r="O1022" s="67" t="str">
        <f aca="false">IF(A1022="제외","",IF(OR(N(L1022)&lt;=0,N(M1022)&gt;N(L1022)),"택가보정(판매금액÷공급율)",""))</f>
        <v/>
      </c>
    </row>
    <row r="1023" customFormat="false" ht="15" hidden="false" customHeight="true" outlineLevel="0" collapsed="false">
      <c r="A1023" s="67" t="str">
        <f aca="false">IF(OR(TRIM(C1023)="",SUBSTITUTE(C1023," ","")="소계"),"제외",IF(ISNUMBER(SEARCH("홍콩",C1023)),"HK",IF(ISNUMBER(SEARCH("상해",C1023)),"CN",IF(ISNUMBER(SEARCH("대만",C1023)),"TW","홀세일"))))</f>
        <v>홀세일</v>
      </c>
      <c r="B1023" s="87" t="s">
        <v>1319</v>
      </c>
      <c r="C1023" s="87" t="s">
        <v>1320</v>
      </c>
      <c r="D1023" s="88" t="s">
        <v>178</v>
      </c>
      <c r="E1023" s="87" t="n">
        <v>2026</v>
      </c>
      <c r="F1023" s="88" t="s">
        <v>421</v>
      </c>
      <c r="G1023" s="88" t="s">
        <v>180</v>
      </c>
      <c r="H1023" s="87" t="s">
        <v>181</v>
      </c>
      <c r="I1023" s="87" t="s">
        <v>1118</v>
      </c>
      <c r="J1023" s="88" t="s">
        <v>1119</v>
      </c>
      <c r="K1023" s="89" t="n">
        <v>30</v>
      </c>
      <c r="L1023" s="89" t="n">
        <v>3870000</v>
      </c>
      <c r="M1023" s="89" t="n">
        <v>1288350</v>
      </c>
      <c r="N1023" s="90" t="n">
        <f aca="false">IF(A1023="제외",0,IF(OR(N(L1023)&lt;=0,N(M1023)&gt;N(L1023)),N(M1023)/가정!$B$4,N(L1023)))</f>
        <v>3870000</v>
      </c>
      <c r="O1023" s="67" t="str">
        <f aca="false">IF(A1023="제외","",IF(OR(N(L1023)&lt;=0,N(M1023)&gt;N(L1023)),"택가보정(판매금액÷공급율)",""))</f>
        <v/>
      </c>
    </row>
    <row r="1024" customFormat="false" ht="15" hidden="false" customHeight="true" outlineLevel="0" collapsed="false">
      <c r="A1024" s="67" t="str">
        <f aca="false">IF(OR(TRIM(C1024)="",SUBSTITUTE(C1024," ","")="소계"),"제외",IF(ISNUMBER(SEARCH("홍콩",C1024)),"HK",IF(ISNUMBER(SEARCH("상해",C1024)),"CN",IF(ISNUMBER(SEARCH("대만",C1024)),"TW","홀세일"))))</f>
        <v>홀세일</v>
      </c>
      <c r="B1024" s="87" t="s">
        <v>1319</v>
      </c>
      <c r="C1024" s="87" t="s">
        <v>1320</v>
      </c>
      <c r="D1024" s="88" t="s">
        <v>178</v>
      </c>
      <c r="E1024" s="87" t="n">
        <v>2026</v>
      </c>
      <c r="F1024" s="88" t="s">
        <v>421</v>
      </c>
      <c r="G1024" s="88" t="s">
        <v>180</v>
      </c>
      <c r="H1024" s="87" t="s">
        <v>189</v>
      </c>
      <c r="I1024" s="87" t="s">
        <v>470</v>
      </c>
      <c r="J1024" s="87" t="s">
        <v>471</v>
      </c>
      <c r="K1024" s="89" t="n">
        <v>45</v>
      </c>
      <c r="L1024" s="89" t="n">
        <v>4005000</v>
      </c>
      <c r="M1024" s="89" t="n">
        <v>1335915</v>
      </c>
      <c r="N1024" s="90" t="n">
        <f aca="false">IF(A1024="제외",0,IF(OR(N(L1024)&lt;=0,N(M1024)&gt;N(L1024)),N(M1024)/가정!$B$4,N(L1024)))</f>
        <v>4005000</v>
      </c>
      <c r="O1024" s="67" t="str">
        <f aca="false">IF(A1024="제외","",IF(OR(N(L1024)&lt;=0,N(M1024)&gt;N(L1024)),"택가보정(판매금액÷공급율)",""))</f>
        <v/>
      </c>
    </row>
    <row r="1025" customFormat="false" ht="15" hidden="false" customHeight="true" outlineLevel="0" collapsed="false">
      <c r="A1025" s="67" t="str">
        <f aca="false">IF(OR(TRIM(C1025)="",SUBSTITUTE(C1025," ","")="소계"),"제외",IF(ISNUMBER(SEARCH("홍콩",C1025)),"HK",IF(ISNUMBER(SEARCH("상해",C1025)),"CN",IF(ISNUMBER(SEARCH("대만",C1025)),"TW","홀세일"))))</f>
        <v>홀세일</v>
      </c>
      <c r="B1025" s="87" t="s">
        <v>1319</v>
      </c>
      <c r="C1025" s="87" t="s">
        <v>1320</v>
      </c>
      <c r="D1025" s="88" t="s">
        <v>178</v>
      </c>
      <c r="E1025" s="87" t="n">
        <v>2026</v>
      </c>
      <c r="F1025" s="88" t="s">
        <v>421</v>
      </c>
      <c r="G1025" s="88" t="s">
        <v>180</v>
      </c>
      <c r="H1025" s="87" t="s">
        <v>189</v>
      </c>
      <c r="I1025" s="87" t="s">
        <v>472</v>
      </c>
      <c r="J1025" s="88" t="s">
        <v>473</v>
      </c>
      <c r="K1025" s="89" t="n">
        <v>125</v>
      </c>
      <c r="L1025" s="89" t="n">
        <v>18625000</v>
      </c>
      <c r="M1025" s="89" t="n">
        <v>6367875</v>
      </c>
      <c r="N1025" s="90" t="n">
        <f aca="false">IF(A1025="제외",0,IF(OR(N(L1025)&lt;=0,N(M1025)&gt;N(L1025)),N(M1025)/가정!$B$4,N(L1025)))</f>
        <v>18625000</v>
      </c>
      <c r="O1025" s="67" t="str">
        <f aca="false">IF(A1025="제외","",IF(OR(N(L1025)&lt;=0,N(M1025)&gt;N(L1025)),"택가보정(판매금액÷공급율)",""))</f>
        <v/>
      </c>
    </row>
    <row r="1026" customFormat="false" ht="15" hidden="false" customHeight="true" outlineLevel="0" collapsed="false">
      <c r="A1026" s="67" t="str">
        <f aca="false">IF(OR(TRIM(C1026)="",SUBSTITUTE(C1026," ","")="소계"),"제외",IF(ISNUMBER(SEARCH("홍콩",C1026)),"HK",IF(ISNUMBER(SEARCH("상해",C1026)),"CN",IF(ISNUMBER(SEARCH("대만",C1026)),"TW","홀세일"))))</f>
        <v>홀세일</v>
      </c>
      <c r="B1026" s="87" t="s">
        <v>1319</v>
      </c>
      <c r="C1026" s="87" t="s">
        <v>1320</v>
      </c>
      <c r="D1026" s="88" t="s">
        <v>178</v>
      </c>
      <c r="E1026" s="87" t="n">
        <v>2026</v>
      </c>
      <c r="F1026" s="88" t="s">
        <v>421</v>
      </c>
      <c r="G1026" s="88" t="s">
        <v>180</v>
      </c>
      <c r="H1026" s="87" t="s">
        <v>189</v>
      </c>
      <c r="I1026" s="87" t="s">
        <v>474</v>
      </c>
      <c r="J1026" s="88" t="s">
        <v>475</v>
      </c>
      <c r="K1026" s="89" t="n">
        <v>75</v>
      </c>
      <c r="L1026" s="89" t="n">
        <v>11175000</v>
      </c>
      <c r="M1026" s="89" t="n">
        <v>3820725</v>
      </c>
      <c r="N1026" s="90" t="n">
        <f aca="false">IF(A1026="제외",0,IF(OR(N(L1026)&lt;=0,N(M1026)&gt;N(L1026)),N(M1026)/가정!$B$4,N(L1026)))</f>
        <v>11175000</v>
      </c>
      <c r="O1026" s="67" t="str">
        <f aca="false">IF(A1026="제외","",IF(OR(N(L1026)&lt;=0,N(M1026)&gt;N(L1026)),"택가보정(판매금액÷공급율)",""))</f>
        <v/>
      </c>
    </row>
    <row r="1027" customFormat="false" ht="15" hidden="false" customHeight="true" outlineLevel="0" collapsed="false">
      <c r="A1027" s="67" t="str">
        <f aca="false">IF(OR(TRIM(C1027)="",SUBSTITUTE(C1027," ","")="소계"),"제외",IF(ISNUMBER(SEARCH("홍콩",C1027)),"HK",IF(ISNUMBER(SEARCH("상해",C1027)),"CN",IF(ISNUMBER(SEARCH("대만",C1027)),"TW","홀세일"))))</f>
        <v>홀세일</v>
      </c>
      <c r="B1027" s="87" t="s">
        <v>1319</v>
      </c>
      <c r="C1027" s="87" t="s">
        <v>1320</v>
      </c>
      <c r="D1027" s="88" t="s">
        <v>178</v>
      </c>
      <c r="E1027" s="87" t="n">
        <v>2026</v>
      </c>
      <c r="F1027" s="88" t="s">
        <v>421</v>
      </c>
      <c r="G1027" s="88" t="s">
        <v>180</v>
      </c>
      <c r="H1027" s="87" t="s">
        <v>189</v>
      </c>
      <c r="I1027" s="87" t="s">
        <v>939</v>
      </c>
      <c r="J1027" s="88" t="s">
        <v>940</v>
      </c>
      <c r="K1027" s="89" t="n">
        <v>55</v>
      </c>
      <c r="L1027" s="89" t="n">
        <v>5995000</v>
      </c>
      <c r="M1027" s="89" t="n">
        <v>1997380</v>
      </c>
      <c r="N1027" s="90" t="n">
        <f aca="false">IF(A1027="제외",0,IF(OR(N(L1027)&lt;=0,N(M1027)&gt;N(L1027)),N(M1027)/가정!$B$4,N(L1027)))</f>
        <v>5995000</v>
      </c>
      <c r="O1027" s="67" t="str">
        <f aca="false">IF(A1027="제외","",IF(OR(N(L1027)&lt;=0,N(M1027)&gt;N(L1027)),"택가보정(판매금액÷공급율)",""))</f>
        <v/>
      </c>
    </row>
    <row r="1028" customFormat="false" ht="15" hidden="false" customHeight="true" outlineLevel="0" collapsed="false">
      <c r="A1028" s="67" t="str">
        <f aca="false">IF(OR(TRIM(C1028)="",SUBSTITUTE(C1028," ","")="소계"),"제외",IF(ISNUMBER(SEARCH("홍콩",C1028)),"HK",IF(ISNUMBER(SEARCH("상해",C1028)),"CN",IF(ISNUMBER(SEARCH("대만",C1028)),"TW","홀세일"))))</f>
        <v>홀세일</v>
      </c>
      <c r="B1028" s="87" t="s">
        <v>1319</v>
      </c>
      <c r="C1028" s="87" t="s">
        <v>1320</v>
      </c>
      <c r="D1028" s="88" t="s">
        <v>178</v>
      </c>
      <c r="E1028" s="87" t="n">
        <v>2026</v>
      </c>
      <c r="F1028" s="88" t="s">
        <v>421</v>
      </c>
      <c r="G1028" s="88" t="s">
        <v>180</v>
      </c>
      <c r="H1028" s="87" t="s">
        <v>189</v>
      </c>
      <c r="I1028" s="87" t="s">
        <v>1365</v>
      </c>
      <c r="J1028" s="88" t="s">
        <v>1366</v>
      </c>
      <c r="K1028" s="89" t="n">
        <v>60</v>
      </c>
      <c r="L1028" s="89" t="n">
        <v>11340000</v>
      </c>
      <c r="M1028" s="89" t="n">
        <v>4122840</v>
      </c>
      <c r="N1028" s="90" t="n">
        <f aca="false">IF(A1028="제외",0,IF(OR(N(L1028)&lt;=0,N(M1028)&gt;N(L1028)),N(M1028)/가정!$B$4,N(L1028)))</f>
        <v>11340000</v>
      </c>
      <c r="O1028" s="67" t="str">
        <f aca="false">IF(A1028="제외","",IF(OR(N(L1028)&lt;=0,N(M1028)&gt;N(L1028)),"택가보정(판매금액÷공급율)",""))</f>
        <v/>
      </c>
    </row>
    <row r="1029" customFormat="false" ht="15" hidden="false" customHeight="true" outlineLevel="0" collapsed="false">
      <c r="A1029" s="67" t="str">
        <f aca="false">IF(OR(TRIM(C1029)="",SUBSTITUTE(C1029," ","")="소계"),"제외",IF(ISNUMBER(SEARCH("홍콩",C1029)),"HK",IF(ISNUMBER(SEARCH("상해",C1029)),"CN",IF(ISNUMBER(SEARCH("대만",C1029)),"TW","홀세일"))))</f>
        <v>홀세일</v>
      </c>
      <c r="B1029" s="87" t="s">
        <v>1319</v>
      </c>
      <c r="C1029" s="87" t="s">
        <v>1320</v>
      </c>
      <c r="D1029" s="88" t="s">
        <v>178</v>
      </c>
      <c r="E1029" s="87" t="n">
        <v>2026</v>
      </c>
      <c r="F1029" s="88" t="s">
        <v>421</v>
      </c>
      <c r="G1029" s="88" t="s">
        <v>180</v>
      </c>
      <c r="H1029" s="87" t="s">
        <v>181</v>
      </c>
      <c r="I1029" s="87" t="s">
        <v>941</v>
      </c>
      <c r="J1029" s="87" t="s">
        <v>942</v>
      </c>
      <c r="K1029" s="89" t="n">
        <v>60</v>
      </c>
      <c r="L1029" s="89" t="n">
        <v>14340000</v>
      </c>
      <c r="M1029" s="89" t="n">
        <v>4588380</v>
      </c>
      <c r="N1029" s="90" t="n">
        <f aca="false">IF(A1029="제외",0,IF(OR(N(L1029)&lt;=0,N(M1029)&gt;N(L1029)),N(M1029)/가정!$B$4,N(L1029)))</f>
        <v>14340000</v>
      </c>
      <c r="O1029" s="67" t="str">
        <f aca="false">IF(A1029="제외","",IF(OR(N(L1029)&lt;=0,N(M1029)&gt;N(L1029)),"택가보정(판매금액÷공급율)",""))</f>
        <v/>
      </c>
    </row>
    <row r="1030" customFormat="false" ht="15" hidden="false" customHeight="true" outlineLevel="0" collapsed="false">
      <c r="A1030" s="67" t="str">
        <f aca="false">IF(OR(TRIM(C1030)="",SUBSTITUTE(C1030," ","")="소계"),"제외",IF(ISNUMBER(SEARCH("홍콩",C1030)),"HK",IF(ISNUMBER(SEARCH("상해",C1030)),"CN",IF(ISNUMBER(SEARCH("대만",C1030)),"TW","홀세일"))))</f>
        <v>홀세일</v>
      </c>
      <c r="B1030" s="87" t="s">
        <v>1319</v>
      </c>
      <c r="C1030" s="87" t="s">
        <v>1320</v>
      </c>
      <c r="D1030" s="88" t="s">
        <v>178</v>
      </c>
      <c r="E1030" s="87" t="n">
        <v>2026</v>
      </c>
      <c r="F1030" s="88" t="s">
        <v>421</v>
      </c>
      <c r="G1030" s="88" t="s">
        <v>180</v>
      </c>
      <c r="H1030" s="87" t="s">
        <v>181</v>
      </c>
      <c r="I1030" s="87" t="s">
        <v>480</v>
      </c>
      <c r="J1030" s="88" t="s">
        <v>481</v>
      </c>
      <c r="K1030" s="89" t="n">
        <v>50</v>
      </c>
      <c r="L1030" s="89" t="n">
        <v>17450000</v>
      </c>
      <c r="M1030" s="89" t="n">
        <v>5825450</v>
      </c>
      <c r="N1030" s="90" t="n">
        <f aca="false">IF(A1030="제외",0,IF(OR(N(L1030)&lt;=0,N(M1030)&gt;N(L1030)),N(M1030)/가정!$B$4,N(L1030)))</f>
        <v>17450000</v>
      </c>
      <c r="O1030" s="67" t="str">
        <f aca="false">IF(A1030="제외","",IF(OR(N(L1030)&lt;=0,N(M1030)&gt;N(L1030)),"택가보정(판매금액÷공급율)",""))</f>
        <v/>
      </c>
    </row>
    <row r="1031" customFormat="false" ht="15" hidden="false" customHeight="true" outlineLevel="0" collapsed="false">
      <c r="A1031" s="67" t="str">
        <f aca="false">IF(OR(TRIM(C1031)="",SUBSTITUTE(C1031," ","")="소계"),"제외",IF(ISNUMBER(SEARCH("홍콩",C1031)),"HK",IF(ISNUMBER(SEARCH("상해",C1031)),"CN",IF(ISNUMBER(SEARCH("대만",C1031)),"TW","홀세일"))))</f>
        <v>홀세일</v>
      </c>
      <c r="B1031" s="87" t="s">
        <v>1319</v>
      </c>
      <c r="C1031" s="87" t="s">
        <v>1320</v>
      </c>
      <c r="D1031" s="88" t="s">
        <v>178</v>
      </c>
      <c r="E1031" s="87" t="n">
        <v>2026</v>
      </c>
      <c r="F1031" s="88" t="s">
        <v>421</v>
      </c>
      <c r="G1031" s="88" t="s">
        <v>180</v>
      </c>
      <c r="H1031" s="87" t="s">
        <v>181</v>
      </c>
      <c r="I1031" s="87" t="s">
        <v>482</v>
      </c>
      <c r="J1031" s="88" t="s">
        <v>483</v>
      </c>
      <c r="K1031" s="89" t="n">
        <v>20</v>
      </c>
      <c r="L1031" s="89" t="n">
        <v>3580000</v>
      </c>
      <c r="M1031" s="89" t="n">
        <v>1245200</v>
      </c>
      <c r="N1031" s="90" t="n">
        <f aca="false">IF(A1031="제외",0,IF(OR(N(L1031)&lt;=0,N(M1031)&gt;N(L1031)),N(M1031)/가정!$B$4,N(L1031)))</f>
        <v>3580000</v>
      </c>
      <c r="O1031" s="67" t="str">
        <f aca="false">IF(A1031="제외","",IF(OR(N(L1031)&lt;=0,N(M1031)&gt;N(L1031)),"택가보정(판매금액÷공급율)",""))</f>
        <v/>
      </c>
    </row>
    <row r="1032" customFormat="false" ht="15" hidden="false" customHeight="true" outlineLevel="0" collapsed="false">
      <c r="A1032" s="67" t="str">
        <f aca="false">IF(OR(TRIM(C1032)="",SUBSTITUTE(C1032," ","")="소계"),"제외",IF(ISNUMBER(SEARCH("홍콩",C1032)),"HK",IF(ISNUMBER(SEARCH("상해",C1032)),"CN",IF(ISNUMBER(SEARCH("대만",C1032)),"TW","홀세일"))))</f>
        <v>홀세일</v>
      </c>
      <c r="B1032" s="87" t="s">
        <v>1319</v>
      </c>
      <c r="C1032" s="87" t="s">
        <v>1320</v>
      </c>
      <c r="D1032" s="88" t="s">
        <v>178</v>
      </c>
      <c r="E1032" s="87" t="n">
        <v>2026</v>
      </c>
      <c r="F1032" s="88" t="s">
        <v>421</v>
      </c>
      <c r="G1032" s="88" t="s">
        <v>180</v>
      </c>
      <c r="H1032" s="87" t="s">
        <v>189</v>
      </c>
      <c r="I1032" s="87" t="s">
        <v>945</v>
      </c>
      <c r="J1032" s="88" t="s">
        <v>946</v>
      </c>
      <c r="K1032" s="89" t="n">
        <v>90</v>
      </c>
      <c r="L1032" s="89" t="n">
        <v>14310000</v>
      </c>
      <c r="M1032" s="89" t="n">
        <v>4759920</v>
      </c>
      <c r="N1032" s="90" t="n">
        <f aca="false">IF(A1032="제외",0,IF(OR(N(L1032)&lt;=0,N(M1032)&gt;N(L1032)),N(M1032)/가정!$B$4,N(L1032)))</f>
        <v>14310000</v>
      </c>
      <c r="O1032" s="67" t="str">
        <f aca="false">IF(A1032="제외","",IF(OR(N(L1032)&lt;=0,N(M1032)&gt;N(L1032)),"택가보정(판매금액÷공급율)",""))</f>
        <v/>
      </c>
    </row>
    <row r="1033" customFormat="false" ht="15" hidden="false" customHeight="true" outlineLevel="0" collapsed="false">
      <c r="A1033" s="67" t="str">
        <f aca="false">IF(OR(TRIM(C1033)="",SUBSTITUTE(C1033," ","")="소계"),"제외",IF(ISNUMBER(SEARCH("홍콩",C1033)),"HK",IF(ISNUMBER(SEARCH("상해",C1033)),"CN",IF(ISNUMBER(SEARCH("대만",C1033)),"TW","홀세일"))))</f>
        <v>홀세일</v>
      </c>
      <c r="B1033" s="87" t="s">
        <v>1319</v>
      </c>
      <c r="C1033" s="87" t="s">
        <v>1320</v>
      </c>
      <c r="D1033" s="88" t="s">
        <v>178</v>
      </c>
      <c r="E1033" s="87" t="n">
        <v>2026</v>
      </c>
      <c r="F1033" s="88" t="s">
        <v>421</v>
      </c>
      <c r="G1033" s="88" t="s">
        <v>180</v>
      </c>
      <c r="H1033" s="87" t="s">
        <v>189</v>
      </c>
      <c r="I1033" s="87" t="s">
        <v>486</v>
      </c>
      <c r="J1033" s="88" t="s">
        <v>487</v>
      </c>
      <c r="K1033" s="89" t="n">
        <v>50</v>
      </c>
      <c r="L1033" s="89" t="n">
        <v>9450000</v>
      </c>
      <c r="M1033" s="89" t="n">
        <v>3235750</v>
      </c>
      <c r="N1033" s="90" t="n">
        <f aca="false">IF(A1033="제외",0,IF(OR(N(L1033)&lt;=0,N(M1033)&gt;N(L1033)),N(M1033)/가정!$B$4,N(L1033)))</f>
        <v>9450000</v>
      </c>
      <c r="O1033" s="67" t="str">
        <f aca="false">IF(A1033="제외","",IF(OR(N(L1033)&lt;=0,N(M1033)&gt;N(L1033)),"택가보정(판매금액÷공급율)",""))</f>
        <v/>
      </c>
    </row>
    <row r="1034" customFormat="false" ht="15" hidden="false" customHeight="true" outlineLevel="0" collapsed="false">
      <c r="A1034" s="67" t="str">
        <f aca="false">IF(OR(TRIM(C1034)="",SUBSTITUTE(C1034," ","")="소계"),"제외",IF(ISNUMBER(SEARCH("홍콩",C1034)),"HK",IF(ISNUMBER(SEARCH("상해",C1034)),"CN",IF(ISNUMBER(SEARCH("대만",C1034)),"TW","홀세일"))))</f>
        <v>홀세일</v>
      </c>
      <c r="B1034" s="87" t="s">
        <v>1319</v>
      </c>
      <c r="C1034" s="87" t="s">
        <v>1320</v>
      </c>
      <c r="D1034" s="88" t="s">
        <v>178</v>
      </c>
      <c r="E1034" s="87" t="n">
        <v>2026</v>
      </c>
      <c r="F1034" s="88" t="s">
        <v>421</v>
      </c>
      <c r="G1034" s="88" t="s">
        <v>180</v>
      </c>
      <c r="H1034" s="87" t="s">
        <v>189</v>
      </c>
      <c r="I1034" s="87" t="s">
        <v>1367</v>
      </c>
      <c r="J1034" s="88" t="s">
        <v>1368</v>
      </c>
      <c r="K1034" s="89" t="n">
        <v>35</v>
      </c>
      <c r="L1034" s="89" t="n">
        <v>5565000</v>
      </c>
      <c r="M1034" s="89" t="n">
        <v>1902215</v>
      </c>
      <c r="N1034" s="90" t="n">
        <f aca="false">IF(A1034="제외",0,IF(OR(N(L1034)&lt;=0,N(M1034)&gt;N(L1034)),N(M1034)/가정!$B$4,N(L1034)))</f>
        <v>5565000</v>
      </c>
      <c r="O1034" s="67" t="str">
        <f aca="false">IF(A1034="제외","",IF(OR(N(L1034)&lt;=0,N(M1034)&gt;N(L1034)),"택가보정(판매금액÷공급율)",""))</f>
        <v/>
      </c>
    </row>
    <row r="1035" customFormat="false" ht="15" hidden="false" customHeight="true" outlineLevel="0" collapsed="false">
      <c r="A1035" s="67" t="str">
        <f aca="false">IF(OR(TRIM(C1035)="",SUBSTITUTE(C1035," ","")="소계"),"제외",IF(ISNUMBER(SEARCH("홍콩",C1035)),"HK",IF(ISNUMBER(SEARCH("상해",C1035)),"CN",IF(ISNUMBER(SEARCH("대만",C1035)),"TW","홀세일"))))</f>
        <v>홀세일</v>
      </c>
      <c r="B1035" s="87" t="s">
        <v>1319</v>
      </c>
      <c r="C1035" s="87" t="s">
        <v>1320</v>
      </c>
      <c r="D1035" s="88" t="s">
        <v>178</v>
      </c>
      <c r="E1035" s="87" t="n">
        <v>2026</v>
      </c>
      <c r="F1035" s="88" t="s">
        <v>421</v>
      </c>
      <c r="G1035" s="88" t="s">
        <v>180</v>
      </c>
      <c r="H1035" s="87" t="s">
        <v>189</v>
      </c>
      <c r="I1035" s="87" t="s">
        <v>1369</v>
      </c>
      <c r="J1035" s="88" t="s">
        <v>1370</v>
      </c>
      <c r="K1035" s="89" t="n">
        <v>45</v>
      </c>
      <c r="L1035" s="89" t="n">
        <v>7605000</v>
      </c>
      <c r="M1035" s="89" t="n">
        <v>2605635</v>
      </c>
      <c r="N1035" s="90" t="n">
        <f aca="false">IF(A1035="제외",0,IF(OR(N(L1035)&lt;=0,N(M1035)&gt;N(L1035)),N(M1035)/가정!$B$4,N(L1035)))</f>
        <v>7605000</v>
      </c>
      <c r="O1035" s="67" t="str">
        <f aca="false">IF(A1035="제외","",IF(OR(N(L1035)&lt;=0,N(M1035)&gt;N(L1035)),"택가보정(판매금액÷공급율)",""))</f>
        <v/>
      </c>
    </row>
    <row r="1036" customFormat="false" ht="15" hidden="false" customHeight="true" outlineLevel="0" collapsed="false">
      <c r="A1036" s="67" t="str">
        <f aca="false">IF(OR(TRIM(C1036)="",SUBSTITUTE(C1036," ","")="소계"),"제외",IF(ISNUMBER(SEARCH("홍콩",C1036)),"HK",IF(ISNUMBER(SEARCH("상해",C1036)),"CN",IF(ISNUMBER(SEARCH("대만",C1036)),"TW","홀세일"))))</f>
        <v>홀세일</v>
      </c>
      <c r="B1036" s="87" t="s">
        <v>1319</v>
      </c>
      <c r="C1036" s="87" t="s">
        <v>1320</v>
      </c>
      <c r="D1036" s="88" t="s">
        <v>178</v>
      </c>
      <c r="E1036" s="87" t="n">
        <v>2026</v>
      </c>
      <c r="F1036" s="88" t="s">
        <v>421</v>
      </c>
      <c r="G1036" s="88" t="s">
        <v>180</v>
      </c>
      <c r="H1036" s="87" t="s">
        <v>189</v>
      </c>
      <c r="I1036" s="87" t="s">
        <v>492</v>
      </c>
      <c r="J1036" s="88" t="s">
        <v>493</v>
      </c>
      <c r="K1036" s="89" t="n">
        <v>130</v>
      </c>
      <c r="L1036" s="89" t="n">
        <v>14170000</v>
      </c>
      <c r="M1036" s="89" t="n">
        <v>4290130</v>
      </c>
      <c r="N1036" s="90" t="n">
        <f aca="false">IF(A1036="제외",0,IF(OR(N(L1036)&lt;=0,N(M1036)&gt;N(L1036)),N(M1036)/가정!$B$4,N(L1036)))</f>
        <v>14170000</v>
      </c>
      <c r="O1036" s="67" t="str">
        <f aca="false">IF(A1036="제외","",IF(OR(N(L1036)&lt;=0,N(M1036)&gt;N(L1036)),"택가보정(판매금액÷공급율)",""))</f>
        <v/>
      </c>
    </row>
    <row r="1037" customFormat="false" ht="15" hidden="false" customHeight="true" outlineLevel="0" collapsed="false">
      <c r="A1037" s="67" t="str">
        <f aca="false">IF(OR(TRIM(C1037)="",SUBSTITUTE(C1037," ","")="소계"),"제외",IF(ISNUMBER(SEARCH("홍콩",C1037)),"HK",IF(ISNUMBER(SEARCH("상해",C1037)),"CN",IF(ISNUMBER(SEARCH("대만",C1037)),"TW","홀세일"))))</f>
        <v>홀세일</v>
      </c>
      <c r="B1037" s="87" t="s">
        <v>1319</v>
      </c>
      <c r="C1037" s="87" t="s">
        <v>1320</v>
      </c>
      <c r="D1037" s="88" t="s">
        <v>178</v>
      </c>
      <c r="E1037" s="87" t="n">
        <v>2026</v>
      </c>
      <c r="F1037" s="88" t="s">
        <v>421</v>
      </c>
      <c r="G1037" s="88" t="s">
        <v>180</v>
      </c>
      <c r="H1037" s="87" t="s">
        <v>189</v>
      </c>
      <c r="I1037" s="87" t="s">
        <v>494</v>
      </c>
      <c r="J1037" s="88" t="s">
        <v>495</v>
      </c>
      <c r="K1037" s="89" t="n">
        <v>35</v>
      </c>
      <c r="L1037" s="89" t="n">
        <v>2065000</v>
      </c>
      <c r="M1037" s="89" t="n">
        <v>691005</v>
      </c>
      <c r="N1037" s="90" t="n">
        <f aca="false">IF(A1037="제외",0,IF(OR(N(L1037)&lt;=0,N(M1037)&gt;N(L1037)),N(M1037)/가정!$B$4,N(L1037)))</f>
        <v>2065000</v>
      </c>
      <c r="O1037" s="67" t="str">
        <f aca="false">IF(A1037="제외","",IF(OR(N(L1037)&lt;=0,N(M1037)&gt;N(L1037)),"택가보정(판매금액÷공급율)",""))</f>
        <v/>
      </c>
    </row>
    <row r="1038" customFormat="false" ht="15" hidden="false" customHeight="true" outlineLevel="0" collapsed="false">
      <c r="A1038" s="67" t="str">
        <f aca="false">IF(OR(TRIM(C1038)="",SUBSTITUTE(C1038," ","")="소계"),"제외",IF(ISNUMBER(SEARCH("홍콩",C1038)),"HK",IF(ISNUMBER(SEARCH("상해",C1038)),"CN",IF(ISNUMBER(SEARCH("대만",C1038)),"TW","홀세일"))))</f>
        <v>홀세일</v>
      </c>
      <c r="B1038" s="87" t="s">
        <v>1319</v>
      </c>
      <c r="C1038" s="87" t="s">
        <v>1320</v>
      </c>
      <c r="D1038" s="88" t="s">
        <v>178</v>
      </c>
      <c r="E1038" s="87" t="n">
        <v>2026</v>
      </c>
      <c r="F1038" s="88" t="s">
        <v>421</v>
      </c>
      <c r="G1038" s="88" t="s">
        <v>180</v>
      </c>
      <c r="H1038" s="87" t="s">
        <v>189</v>
      </c>
      <c r="I1038" s="87" t="s">
        <v>496</v>
      </c>
      <c r="J1038" s="88" t="s">
        <v>497</v>
      </c>
      <c r="K1038" s="89" t="n">
        <v>75</v>
      </c>
      <c r="L1038" s="89" t="n">
        <v>5925000</v>
      </c>
      <c r="M1038" s="89" t="n">
        <v>1729350</v>
      </c>
      <c r="N1038" s="90" t="n">
        <f aca="false">IF(A1038="제외",0,IF(OR(N(L1038)&lt;=0,N(M1038)&gt;N(L1038)),N(M1038)/가정!$B$4,N(L1038)))</f>
        <v>5925000</v>
      </c>
      <c r="O1038" s="67" t="str">
        <f aca="false">IF(A1038="제외","",IF(OR(N(L1038)&lt;=0,N(M1038)&gt;N(L1038)),"택가보정(판매금액÷공급율)",""))</f>
        <v/>
      </c>
    </row>
    <row r="1039" customFormat="false" ht="15" hidden="false" customHeight="true" outlineLevel="0" collapsed="false">
      <c r="A1039" s="67" t="str">
        <f aca="false">IF(OR(TRIM(C1039)="",SUBSTITUTE(C1039," ","")="소계"),"제외",IF(ISNUMBER(SEARCH("홍콩",C1039)),"HK",IF(ISNUMBER(SEARCH("상해",C1039)),"CN",IF(ISNUMBER(SEARCH("대만",C1039)),"TW","홀세일"))))</f>
        <v>홀세일</v>
      </c>
      <c r="B1039" s="87" t="s">
        <v>1319</v>
      </c>
      <c r="C1039" s="87" t="s">
        <v>1320</v>
      </c>
      <c r="D1039" s="88" t="s">
        <v>178</v>
      </c>
      <c r="E1039" s="87" t="n">
        <v>2026</v>
      </c>
      <c r="F1039" s="88" t="s">
        <v>421</v>
      </c>
      <c r="G1039" s="88" t="s">
        <v>180</v>
      </c>
      <c r="H1039" s="87" t="s">
        <v>189</v>
      </c>
      <c r="I1039" s="87" t="s">
        <v>498</v>
      </c>
      <c r="J1039" s="88" t="s">
        <v>499</v>
      </c>
      <c r="K1039" s="89" t="n">
        <v>285</v>
      </c>
      <c r="L1039" s="89" t="n">
        <v>19665000</v>
      </c>
      <c r="M1039" s="89" t="n">
        <v>5813145</v>
      </c>
      <c r="N1039" s="90" t="n">
        <f aca="false">IF(A1039="제외",0,IF(OR(N(L1039)&lt;=0,N(M1039)&gt;N(L1039)),N(M1039)/가정!$B$4,N(L1039)))</f>
        <v>19665000</v>
      </c>
      <c r="O1039" s="67" t="str">
        <f aca="false">IF(A1039="제외","",IF(OR(N(L1039)&lt;=0,N(M1039)&gt;N(L1039)),"택가보정(판매금액÷공급율)",""))</f>
        <v/>
      </c>
    </row>
    <row r="1040" customFormat="false" ht="15" hidden="false" customHeight="true" outlineLevel="0" collapsed="false">
      <c r="A1040" s="67" t="str">
        <f aca="false">IF(OR(TRIM(C1040)="",SUBSTITUTE(C1040," ","")="소계"),"제외",IF(ISNUMBER(SEARCH("홍콩",C1040)),"HK",IF(ISNUMBER(SEARCH("상해",C1040)),"CN",IF(ISNUMBER(SEARCH("대만",C1040)),"TW","홀세일"))))</f>
        <v>홀세일</v>
      </c>
      <c r="B1040" s="87" t="s">
        <v>1319</v>
      </c>
      <c r="C1040" s="87" t="s">
        <v>1320</v>
      </c>
      <c r="D1040" s="88" t="s">
        <v>178</v>
      </c>
      <c r="E1040" s="87" t="n">
        <v>2026</v>
      </c>
      <c r="F1040" s="88" t="s">
        <v>421</v>
      </c>
      <c r="G1040" s="88" t="s">
        <v>180</v>
      </c>
      <c r="H1040" s="87" t="s">
        <v>189</v>
      </c>
      <c r="I1040" s="87" t="s">
        <v>500</v>
      </c>
      <c r="J1040" s="88" t="s">
        <v>501</v>
      </c>
      <c r="K1040" s="89" t="n">
        <v>120</v>
      </c>
      <c r="L1040" s="89" t="n">
        <v>9480000</v>
      </c>
      <c r="M1040" s="89" t="n">
        <v>2724120</v>
      </c>
      <c r="N1040" s="90" t="n">
        <f aca="false">IF(A1040="제외",0,IF(OR(N(L1040)&lt;=0,N(M1040)&gt;N(L1040)),N(M1040)/가정!$B$4,N(L1040)))</f>
        <v>9480000</v>
      </c>
      <c r="O1040" s="67" t="str">
        <f aca="false">IF(A1040="제외","",IF(OR(N(L1040)&lt;=0,N(M1040)&gt;N(L1040)),"택가보정(판매금액÷공급율)",""))</f>
        <v/>
      </c>
    </row>
    <row r="1041" customFormat="false" ht="15" hidden="false" customHeight="true" outlineLevel="0" collapsed="false">
      <c r="A1041" s="67" t="str">
        <f aca="false">IF(OR(TRIM(C1041)="",SUBSTITUTE(C1041," ","")="소계"),"제외",IF(ISNUMBER(SEARCH("홍콩",C1041)),"HK",IF(ISNUMBER(SEARCH("상해",C1041)),"CN",IF(ISNUMBER(SEARCH("대만",C1041)),"TW","홀세일"))))</f>
        <v>홀세일</v>
      </c>
      <c r="B1041" s="87" t="s">
        <v>1319</v>
      </c>
      <c r="C1041" s="87" t="s">
        <v>1320</v>
      </c>
      <c r="D1041" s="88" t="s">
        <v>178</v>
      </c>
      <c r="E1041" s="87" t="n">
        <v>2026</v>
      </c>
      <c r="F1041" s="88" t="s">
        <v>421</v>
      </c>
      <c r="G1041" s="88" t="s">
        <v>180</v>
      </c>
      <c r="H1041" s="87" t="s">
        <v>181</v>
      </c>
      <c r="I1041" s="87" t="s">
        <v>504</v>
      </c>
      <c r="J1041" s="88" t="s">
        <v>505</v>
      </c>
      <c r="K1041" s="89" t="n">
        <v>180</v>
      </c>
      <c r="L1041" s="89" t="n">
        <v>12420000</v>
      </c>
      <c r="M1041" s="89" t="n">
        <v>4150440</v>
      </c>
      <c r="N1041" s="90" t="n">
        <f aca="false">IF(A1041="제외",0,IF(OR(N(L1041)&lt;=0,N(M1041)&gt;N(L1041)),N(M1041)/가정!$B$4,N(L1041)))</f>
        <v>12420000</v>
      </c>
      <c r="O1041" s="67" t="str">
        <f aca="false">IF(A1041="제외","",IF(OR(N(L1041)&lt;=0,N(M1041)&gt;N(L1041)),"택가보정(판매금액÷공급율)",""))</f>
        <v/>
      </c>
    </row>
    <row r="1042" customFormat="false" ht="15" hidden="false" customHeight="true" outlineLevel="0" collapsed="false">
      <c r="A1042" s="67" t="str">
        <f aca="false">IF(OR(TRIM(C1042)="",SUBSTITUTE(C1042," ","")="소계"),"제외",IF(ISNUMBER(SEARCH("홍콩",C1042)),"HK",IF(ISNUMBER(SEARCH("상해",C1042)),"CN",IF(ISNUMBER(SEARCH("대만",C1042)),"TW","홀세일"))))</f>
        <v>홀세일</v>
      </c>
      <c r="B1042" s="87" t="s">
        <v>1319</v>
      </c>
      <c r="C1042" s="87" t="s">
        <v>1320</v>
      </c>
      <c r="D1042" s="88" t="s">
        <v>178</v>
      </c>
      <c r="E1042" s="87" t="n">
        <v>2026</v>
      </c>
      <c r="F1042" s="88" t="s">
        <v>421</v>
      </c>
      <c r="G1042" s="88" t="s">
        <v>180</v>
      </c>
      <c r="H1042" s="87" t="s">
        <v>181</v>
      </c>
      <c r="I1042" s="87" t="s">
        <v>506</v>
      </c>
      <c r="J1042" s="88" t="s">
        <v>507</v>
      </c>
      <c r="K1042" s="89" t="n">
        <v>35</v>
      </c>
      <c r="L1042" s="89" t="n">
        <v>2765000</v>
      </c>
      <c r="M1042" s="89" t="n">
        <v>923020</v>
      </c>
      <c r="N1042" s="90" t="n">
        <f aca="false">IF(A1042="제외",0,IF(OR(N(L1042)&lt;=0,N(M1042)&gt;N(L1042)),N(M1042)/가정!$B$4,N(L1042)))</f>
        <v>2765000</v>
      </c>
      <c r="O1042" s="67" t="str">
        <f aca="false">IF(A1042="제외","",IF(OR(N(L1042)&lt;=0,N(M1042)&gt;N(L1042)),"택가보정(판매금액÷공급율)",""))</f>
        <v/>
      </c>
    </row>
    <row r="1043" customFormat="false" ht="15" hidden="false" customHeight="true" outlineLevel="0" collapsed="false">
      <c r="A1043" s="67" t="str">
        <f aca="false">IF(OR(TRIM(C1043)="",SUBSTITUTE(C1043," ","")="소계"),"제외",IF(ISNUMBER(SEARCH("홍콩",C1043)),"HK",IF(ISNUMBER(SEARCH("상해",C1043)),"CN",IF(ISNUMBER(SEARCH("대만",C1043)),"TW","홀세일"))))</f>
        <v>홀세일</v>
      </c>
      <c r="B1043" s="87" t="s">
        <v>1319</v>
      </c>
      <c r="C1043" s="87" t="s">
        <v>1320</v>
      </c>
      <c r="D1043" s="88" t="s">
        <v>178</v>
      </c>
      <c r="E1043" s="87" t="n">
        <v>2026</v>
      </c>
      <c r="F1043" s="88" t="s">
        <v>421</v>
      </c>
      <c r="G1043" s="88" t="s">
        <v>180</v>
      </c>
      <c r="H1043" s="87" t="s">
        <v>181</v>
      </c>
      <c r="I1043" s="87" t="s">
        <v>508</v>
      </c>
      <c r="J1043" s="88" t="s">
        <v>509</v>
      </c>
      <c r="K1043" s="89" t="n">
        <v>190</v>
      </c>
      <c r="L1043" s="89" t="n">
        <v>13110000</v>
      </c>
      <c r="M1043" s="89" t="n">
        <v>4525990</v>
      </c>
      <c r="N1043" s="90" t="n">
        <f aca="false">IF(A1043="제외",0,IF(OR(N(L1043)&lt;=0,N(M1043)&gt;N(L1043)),N(M1043)/가정!$B$4,N(L1043)))</f>
        <v>13110000</v>
      </c>
      <c r="O1043" s="67" t="str">
        <f aca="false">IF(A1043="제외","",IF(OR(N(L1043)&lt;=0,N(M1043)&gt;N(L1043)),"택가보정(판매금액÷공급율)",""))</f>
        <v/>
      </c>
    </row>
    <row r="1044" customFormat="false" ht="15" hidden="false" customHeight="true" outlineLevel="0" collapsed="false">
      <c r="A1044" s="67" t="str">
        <f aca="false">IF(OR(TRIM(C1044)="",SUBSTITUTE(C1044," ","")="소계"),"제외",IF(ISNUMBER(SEARCH("홍콩",C1044)),"HK",IF(ISNUMBER(SEARCH("상해",C1044)),"CN",IF(ISNUMBER(SEARCH("대만",C1044)),"TW","홀세일"))))</f>
        <v>홀세일</v>
      </c>
      <c r="B1044" s="87" t="s">
        <v>1319</v>
      </c>
      <c r="C1044" s="87" t="s">
        <v>1320</v>
      </c>
      <c r="D1044" s="88" t="s">
        <v>178</v>
      </c>
      <c r="E1044" s="87" t="n">
        <v>2026</v>
      </c>
      <c r="F1044" s="88" t="s">
        <v>421</v>
      </c>
      <c r="G1044" s="88" t="s">
        <v>180</v>
      </c>
      <c r="H1044" s="87" t="s">
        <v>246</v>
      </c>
      <c r="I1044" s="87" t="s">
        <v>949</v>
      </c>
      <c r="J1044" s="87" t="s">
        <v>950</v>
      </c>
      <c r="K1044" s="89" t="n">
        <v>50</v>
      </c>
      <c r="L1044" s="89" t="n">
        <v>5450000</v>
      </c>
      <c r="M1044" s="89" t="n">
        <v>1875900</v>
      </c>
      <c r="N1044" s="90" t="n">
        <f aca="false">IF(A1044="제외",0,IF(OR(N(L1044)&lt;=0,N(M1044)&gt;N(L1044)),N(M1044)/가정!$B$4,N(L1044)))</f>
        <v>5450000</v>
      </c>
      <c r="O1044" s="67" t="str">
        <f aca="false">IF(A1044="제외","",IF(OR(N(L1044)&lt;=0,N(M1044)&gt;N(L1044)),"택가보정(판매금액÷공급율)",""))</f>
        <v/>
      </c>
    </row>
    <row r="1045" customFormat="false" ht="15" hidden="false" customHeight="true" outlineLevel="0" collapsed="false">
      <c r="A1045" s="67" t="str">
        <f aca="false">IF(OR(TRIM(C1045)="",SUBSTITUTE(C1045," ","")="소계"),"제외",IF(ISNUMBER(SEARCH("홍콩",C1045)),"HK",IF(ISNUMBER(SEARCH("상해",C1045)),"CN",IF(ISNUMBER(SEARCH("대만",C1045)),"TW","홀세일"))))</f>
        <v>홀세일</v>
      </c>
      <c r="B1045" s="87" t="s">
        <v>1319</v>
      </c>
      <c r="C1045" s="87" t="s">
        <v>1320</v>
      </c>
      <c r="D1045" s="88" t="s">
        <v>178</v>
      </c>
      <c r="E1045" s="87" t="n">
        <v>2026</v>
      </c>
      <c r="F1045" s="88" t="s">
        <v>421</v>
      </c>
      <c r="G1045" s="88" t="s">
        <v>180</v>
      </c>
      <c r="H1045" s="87" t="s">
        <v>246</v>
      </c>
      <c r="I1045" s="87" t="s">
        <v>512</v>
      </c>
      <c r="J1045" s="87" t="s">
        <v>513</v>
      </c>
      <c r="K1045" s="89" t="n">
        <v>45</v>
      </c>
      <c r="L1045" s="89" t="n">
        <v>4905000</v>
      </c>
      <c r="M1045" s="89" t="n">
        <v>1679355</v>
      </c>
      <c r="N1045" s="90" t="n">
        <f aca="false">IF(A1045="제외",0,IF(OR(N(L1045)&lt;=0,N(M1045)&gt;N(L1045)),N(M1045)/가정!$B$4,N(L1045)))</f>
        <v>4905000</v>
      </c>
      <c r="O1045" s="67" t="str">
        <f aca="false">IF(A1045="제외","",IF(OR(N(L1045)&lt;=0,N(M1045)&gt;N(L1045)),"택가보정(판매금액÷공급율)",""))</f>
        <v/>
      </c>
    </row>
    <row r="1046" customFormat="false" ht="15" hidden="false" customHeight="true" outlineLevel="0" collapsed="false">
      <c r="A1046" s="67" t="str">
        <f aca="false">IF(OR(TRIM(C1046)="",SUBSTITUTE(C1046," ","")="소계"),"제외",IF(ISNUMBER(SEARCH("홍콩",C1046)),"HK",IF(ISNUMBER(SEARCH("상해",C1046)),"CN",IF(ISNUMBER(SEARCH("대만",C1046)),"TW","홀세일"))))</f>
        <v>홀세일</v>
      </c>
      <c r="B1046" s="87" t="s">
        <v>1319</v>
      </c>
      <c r="C1046" s="87" t="s">
        <v>1320</v>
      </c>
      <c r="D1046" s="88" t="s">
        <v>178</v>
      </c>
      <c r="E1046" s="87" t="n">
        <v>2026</v>
      </c>
      <c r="F1046" s="88" t="s">
        <v>421</v>
      </c>
      <c r="G1046" s="88" t="s">
        <v>180</v>
      </c>
      <c r="H1046" s="87" t="s">
        <v>246</v>
      </c>
      <c r="I1046" s="87" t="s">
        <v>514</v>
      </c>
      <c r="J1046" s="87" t="s">
        <v>515</v>
      </c>
      <c r="K1046" s="89" t="n">
        <v>25</v>
      </c>
      <c r="L1046" s="89" t="n">
        <v>3725000</v>
      </c>
      <c r="M1046" s="89" t="n">
        <v>1216900</v>
      </c>
      <c r="N1046" s="90" t="n">
        <f aca="false">IF(A1046="제외",0,IF(OR(N(L1046)&lt;=0,N(M1046)&gt;N(L1046)),N(M1046)/가정!$B$4,N(L1046)))</f>
        <v>3725000</v>
      </c>
      <c r="O1046" s="67" t="str">
        <f aca="false">IF(A1046="제외","",IF(OR(N(L1046)&lt;=0,N(M1046)&gt;N(L1046)),"택가보정(판매금액÷공급율)",""))</f>
        <v/>
      </c>
    </row>
    <row r="1047" customFormat="false" ht="15" hidden="false" customHeight="true" outlineLevel="0" collapsed="false">
      <c r="A1047" s="67" t="str">
        <f aca="false">IF(OR(TRIM(C1047)="",SUBSTITUTE(C1047," ","")="소계"),"제외",IF(ISNUMBER(SEARCH("홍콩",C1047)),"HK",IF(ISNUMBER(SEARCH("상해",C1047)),"CN",IF(ISNUMBER(SEARCH("대만",C1047)),"TW","홀세일"))))</f>
        <v>홀세일</v>
      </c>
      <c r="B1047" s="87" t="s">
        <v>1319</v>
      </c>
      <c r="C1047" s="87" t="s">
        <v>1320</v>
      </c>
      <c r="D1047" s="88" t="s">
        <v>178</v>
      </c>
      <c r="E1047" s="87" t="n">
        <v>2026</v>
      </c>
      <c r="F1047" s="88" t="s">
        <v>421</v>
      </c>
      <c r="G1047" s="88" t="s">
        <v>180</v>
      </c>
      <c r="H1047" s="87" t="s">
        <v>246</v>
      </c>
      <c r="I1047" s="87" t="s">
        <v>520</v>
      </c>
      <c r="J1047" s="87" t="s">
        <v>521</v>
      </c>
      <c r="K1047" s="89" t="n">
        <v>30</v>
      </c>
      <c r="L1047" s="89" t="n">
        <v>4770000</v>
      </c>
      <c r="M1047" s="89" t="n">
        <v>1568700</v>
      </c>
      <c r="N1047" s="90" t="n">
        <f aca="false">IF(A1047="제외",0,IF(OR(N(L1047)&lt;=0,N(M1047)&gt;N(L1047)),N(M1047)/가정!$B$4,N(L1047)))</f>
        <v>4770000</v>
      </c>
      <c r="O1047" s="67" t="str">
        <f aca="false">IF(A1047="제외","",IF(OR(N(L1047)&lt;=0,N(M1047)&gt;N(L1047)),"택가보정(판매금액÷공급율)",""))</f>
        <v/>
      </c>
    </row>
    <row r="1048" customFormat="false" ht="15" hidden="false" customHeight="true" outlineLevel="0" collapsed="false">
      <c r="A1048" s="67" t="str">
        <f aca="false">IF(OR(TRIM(C1048)="",SUBSTITUTE(C1048," ","")="소계"),"제외",IF(ISNUMBER(SEARCH("홍콩",C1048)),"HK",IF(ISNUMBER(SEARCH("상해",C1048)),"CN",IF(ISNUMBER(SEARCH("대만",C1048)),"TW","홀세일"))))</f>
        <v>홀세일</v>
      </c>
      <c r="B1048" s="87" t="s">
        <v>1319</v>
      </c>
      <c r="C1048" s="87" t="s">
        <v>1320</v>
      </c>
      <c r="D1048" s="88" t="s">
        <v>178</v>
      </c>
      <c r="E1048" s="87" t="n">
        <v>2026</v>
      </c>
      <c r="F1048" s="88" t="s">
        <v>421</v>
      </c>
      <c r="G1048" s="88" t="s">
        <v>180</v>
      </c>
      <c r="H1048" s="87" t="s">
        <v>246</v>
      </c>
      <c r="I1048" s="87" t="s">
        <v>522</v>
      </c>
      <c r="J1048" s="87" t="s">
        <v>523</v>
      </c>
      <c r="K1048" s="89" t="n">
        <v>30</v>
      </c>
      <c r="L1048" s="89" t="n">
        <v>7770000</v>
      </c>
      <c r="M1048" s="89" t="n">
        <v>2637750</v>
      </c>
      <c r="N1048" s="90" t="n">
        <f aca="false">IF(A1048="제외",0,IF(OR(N(L1048)&lt;=0,N(M1048)&gt;N(L1048)),N(M1048)/가정!$B$4,N(L1048)))</f>
        <v>7770000</v>
      </c>
      <c r="O1048" s="67" t="str">
        <f aca="false">IF(A1048="제외","",IF(OR(N(L1048)&lt;=0,N(M1048)&gt;N(L1048)),"택가보정(판매금액÷공급율)",""))</f>
        <v/>
      </c>
    </row>
    <row r="1049" customFormat="false" ht="15" hidden="false" customHeight="true" outlineLevel="0" collapsed="false">
      <c r="A1049" s="67" t="str">
        <f aca="false">IF(OR(TRIM(C1049)="",SUBSTITUTE(C1049," ","")="소계"),"제외",IF(ISNUMBER(SEARCH("홍콩",C1049)),"HK",IF(ISNUMBER(SEARCH("상해",C1049)),"CN",IF(ISNUMBER(SEARCH("대만",C1049)),"TW","홀세일"))))</f>
        <v>홀세일</v>
      </c>
      <c r="B1049" s="87" t="s">
        <v>1319</v>
      </c>
      <c r="C1049" s="87" t="s">
        <v>1320</v>
      </c>
      <c r="D1049" s="88" t="s">
        <v>178</v>
      </c>
      <c r="E1049" s="87" t="n">
        <v>2026</v>
      </c>
      <c r="F1049" s="88" t="s">
        <v>421</v>
      </c>
      <c r="G1049" s="88" t="s">
        <v>180</v>
      </c>
      <c r="H1049" s="87" t="s">
        <v>246</v>
      </c>
      <c r="I1049" s="87" t="s">
        <v>1371</v>
      </c>
      <c r="J1049" s="87" t="s">
        <v>1372</v>
      </c>
      <c r="K1049" s="89" t="n">
        <v>20</v>
      </c>
      <c r="L1049" s="89" t="n">
        <v>4380000</v>
      </c>
      <c r="M1049" s="89" t="n">
        <v>1329600</v>
      </c>
      <c r="N1049" s="90" t="n">
        <f aca="false">IF(A1049="제외",0,IF(OR(N(L1049)&lt;=0,N(M1049)&gt;N(L1049)),N(M1049)/가정!$B$4,N(L1049)))</f>
        <v>4380000</v>
      </c>
      <c r="O1049" s="67" t="str">
        <f aca="false">IF(A1049="제외","",IF(OR(N(L1049)&lt;=0,N(M1049)&gt;N(L1049)),"택가보정(판매금액÷공급율)",""))</f>
        <v/>
      </c>
    </row>
    <row r="1050" customFormat="false" ht="15" hidden="false" customHeight="true" outlineLevel="0" collapsed="false">
      <c r="A1050" s="67" t="str">
        <f aca="false">IF(OR(TRIM(C1050)="",SUBSTITUTE(C1050," ","")="소계"),"제외",IF(ISNUMBER(SEARCH("홍콩",C1050)),"HK",IF(ISNUMBER(SEARCH("상해",C1050)),"CN",IF(ISNUMBER(SEARCH("대만",C1050)),"TW","홀세일"))))</f>
        <v>홀세일</v>
      </c>
      <c r="B1050" s="87" t="s">
        <v>1319</v>
      </c>
      <c r="C1050" s="87" t="s">
        <v>1320</v>
      </c>
      <c r="D1050" s="88" t="s">
        <v>178</v>
      </c>
      <c r="E1050" s="87" t="n">
        <v>2026</v>
      </c>
      <c r="F1050" s="88" t="s">
        <v>421</v>
      </c>
      <c r="G1050" s="88" t="s">
        <v>180</v>
      </c>
      <c r="H1050" s="87" t="s">
        <v>246</v>
      </c>
      <c r="I1050" s="87" t="s">
        <v>524</v>
      </c>
      <c r="J1050" s="87" t="s">
        <v>525</v>
      </c>
      <c r="K1050" s="89" t="n">
        <v>40</v>
      </c>
      <c r="L1050" s="89" t="n">
        <v>6360000</v>
      </c>
      <c r="M1050" s="89" t="n">
        <v>2037720</v>
      </c>
      <c r="N1050" s="90" t="n">
        <f aca="false">IF(A1050="제외",0,IF(OR(N(L1050)&lt;=0,N(M1050)&gt;N(L1050)),N(M1050)/가정!$B$4,N(L1050)))</f>
        <v>6360000</v>
      </c>
      <c r="O1050" s="67" t="str">
        <f aca="false">IF(A1050="제외","",IF(OR(N(L1050)&lt;=0,N(M1050)&gt;N(L1050)),"택가보정(판매금액÷공급율)",""))</f>
        <v/>
      </c>
    </row>
    <row r="1051" customFormat="false" ht="15" hidden="false" customHeight="true" outlineLevel="0" collapsed="false">
      <c r="A1051" s="67" t="str">
        <f aca="false">IF(OR(TRIM(C1051)="",SUBSTITUTE(C1051," ","")="소계"),"제외",IF(ISNUMBER(SEARCH("홍콩",C1051)),"HK",IF(ISNUMBER(SEARCH("상해",C1051)),"CN",IF(ISNUMBER(SEARCH("대만",C1051)),"TW","홀세일"))))</f>
        <v>홀세일</v>
      </c>
      <c r="B1051" s="87" t="s">
        <v>1319</v>
      </c>
      <c r="C1051" s="87" t="s">
        <v>1320</v>
      </c>
      <c r="D1051" s="88" t="s">
        <v>178</v>
      </c>
      <c r="E1051" s="87" t="n">
        <v>2026</v>
      </c>
      <c r="F1051" s="88" t="s">
        <v>421</v>
      </c>
      <c r="G1051" s="88" t="s">
        <v>180</v>
      </c>
      <c r="H1051" s="87" t="s">
        <v>246</v>
      </c>
      <c r="I1051" s="87" t="s">
        <v>526</v>
      </c>
      <c r="J1051" s="87" t="s">
        <v>527</v>
      </c>
      <c r="K1051" s="89" t="n">
        <v>60</v>
      </c>
      <c r="L1051" s="89" t="n">
        <v>11340000</v>
      </c>
      <c r="M1051" s="89" t="n">
        <v>3882900</v>
      </c>
      <c r="N1051" s="90" t="n">
        <f aca="false">IF(A1051="제외",0,IF(OR(N(L1051)&lt;=0,N(M1051)&gt;N(L1051)),N(M1051)/가정!$B$4,N(L1051)))</f>
        <v>11340000</v>
      </c>
      <c r="O1051" s="67" t="str">
        <f aca="false">IF(A1051="제외","",IF(OR(N(L1051)&lt;=0,N(M1051)&gt;N(L1051)),"택가보정(판매금액÷공급율)",""))</f>
        <v/>
      </c>
    </row>
    <row r="1052" customFormat="false" ht="15" hidden="false" customHeight="true" outlineLevel="0" collapsed="false">
      <c r="A1052" s="67" t="str">
        <f aca="false">IF(OR(TRIM(C1052)="",SUBSTITUTE(C1052," ","")="소계"),"제외",IF(ISNUMBER(SEARCH("홍콩",C1052)),"HK",IF(ISNUMBER(SEARCH("상해",C1052)),"CN",IF(ISNUMBER(SEARCH("대만",C1052)),"TW","홀세일"))))</f>
        <v>홀세일</v>
      </c>
      <c r="B1052" s="87" t="s">
        <v>1319</v>
      </c>
      <c r="C1052" s="87" t="s">
        <v>1320</v>
      </c>
      <c r="D1052" s="88" t="s">
        <v>178</v>
      </c>
      <c r="E1052" s="87" t="n">
        <v>2026</v>
      </c>
      <c r="F1052" s="88" t="s">
        <v>421</v>
      </c>
      <c r="G1052" s="88" t="s">
        <v>180</v>
      </c>
      <c r="H1052" s="87" t="s">
        <v>246</v>
      </c>
      <c r="I1052" s="87" t="s">
        <v>1373</v>
      </c>
      <c r="J1052" s="87" t="s">
        <v>1374</v>
      </c>
      <c r="K1052" s="89" t="n">
        <v>20</v>
      </c>
      <c r="L1052" s="89" t="n">
        <v>4380000</v>
      </c>
      <c r="M1052" s="89" t="n">
        <v>1248020</v>
      </c>
      <c r="N1052" s="90" t="n">
        <f aca="false">IF(A1052="제외",0,IF(OR(N(L1052)&lt;=0,N(M1052)&gt;N(L1052)),N(M1052)/가정!$B$4,N(L1052)))</f>
        <v>4380000</v>
      </c>
      <c r="O1052" s="67" t="str">
        <f aca="false">IF(A1052="제외","",IF(OR(N(L1052)&lt;=0,N(M1052)&gt;N(L1052)),"택가보정(판매금액÷공급율)",""))</f>
        <v/>
      </c>
    </row>
    <row r="1053" customFormat="false" ht="15" hidden="false" customHeight="true" outlineLevel="0" collapsed="false">
      <c r="A1053" s="67" t="str">
        <f aca="false">IF(OR(TRIM(C1053)="",SUBSTITUTE(C1053," ","")="소계"),"제외",IF(ISNUMBER(SEARCH("홍콩",C1053)),"HK",IF(ISNUMBER(SEARCH("상해",C1053)),"CN",IF(ISNUMBER(SEARCH("대만",C1053)),"TW","홀세일"))))</f>
        <v>홀세일</v>
      </c>
      <c r="B1053" s="87" t="s">
        <v>1319</v>
      </c>
      <c r="C1053" s="87" t="s">
        <v>1320</v>
      </c>
      <c r="D1053" s="88" t="s">
        <v>178</v>
      </c>
      <c r="E1053" s="87" t="n">
        <v>2026</v>
      </c>
      <c r="F1053" s="88" t="s">
        <v>421</v>
      </c>
      <c r="G1053" s="88" t="s">
        <v>180</v>
      </c>
      <c r="H1053" s="87" t="s">
        <v>246</v>
      </c>
      <c r="I1053" s="87" t="s">
        <v>530</v>
      </c>
      <c r="J1053" s="87" t="s">
        <v>531</v>
      </c>
      <c r="K1053" s="89" t="n">
        <v>210</v>
      </c>
      <c r="L1053" s="89" t="n">
        <v>14490000</v>
      </c>
      <c r="M1053" s="89" t="n">
        <v>4283370</v>
      </c>
      <c r="N1053" s="90" t="n">
        <f aca="false">IF(A1053="제외",0,IF(OR(N(L1053)&lt;=0,N(M1053)&gt;N(L1053)),N(M1053)/가정!$B$4,N(L1053)))</f>
        <v>14490000</v>
      </c>
      <c r="O1053" s="67" t="str">
        <f aca="false">IF(A1053="제외","",IF(OR(N(L1053)&lt;=0,N(M1053)&gt;N(L1053)),"택가보정(판매금액÷공급율)",""))</f>
        <v/>
      </c>
    </row>
    <row r="1054" customFormat="false" ht="15" hidden="false" customHeight="true" outlineLevel="0" collapsed="false">
      <c r="A1054" s="67" t="str">
        <f aca="false">IF(OR(TRIM(C1054)="",SUBSTITUTE(C1054," ","")="소계"),"제외",IF(ISNUMBER(SEARCH("홍콩",C1054)),"HK",IF(ISNUMBER(SEARCH("상해",C1054)),"CN",IF(ISNUMBER(SEARCH("대만",C1054)),"TW","홀세일"))))</f>
        <v>홀세일</v>
      </c>
      <c r="B1054" s="87" t="s">
        <v>1319</v>
      </c>
      <c r="C1054" s="87" t="s">
        <v>1320</v>
      </c>
      <c r="D1054" s="88" t="s">
        <v>178</v>
      </c>
      <c r="E1054" s="87" t="n">
        <v>2026</v>
      </c>
      <c r="F1054" s="88" t="s">
        <v>421</v>
      </c>
      <c r="G1054" s="88" t="s">
        <v>180</v>
      </c>
      <c r="H1054" s="87" t="s">
        <v>246</v>
      </c>
      <c r="I1054" s="87" t="s">
        <v>1375</v>
      </c>
      <c r="J1054" s="87" t="s">
        <v>1376</v>
      </c>
      <c r="K1054" s="89" t="n">
        <v>50</v>
      </c>
      <c r="L1054" s="89" t="n">
        <v>3450000</v>
      </c>
      <c r="M1054" s="89" t="n">
        <v>1184700</v>
      </c>
      <c r="N1054" s="90" t="n">
        <f aca="false">IF(A1054="제외",0,IF(OR(N(L1054)&lt;=0,N(M1054)&gt;N(L1054)),N(M1054)/가정!$B$4,N(L1054)))</f>
        <v>3450000</v>
      </c>
      <c r="O1054" s="67" t="str">
        <f aca="false">IF(A1054="제외","",IF(OR(N(L1054)&lt;=0,N(M1054)&gt;N(L1054)),"택가보정(판매금액÷공급율)",""))</f>
        <v/>
      </c>
    </row>
    <row r="1055" customFormat="false" ht="15" hidden="false" customHeight="true" outlineLevel="0" collapsed="false">
      <c r="A1055" s="67" t="str">
        <f aca="false">IF(OR(TRIM(C1055)="",SUBSTITUTE(C1055," ","")="소계"),"제외",IF(ISNUMBER(SEARCH("홍콩",C1055)),"HK",IF(ISNUMBER(SEARCH("상해",C1055)),"CN",IF(ISNUMBER(SEARCH("대만",C1055)),"TW","홀세일"))))</f>
        <v>홀세일</v>
      </c>
      <c r="B1055" s="87" t="s">
        <v>1319</v>
      </c>
      <c r="C1055" s="87" t="s">
        <v>1320</v>
      </c>
      <c r="D1055" s="88" t="s">
        <v>178</v>
      </c>
      <c r="E1055" s="87" t="n">
        <v>2026</v>
      </c>
      <c r="F1055" s="88" t="s">
        <v>532</v>
      </c>
      <c r="G1055" s="88" t="s">
        <v>180</v>
      </c>
      <c r="H1055" s="87" t="s">
        <v>189</v>
      </c>
      <c r="I1055" s="87" t="s">
        <v>537</v>
      </c>
      <c r="J1055" s="88" t="s">
        <v>538</v>
      </c>
      <c r="K1055" s="89" t="n">
        <v>55</v>
      </c>
      <c r="L1055" s="89" t="n">
        <v>9295000</v>
      </c>
      <c r="M1055" s="89" t="n">
        <v>3042985</v>
      </c>
      <c r="N1055" s="90" t="n">
        <f aca="false">IF(A1055="제외",0,IF(OR(N(L1055)&lt;=0,N(M1055)&gt;N(L1055)),N(M1055)/가정!$B$4,N(L1055)))</f>
        <v>9295000</v>
      </c>
      <c r="O1055" s="67" t="str">
        <f aca="false">IF(A1055="제외","",IF(OR(N(L1055)&lt;=0,N(M1055)&gt;N(L1055)),"택가보정(판매금액÷공급율)",""))</f>
        <v/>
      </c>
    </row>
    <row r="1056" customFormat="false" ht="15" hidden="false" customHeight="true" outlineLevel="0" collapsed="false">
      <c r="A1056" s="67" t="str">
        <f aca="false">IF(OR(TRIM(C1056)="",SUBSTITUTE(C1056," ","")="소계"),"제외",IF(ISNUMBER(SEARCH("홍콩",C1056)),"HK",IF(ISNUMBER(SEARCH("상해",C1056)),"CN",IF(ISNUMBER(SEARCH("대만",C1056)),"TW","홀세일"))))</f>
        <v>홀세일</v>
      </c>
      <c r="B1056" s="87" t="s">
        <v>1319</v>
      </c>
      <c r="C1056" s="87" t="s">
        <v>1320</v>
      </c>
      <c r="D1056" s="88" t="s">
        <v>178</v>
      </c>
      <c r="E1056" s="87" t="n">
        <v>2026</v>
      </c>
      <c r="F1056" s="88" t="s">
        <v>532</v>
      </c>
      <c r="G1056" s="88" t="s">
        <v>180</v>
      </c>
      <c r="H1056" s="87" t="s">
        <v>189</v>
      </c>
      <c r="I1056" s="87" t="s">
        <v>1124</v>
      </c>
      <c r="J1056" s="87" t="s">
        <v>1125</v>
      </c>
      <c r="K1056" s="89" t="n">
        <v>10</v>
      </c>
      <c r="L1056" s="89" t="n">
        <v>1990000</v>
      </c>
      <c r="M1056" s="89" t="n">
        <v>635390</v>
      </c>
      <c r="N1056" s="90" t="n">
        <f aca="false">IF(A1056="제외",0,IF(OR(N(L1056)&lt;=0,N(M1056)&gt;N(L1056)),N(M1056)/가정!$B$4,N(L1056)))</f>
        <v>1990000</v>
      </c>
      <c r="O1056" s="67" t="str">
        <f aca="false">IF(A1056="제외","",IF(OR(N(L1056)&lt;=0,N(M1056)&gt;N(L1056)),"택가보정(판매금액÷공급율)",""))</f>
        <v/>
      </c>
    </row>
    <row r="1057" customFormat="false" ht="15" hidden="false" customHeight="true" outlineLevel="0" collapsed="false">
      <c r="A1057" s="67" t="str">
        <f aca="false">IF(OR(TRIM(C1057)="",SUBSTITUTE(C1057," ","")="소계"),"제외",IF(ISNUMBER(SEARCH("홍콩",C1057)),"HK",IF(ISNUMBER(SEARCH("상해",C1057)),"CN",IF(ISNUMBER(SEARCH("대만",C1057)),"TW","홀세일"))))</f>
        <v>홀세일</v>
      </c>
      <c r="B1057" s="87" t="s">
        <v>1319</v>
      </c>
      <c r="C1057" s="87" t="s">
        <v>1320</v>
      </c>
      <c r="D1057" s="88" t="s">
        <v>178</v>
      </c>
      <c r="E1057" s="87" t="n">
        <v>2026</v>
      </c>
      <c r="F1057" s="88" t="s">
        <v>532</v>
      </c>
      <c r="G1057" s="88" t="s">
        <v>180</v>
      </c>
      <c r="H1057" s="87" t="s">
        <v>181</v>
      </c>
      <c r="I1057" s="87" t="s">
        <v>1377</v>
      </c>
      <c r="J1057" s="88" t="s">
        <v>1378</v>
      </c>
      <c r="K1057" s="89" t="n">
        <v>30</v>
      </c>
      <c r="L1057" s="89" t="n">
        <v>4170000</v>
      </c>
      <c r="M1057" s="89" t="n">
        <v>1362660</v>
      </c>
      <c r="N1057" s="90" t="n">
        <f aca="false">IF(A1057="제외",0,IF(OR(N(L1057)&lt;=0,N(M1057)&gt;N(L1057)),N(M1057)/가정!$B$4,N(L1057)))</f>
        <v>4170000</v>
      </c>
      <c r="O1057" s="67" t="str">
        <f aca="false">IF(A1057="제외","",IF(OR(N(L1057)&lt;=0,N(M1057)&gt;N(L1057)),"택가보정(판매금액÷공급율)",""))</f>
        <v/>
      </c>
    </row>
    <row r="1058" customFormat="false" ht="15" hidden="false" customHeight="true" outlineLevel="0" collapsed="false">
      <c r="A1058" s="67" t="str">
        <f aca="false">IF(OR(TRIM(C1058)="",SUBSTITUTE(C1058," ","")="소계"),"제외",IF(ISNUMBER(SEARCH("홍콩",C1058)),"HK",IF(ISNUMBER(SEARCH("상해",C1058)),"CN",IF(ISNUMBER(SEARCH("대만",C1058)),"TW","홀세일"))))</f>
        <v>홀세일</v>
      </c>
      <c r="B1058" s="87" t="s">
        <v>1319</v>
      </c>
      <c r="C1058" s="87" t="s">
        <v>1320</v>
      </c>
      <c r="D1058" s="88" t="s">
        <v>178</v>
      </c>
      <c r="E1058" s="87" t="n">
        <v>2026</v>
      </c>
      <c r="F1058" s="88" t="s">
        <v>532</v>
      </c>
      <c r="G1058" s="88" t="s">
        <v>180</v>
      </c>
      <c r="H1058" s="87" t="s">
        <v>181</v>
      </c>
      <c r="I1058" s="87" t="s">
        <v>963</v>
      </c>
      <c r="J1058" s="87" t="s">
        <v>964</v>
      </c>
      <c r="K1058" s="89" t="n">
        <v>25</v>
      </c>
      <c r="L1058" s="89" t="n">
        <v>4975000</v>
      </c>
      <c r="M1058" s="89" t="n">
        <v>1662000</v>
      </c>
      <c r="N1058" s="90" t="n">
        <f aca="false">IF(A1058="제외",0,IF(OR(N(L1058)&lt;=0,N(M1058)&gt;N(L1058)),N(M1058)/가정!$B$4,N(L1058)))</f>
        <v>4975000</v>
      </c>
      <c r="O1058" s="67" t="str">
        <f aca="false">IF(A1058="제외","",IF(OR(N(L1058)&lt;=0,N(M1058)&gt;N(L1058)),"택가보정(판매금액÷공급율)",""))</f>
        <v/>
      </c>
    </row>
    <row r="1059" customFormat="false" ht="15" hidden="false" customHeight="true" outlineLevel="0" collapsed="false">
      <c r="A1059" s="67" t="str">
        <f aca="false">IF(OR(TRIM(C1059)="",SUBSTITUTE(C1059," ","")="소계"),"제외",IF(ISNUMBER(SEARCH("홍콩",C1059)),"HK",IF(ISNUMBER(SEARCH("상해",C1059)),"CN",IF(ISNUMBER(SEARCH("대만",C1059)),"TW","홀세일"))))</f>
        <v>홀세일</v>
      </c>
      <c r="B1059" s="87" t="s">
        <v>1319</v>
      </c>
      <c r="C1059" s="87" t="s">
        <v>1320</v>
      </c>
      <c r="D1059" s="88" t="s">
        <v>178</v>
      </c>
      <c r="E1059" s="87" t="n">
        <v>2026</v>
      </c>
      <c r="F1059" s="88" t="s">
        <v>532</v>
      </c>
      <c r="G1059" s="88" t="s">
        <v>180</v>
      </c>
      <c r="H1059" s="87" t="s">
        <v>181</v>
      </c>
      <c r="I1059" s="87" t="s">
        <v>965</v>
      </c>
      <c r="J1059" s="88" t="s">
        <v>966</v>
      </c>
      <c r="K1059" s="89" t="n">
        <v>30</v>
      </c>
      <c r="L1059" s="89" t="n">
        <v>13170000</v>
      </c>
      <c r="M1059" s="89" t="n">
        <v>4396620</v>
      </c>
      <c r="N1059" s="90" t="n">
        <f aca="false">IF(A1059="제외",0,IF(OR(N(L1059)&lt;=0,N(M1059)&gt;N(L1059)),N(M1059)/가정!$B$4,N(L1059)))</f>
        <v>13170000</v>
      </c>
      <c r="O1059" s="67" t="str">
        <f aca="false">IF(A1059="제외","",IF(OR(N(L1059)&lt;=0,N(M1059)&gt;N(L1059)),"택가보정(판매금액÷공급율)",""))</f>
        <v/>
      </c>
    </row>
    <row r="1060" customFormat="false" ht="15" hidden="false" customHeight="true" outlineLevel="0" collapsed="false">
      <c r="A1060" s="67" t="str">
        <f aca="false">IF(OR(TRIM(C1060)="",SUBSTITUTE(C1060," ","")="소계"),"제외",IF(ISNUMBER(SEARCH("홍콩",C1060)),"HK",IF(ISNUMBER(SEARCH("상해",C1060)),"CN",IF(ISNUMBER(SEARCH("대만",C1060)),"TW","홀세일"))))</f>
        <v>홀세일</v>
      </c>
      <c r="B1060" s="87" t="s">
        <v>1319</v>
      </c>
      <c r="C1060" s="87" t="s">
        <v>1320</v>
      </c>
      <c r="D1060" s="88" t="s">
        <v>178</v>
      </c>
      <c r="E1060" s="87" t="n">
        <v>2026</v>
      </c>
      <c r="F1060" s="88" t="s">
        <v>532</v>
      </c>
      <c r="G1060" s="88" t="s">
        <v>180</v>
      </c>
      <c r="H1060" s="87" t="s">
        <v>189</v>
      </c>
      <c r="I1060" s="87" t="s">
        <v>547</v>
      </c>
      <c r="J1060" s="88" t="s">
        <v>548</v>
      </c>
      <c r="K1060" s="89" t="n">
        <v>25</v>
      </c>
      <c r="L1060" s="89" t="n">
        <v>3975000</v>
      </c>
      <c r="M1060" s="89" t="n">
        <v>1247350</v>
      </c>
      <c r="N1060" s="90" t="n">
        <f aca="false">IF(A1060="제외",0,IF(OR(N(L1060)&lt;=0,N(M1060)&gt;N(L1060)),N(M1060)/가정!$B$4,N(L1060)))</f>
        <v>3975000</v>
      </c>
      <c r="O1060" s="67" t="str">
        <f aca="false">IF(A1060="제외","",IF(OR(N(L1060)&lt;=0,N(M1060)&gt;N(L1060)),"택가보정(판매금액÷공급율)",""))</f>
        <v/>
      </c>
    </row>
    <row r="1061" customFormat="false" ht="15" hidden="false" customHeight="true" outlineLevel="0" collapsed="false">
      <c r="A1061" s="67" t="str">
        <f aca="false">IF(OR(TRIM(C1061)="",SUBSTITUTE(C1061," ","")="소계"),"제외",IF(ISNUMBER(SEARCH("홍콩",C1061)),"HK",IF(ISNUMBER(SEARCH("상해",C1061)),"CN",IF(ISNUMBER(SEARCH("대만",C1061)),"TW","홀세일"))))</f>
        <v>홀세일</v>
      </c>
      <c r="B1061" s="87" t="s">
        <v>1319</v>
      </c>
      <c r="C1061" s="87" t="s">
        <v>1320</v>
      </c>
      <c r="D1061" s="88" t="s">
        <v>178</v>
      </c>
      <c r="E1061" s="87" t="n">
        <v>2026</v>
      </c>
      <c r="F1061" s="88" t="s">
        <v>532</v>
      </c>
      <c r="G1061" s="88" t="s">
        <v>180</v>
      </c>
      <c r="H1061" s="87" t="s">
        <v>189</v>
      </c>
      <c r="I1061" s="87" t="s">
        <v>971</v>
      </c>
      <c r="J1061" s="88" t="s">
        <v>972</v>
      </c>
      <c r="K1061" s="89" t="n">
        <v>25</v>
      </c>
      <c r="L1061" s="89" t="n">
        <v>2975000</v>
      </c>
      <c r="M1061" s="89" t="n">
        <v>907900</v>
      </c>
      <c r="N1061" s="90" t="n">
        <f aca="false">IF(A1061="제외",0,IF(OR(N(L1061)&lt;=0,N(M1061)&gt;N(L1061)),N(M1061)/가정!$B$4,N(L1061)))</f>
        <v>2975000</v>
      </c>
      <c r="O1061" s="67" t="str">
        <f aca="false">IF(A1061="제외","",IF(OR(N(L1061)&lt;=0,N(M1061)&gt;N(L1061)),"택가보정(판매금액÷공급율)",""))</f>
        <v/>
      </c>
    </row>
    <row r="1062" customFormat="false" ht="15" hidden="false" customHeight="true" outlineLevel="0" collapsed="false">
      <c r="A1062" s="67" t="str">
        <f aca="false">IF(OR(TRIM(C1062)="",SUBSTITUTE(C1062," ","")="소계"),"제외",IF(ISNUMBER(SEARCH("홍콩",C1062)),"HK",IF(ISNUMBER(SEARCH("상해",C1062)),"CN",IF(ISNUMBER(SEARCH("대만",C1062)),"TW","홀세일"))))</f>
        <v>홀세일</v>
      </c>
      <c r="B1062" s="87" t="s">
        <v>1319</v>
      </c>
      <c r="C1062" s="87" t="s">
        <v>1320</v>
      </c>
      <c r="D1062" s="88" t="s">
        <v>178</v>
      </c>
      <c r="E1062" s="87" t="n">
        <v>2026</v>
      </c>
      <c r="F1062" s="88" t="s">
        <v>532</v>
      </c>
      <c r="G1062" s="88" t="s">
        <v>180</v>
      </c>
      <c r="H1062" s="87" t="s">
        <v>189</v>
      </c>
      <c r="I1062" s="87" t="s">
        <v>551</v>
      </c>
      <c r="J1062" s="88" t="s">
        <v>552</v>
      </c>
      <c r="K1062" s="89" t="n">
        <v>50</v>
      </c>
      <c r="L1062" s="89" t="n">
        <v>7450000</v>
      </c>
      <c r="M1062" s="89" t="n">
        <v>2589450</v>
      </c>
      <c r="N1062" s="90" t="n">
        <f aca="false">IF(A1062="제외",0,IF(OR(N(L1062)&lt;=0,N(M1062)&gt;N(L1062)),N(M1062)/가정!$B$4,N(L1062)))</f>
        <v>7450000</v>
      </c>
      <c r="O1062" s="67" t="str">
        <f aca="false">IF(A1062="제외","",IF(OR(N(L1062)&lt;=0,N(M1062)&gt;N(L1062)),"택가보정(판매금액÷공급율)",""))</f>
        <v/>
      </c>
    </row>
    <row r="1063" customFormat="false" ht="15" hidden="false" customHeight="true" outlineLevel="0" collapsed="false">
      <c r="A1063" s="67" t="str">
        <f aca="false">IF(OR(TRIM(C1063)="",SUBSTITUTE(C1063," ","")="소계"),"제외",IF(ISNUMBER(SEARCH("홍콩",C1063)),"HK",IF(ISNUMBER(SEARCH("상해",C1063)),"CN",IF(ISNUMBER(SEARCH("대만",C1063)),"TW","홀세일"))))</f>
        <v>홀세일</v>
      </c>
      <c r="B1063" s="87" t="s">
        <v>1319</v>
      </c>
      <c r="C1063" s="87" t="s">
        <v>1320</v>
      </c>
      <c r="D1063" s="88" t="s">
        <v>178</v>
      </c>
      <c r="E1063" s="87" t="n">
        <v>2026</v>
      </c>
      <c r="F1063" s="88" t="s">
        <v>532</v>
      </c>
      <c r="G1063" s="88" t="s">
        <v>180</v>
      </c>
      <c r="H1063" s="87" t="s">
        <v>189</v>
      </c>
      <c r="I1063" s="87" t="s">
        <v>555</v>
      </c>
      <c r="J1063" s="88" t="s">
        <v>556</v>
      </c>
      <c r="K1063" s="89" t="n">
        <v>40</v>
      </c>
      <c r="L1063" s="89" t="n">
        <v>10360000</v>
      </c>
      <c r="M1063" s="89" t="n">
        <v>2767760</v>
      </c>
      <c r="N1063" s="90" t="n">
        <f aca="false">IF(A1063="제외",0,IF(OR(N(L1063)&lt;=0,N(M1063)&gt;N(L1063)),N(M1063)/가정!$B$4,N(L1063)))</f>
        <v>10360000</v>
      </c>
      <c r="O1063" s="67" t="str">
        <f aca="false">IF(A1063="제외","",IF(OR(N(L1063)&lt;=0,N(M1063)&gt;N(L1063)),"택가보정(판매금액÷공급율)",""))</f>
        <v/>
      </c>
    </row>
    <row r="1064" customFormat="false" ht="15" hidden="false" customHeight="true" outlineLevel="0" collapsed="false">
      <c r="A1064" s="67" t="str">
        <f aca="false">IF(OR(TRIM(C1064)="",SUBSTITUTE(C1064," ","")="소계"),"제외",IF(ISNUMBER(SEARCH("홍콩",C1064)),"HK",IF(ISNUMBER(SEARCH("상해",C1064)),"CN",IF(ISNUMBER(SEARCH("대만",C1064)),"TW","홀세일"))))</f>
        <v>홀세일</v>
      </c>
      <c r="B1064" s="87" t="s">
        <v>1319</v>
      </c>
      <c r="C1064" s="87" t="s">
        <v>1320</v>
      </c>
      <c r="D1064" s="88" t="s">
        <v>178</v>
      </c>
      <c r="E1064" s="87" t="n">
        <v>2026</v>
      </c>
      <c r="F1064" s="88" t="s">
        <v>532</v>
      </c>
      <c r="G1064" s="88" t="s">
        <v>180</v>
      </c>
      <c r="H1064" s="87" t="s">
        <v>189</v>
      </c>
      <c r="I1064" s="87" t="s">
        <v>557</v>
      </c>
      <c r="J1064" s="88" t="s">
        <v>558</v>
      </c>
      <c r="K1064" s="89" t="n">
        <v>110</v>
      </c>
      <c r="L1064" s="89" t="n">
        <v>18590000</v>
      </c>
      <c r="M1064" s="89" t="n">
        <v>6760270</v>
      </c>
      <c r="N1064" s="90" t="n">
        <f aca="false">IF(A1064="제외",0,IF(OR(N(L1064)&lt;=0,N(M1064)&gt;N(L1064)),N(M1064)/가정!$B$4,N(L1064)))</f>
        <v>18590000</v>
      </c>
      <c r="O1064" s="67" t="str">
        <f aca="false">IF(A1064="제외","",IF(OR(N(L1064)&lt;=0,N(M1064)&gt;N(L1064)),"택가보정(판매금액÷공급율)",""))</f>
        <v/>
      </c>
    </row>
    <row r="1065" customFormat="false" ht="15" hidden="false" customHeight="true" outlineLevel="0" collapsed="false">
      <c r="A1065" s="67" t="str">
        <f aca="false">IF(OR(TRIM(C1065)="",SUBSTITUTE(C1065," ","")="소계"),"제외",IF(ISNUMBER(SEARCH("홍콩",C1065)),"HK",IF(ISNUMBER(SEARCH("상해",C1065)),"CN",IF(ISNUMBER(SEARCH("대만",C1065)),"TW","홀세일"))))</f>
        <v>홀세일</v>
      </c>
      <c r="B1065" s="87" t="s">
        <v>1319</v>
      </c>
      <c r="C1065" s="87" t="s">
        <v>1320</v>
      </c>
      <c r="D1065" s="88" t="s">
        <v>178</v>
      </c>
      <c r="E1065" s="87" t="n">
        <v>2026</v>
      </c>
      <c r="F1065" s="88" t="s">
        <v>532</v>
      </c>
      <c r="G1065" s="88" t="s">
        <v>180</v>
      </c>
      <c r="H1065" s="87" t="s">
        <v>189</v>
      </c>
      <c r="I1065" s="87" t="s">
        <v>559</v>
      </c>
      <c r="J1065" s="88" t="s">
        <v>560</v>
      </c>
      <c r="K1065" s="89" t="n">
        <v>25</v>
      </c>
      <c r="L1065" s="89" t="n">
        <v>4725000</v>
      </c>
      <c r="M1065" s="89" t="n">
        <v>1717850</v>
      </c>
      <c r="N1065" s="90" t="n">
        <f aca="false">IF(A1065="제외",0,IF(OR(N(L1065)&lt;=0,N(M1065)&gt;N(L1065)),N(M1065)/가정!$B$4,N(L1065)))</f>
        <v>4725000</v>
      </c>
      <c r="O1065" s="67" t="str">
        <f aca="false">IF(A1065="제외","",IF(OR(N(L1065)&lt;=0,N(M1065)&gt;N(L1065)),"택가보정(판매금액÷공급율)",""))</f>
        <v/>
      </c>
    </row>
    <row r="1066" customFormat="false" ht="15" hidden="false" customHeight="true" outlineLevel="0" collapsed="false">
      <c r="A1066" s="67" t="str">
        <f aca="false">IF(OR(TRIM(C1066)="",SUBSTITUTE(C1066," ","")="소계"),"제외",IF(ISNUMBER(SEARCH("홍콩",C1066)),"HK",IF(ISNUMBER(SEARCH("상해",C1066)),"CN",IF(ISNUMBER(SEARCH("대만",C1066)),"TW","홀세일"))))</f>
        <v>홀세일</v>
      </c>
      <c r="B1066" s="87" t="s">
        <v>1319</v>
      </c>
      <c r="C1066" s="87" t="s">
        <v>1320</v>
      </c>
      <c r="D1066" s="88" t="s">
        <v>178</v>
      </c>
      <c r="E1066" s="87" t="n">
        <v>2026</v>
      </c>
      <c r="F1066" s="88" t="s">
        <v>532</v>
      </c>
      <c r="G1066" s="88" t="s">
        <v>180</v>
      </c>
      <c r="H1066" s="87" t="s">
        <v>189</v>
      </c>
      <c r="I1066" s="87" t="s">
        <v>563</v>
      </c>
      <c r="J1066" s="88" t="s">
        <v>564</v>
      </c>
      <c r="K1066" s="89" t="n">
        <v>25</v>
      </c>
      <c r="L1066" s="89" t="n">
        <v>7475000</v>
      </c>
      <c r="M1066" s="89" t="n">
        <v>2600075</v>
      </c>
      <c r="N1066" s="90" t="n">
        <f aca="false">IF(A1066="제외",0,IF(OR(N(L1066)&lt;=0,N(M1066)&gt;N(L1066)),N(M1066)/가정!$B$4,N(L1066)))</f>
        <v>7475000</v>
      </c>
      <c r="O1066" s="67" t="str">
        <f aca="false">IF(A1066="제외","",IF(OR(N(L1066)&lt;=0,N(M1066)&gt;N(L1066)),"택가보정(판매금액÷공급율)",""))</f>
        <v/>
      </c>
    </row>
    <row r="1067" customFormat="false" ht="15" hidden="false" customHeight="true" outlineLevel="0" collapsed="false">
      <c r="A1067" s="67" t="str">
        <f aca="false">IF(OR(TRIM(C1067)="",SUBSTITUTE(C1067," ","")="소계"),"제외",IF(ISNUMBER(SEARCH("홍콩",C1067)),"HK",IF(ISNUMBER(SEARCH("상해",C1067)),"CN",IF(ISNUMBER(SEARCH("대만",C1067)),"TW","홀세일"))))</f>
        <v>홀세일</v>
      </c>
      <c r="B1067" s="87" t="s">
        <v>1319</v>
      </c>
      <c r="C1067" s="87" t="s">
        <v>1320</v>
      </c>
      <c r="D1067" s="88" t="s">
        <v>178</v>
      </c>
      <c r="E1067" s="87" t="n">
        <v>2026</v>
      </c>
      <c r="F1067" s="88" t="s">
        <v>532</v>
      </c>
      <c r="G1067" s="88" t="s">
        <v>180</v>
      </c>
      <c r="H1067" s="87" t="s">
        <v>189</v>
      </c>
      <c r="I1067" s="87" t="s">
        <v>569</v>
      </c>
      <c r="J1067" s="88" t="s">
        <v>570</v>
      </c>
      <c r="K1067" s="89" t="n">
        <v>25</v>
      </c>
      <c r="L1067" s="89" t="n">
        <v>10975000</v>
      </c>
      <c r="M1067" s="89" t="n">
        <v>3813425</v>
      </c>
      <c r="N1067" s="90" t="n">
        <f aca="false">IF(A1067="제외",0,IF(OR(N(L1067)&lt;=0,N(M1067)&gt;N(L1067)),N(M1067)/가정!$B$4,N(L1067)))</f>
        <v>10975000</v>
      </c>
      <c r="O1067" s="67" t="str">
        <f aca="false">IF(A1067="제외","",IF(OR(N(L1067)&lt;=0,N(M1067)&gt;N(L1067)),"택가보정(판매금액÷공급율)",""))</f>
        <v/>
      </c>
    </row>
    <row r="1068" customFormat="false" ht="15" hidden="false" customHeight="true" outlineLevel="0" collapsed="false">
      <c r="A1068" s="67" t="str">
        <f aca="false">IF(OR(TRIM(C1068)="",SUBSTITUTE(C1068," ","")="소계"),"제외",IF(ISNUMBER(SEARCH("홍콩",C1068)),"HK",IF(ISNUMBER(SEARCH("상해",C1068)),"CN",IF(ISNUMBER(SEARCH("대만",C1068)),"TW","홀세일"))))</f>
        <v>홀세일</v>
      </c>
      <c r="B1068" s="87" t="s">
        <v>1319</v>
      </c>
      <c r="C1068" s="87" t="s">
        <v>1320</v>
      </c>
      <c r="D1068" s="88" t="s">
        <v>178</v>
      </c>
      <c r="E1068" s="87" t="n">
        <v>2026</v>
      </c>
      <c r="F1068" s="88" t="s">
        <v>532</v>
      </c>
      <c r="G1068" s="88" t="s">
        <v>180</v>
      </c>
      <c r="H1068" s="87" t="s">
        <v>189</v>
      </c>
      <c r="I1068" s="87" t="s">
        <v>573</v>
      </c>
      <c r="J1068" s="88" t="s">
        <v>574</v>
      </c>
      <c r="K1068" s="89" t="n">
        <v>15</v>
      </c>
      <c r="L1068" s="89" t="n">
        <v>2835000</v>
      </c>
      <c r="M1068" s="89" t="n">
        <v>1030710</v>
      </c>
      <c r="N1068" s="90" t="n">
        <f aca="false">IF(A1068="제외",0,IF(OR(N(L1068)&lt;=0,N(M1068)&gt;N(L1068)),N(M1068)/가정!$B$4,N(L1068)))</f>
        <v>2835000</v>
      </c>
      <c r="O1068" s="67" t="str">
        <f aca="false">IF(A1068="제외","",IF(OR(N(L1068)&lt;=0,N(M1068)&gt;N(L1068)),"택가보정(판매금액÷공급율)",""))</f>
        <v/>
      </c>
    </row>
    <row r="1069" customFormat="false" ht="15" hidden="false" customHeight="true" outlineLevel="0" collapsed="false">
      <c r="A1069" s="67" t="str">
        <f aca="false">IF(OR(TRIM(C1069)="",SUBSTITUTE(C1069," ","")="소계"),"제외",IF(ISNUMBER(SEARCH("홍콩",C1069)),"HK",IF(ISNUMBER(SEARCH("상해",C1069)),"CN",IF(ISNUMBER(SEARCH("대만",C1069)),"TW","홀세일"))))</f>
        <v>홀세일</v>
      </c>
      <c r="B1069" s="87" t="s">
        <v>1319</v>
      </c>
      <c r="C1069" s="87" t="s">
        <v>1320</v>
      </c>
      <c r="D1069" s="88" t="s">
        <v>178</v>
      </c>
      <c r="E1069" s="87" t="n">
        <v>2026</v>
      </c>
      <c r="F1069" s="88" t="s">
        <v>532</v>
      </c>
      <c r="G1069" s="88" t="s">
        <v>180</v>
      </c>
      <c r="H1069" s="87" t="s">
        <v>189</v>
      </c>
      <c r="I1069" s="87" t="s">
        <v>575</v>
      </c>
      <c r="J1069" s="88" t="s">
        <v>576</v>
      </c>
      <c r="K1069" s="89" t="n">
        <v>40</v>
      </c>
      <c r="L1069" s="89" t="n">
        <v>7160000</v>
      </c>
      <c r="M1069" s="89" t="n">
        <v>2490400</v>
      </c>
      <c r="N1069" s="90" t="n">
        <f aca="false">IF(A1069="제외",0,IF(OR(N(L1069)&lt;=0,N(M1069)&gt;N(L1069)),N(M1069)/가정!$B$4,N(L1069)))</f>
        <v>7160000</v>
      </c>
      <c r="O1069" s="67" t="str">
        <f aca="false">IF(A1069="제외","",IF(OR(N(L1069)&lt;=0,N(M1069)&gt;N(L1069)),"택가보정(판매금액÷공급율)",""))</f>
        <v/>
      </c>
    </row>
    <row r="1070" customFormat="false" ht="15" hidden="false" customHeight="true" outlineLevel="0" collapsed="false">
      <c r="A1070" s="67" t="str">
        <f aca="false">IF(OR(TRIM(C1070)="",SUBSTITUTE(C1070," ","")="소계"),"제외",IF(ISNUMBER(SEARCH("홍콩",C1070)),"HK",IF(ISNUMBER(SEARCH("상해",C1070)),"CN",IF(ISNUMBER(SEARCH("대만",C1070)),"TW","홀세일"))))</f>
        <v>홀세일</v>
      </c>
      <c r="B1070" s="87" t="s">
        <v>1319</v>
      </c>
      <c r="C1070" s="87" t="s">
        <v>1320</v>
      </c>
      <c r="D1070" s="88" t="s">
        <v>178</v>
      </c>
      <c r="E1070" s="87" t="n">
        <v>2026</v>
      </c>
      <c r="F1070" s="88" t="s">
        <v>532</v>
      </c>
      <c r="G1070" s="88" t="s">
        <v>180</v>
      </c>
      <c r="H1070" s="87" t="s">
        <v>189</v>
      </c>
      <c r="I1070" s="87" t="s">
        <v>577</v>
      </c>
      <c r="J1070" s="87" t="s">
        <v>578</v>
      </c>
      <c r="K1070" s="89" t="n">
        <v>15</v>
      </c>
      <c r="L1070" s="89" t="n">
        <v>3285000</v>
      </c>
      <c r="M1070" s="89" t="n">
        <v>1037910</v>
      </c>
      <c r="N1070" s="90" t="n">
        <f aca="false">IF(A1070="제외",0,IF(OR(N(L1070)&lt;=0,N(M1070)&gt;N(L1070)),N(M1070)/가정!$B$4,N(L1070)))</f>
        <v>3285000</v>
      </c>
      <c r="O1070" s="67" t="str">
        <f aca="false">IF(A1070="제외","",IF(OR(N(L1070)&lt;=0,N(M1070)&gt;N(L1070)),"택가보정(판매금액÷공급율)",""))</f>
        <v/>
      </c>
    </row>
    <row r="1071" customFormat="false" ht="15" hidden="false" customHeight="true" outlineLevel="0" collapsed="false">
      <c r="A1071" s="67" t="str">
        <f aca="false">IF(OR(TRIM(C1071)="",SUBSTITUTE(C1071," ","")="소계"),"제외",IF(ISNUMBER(SEARCH("홍콩",C1071)),"HK",IF(ISNUMBER(SEARCH("상해",C1071)),"CN",IF(ISNUMBER(SEARCH("대만",C1071)),"TW","홀세일"))))</f>
        <v>홀세일</v>
      </c>
      <c r="B1071" s="87" t="s">
        <v>1319</v>
      </c>
      <c r="C1071" s="87" t="s">
        <v>1320</v>
      </c>
      <c r="D1071" s="88" t="s">
        <v>178</v>
      </c>
      <c r="E1071" s="87" t="n">
        <v>2026</v>
      </c>
      <c r="F1071" s="88" t="s">
        <v>532</v>
      </c>
      <c r="G1071" s="88" t="s">
        <v>180</v>
      </c>
      <c r="H1071" s="87" t="s">
        <v>189</v>
      </c>
      <c r="I1071" s="87" t="s">
        <v>1379</v>
      </c>
      <c r="J1071" s="88" t="s">
        <v>1380</v>
      </c>
      <c r="K1071" s="89" t="n">
        <v>65</v>
      </c>
      <c r="L1071" s="89" t="n">
        <v>7735000</v>
      </c>
      <c r="M1071" s="89" t="n">
        <v>2510365</v>
      </c>
      <c r="N1071" s="90" t="n">
        <f aca="false">IF(A1071="제외",0,IF(OR(N(L1071)&lt;=0,N(M1071)&gt;N(L1071)),N(M1071)/가정!$B$4,N(L1071)))</f>
        <v>7735000</v>
      </c>
      <c r="O1071" s="67" t="str">
        <f aca="false">IF(A1071="제외","",IF(OR(N(L1071)&lt;=0,N(M1071)&gt;N(L1071)),"택가보정(판매금액÷공급율)",""))</f>
        <v/>
      </c>
    </row>
    <row r="1072" customFormat="false" ht="15" hidden="false" customHeight="true" outlineLevel="0" collapsed="false">
      <c r="A1072" s="67" t="str">
        <f aca="false">IF(OR(TRIM(C1072)="",SUBSTITUTE(C1072," ","")="소계"),"제외",IF(ISNUMBER(SEARCH("홍콩",C1072)),"HK",IF(ISNUMBER(SEARCH("상해",C1072)),"CN",IF(ISNUMBER(SEARCH("대만",C1072)),"TW","홀세일"))))</f>
        <v>홀세일</v>
      </c>
      <c r="B1072" s="87" t="s">
        <v>1319</v>
      </c>
      <c r="C1072" s="87" t="s">
        <v>1320</v>
      </c>
      <c r="D1072" s="88" t="s">
        <v>178</v>
      </c>
      <c r="E1072" s="87" t="n">
        <v>2026</v>
      </c>
      <c r="F1072" s="88" t="s">
        <v>532</v>
      </c>
      <c r="G1072" s="88" t="s">
        <v>180</v>
      </c>
      <c r="H1072" s="87" t="s">
        <v>181</v>
      </c>
      <c r="I1072" s="87" t="s">
        <v>1381</v>
      </c>
      <c r="J1072" s="87" t="s">
        <v>1382</v>
      </c>
      <c r="K1072" s="89" t="n">
        <v>25</v>
      </c>
      <c r="L1072" s="89" t="n">
        <v>4975000</v>
      </c>
      <c r="M1072" s="89" t="n">
        <v>1662600</v>
      </c>
      <c r="N1072" s="90" t="n">
        <f aca="false">IF(A1072="제외",0,IF(OR(N(L1072)&lt;=0,N(M1072)&gt;N(L1072)),N(M1072)/가정!$B$4,N(L1072)))</f>
        <v>4975000</v>
      </c>
      <c r="O1072" s="67" t="str">
        <f aca="false">IF(A1072="제외","",IF(OR(N(L1072)&lt;=0,N(M1072)&gt;N(L1072)),"택가보정(판매금액÷공급율)",""))</f>
        <v/>
      </c>
    </row>
    <row r="1073" customFormat="false" ht="15" hidden="false" customHeight="true" outlineLevel="0" collapsed="false">
      <c r="A1073" s="67" t="str">
        <f aca="false">IF(OR(TRIM(C1073)="",SUBSTITUTE(C1073," ","")="소계"),"제외",IF(ISNUMBER(SEARCH("홍콩",C1073)),"HK",IF(ISNUMBER(SEARCH("상해",C1073)),"CN",IF(ISNUMBER(SEARCH("대만",C1073)),"TW","홀세일"))))</f>
        <v>홀세일</v>
      </c>
      <c r="B1073" s="87" t="s">
        <v>1319</v>
      </c>
      <c r="C1073" s="87" t="s">
        <v>1320</v>
      </c>
      <c r="D1073" s="88" t="s">
        <v>178</v>
      </c>
      <c r="E1073" s="87" t="n">
        <v>2026</v>
      </c>
      <c r="F1073" s="88" t="s">
        <v>532</v>
      </c>
      <c r="G1073" s="88" t="s">
        <v>180</v>
      </c>
      <c r="H1073" s="87" t="s">
        <v>189</v>
      </c>
      <c r="I1073" s="87" t="s">
        <v>985</v>
      </c>
      <c r="J1073" s="88" t="s">
        <v>986</v>
      </c>
      <c r="K1073" s="89" t="n">
        <v>85</v>
      </c>
      <c r="L1073" s="89" t="n">
        <v>18615000</v>
      </c>
      <c r="M1073" s="89" t="n">
        <v>5580760</v>
      </c>
      <c r="N1073" s="90" t="n">
        <f aca="false">IF(A1073="제외",0,IF(OR(N(L1073)&lt;=0,N(M1073)&gt;N(L1073)),N(M1073)/가정!$B$4,N(L1073)))</f>
        <v>18615000</v>
      </c>
      <c r="O1073" s="67" t="str">
        <f aca="false">IF(A1073="제외","",IF(OR(N(L1073)&lt;=0,N(M1073)&gt;N(L1073)),"택가보정(판매금액÷공급율)",""))</f>
        <v/>
      </c>
    </row>
    <row r="1074" customFormat="false" ht="15" hidden="false" customHeight="true" outlineLevel="0" collapsed="false">
      <c r="A1074" s="67" t="str">
        <f aca="false">IF(OR(TRIM(C1074)="",SUBSTITUTE(C1074," ","")="소계"),"제외",IF(ISNUMBER(SEARCH("홍콩",C1074)),"HK",IF(ISNUMBER(SEARCH("상해",C1074)),"CN",IF(ISNUMBER(SEARCH("대만",C1074)),"TW","홀세일"))))</f>
        <v>홀세일</v>
      </c>
      <c r="B1074" s="87" t="s">
        <v>1319</v>
      </c>
      <c r="C1074" s="87" t="s">
        <v>1320</v>
      </c>
      <c r="D1074" s="88" t="s">
        <v>178</v>
      </c>
      <c r="E1074" s="87" t="n">
        <v>2026</v>
      </c>
      <c r="F1074" s="88" t="s">
        <v>532</v>
      </c>
      <c r="G1074" s="88" t="s">
        <v>180</v>
      </c>
      <c r="H1074" s="87" t="s">
        <v>181</v>
      </c>
      <c r="I1074" s="87" t="s">
        <v>1383</v>
      </c>
      <c r="J1074" s="87" t="s">
        <v>1384</v>
      </c>
      <c r="K1074" s="89" t="n">
        <v>25</v>
      </c>
      <c r="L1074" s="89" t="n">
        <v>5975000</v>
      </c>
      <c r="M1074" s="89" t="n">
        <v>1998475</v>
      </c>
      <c r="N1074" s="90" t="n">
        <f aca="false">IF(A1074="제외",0,IF(OR(N(L1074)&lt;=0,N(M1074)&gt;N(L1074)),N(M1074)/가정!$B$4,N(L1074)))</f>
        <v>5975000</v>
      </c>
      <c r="O1074" s="67" t="str">
        <f aca="false">IF(A1074="제외","",IF(OR(N(L1074)&lt;=0,N(M1074)&gt;N(L1074)),"택가보정(판매금액÷공급율)",""))</f>
        <v/>
      </c>
    </row>
    <row r="1075" customFormat="false" ht="15" hidden="false" customHeight="true" outlineLevel="0" collapsed="false">
      <c r="A1075" s="67" t="str">
        <f aca="false">IF(OR(TRIM(C1075)="",SUBSTITUTE(C1075," ","")="소계"),"제외",IF(ISNUMBER(SEARCH("홍콩",C1075)),"HK",IF(ISNUMBER(SEARCH("상해",C1075)),"CN",IF(ISNUMBER(SEARCH("대만",C1075)),"TW","홀세일"))))</f>
        <v>홀세일</v>
      </c>
      <c r="B1075" s="87" t="s">
        <v>1319</v>
      </c>
      <c r="C1075" s="87" t="s">
        <v>1320</v>
      </c>
      <c r="D1075" s="88" t="s">
        <v>178</v>
      </c>
      <c r="E1075" s="87" t="n">
        <v>2026</v>
      </c>
      <c r="F1075" s="88" t="s">
        <v>532</v>
      </c>
      <c r="G1075" s="88" t="s">
        <v>180</v>
      </c>
      <c r="H1075" s="87" t="s">
        <v>189</v>
      </c>
      <c r="I1075" s="87" t="s">
        <v>1385</v>
      </c>
      <c r="J1075" s="88" t="s">
        <v>1386</v>
      </c>
      <c r="K1075" s="89" t="n">
        <v>50</v>
      </c>
      <c r="L1075" s="89" t="n">
        <v>8950000</v>
      </c>
      <c r="M1075" s="89" t="n">
        <v>2766350</v>
      </c>
      <c r="N1075" s="90" t="n">
        <f aca="false">IF(A1075="제외",0,IF(OR(N(L1075)&lt;=0,N(M1075)&gt;N(L1075)),N(M1075)/가정!$B$4,N(L1075)))</f>
        <v>8950000</v>
      </c>
      <c r="O1075" s="67" t="str">
        <f aca="false">IF(A1075="제외","",IF(OR(N(L1075)&lt;=0,N(M1075)&gt;N(L1075)),"택가보정(판매금액÷공급율)",""))</f>
        <v/>
      </c>
    </row>
    <row r="1076" customFormat="false" ht="15" hidden="false" customHeight="true" outlineLevel="0" collapsed="false">
      <c r="A1076" s="67" t="str">
        <f aca="false">IF(OR(TRIM(C1076)="",SUBSTITUTE(C1076," ","")="소계"),"제외",IF(ISNUMBER(SEARCH("홍콩",C1076)),"HK",IF(ISNUMBER(SEARCH("상해",C1076)),"CN",IF(ISNUMBER(SEARCH("대만",C1076)),"TW","홀세일"))))</f>
        <v>홀세일</v>
      </c>
      <c r="B1076" s="87" t="s">
        <v>1319</v>
      </c>
      <c r="C1076" s="87" t="s">
        <v>1320</v>
      </c>
      <c r="D1076" s="88" t="s">
        <v>178</v>
      </c>
      <c r="E1076" s="87" t="n">
        <v>2026</v>
      </c>
      <c r="F1076" s="88" t="s">
        <v>532</v>
      </c>
      <c r="G1076" s="88" t="s">
        <v>180</v>
      </c>
      <c r="H1076" s="87" t="s">
        <v>189</v>
      </c>
      <c r="I1076" s="87" t="s">
        <v>987</v>
      </c>
      <c r="J1076" s="88" t="s">
        <v>988</v>
      </c>
      <c r="K1076" s="89" t="n">
        <v>40</v>
      </c>
      <c r="L1076" s="89" t="n">
        <v>5160000</v>
      </c>
      <c r="M1076" s="89" t="n">
        <v>1675040</v>
      </c>
      <c r="N1076" s="90" t="n">
        <f aca="false">IF(A1076="제외",0,IF(OR(N(L1076)&lt;=0,N(M1076)&gt;N(L1076)),N(M1076)/가정!$B$4,N(L1076)))</f>
        <v>5160000</v>
      </c>
      <c r="O1076" s="67" t="str">
        <f aca="false">IF(A1076="제외","",IF(OR(N(L1076)&lt;=0,N(M1076)&gt;N(L1076)),"택가보정(판매금액÷공급율)",""))</f>
        <v/>
      </c>
    </row>
    <row r="1077" customFormat="false" ht="15" hidden="false" customHeight="true" outlineLevel="0" collapsed="false">
      <c r="A1077" s="67" t="str">
        <f aca="false">IF(OR(TRIM(C1077)="",SUBSTITUTE(C1077," ","")="소계"),"제외",IF(ISNUMBER(SEARCH("홍콩",C1077)),"HK",IF(ISNUMBER(SEARCH("상해",C1077)),"CN",IF(ISNUMBER(SEARCH("대만",C1077)),"TW","홀세일"))))</f>
        <v>홀세일</v>
      </c>
      <c r="B1077" s="87" t="s">
        <v>1319</v>
      </c>
      <c r="C1077" s="87" t="s">
        <v>1320</v>
      </c>
      <c r="D1077" s="88" t="s">
        <v>178</v>
      </c>
      <c r="E1077" s="87" t="n">
        <v>2026</v>
      </c>
      <c r="F1077" s="88" t="s">
        <v>532</v>
      </c>
      <c r="G1077" s="88" t="s">
        <v>180</v>
      </c>
      <c r="H1077" s="87" t="s">
        <v>189</v>
      </c>
      <c r="I1077" s="87" t="s">
        <v>589</v>
      </c>
      <c r="J1077" s="88" t="s">
        <v>590</v>
      </c>
      <c r="K1077" s="89" t="n">
        <v>30</v>
      </c>
      <c r="L1077" s="89" t="n">
        <v>4470000</v>
      </c>
      <c r="M1077" s="89" t="n">
        <v>1460280</v>
      </c>
      <c r="N1077" s="90" t="n">
        <f aca="false">IF(A1077="제외",0,IF(OR(N(L1077)&lt;=0,N(M1077)&gt;N(L1077)),N(M1077)/가정!$B$4,N(L1077)))</f>
        <v>4470000</v>
      </c>
      <c r="O1077" s="67" t="str">
        <f aca="false">IF(A1077="제외","",IF(OR(N(L1077)&lt;=0,N(M1077)&gt;N(L1077)),"택가보정(판매금액÷공급율)",""))</f>
        <v/>
      </c>
    </row>
    <row r="1078" customFormat="false" ht="15" hidden="false" customHeight="true" outlineLevel="0" collapsed="false">
      <c r="A1078" s="67" t="str">
        <f aca="false">IF(OR(TRIM(C1078)="",SUBSTITUTE(C1078," ","")="소계"),"제외",IF(ISNUMBER(SEARCH("홍콩",C1078)),"HK",IF(ISNUMBER(SEARCH("상해",C1078)),"CN",IF(ISNUMBER(SEARCH("대만",C1078)),"TW","홀세일"))))</f>
        <v>홀세일</v>
      </c>
      <c r="B1078" s="87" t="s">
        <v>1319</v>
      </c>
      <c r="C1078" s="87" t="s">
        <v>1320</v>
      </c>
      <c r="D1078" s="88" t="s">
        <v>178</v>
      </c>
      <c r="E1078" s="87" t="n">
        <v>2026</v>
      </c>
      <c r="F1078" s="88" t="s">
        <v>532</v>
      </c>
      <c r="G1078" s="88" t="s">
        <v>180</v>
      </c>
      <c r="H1078" s="87" t="s">
        <v>189</v>
      </c>
      <c r="I1078" s="87" t="s">
        <v>989</v>
      </c>
      <c r="J1078" s="88" t="s">
        <v>990</v>
      </c>
      <c r="K1078" s="89" t="n">
        <v>40</v>
      </c>
      <c r="L1078" s="89" t="n">
        <v>4360000</v>
      </c>
      <c r="M1078" s="89" t="n">
        <v>1412840</v>
      </c>
      <c r="N1078" s="90" t="n">
        <f aca="false">IF(A1078="제외",0,IF(OR(N(L1078)&lt;=0,N(M1078)&gt;N(L1078)),N(M1078)/가정!$B$4,N(L1078)))</f>
        <v>4360000</v>
      </c>
      <c r="O1078" s="67" t="str">
        <f aca="false">IF(A1078="제외","",IF(OR(N(L1078)&lt;=0,N(M1078)&gt;N(L1078)),"택가보정(판매금액÷공급율)",""))</f>
        <v/>
      </c>
    </row>
    <row r="1079" customFormat="false" ht="15" hidden="false" customHeight="true" outlineLevel="0" collapsed="false">
      <c r="A1079" s="67" t="str">
        <f aca="false">IF(OR(TRIM(C1079)="",SUBSTITUTE(C1079," ","")="소계"),"제외",IF(ISNUMBER(SEARCH("홍콩",C1079)),"HK",IF(ISNUMBER(SEARCH("상해",C1079)),"CN",IF(ISNUMBER(SEARCH("대만",C1079)),"TW","홀세일"))))</f>
        <v>홀세일</v>
      </c>
      <c r="B1079" s="87" t="s">
        <v>1319</v>
      </c>
      <c r="C1079" s="87" t="s">
        <v>1320</v>
      </c>
      <c r="D1079" s="88" t="s">
        <v>178</v>
      </c>
      <c r="E1079" s="87" t="n">
        <v>2026</v>
      </c>
      <c r="F1079" s="88" t="s">
        <v>532</v>
      </c>
      <c r="G1079" s="88" t="s">
        <v>180</v>
      </c>
      <c r="H1079" s="87" t="s">
        <v>189</v>
      </c>
      <c r="I1079" s="87" t="s">
        <v>593</v>
      </c>
      <c r="J1079" s="88" t="s">
        <v>594</v>
      </c>
      <c r="K1079" s="89" t="n">
        <v>25</v>
      </c>
      <c r="L1079" s="89" t="n">
        <v>3725000</v>
      </c>
      <c r="M1079" s="89" t="n">
        <v>1187050</v>
      </c>
      <c r="N1079" s="90" t="n">
        <f aca="false">IF(A1079="제외",0,IF(OR(N(L1079)&lt;=0,N(M1079)&gt;N(L1079)),N(M1079)/가정!$B$4,N(L1079)))</f>
        <v>3725000</v>
      </c>
      <c r="O1079" s="67" t="str">
        <f aca="false">IF(A1079="제외","",IF(OR(N(L1079)&lt;=0,N(M1079)&gt;N(L1079)),"택가보정(판매금액÷공급율)",""))</f>
        <v/>
      </c>
    </row>
    <row r="1080" customFormat="false" ht="15" hidden="false" customHeight="true" outlineLevel="0" collapsed="false">
      <c r="A1080" s="67" t="str">
        <f aca="false">IF(OR(TRIM(C1080)="",SUBSTITUTE(C1080," ","")="소계"),"제외",IF(ISNUMBER(SEARCH("홍콩",C1080)),"HK",IF(ISNUMBER(SEARCH("상해",C1080)),"CN",IF(ISNUMBER(SEARCH("대만",C1080)),"TW","홀세일"))))</f>
        <v>홀세일</v>
      </c>
      <c r="B1080" s="87" t="s">
        <v>1319</v>
      </c>
      <c r="C1080" s="87" t="s">
        <v>1320</v>
      </c>
      <c r="D1080" s="88" t="s">
        <v>178</v>
      </c>
      <c r="E1080" s="87" t="n">
        <v>2026</v>
      </c>
      <c r="F1080" s="88" t="s">
        <v>532</v>
      </c>
      <c r="G1080" s="88" t="s">
        <v>180</v>
      </c>
      <c r="H1080" s="87" t="s">
        <v>189</v>
      </c>
      <c r="I1080" s="87" t="s">
        <v>1387</v>
      </c>
      <c r="J1080" s="88" t="s">
        <v>1388</v>
      </c>
      <c r="K1080" s="89" t="n">
        <v>40</v>
      </c>
      <c r="L1080" s="89" t="n">
        <v>5160000</v>
      </c>
      <c r="M1080" s="89" t="n">
        <v>1645320</v>
      </c>
      <c r="N1080" s="90" t="n">
        <f aca="false">IF(A1080="제외",0,IF(OR(N(L1080)&lt;=0,N(M1080)&gt;N(L1080)),N(M1080)/가정!$B$4,N(L1080)))</f>
        <v>5160000</v>
      </c>
      <c r="O1080" s="67" t="str">
        <f aca="false">IF(A1080="제외","",IF(OR(N(L1080)&lt;=0,N(M1080)&gt;N(L1080)),"택가보정(판매금액÷공급율)",""))</f>
        <v/>
      </c>
    </row>
    <row r="1081" customFormat="false" ht="15" hidden="false" customHeight="true" outlineLevel="0" collapsed="false">
      <c r="A1081" s="67" t="str">
        <f aca="false">IF(OR(TRIM(C1081)="",SUBSTITUTE(C1081," ","")="소계"),"제외",IF(ISNUMBER(SEARCH("홍콩",C1081)),"HK",IF(ISNUMBER(SEARCH("상해",C1081)),"CN",IF(ISNUMBER(SEARCH("대만",C1081)),"TW","홀세일"))))</f>
        <v>홀세일</v>
      </c>
      <c r="B1081" s="87" t="s">
        <v>1319</v>
      </c>
      <c r="C1081" s="87" t="s">
        <v>1320</v>
      </c>
      <c r="D1081" s="88" t="s">
        <v>178</v>
      </c>
      <c r="E1081" s="87" t="n">
        <v>2026</v>
      </c>
      <c r="F1081" s="88" t="s">
        <v>532</v>
      </c>
      <c r="G1081" s="88" t="s">
        <v>180</v>
      </c>
      <c r="H1081" s="87" t="s">
        <v>246</v>
      </c>
      <c r="I1081" s="87" t="s">
        <v>599</v>
      </c>
      <c r="J1081" s="87" t="s">
        <v>600</v>
      </c>
      <c r="K1081" s="89" t="n">
        <v>20</v>
      </c>
      <c r="L1081" s="89" t="n">
        <v>3180000</v>
      </c>
      <c r="M1081" s="89" t="n">
        <v>997880</v>
      </c>
      <c r="N1081" s="90" t="n">
        <f aca="false">IF(A1081="제외",0,IF(OR(N(L1081)&lt;=0,N(M1081)&gt;N(L1081)),N(M1081)/가정!$B$4,N(L1081)))</f>
        <v>3180000</v>
      </c>
      <c r="O1081" s="67" t="str">
        <f aca="false">IF(A1081="제외","",IF(OR(N(L1081)&lt;=0,N(M1081)&gt;N(L1081)),"택가보정(판매금액÷공급율)",""))</f>
        <v/>
      </c>
    </row>
    <row r="1082" customFormat="false" ht="15" hidden="false" customHeight="true" outlineLevel="0" collapsed="false">
      <c r="A1082" s="67" t="str">
        <f aca="false">IF(OR(TRIM(C1082)="",SUBSTITUTE(C1082," ","")="소계"),"제외",IF(ISNUMBER(SEARCH("홍콩",C1082)),"HK",IF(ISNUMBER(SEARCH("상해",C1082)),"CN",IF(ISNUMBER(SEARCH("대만",C1082)),"TW","홀세일"))))</f>
        <v>홀세일</v>
      </c>
      <c r="B1082" s="87" t="s">
        <v>1319</v>
      </c>
      <c r="C1082" s="87" t="s">
        <v>1320</v>
      </c>
      <c r="D1082" s="88" t="s">
        <v>178</v>
      </c>
      <c r="E1082" s="87" t="n">
        <v>2026</v>
      </c>
      <c r="F1082" s="88" t="s">
        <v>532</v>
      </c>
      <c r="G1082" s="88" t="s">
        <v>180</v>
      </c>
      <c r="H1082" s="87" t="s">
        <v>246</v>
      </c>
      <c r="I1082" s="87" t="s">
        <v>991</v>
      </c>
      <c r="J1082" s="87" t="s">
        <v>992</v>
      </c>
      <c r="K1082" s="89" t="n">
        <v>20</v>
      </c>
      <c r="L1082" s="89" t="n">
        <v>2580000</v>
      </c>
      <c r="M1082" s="89" t="n">
        <v>822660</v>
      </c>
      <c r="N1082" s="90" t="n">
        <f aca="false">IF(A1082="제외",0,IF(OR(N(L1082)&lt;=0,N(M1082)&gt;N(L1082)),N(M1082)/가정!$B$4,N(L1082)))</f>
        <v>2580000</v>
      </c>
      <c r="O1082" s="67" t="str">
        <f aca="false">IF(A1082="제외","",IF(OR(N(L1082)&lt;=0,N(M1082)&gt;N(L1082)),"택가보정(판매금액÷공급율)",""))</f>
        <v/>
      </c>
    </row>
    <row r="1083" customFormat="false" ht="15" hidden="false" customHeight="true" outlineLevel="0" collapsed="false">
      <c r="A1083" s="67" t="str">
        <f aca="false">IF(OR(TRIM(C1083)="",SUBSTITUTE(C1083," ","")="소계"),"제외",IF(ISNUMBER(SEARCH("홍콩",C1083)),"HK",IF(ISNUMBER(SEARCH("상해",C1083)),"CN",IF(ISNUMBER(SEARCH("대만",C1083)),"TW","홀세일"))))</f>
        <v>홀세일</v>
      </c>
      <c r="B1083" s="87" t="s">
        <v>1319</v>
      </c>
      <c r="C1083" s="87" t="s">
        <v>1320</v>
      </c>
      <c r="D1083" s="88" t="s">
        <v>178</v>
      </c>
      <c r="E1083" s="87" t="n">
        <v>2026</v>
      </c>
      <c r="F1083" s="88" t="s">
        <v>532</v>
      </c>
      <c r="G1083" s="88" t="s">
        <v>180</v>
      </c>
      <c r="H1083" s="87" t="s">
        <v>246</v>
      </c>
      <c r="I1083" s="87" t="s">
        <v>1389</v>
      </c>
      <c r="J1083" s="87" t="s">
        <v>1390</v>
      </c>
      <c r="K1083" s="89" t="n">
        <v>35</v>
      </c>
      <c r="L1083" s="89" t="n">
        <v>3465000</v>
      </c>
      <c r="M1083" s="89" t="n">
        <v>1141980</v>
      </c>
      <c r="N1083" s="90" t="n">
        <f aca="false">IF(A1083="제외",0,IF(OR(N(L1083)&lt;=0,N(M1083)&gt;N(L1083)),N(M1083)/가정!$B$4,N(L1083)))</f>
        <v>3465000</v>
      </c>
      <c r="O1083" s="67" t="str">
        <f aca="false">IF(A1083="제외","",IF(OR(N(L1083)&lt;=0,N(M1083)&gt;N(L1083)),"택가보정(판매금액÷공급율)",""))</f>
        <v/>
      </c>
    </row>
    <row r="1084" customFormat="false" ht="15" hidden="false" customHeight="true" outlineLevel="0" collapsed="false">
      <c r="A1084" s="67" t="str">
        <f aca="false">IF(OR(TRIM(C1084)="",SUBSTITUTE(C1084," ","")="소계"),"제외",IF(ISNUMBER(SEARCH("홍콩",C1084)),"HK",IF(ISNUMBER(SEARCH("상해",C1084)),"CN",IF(ISNUMBER(SEARCH("대만",C1084)),"TW","홀세일"))))</f>
        <v>홀세일</v>
      </c>
      <c r="B1084" s="87" t="s">
        <v>1319</v>
      </c>
      <c r="C1084" s="87" t="s">
        <v>1320</v>
      </c>
      <c r="D1084" s="88" t="s">
        <v>178</v>
      </c>
      <c r="E1084" s="87" t="n">
        <v>2026</v>
      </c>
      <c r="F1084" s="88" t="s">
        <v>532</v>
      </c>
      <c r="G1084" s="88" t="s">
        <v>180</v>
      </c>
      <c r="H1084" s="87" t="s">
        <v>246</v>
      </c>
      <c r="I1084" s="87" t="s">
        <v>603</v>
      </c>
      <c r="J1084" s="87" t="s">
        <v>604</v>
      </c>
      <c r="K1084" s="89" t="n">
        <v>30</v>
      </c>
      <c r="L1084" s="89" t="n">
        <v>4470000</v>
      </c>
      <c r="M1084" s="89" t="n">
        <v>1553670</v>
      </c>
      <c r="N1084" s="90" t="n">
        <f aca="false">IF(A1084="제외",0,IF(OR(N(L1084)&lt;=0,N(M1084)&gt;N(L1084)),N(M1084)/가정!$B$4,N(L1084)))</f>
        <v>4470000</v>
      </c>
      <c r="O1084" s="67" t="str">
        <f aca="false">IF(A1084="제외","",IF(OR(N(L1084)&lt;=0,N(M1084)&gt;N(L1084)),"택가보정(판매금액÷공급율)",""))</f>
        <v/>
      </c>
    </row>
    <row r="1085" customFormat="false" ht="15" hidden="false" customHeight="true" outlineLevel="0" collapsed="false">
      <c r="A1085" s="67" t="str">
        <f aca="false">IF(OR(TRIM(C1085)="",SUBSTITUTE(C1085," ","")="소계"),"제외",IF(ISNUMBER(SEARCH("홍콩",C1085)),"HK",IF(ISNUMBER(SEARCH("상해",C1085)),"CN",IF(ISNUMBER(SEARCH("대만",C1085)),"TW","홀세일"))))</f>
        <v>홀세일</v>
      </c>
      <c r="B1085" s="87" t="s">
        <v>1319</v>
      </c>
      <c r="C1085" s="87" t="s">
        <v>1320</v>
      </c>
      <c r="D1085" s="88" t="s">
        <v>178</v>
      </c>
      <c r="E1085" s="87" t="n">
        <v>2026</v>
      </c>
      <c r="F1085" s="88" t="s">
        <v>532</v>
      </c>
      <c r="G1085" s="88" t="s">
        <v>180</v>
      </c>
      <c r="H1085" s="87" t="s">
        <v>246</v>
      </c>
      <c r="I1085" s="87" t="s">
        <v>605</v>
      </c>
      <c r="J1085" s="87" t="s">
        <v>606</v>
      </c>
      <c r="K1085" s="89" t="n">
        <v>20</v>
      </c>
      <c r="L1085" s="89" t="n">
        <v>4780000</v>
      </c>
      <c r="M1085" s="89" t="n">
        <v>1664040</v>
      </c>
      <c r="N1085" s="90" t="n">
        <f aca="false">IF(A1085="제외",0,IF(OR(N(L1085)&lt;=0,N(M1085)&gt;N(L1085)),N(M1085)/가정!$B$4,N(L1085)))</f>
        <v>4780000</v>
      </c>
      <c r="O1085" s="67" t="str">
        <f aca="false">IF(A1085="제외","",IF(OR(N(L1085)&lt;=0,N(M1085)&gt;N(L1085)),"택가보정(판매금액÷공급율)",""))</f>
        <v/>
      </c>
    </row>
    <row r="1086" customFormat="false" ht="15" hidden="false" customHeight="true" outlineLevel="0" collapsed="false">
      <c r="A1086" s="67" t="str">
        <f aca="false">IF(OR(TRIM(C1086)="",SUBSTITUTE(C1086," ","")="소계"),"제외",IF(ISNUMBER(SEARCH("홍콩",C1086)),"HK",IF(ISNUMBER(SEARCH("상해",C1086)),"CN",IF(ISNUMBER(SEARCH("대만",C1086)),"TW","홀세일"))))</f>
        <v>홀세일</v>
      </c>
      <c r="B1086" s="87" t="s">
        <v>1319</v>
      </c>
      <c r="C1086" s="87" t="s">
        <v>1320</v>
      </c>
      <c r="D1086" s="88" t="s">
        <v>178</v>
      </c>
      <c r="E1086" s="87" t="n">
        <v>2026</v>
      </c>
      <c r="F1086" s="88" t="s">
        <v>532</v>
      </c>
      <c r="G1086" s="88" t="s">
        <v>180</v>
      </c>
      <c r="H1086" s="87" t="s">
        <v>246</v>
      </c>
      <c r="I1086" s="87" t="s">
        <v>609</v>
      </c>
      <c r="J1086" s="87" t="s">
        <v>610</v>
      </c>
      <c r="K1086" s="89" t="n">
        <v>50</v>
      </c>
      <c r="L1086" s="89" t="n">
        <v>8450000</v>
      </c>
      <c r="M1086" s="89" t="n">
        <v>3072850</v>
      </c>
      <c r="N1086" s="90" t="n">
        <f aca="false">IF(A1086="제외",0,IF(OR(N(L1086)&lt;=0,N(M1086)&gt;N(L1086)),N(M1086)/가정!$B$4,N(L1086)))</f>
        <v>8450000</v>
      </c>
      <c r="O1086" s="67" t="str">
        <f aca="false">IF(A1086="제외","",IF(OR(N(L1086)&lt;=0,N(M1086)&gt;N(L1086)),"택가보정(판매금액÷공급율)",""))</f>
        <v/>
      </c>
    </row>
    <row r="1087" customFormat="false" ht="15" hidden="false" customHeight="true" outlineLevel="0" collapsed="false">
      <c r="A1087" s="67" t="str">
        <f aca="false">IF(OR(TRIM(C1087)="",SUBSTITUTE(C1087," ","")="소계"),"제외",IF(ISNUMBER(SEARCH("홍콩",C1087)),"HK",IF(ISNUMBER(SEARCH("상해",C1087)),"CN",IF(ISNUMBER(SEARCH("대만",C1087)),"TW","홀세일"))))</f>
        <v>홀세일</v>
      </c>
      <c r="B1087" s="87" t="s">
        <v>1319</v>
      </c>
      <c r="C1087" s="87" t="s">
        <v>1320</v>
      </c>
      <c r="D1087" s="88" t="s">
        <v>178</v>
      </c>
      <c r="E1087" s="87" t="n">
        <v>2026</v>
      </c>
      <c r="F1087" s="88" t="s">
        <v>532</v>
      </c>
      <c r="G1087" s="88" t="s">
        <v>180</v>
      </c>
      <c r="H1087" s="87" t="s">
        <v>246</v>
      </c>
      <c r="I1087" s="87" t="s">
        <v>611</v>
      </c>
      <c r="J1087" s="87" t="s">
        <v>612</v>
      </c>
      <c r="K1087" s="89" t="n">
        <v>45</v>
      </c>
      <c r="L1087" s="89" t="n">
        <v>8055000</v>
      </c>
      <c r="M1087" s="89" t="n">
        <v>2932200</v>
      </c>
      <c r="N1087" s="90" t="n">
        <f aca="false">IF(A1087="제외",0,IF(OR(N(L1087)&lt;=0,N(M1087)&gt;N(L1087)),N(M1087)/가정!$B$4,N(L1087)))</f>
        <v>8055000</v>
      </c>
      <c r="O1087" s="67" t="str">
        <f aca="false">IF(A1087="제외","",IF(OR(N(L1087)&lt;=0,N(M1087)&gt;N(L1087)),"택가보정(판매금액÷공급율)",""))</f>
        <v/>
      </c>
    </row>
    <row r="1088" customFormat="false" ht="15" hidden="false" customHeight="true" outlineLevel="0" collapsed="false">
      <c r="A1088" s="67" t="str">
        <f aca="false">IF(OR(TRIM(C1088)="",SUBSTITUTE(C1088," ","")="소계"),"제외",IF(ISNUMBER(SEARCH("홍콩",C1088)),"HK",IF(ISNUMBER(SEARCH("상해",C1088)),"CN",IF(ISNUMBER(SEARCH("대만",C1088)),"TW","홀세일"))))</f>
        <v>홀세일</v>
      </c>
      <c r="B1088" s="87" t="s">
        <v>1319</v>
      </c>
      <c r="C1088" s="87" t="s">
        <v>1320</v>
      </c>
      <c r="D1088" s="88" t="s">
        <v>178</v>
      </c>
      <c r="E1088" s="87" t="n">
        <v>2026</v>
      </c>
      <c r="F1088" s="88" t="s">
        <v>532</v>
      </c>
      <c r="G1088" s="88" t="s">
        <v>180</v>
      </c>
      <c r="H1088" s="87" t="s">
        <v>246</v>
      </c>
      <c r="I1088" s="87" t="s">
        <v>613</v>
      </c>
      <c r="J1088" s="87" t="s">
        <v>614</v>
      </c>
      <c r="K1088" s="89" t="n">
        <v>50</v>
      </c>
      <c r="L1088" s="89" t="n">
        <v>14950000</v>
      </c>
      <c r="M1088" s="89" t="n">
        <v>5200150</v>
      </c>
      <c r="N1088" s="90" t="n">
        <f aca="false">IF(A1088="제외",0,IF(OR(N(L1088)&lt;=0,N(M1088)&gt;N(L1088)),N(M1088)/가정!$B$4,N(L1088)))</f>
        <v>14950000</v>
      </c>
      <c r="O1088" s="67" t="str">
        <f aca="false">IF(A1088="제외","",IF(OR(N(L1088)&lt;=0,N(M1088)&gt;N(L1088)),"택가보정(판매금액÷공급율)",""))</f>
        <v/>
      </c>
    </row>
    <row r="1089" customFormat="false" ht="15" hidden="false" customHeight="true" outlineLevel="0" collapsed="false">
      <c r="A1089" s="67" t="str">
        <f aca="false">IF(OR(TRIM(C1089)="",SUBSTITUTE(C1089," ","")="소계"),"제외",IF(ISNUMBER(SEARCH("홍콩",C1089)),"HK",IF(ISNUMBER(SEARCH("상해",C1089)),"CN",IF(ISNUMBER(SEARCH("대만",C1089)),"TW","홀세일"))))</f>
        <v>홀세일</v>
      </c>
      <c r="B1089" s="87" t="s">
        <v>1319</v>
      </c>
      <c r="C1089" s="87" t="s">
        <v>1320</v>
      </c>
      <c r="D1089" s="88" t="s">
        <v>178</v>
      </c>
      <c r="E1089" s="87" t="n">
        <v>2026</v>
      </c>
      <c r="F1089" s="88" t="s">
        <v>532</v>
      </c>
      <c r="G1089" s="88" t="s">
        <v>180</v>
      </c>
      <c r="H1089" s="87" t="s">
        <v>246</v>
      </c>
      <c r="I1089" s="87" t="s">
        <v>615</v>
      </c>
      <c r="J1089" s="87" t="s">
        <v>616</v>
      </c>
      <c r="K1089" s="89" t="n">
        <v>15</v>
      </c>
      <c r="L1089" s="89" t="n">
        <v>4935000</v>
      </c>
      <c r="M1089" s="89" t="n">
        <v>1647720</v>
      </c>
      <c r="N1089" s="90" t="n">
        <f aca="false">IF(A1089="제외",0,IF(OR(N(L1089)&lt;=0,N(M1089)&gt;N(L1089)),N(M1089)/가정!$B$4,N(L1089)))</f>
        <v>4935000</v>
      </c>
      <c r="O1089" s="67" t="str">
        <f aca="false">IF(A1089="제외","",IF(OR(N(L1089)&lt;=0,N(M1089)&gt;N(L1089)),"택가보정(판매금액÷공급율)",""))</f>
        <v/>
      </c>
    </row>
    <row r="1090" customFormat="false" ht="15" hidden="false" customHeight="true" outlineLevel="0" collapsed="false">
      <c r="A1090" s="67" t="str">
        <f aca="false">IF(OR(TRIM(C1090)="",SUBSTITUTE(C1090," ","")="소계"),"제외",IF(ISNUMBER(SEARCH("홍콩",C1090)),"HK",IF(ISNUMBER(SEARCH("상해",C1090)),"CN",IF(ISNUMBER(SEARCH("대만",C1090)),"TW","홀세일"))))</f>
        <v>홀세일</v>
      </c>
      <c r="B1090" s="87" t="s">
        <v>1319</v>
      </c>
      <c r="C1090" s="87" t="s">
        <v>1320</v>
      </c>
      <c r="D1090" s="88" t="s">
        <v>178</v>
      </c>
      <c r="E1090" s="87" t="n">
        <v>2026</v>
      </c>
      <c r="F1090" s="88" t="s">
        <v>532</v>
      </c>
      <c r="G1090" s="88" t="s">
        <v>180</v>
      </c>
      <c r="H1090" s="87" t="s">
        <v>246</v>
      </c>
      <c r="I1090" s="87" t="s">
        <v>617</v>
      </c>
      <c r="J1090" s="87" t="s">
        <v>618</v>
      </c>
      <c r="K1090" s="89" t="n">
        <v>15</v>
      </c>
      <c r="L1090" s="89" t="n">
        <v>5985000</v>
      </c>
      <c r="M1090" s="89" t="n">
        <v>2034915</v>
      </c>
      <c r="N1090" s="90" t="n">
        <f aca="false">IF(A1090="제외",0,IF(OR(N(L1090)&lt;=0,N(M1090)&gt;N(L1090)),N(M1090)/가정!$B$4,N(L1090)))</f>
        <v>5985000</v>
      </c>
      <c r="O1090" s="67" t="str">
        <f aca="false">IF(A1090="제외","",IF(OR(N(L1090)&lt;=0,N(M1090)&gt;N(L1090)),"택가보정(판매금액÷공급율)",""))</f>
        <v/>
      </c>
    </row>
    <row r="1091" customFormat="false" ht="15" hidden="false" customHeight="true" outlineLevel="0" collapsed="false">
      <c r="A1091" s="67" t="str">
        <f aca="false">IF(OR(TRIM(C1091)="",SUBSTITUTE(C1091," ","")="소계"),"제외",IF(ISNUMBER(SEARCH("홍콩",C1091)),"HK",IF(ISNUMBER(SEARCH("상해",C1091)),"CN",IF(ISNUMBER(SEARCH("대만",C1091)),"TW","홀세일"))))</f>
        <v>홀세일</v>
      </c>
      <c r="B1091" s="87" t="s">
        <v>1319</v>
      </c>
      <c r="C1091" s="87" t="s">
        <v>1320</v>
      </c>
      <c r="D1091" s="88" t="s">
        <v>178</v>
      </c>
      <c r="E1091" s="87" t="n">
        <v>2026</v>
      </c>
      <c r="F1091" s="88" t="s">
        <v>532</v>
      </c>
      <c r="G1091" s="88" t="s">
        <v>180</v>
      </c>
      <c r="H1091" s="87" t="s">
        <v>246</v>
      </c>
      <c r="I1091" s="87" t="s">
        <v>627</v>
      </c>
      <c r="J1091" s="87" t="s">
        <v>628</v>
      </c>
      <c r="K1091" s="89" t="n">
        <v>20</v>
      </c>
      <c r="L1091" s="89" t="n">
        <v>3780000</v>
      </c>
      <c r="M1091" s="89" t="n">
        <v>1313120</v>
      </c>
      <c r="N1091" s="90" t="n">
        <f aca="false">IF(A1091="제외",0,IF(OR(N(L1091)&lt;=0,N(M1091)&gt;N(L1091)),N(M1091)/가정!$B$4,N(L1091)))</f>
        <v>3780000</v>
      </c>
      <c r="O1091" s="67" t="str">
        <f aca="false">IF(A1091="제외","",IF(OR(N(L1091)&lt;=0,N(M1091)&gt;N(L1091)),"택가보정(판매금액÷공급율)",""))</f>
        <v/>
      </c>
    </row>
    <row r="1092" customFormat="false" ht="15" hidden="false" customHeight="true" outlineLevel="0" collapsed="false">
      <c r="A1092" s="67" t="str">
        <f aca="false">IF(OR(TRIM(C1092)="",SUBSTITUTE(C1092," ","")="소계"),"제외",IF(ISNUMBER(SEARCH("홍콩",C1092)),"HK",IF(ISNUMBER(SEARCH("상해",C1092)),"CN",IF(ISNUMBER(SEARCH("대만",C1092)),"TW","홀세일"))))</f>
        <v>홀세일</v>
      </c>
      <c r="B1092" s="87" t="s">
        <v>1319</v>
      </c>
      <c r="C1092" s="87" t="s">
        <v>1320</v>
      </c>
      <c r="D1092" s="88" t="s">
        <v>178</v>
      </c>
      <c r="E1092" s="87" t="n">
        <v>2026</v>
      </c>
      <c r="F1092" s="88" t="s">
        <v>532</v>
      </c>
      <c r="G1092" s="88" t="s">
        <v>180</v>
      </c>
      <c r="H1092" s="87" t="s">
        <v>246</v>
      </c>
      <c r="I1092" s="87" t="s">
        <v>629</v>
      </c>
      <c r="J1092" s="87" t="s">
        <v>630</v>
      </c>
      <c r="K1092" s="89" t="n">
        <v>15</v>
      </c>
      <c r="L1092" s="89" t="n">
        <v>3285000</v>
      </c>
      <c r="M1092" s="89" t="n">
        <v>1144035</v>
      </c>
      <c r="N1092" s="90" t="n">
        <f aca="false">IF(A1092="제외",0,IF(OR(N(L1092)&lt;=0,N(M1092)&gt;N(L1092)),N(M1092)/가정!$B$4,N(L1092)))</f>
        <v>3285000</v>
      </c>
      <c r="O1092" s="67" t="str">
        <f aca="false">IF(A1092="제외","",IF(OR(N(L1092)&lt;=0,N(M1092)&gt;N(L1092)),"택가보정(판매금액÷공급율)",""))</f>
        <v/>
      </c>
    </row>
    <row r="1093" customFormat="false" ht="15" hidden="false" customHeight="true" outlineLevel="0" collapsed="false">
      <c r="A1093" s="67" t="str">
        <f aca="false">IF(OR(TRIM(C1093)="",SUBSTITUTE(C1093," ","")="소계"),"제외",IF(ISNUMBER(SEARCH("홍콩",C1093)),"HK",IF(ISNUMBER(SEARCH("상해",C1093)),"CN",IF(ISNUMBER(SEARCH("대만",C1093)),"TW","홀세일"))))</f>
        <v>홀세일</v>
      </c>
      <c r="B1093" s="87" t="s">
        <v>1319</v>
      </c>
      <c r="C1093" s="87" t="s">
        <v>1320</v>
      </c>
      <c r="D1093" s="88" t="s">
        <v>178</v>
      </c>
      <c r="E1093" s="87" t="n">
        <v>2026</v>
      </c>
      <c r="F1093" s="88" t="s">
        <v>532</v>
      </c>
      <c r="G1093" s="88" t="s">
        <v>180</v>
      </c>
      <c r="H1093" s="87" t="s">
        <v>246</v>
      </c>
      <c r="I1093" s="87" t="s">
        <v>631</v>
      </c>
      <c r="J1093" s="87" t="s">
        <v>632</v>
      </c>
      <c r="K1093" s="89" t="n">
        <v>20</v>
      </c>
      <c r="L1093" s="89" t="n">
        <v>3980000</v>
      </c>
      <c r="M1093" s="89" t="n">
        <v>1383880</v>
      </c>
      <c r="N1093" s="90" t="n">
        <f aca="false">IF(A1093="제외",0,IF(OR(N(L1093)&lt;=0,N(M1093)&gt;N(L1093)),N(M1093)/가정!$B$4,N(L1093)))</f>
        <v>3980000</v>
      </c>
      <c r="O1093" s="67" t="str">
        <f aca="false">IF(A1093="제외","",IF(OR(N(L1093)&lt;=0,N(M1093)&gt;N(L1093)),"택가보정(판매금액÷공급율)",""))</f>
        <v/>
      </c>
    </row>
    <row r="1094" customFormat="false" ht="15" hidden="false" customHeight="true" outlineLevel="0" collapsed="false">
      <c r="A1094" s="67" t="str">
        <f aca="false">IF(OR(TRIM(C1094)="",SUBSTITUTE(C1094," ","")="소계"),"제외",IF(ISNUMBER(SEARCH("홍콩",C1094)),"HK",IF(ISNUMBER(SEARCH("상해",C1094)),"CN",IF(ISNUMBER(SEARCH("대만",C1094)),"TW","홀세일"))))</f>
        <v>홀세일</v>
      </c>
      <c r="B1094" s="87" t="s">
        <v>1319</v>
      </c>
      <c r="C1094" s="87" t="s">
        <v>1320</v>
      </c>
      <c r="D1094" s="88" t="s">
        <v>178</v>
      </c>
      <c r="E1094" s="87" t="n">
        <v>2026</v>
      </c>
      <c r="F1094" s="88" t="s">
        <v>532</v>
      </c>
      <c r="G1094" s="88" t="s">
        <v>180</v>
      </c>
      <c r="H1094" s="87" t="s">
        <v>246</v>
      </c>
      <c r="I1094" s="87" t="s">
        <v>633</v>
      </c>
      <c r="J1094" s="87" t="s">
        <v>634</v>
      </c>
      <c r="K1094" s="89" t="n">
        <v>20</v>
      </c>
      <c r="L1094" s="89" t="n">
        <v>2980000</v>
      </c>
      <c r="M1094" s="89" t="n">
        <v>1035780</v>
      </c>
      <c r="N1094" s="90" t="n">
        <f aca="false">IF(A1094="제외",0,IF(OR(N(L1094)&lt;=0,N(M1094)&gt;N(L1094)),N(M1094)/가정!$B$4,N(L1094)))</f>
        <v>2980000</v>
      </c>
      <c r="O1094" s="67" t="str">
        <f aca="false">IF(A1094="제외","",IF(OR(N(L1094)&lt;=0,N(M1094)&gt;N(L1094)),"택가보정(판매금액÷공급율)",""))</f>
        <v/>
      </c>
    </row>
    <row r="1095" customFormat="false" ht="15" hidden="false" customHeight="true" outlineLevel="0" collapsed="false">
      <c r="A1095" s="67" t="str">
        <f aca="false">IF(OR(TRIM(C1095)="",SUBSTITUTE(C1095," ","")="소계"),"제외",IF(ISNUMBER(SEARCH("홍콩",C1095)),"HK",IF(ISNUMBER(SEARCH("상해",C1095)),"CN",IF(ISNUMBER(SEARCH("대만",C1095)),"TW","홀세일"))))</f>
        <v>홀세일</v>
      </c>
      <c r="B1095" s="87" t="s">
        <v>1319</v>
      </c>
      <c r="C1095" s="87" t="s">
        <v>1320</v>
      </c>
      <c r="D1095" s="88" t="s">
        <v>178</v>
      </c>
      <c r="E1095" s="87" t="n">
        <v>2026</v>
      </c>
      <c r="F1095" s="88" t="s">
        <v>532</v>
      </c>
      <c r="G1095" s="88" t="s">
        <v>180</v>
      </c>
      <c r="H1095" s="87" t="s">
        <v>246</v>
      </c>
      <c r="I1095" s="87" t="s">
        <v>1003</v>
      </c>
      <c r="J1095" s="87" t="s">
        <v>1004</v>
      </c>
      <c r="K1095" s="89" t="n">
        <v>20</v>
      </c>
      <c r="L1095" s="89" t="n">
        <v>3180000</v>
      </c>
      <c r="M1095" s="89" t="n">
        <v>1013140</v>
      </c>
      <c r="N1095" s="90" t="n">
        <f aca="false">IF(A1095="제외",0,IF(OR(N(L1095)&lt;=0,N(M1095)&gt;N(L1095)),N(M1095)/가정!$B$4,N(L1095)))</f>
        <v>3180000</v>
      </c>
      <c r="O1095" s="67" t="str">
        <f aca="false">IF(A1095="제외","",IF(OR(N(L1095)&lt;=0,N(M1095)&gt;N(L1095)),"택가보정(판매금액÷공급율)",""))</f>
        <v/>
      </c>
    </row>
    <row r="1096" customFormat="false" ht="15" hidden="false" customHeight="true" outlineLevel="0" collapsed="false">
      <c r="A1096" s="67" t="str">
        <f aca="false">IF(OR(TRIM(C1096)="",SUBSTITUTE(C1096," ","")="소계"),"제외",IF(ISNUMBER(SEARCH("홍콩",C1096)),"HK",IF(ISNUMBER(SEARCH("상해",C1096)),"CN",IF(ISNUMBER(SEARCH("대만",C1096)),"TW","홀세일"))))</f>
        <v>홀세일</v>
      </c>
      <c r="B1096" s="87" t="s">
        <v>1319</v>
      </c>
      <c r="C1096" s="87" t="s">
        <v>1320</v>
      </c>
      <c r="D1096" s="88" t="s">
        <v>178</v>
      </c>
      <c r="E1096" s="87" t="n">
        <v>2026</v>
      </c>
      <c r="F1096" s="88" t="s">
        <v>532</v>
      </c>
      <c r="G1096" s="88" t="s">
        <v>180</v>
      </c>
      <c r="H1096" s="87" t="s">
        <v>246</v>
      </c>
      <c r="I1096" s="87" t="s">
        <v>1391</v>
      </c>
      <c r="J1096" s="87" t="s">
        <v>1392</v>
      </c>
      <c r="K1096" s="89" t="n">
        <v>40</v>
      </c>
      <c r="L1096" s="89" t="n">
        <v>5960000</v>
      </c>
      <c r="M1096" s="89" t="n">
        <v>1942600</v>
      </c>
      <c r="N1096" s="90" t="n">
        <f aca="false">IF(A1096="제외",0,IF(OR(N(L1096)&lt;=0,N(M1096)&gt;N(L1096)),N(M1096)/가정!$B$4,N(L1096)))</f>
        <v>5960000</v>
      </c>
      <c r="O1096" s="67" t="str">
        <f aca="false">IF(A1096="제외","",IF(OR(N(L1096)&lt;=0,N(M1096)&gt;N(L1096)),"택가보정(판매금액÷공급율)",""))</f>
        <v/>
      </c>
    </row>
    <row r="1097" customFormat="false" ht="15" hidden="false" customHeight="true" outlineLevel="0" collapsed="false">
      <c r="A1097" s="67" t="str">
        <f aca="false">IF(OR(TRIM(C1097)="",SUBSTITUTE(C1097," ","")="소계"),"제외",IF(ISNUMBER(SEARCH("홍콩",C1097)),"HK",IF(ISNUMBER(SEARCH("상해",C1097)),"CN",IF(ISNUMBER(SEARCH("대만",C1097)),"TW","홀세일"))))</f>
        <v>홀세일</v>
      </c>
      <c r="B1097" s="87" t="s">
        <v>1319</v>
      </c>
      <c r="C1097" s="87" t="s">
        <v>1320</v>
      </c>
      <c r="D1097" s="88" t="s">
        <v>178</v>
      </c>
      <c r="E1097" s="87" t="n">
        <v>2026</v>
      </c>
      <c r="F1097" s="88" t="s">
        <v>532</v>
      </c>
      <c r="G1097" s="88" t="s">
        <v>180</v>
      </c>
      <c r="H1097" s="87" t="s">
        <v>246</v>
      </c>
      <c r="I1097" s="87" t="s">
        <v>1393</v>
      </c>
      <c r="J1097" s="87" t="s">
        <v>1394</v>
      </c>
      <c r="K1097" s="89" t="n">
        <v>30</v>
      </c>
      <c r="L1097" s="89" t="n">
        <v>2970000</v>
      </c>
      <c r="M1097" s="89" t="n">
        <v>1017390</v>
      </c>
      <c r="N1097" s="90" t="n">
        <f aca="false">IF(A1097="제외",0,IF(OR(N(L1097)&lt;=0,N(M1097)&gt;N(L1097)),N(M1097)/가정!$B$4,N(L1097)))</f>
        <v>2970000</v>
      </c>
      <c r="O1097" s="67" t="str">
        <f aca="false">IF(A1097="제외","",IF(OR(N(L1097)&lt;=0,N(M1097)&gt;N(L1097)),"택가보정(판매금액÷공급율)",""))</f>
        <v/>
      </c>
    </row>
    <row r="1098" customFormat="false" ht="15" hidden="false" customHeight="true" outlineLevel="0" collapsed="false">
      <c r="A1098" s="67" t="str">
        <f aca="false">IF(OR(TRIM(C1098)="",SUBSTITUTE(C1098," ","")="소계"),"제외",IF(ISNUMBER(SEARCH("홍콩",C1098)),"HK",IF(ISNUMBER(SEARCH("상해",C1098)),"CN",IF(ISNUMBER(SEARCH("대만",C1098)),"TW","홀세일"))))</f>
        <v>홀세일</v>
      </c>
      <c r="B1098" s="87" t="s">
        <v>1319</v>
      </c>
      <c r="C1098" s="87" t="s">
        <v>1320</v>
      </c>
      <c r="D1098" s="88" t="s">
        <v>178</v>
      </c>
      <c r="E1098" s="87" t="n">
        <v>2026</v>
      </c>
      <c r="F1098" s="87" t="s">
        <v>639</v>
      </c>
      <c r="G1098" s="88" t="s">
        <v>188</v>
      </c>
      <c r="H1098" s="87" t="s">
        <v>189</v>
      </c>
      <c r="I1098" s="87" t="s">
        <v>1395</v>
      </c>
      <c r="J1098" s="88" t="s">
        <v>1396</v>
      </c>
      <c r="K1098" s="89" t="n">
        <v>120</v>
      </c>
      <c r="L1098" s="89" t="n">
        <v>2280000</v>
      </c>
      <c r="M1098" s="89" t="n">
        <v>849540</v>
      </c>
      <c r="N1098" s="90" t="n">
        <f aca="false">IF(A1098="제외",0,IF(OR(N(L1098)&lt;=0,N(M1098)&gt;N(L1098)),N(M1098)/가정!$B$4,N(L1098)))</f>
        <v>2280000</v>
      </c>
      <c r="O1098" s="67" t="str">
        <f aca="false">IF(A1098="제외","",IF(OR(N(L1098)&lt;=0,N(M1098)&gt;N(L1098)),"택가보정(판매금액÷공급율)",""))</f>
        <v/>
      </c>
    </row>
    <row r="1099" customFormat="false" ht="15" hidden="false" customHeight="true" outlineLevel="0" collapsed="false">
      <c r="A1099" s="67" t="str">
        <f aca="false">IF(OR(TRIM(C1099)="",SUBSTITUTE(C1099," ","")="소계"),"제외",IF(ISNUMBER(SEARCH("홍콩",C1099)),"HK",IF(ISNUMBER(SEARCH("상해",C1099)),"CN",IF(ISNUMBER(SEARCH("대만",C1099)),"TW","홀세일"))))</f>
        <v>홀세일</v>
      </c>
      <c r="B1099" s="87" t="s">
        <v>1319</v>
      </c>
      <c r="C1099" s="87" t="s">
        <v>1320</v>
      </c>
      <c r="D1099" s="88" t="s">
        <v>178</v>
      </c>
      <c r="E1099" s="87" t="n">
        <v>2026</v>
      </c>
      <c r="F1099" s="87" t="s">
        <v>639</v>
      </c>
      <c r="G1099" s="88" t="s">
        <v>188</v>
      </c>
      <c r="H1099" s="87" t="s">
        <v>189</v>
      </c>
      <c r="I1099" s="87" t="s">
        <v>640</v>
      </c>
      <c r="J1099" s="88" t="s">
        <v>641</v>
      </c>
      <c r="K1099" s="89" t="n">
        <v>170</v>
      </c>
      <c r="L1099" s="89" t="n">
        <v>4930000</v>
      </c>
      <c r="M1099" s="89" t="n">
        <v>1801020</v>
      </c>
      <c r="N1099" s="90" t="n">
        <f aca="false">IF(A1099="제외",0,IF(OR(N(L1099)&lt;=0,N(M1099)&gt;N(L1099)),N(M1099)/가정!$B$4,N(L1099)))</f>
        <v>4930000</v>
      </c>
      <c r="O1099" s="67" t="str">
        <f aca="false">IF(A1099="제외","",IF(OR(N(L1099)&lt;=0,N(M1099)&gt;N(L1099)),"택가보정(판매금액÷공급율)",""))</f>
        <v/>
      </c>
    </row>
    <row r="1100" customFormat="false" ht="15" hidden="false" customHeight="true" outlineLevel="0" collapsed="false">
      <c r="A1100" s="67" t="str">
        <f aca="false">IF(OR(TRIM(C1100)="",SUBSTITUTE(C1100," ","")="소계"),"제외",IF(ISNUMBER(SEARCH("홍콩",C1100)),"HK",IF(ISNUMBER(SEARCH("상해",C1100)),"CN",IF(ISNUMBER(SEARCH("대만",C1100)),"TW","홀세일"))))</f>
        <v>홀세일</v>
      </c>
      <c r="B1100" s="87" t="s">
        <v>1319</v>
      </c>
      <c r="C1100" s="87" t="s">
        <v>1320</v>
      </c>
      <c r="D1100" s="88" t="s">
        <v>178</v>
      </c>
      <c r="E1100" s="87" t="n">
        <v>2026</v>
      </c>
      <c r="F1100" s="87" t="s">
        <v>639</v>
      </c>
      <c r="G1100" s="88" t="s">
        <v>188</v>
      </c>
      <c r="H1100" s="87" t="s">
        <v>189</v>
      </c>
      <c r="I1100" s="87" t="s">
        <v>1158</v>
      </c>
      <c r="J1100" s="87" t="s">
        <v>1159</v>
      </c>
      <c r="K1100" s="89" t="n">
        <v>30</v>
      </c>
      <c r="L1100" s="89" t="n">
        <v>2970000</v>
      </c>
      <c r="M1100" s="89" t="n">
        <v>1164630</v>
      </c>
      <c r="N1100" s="90" t="n">
        <f aca="false">IF(A1100="제외",0,IF(OR(N(L1100)&lt;=0,N(M1100)&gt;N(L1100)),N(M1100)/가정!$B$4,N(L1100)))</f>
        <v>2970000</v>
      </c>
      <c r="O1100" s="67" t="str">
        <f aca="false">IF(A1100="제외","",IF(OR(N(L1100)&lt;=0,N(M1100)&gt;N(L1100)),"택가보정(판매금액÷공급율)",""))</f>
        <v/>
      </c>
    </row>
    <row r="1101" customFormat="false" ht="15" hidden="false" customHeight="true" outlineLevel="0" collapsed="false">
      <c r="A1101" s="67" t="str">
        <f aca="false">IF(OR(TRIM(C1101)="",SUBSTITUTE(C1101," ","")="소계"),"제외",IF(ISNUMBER(SEARCH("홍콩",C1101)),"HK",IF(ISNUMBER(SEARCH("상해",C1101)),"CN",IF(ISNUMBER(SEARCH("대만",C1101)),"TW","홀세일"))))</f>
        <v>홀세일</v>
      </c>
      <c r="B1101" s="87" t="s">
        <v>1319</v>
      </c>
      <c r="C1101" s="87" t="s">
        <v>1320</v>
      </c>
      <c r="D1101" s="88" t="s">
        <v>178</v>
      </c>
      <c r="E1101" s="87" t="n">
        <v>2026</v>
      </c>
      <c r="F1101" s="87" t="s">
        <v>639</v>
      </c>
      <c r="G1101" s="88" t="s">
        <v>188</v>
      </c>
      <c r="H1101" s="87" t="s">
        <v>189</v>
      </c>
      <c r="I1101" s="87" t="s">
        <v>1397</v>
      </c>
      <c r="J1101" s="88" t="s">
        <v>1398</v>
      </c>
      <c r="K1101" s="89" t="n">
        <v>5</v>
      </c>
      <c r="L1101" s="89" t="n">
        <v>1745000</v>
      </c>
      <c r="M1101" s="89" t="n">
        <v>684170</v>
      </c>
      <c r="N1101" s="90" t="n">
        <f aca="false">IF(A1101="제외",0,IF(OR(N(L1101)&lt;=0,N(M1101)&gt;N(L1101)),N(M1101)/가정!$B$4,N(L1101)))</f>
        <v>1745000</v>
      </c>
      <c r="O1101" s="67" t="str">
        <f aca="false">IF(A1101="제외","",IF(OR(N(L1101)&lt;=0,N(M1101)&gt;N(L1101)),"택가보정(판매금액÷공급율)",""))</f>
        <v/>
      </c>
    </row>
    <row r="1102" customFormat="false" ht="15" hidden="false" customHeight="true" outlineLevel="0" collapsed="false">
      <c r="A1102" s="67" t="str">
        <f aca="false">IF(OR(TRIM(C1102)="",SUBSTITUTE(C1102," ","")="소계"),"제외",IF(ISNUMBER(SEARCH("홍콩",C1102)),"HK",IF(ISNUMBER(SEARCH("상해",C1102)),"CN",IF(ISNUMBER(SEARCH("대만",C1102)),"TW","홀세일"))))</f>
        <v>홀세일</v>
      </c>
      <c r="B1102" s="87" t="s">
        <v>1319</v>
      </c>
      <c r="C1102" s="87" t="s">
        <v>1320</v>
      </c>
      <c r="D1102" s="88" t="s">
        <v>178</v>
      </c>
      <c r="E1102" s="87" t="n">
        <v>2026</v>
      </c>
      <c r="F1102" s="87" t="s">
        <v>639</v>
      </c>
      <c r="G1102" s="88" t="s">
        <v>188</v>
      </c>
      <c r="H1102" s="87" t="s">
        <v>181</v>
      </c>
      <c r="I1102" s="87" t="s">
        <v>646</v>
      </c>
      <c r="J1102" s="88" t="s">
        <v>647</v>
      </c>
      <c r="K1102" s="89" t="n">
        <v>10</v>
      </c>
      <c r="L1102" s="89" t="n">
        <v>1990000</v>
      </c>
      <c r="M1102" s="89" t="n">
        <v>777470</v>
      </c>
      <c r="N1102" s="90" t="n">
        <f aca="false">IF(A1102="제외",0,IF(OR(N(L1102)&lt;=0,N(M1102)&gt;N(L1102)),N(M1102)/가정!$B$4,N(L1102)))</f>
        <v>1990000</v>
      </c>
      <c r="O1102" s="67" t="str">
        <f aca="false">IF(A1102="제외","",IF(OR(N(L1102)&lt;=0,N(M1102)&gt;N(L1102)),"택가보정(판매금액÷공급율)",""))</f>
        <v/>
      </c>
    </row>
    <row r="1103" customFormat="false" ht="15" hidden="false" customHeight="true" outlineLevel="0" collapsed="false">
      <c r="A1103" s="67" t="str">
        <f aca="false">IF(OR(TRIM(C1103)="",SUBSTITUTE(C1103," ","")="소계"),"제외",IF(ISNUMBER(SEARCH("홍콩",C1103)),"HK",IF(ISNUMBER(SEARCH("상해",C1103)),"CN",IF(ISNUMBER(SEARCH("대만",C1103)),"TW","홀세일"))))</f>
        <v>홀세일</v>
      </c>
      <c r="B1103" s="87" t="s">
        <v>1319</v>
      </c>
      <c r="C1103" s="87" t="s">
        <v>1320</v>
      </c>
      <c r="D1103" s="88" t="s">
        <v>178</v>
      </c>
      <c r="E1103" s="87" t="n">
        <v>2026</v>
      </c>
      <c r="F1103" s="87" t="s">
        <v>639</v>
      </c>
      <c r="G1103" s="88" t="s">
        <v>188</v>
      </c>
      <c r="H1103" s="87" t="s">
        <v>181</v>
      </c>
      <c r="I1103" s="87" t="s">
        <v>1399</v>
      </c>
      <c r="J1103" s="87" t="s">
        <v>1400</v>
      </c>
      <c r="K1103" s="89" t="n">
        <v>10</v>
      </c>
      <c r="L1103" s="89" t="n">
        <v>1490000</v>
      </c>
      <c r="M1103" s="89" t="n">
        <v>582000</v>
      </c>
      <c r="N1103" s="90" t="n">
        <f aca="false">IF(A1103="제외",0,IF(OR(N(L1103)&lt;=0,N(M1103)&gt;N(L1103)),N(M1103)/가정!$B$4,N(L1103)))</f>
        <v>1490000</v>
      </c>
      <c r="O1103" s="67" t="str">
        <f aca="false">IF(A1103="제외","",IF(OR(N(L1103)&lt;=0,N(M1103)&gt;N(L1103)),"택가보정(판매금액÷공급율)",""))</f>
        <v/>
      </c>
    </row>
    <row r="1104" customFormat="false" ht="15" hidden="false" customHeight="true" outlineLevel="0" collapsed="false">
      <c r="A1104" s="67" t="str">
        <f aca="false">IF(OR(TRIM(C1104)="",SUBSTITUTE(C1104," ","")="소계"),"제외",IF(ISNUMBER(SEARCH("홍콩",C1104)),"HK",IF(ISNUMBER(SEARCH("상해",C1104)),"CN",IF(ISNUMBER(SEARCH("대만",C1104)),"TW","홀세일"))))</f>
        <v>홀세일</v>
      </c>
      <c r="B1104" s="87" t="s">
        <v>1319</v>
      </c>
      <c r="C1104" s="87" t="s">
        <v>1320</v>
      </c>
      <c r="D1104" s="88" t="s">
        <v>178</v>
      </c>
      <c r="E1104" s="87" t="n">
        <v>2026</v>
      </c>
      <c r="F1104" s="87" t="s">
        <v>639</v>
      </c>
      <c r="G1104" s="88" t="s">
        <v>188</v>
      </c>
      <c r="H1104" s="87" t="s">
        <v>189</v>
      </c>
      <c r="I1104" s="87" t="s">
        <v>1162</v>
      </c>
      <c r="J1104" s="88" t="s">
        <v>1163</v>
      </c>
      <c r="K1104" s="89" t="n">
        <v>35</v>
      </c>
      <c r="L1104" s="89" t="n">
        <v>3815000</v>
      </c>
      <c r="M1104" s="89" t="n">
        <v>1491735</v>
      </c>
      <c r="N1104" s="90" t="n">
        <f aca="false">IF(A1104="제외",0,IF(OR(N(L1104)&lt;=0,N(M1104)&gt;N(L1104)),N(M1104)/가정!$B$4,N(L1104)))</f>
        <v>3815000</v>
      </c>
      <c r="O1104" s="67" t="str">
        <f aca="false">IF(A1104="제외","",IF(OR(N(L1104)&lt;=0,N(M1104)&gt;N(L1104)),"택가보정(판매금액÷공급율)",""))</f>
        <v/>
      </c>
    </row>
    <row r="1105" customFormat="false" ht="15" hidden="false" customHeight="true" outlineLevel="0" collapsed="false">
      <c r="A1105" s="67" t="str">
        <f aca="false">IF(OR(TRIM(C1105)="",SUBSTITUTE(C1105," ","")="소계"),"제외",IF(ISNUMBER(SEARCH("홍콩",C1105)),"HK",IF(ISNUMBER(SEARCH("상해",C1105)),"CN",IF(ISNUMBER(SEARCH("대만",C1105)),"TW","홀세일"))))</f>
        <v>홀세일</v>
      </c>
      <c r="B1105" s="87" t="s">
        <v>1319</v>
      </c>
      <c r="C1105" s="87" t="s">
        <v>1320</v>
      </c>
      <c r="D1105" s="88" t="s">
        <v>178</v>
      </c>
      <c r="E1105" s="87" t="n">
        <v>2026</v>
      </c>
      <c r="F1105" s="87" t="s">
        <v>639</v>
      </c>
      <c r="G1105" s="88" t="s">
        <v>188</v>
      </c>
      <c r="H1105" s="87" t="s">
        <v>189</v>
      </c>
      <c r="I1105" s="87" t="s">
        <v>652</v>
      </c>
      <c r="J1105" s="88" t="s">
        <v>653</v>
      </c>
      <c r="K1105" s="89" t="n">
        <v>40</v>
      </c>
      <c r="L1105" s="89" t="n">
        <v>4760000</v>
      </c>
      <c r="M1105" s="89" t="n">
        <v>1857720</v>
      </c>
      <c r="N1105" s="90" t="n">
        <f aca="false">IF(A1105="제외",0,IF(OR(N(L1105)&lt;=0,N(M1105)&gt;N(L1105)),N(M1105)/가정!$B$4,N(L1105)))</f>
        <v>4760000</v>
      </c>
      <c r="O1105" s="67" t="str">
        <f aca="false">IF(A1105="제외","",IF(OR(N(L1105)&lt;=0,N(M1105)&gt;N(L1105)),"택가보정(판매금액÷공급율)",""))</f>
        <v/>
      </c>
    </row>
    <row r="1106" customFormat="false" ht="15" hidden="false" customHeight="true" outlineLevel="0" collapsed="false">
      <c r="A1106" s="67" t="str">
        <f aca="false">IF(OR(TRIM(C1106)="",SUBSTITUTE(C1106," ","")="소계"),"제외",IF(ISNUMBER(SEARCH("홍콩",C1106)),"HK",IF(ISNUMBER(SEARCH("상해",C1106)),"CN",IF(ISNUMBER(SEARCH("대만",C1106)),"TW","홀세일"))))</f>
        <v>홀세일</v>
      </c>
      <c r="B1106" s="87" t="s">
        <v>1319</v>
      </c>
      <c r="C1106" s="87" t="s">
        <v>1320</v>
      </c>
      <c r="D1106" s="88" t="s">
        <v>178</v>
      </c>
      <c r="E1106" s="87" t="n">
        <v>2026</v>
      </c>
      <c r="F1106" s="87" t="s">
        <v>639</v>
      </c>
      <c r="G1106" s="88" t="s">
        <v>188</v>
      </c>
      <c r="H1106" s="87" t="s">
        <v>189</v>
      </c>
      <c r="I1106" s="87" t="s">
        <v>654</v>
      </c>
      <c r="J1106" s="88" t="s">
        <v>655</v>
      </c>
      <c r="K1106" s="89" t="n">
        <v>35</v>
      </c>
      <c r="L1106" s="89" t="n">
        <v>2065000</v>
      </c>
      <c r="M1106" s="89" t="n">
        <v>807590</v>
      </c>
      <c r="N1106" s="90" t="n">
        <f aca="false">IF(A1106="제외",0,IF(OR(N(L1106)&lt;=0,N(M1106)&gt;N(L1106)),N(M1106)/가정!$B$4,N(L1106)))</f>
        <v>2065000</v>
      </c>
      <c r="O1106" s="67" t="str">
        <f aca="false">IF(A1106="제외","",IF(OR(N(L1106)&lt;=0,N(M1106)&gt;N(L1106)),"택가보정(판매금액÷공급율)",""))</f>
        <v/>
      </c>
    </row>
    <row r="1107" customFormat="false" ht="15" hidden="false" customHeight="true" outlineLevel="0" collapsed="false">
      <c r="A1107" s="67" t="str">
        <f aca="false">IF(OR(TRIM(C1107)="",SUBSTITUTE(C1107," ","")="소계"),"제외",IF(ISNUMBER(SEARCH("홍콩",C1107)),"HK",IF(ISNUMBER(SEARCH("상해",C1107)),"CN",IF(ISNUMBER(SEARCH("대만",C1107)),"TW","홀세일"))))</f>
        <v>홀세일</v>
      </c>
      <c r="B1107" s="87" t="s">
        <v>1319</v>
      </c>
      <c r="C1107" s="87" t="s">
        <v>1320</v>
      </c>
      <c r="D1107" s="88" t="s">
        <v>178</v>
      </c>
      <c r="E1107" s="87" t="n">
        <v>2026</v>
      </c>
      <c r="F1107" s="87" t="s">
        <v>639</v>
      </c>
      <c r="G1107" s="88" t="s">
        <v>188</v>
      </c>
      <c r="H1107" s="87" t="s">
        <v>189</v>
      </c>
      <c r="I1107" s="87" t="s">
        <v>656</v>
      </c>
      <c r="J1107" s="88" t="s">
        <v>657</v>
      </c>
      <c r="K1107" s="89" t="n">
        <v>50</v>
      </c>
      <c r="L1107" s="89" t="n">
        <v>3450000</v>
      </c>
      <c r="M1107" s="89" t="n">
        <v>1352100</v>
      </c>
      <c r="N1107" s="90" t="n">
        <f aca="false">IF(A1107="제외",0,IF(OR(N(L1107)&lt;=0,N(M1107)&gt;N(L1107)),N(M1107)/가정!$B$4,N(L1107)))</f>
        <v>3450000</v>
      </c>
      <c r="O1107" s="67" t="str">
        <f aca="false">IF(A1107="제외","",IF(OR(N(L1107)&lt;=0,N(M1107)&gt;N(L1107)),"택가보정(판매금액÷공급율)",""))</f>
        <v/>
      </c>
    </row>
    <row r="1108" customFormat="false" ht="15" hidden="false" customHeight="true" outlineLevel="0" collapsed="false">
      <c r="A1108" s="67" t="str">
        <f aca="false">IF(OR(TRIM(C1108)="",SUBSTITUTE(C1108," ","")="소계"),"제외",IF(ISNUMBER(SEARCH("홍콩",C1108)),"HK",IF(ISNUMBER(SEARCH("상해",C1108)),"CN",IF(ISNUMBER(SEARCH("대만",C1108)),"TW","홀세일"))))</f>
        <v>홀세일</v>
      </c>
      <c r="B1108" s="87" t="s">
        <v>1319</v>
      </c>
      <c r="C1108" s="87" t="s">
        <v>1320</v>
      </c>
      <c r="D1108" s="88" t="s">
        <v>178</v>
      </c>
      <c r="E1108" s="87" t="n">
        <v>2026</v>
      </c>
      <c r="F1108" s="87" t="s">
        <v>639</v>
      </c>
      <c r="G1108" s="88" t="s">
        <v>188</v>
      </c>
      <c r="H1108" s="87" t="s">
        <v>189</v>
      </c>
      <c r="I1108" s="87" t="s">
        <v>658</v>
      </c>
      <c r="J1108" s="88" t="s">
        <v>659</v>
      </c>
      <c r="K1108" s="89" t="n">
        <v>20</v>
      </c>
      <c r="L1108" s="89" t="n">
        <v>1580000</v>
      </c>
      <c r="M1108" s="89" t="n">
        <v>615000</v>
      </c>
      <c r="N1108" s="90" t="n">
        <f aca="false">IF(A1108="제외",0,IF(OR(N(L1108)&lt;=0,N(M1108)&gt;N(L1108)),N(M1108)/가정!$B$4,N(L1108)))</f>
        <v>1580000</v>
      </c>
      <c r="O1108" s="67" t="str">
        <f aca="false">IF(A1108="제외","",IF(OR(N(L1108)&lt;=0,N(M1108)&gt;N(L1108)),"택가보정(판매금액÷공급율)",""))</f>
        <v/>
      </c>
    </row>
    <row r="1109" customFormat="false" ht="15" hidden="false" customHeight="true" outlineLevel="0" collapsed="false">
      <c r="A1109" s="67" t="str">
        <f aca="false">IF(OR(TRIM(C1109)="",SUBSTITUTE(C1109," ","")="소계"),"제외",IF(ISNUMBER(SEARCH("홍콩",C1109)),"HK",IF(ISNUMBER(SEARCH("상해",C1109)),"CN",IF(ISNUMBER(SEARCH("대만",C1109)),"TW","홀세일"))))</f>
        <v>홀세일</v>
      </c>
      <c r="B1109" s="87" t="s">
        <v>1319</v>
      </c>
      <c r="C1109" s="87" t="s">
        <v>1320</v>
      </c>
      <c r="D1109" s="88" t="s">
        <v>178</v>
      </c>
      <c r="E1109" s="87" t="n">
        <v>2026</v>
      </c>
      <c r="F1109" s="87" t="s">
        <v>639</v>
      </c>
      <c r="G1109" s="88" t="s">
        <v>188</v>
      </c>
      <c r="H1109" s="87" t="s">
        <v>189</v>
      </c>
      <c r="I1109" s="87" t="s">
        <v>1013</v>
      </c>
      <c r="J1109" s="88" t="s">
        <v>1014</v>
      </c>
      <c r="K1109" s="89" t="n">
        <v>50</v>
      </c>
      <c r="L1109" s="89" t="n">
        <v>4450000</v>
      </c>
      <c r="M1109" s="89" t="n">
        <v>1741600</v>
      </c>
      <c r="N1109" s="90" t="n">
        <f aca="false">IF(A1109="제외",0,IF(OR(N(L1109)&lt;=0,N(M1109)&gt;N(L1109)),N(M1109)/가정!$B$4,N(L1109)))</f>
        <v>4450000</v>
      </c>
      <c r="O1109" s="67" t="str">
        <f aca="false">IF(A1109="제외","",IF(OR(N(L1109)&lt;=0,N(M1109)&gt;N(L1109)),"택가보정(판매금액÷공급율)",""))</f>
        <v/>
      </c>
    </row>
    <row r="1110" customFormat="false" ht="15" hidden="false" customHeight="true" outlineLevel="0" collapsed="false">
      <c r="A1110" s="67" t="str">
        <f aca="false">IF(OR(TRIM(C1110)="",SUBSTITUTE(C1110," ","")="소계"),"제외",IF(ISNUMBER(SEARCH("홍콩",C1110)),"HK",IF(ISNUMBER(SEARCH("상해",C1110)),"CN",IF(ISNUMBER(SEARCH("대만",C1110)),"TW","홀세일"))))</f>
        <v>홀세일</v>
      </c>
      <c r="B1110" s="87" t="s">
        <v>1319</v>
      </c>
      <c r="C1110" s="87" t="s">
        <v>1320</v>
      </c>
      <c r="D1110" s="88" t="s">
        <v>178</v>
      </c>
      <c r="E1110" s="87" t="n">
        <v>2026</v>
      </c>
      <c r="F1110" s="87" t="s">
        <v>639</v>
      </c>
      <c r="G1110" s="88" t="s">
        <v>188</v>
      </c>
      <c r="H1110" s="87" t="s">
        <v>189</v>
      </c>
      <c r="I1110" s="87" t="s">
        <v>660</v>
      </c>
      <c r="J1110" s="88" t="s">
        <v>661</v>
      </c>
      <c r="K1110" s="89" t="n">
        <v>10</v>
      </c>
      <c r="L1110" s="89" t="n">
        <v>790000</v>
      </c>
      <c r="M1110" s="89" t="n">
        <v>308640</v>
      </c>
      <c r="N1110" s="90" t="n">
        <f aca="false">IF(A1110="제외",0,IF(OR(N(L1110)&lt;=0,N(M1110)&gt;N(L1110)),N(M1110)/가정!$B$4,N(L1110)))</f>
        <v>790000</v>
      </c>
      <c r="O1110" s="67" t="str">
        <f aca="false">IF(A1110="제외","",IF(OR(N(L1110)&lt;=0,N(M1110)&gt;N(L1110)),"택가보정(판매금액÷공급율)",""))</f>
        <v/>
      </c>
    </row>
    <row r="1111" customFormat="false" ht="15" hidden="false" customHeight="true" outlineLevel="0" collapsed="false">
      <c r="A1111" s="67" t="str">
        <f aca="false">IF(OR(TRIM(C1111)="",SUBSTITUTE(C1111," ","")="소계"),"제외",IF(ISNUMBER(SEARCH("홍콩",C1111)),"HK",IF(ISNUMBER(SEARCH("상해",C1111)),"CN",IF(ISNUMBER(SEARCH("대만",C1111)),"TW","홀세일"))))</f>
        <v>홀세일</v>
      </c>
      <c r="B1111" s="87" t="s">
        <v>1319</v>
      </c>
      <c r="C1111" s="87" t="s">
        <v>1320</v>
      </c>
      <c r="D1111" s="88" t="s">
        <v>178</v>
      </c>
      <c r="E1111" s="87" t="n">
        <v>2026</v>
      </c>
      <c r="F1111" s="87" t="s">
        <v>639</v>
      </c>
      <c r="G1111" s="88" t="s">
        <v>188</v>
      </c>
      <c r="H1111" s="87" t="s">
        <v>189</v>
      </c>
      <c r="I1111" s="87" t="s">
        <v>662</v>
      </c>
      <c r="J1111" s="88" t="s">
        <v>663</v>
      </c>
      <c r="K1111" s="89" t="n">
        <v>40</v>
      </c>
      <c r="L1111" s="89" t="n">
        <v>2760000</v>
      </c>
      <c r="M1111" s="89" t="n">
        <v>1081680</v>
      </c>
      <c r="N1111" s="90" t="n">
        <f aca="false">IF(A1111="제외",0,IF(OR(N(L1111)&lt;=0,N(M1111)&gt;N(L1111)),N(M1111)/가정!$B$4,N(L1111)))</f>
        <v>2760000</v>
      </c>
      <c r="O1111" s="67" t="str">
        <f aca="false">IF(A1111="제외","",IF(OR(N(L1111)&lt;=0,N(M1111)&gt;N(L1111)),"택가보정(판매금액÷공급율)",""))</f>
        <v/>
      </c>
    </row>
    <row r="1112" customFormat="false" ht="15" hidden="false" customHeight="true" outlineLevel="0" collapsed="false">
      <c r="A1112" s="67" t="str">
        <f aca="false">IF(OR(TRIM(C1112)="",SUBSTITUTE(C1112," ","")="소계"),"제외",IF(ISNUMBER(SEARCH("홍콩",C1112)),"HK",IF(ISNUMBER(SEARCH("상해",C1112)),"CN",IF(ISNUMBER(SEARCH("대만",C1112)),"TW","홀세일"))))</f>
        <v>홀세일</v>
      </c>
      <c r="B1112" s="87" t="s">
        <v>1319</v>
      </c>
      <c r="C1112" s="87" t="s">
        <v>1320</v>
      </c>
      <c r="D1112" s="88" t="s">
        <v>178</v>
      </c>
      <c r="E1112" s="87" t="n">
        <v>2026</v>
      </c>
      <c r="F1112" s="87" t="s">
        <v>639</v>
      </c>
      <c r="G1112" s="88" t="s">
        <v>188</v>
      </c>
      <c r="H1112" s="87" t="s">
        <v>189</v>
      </c>
      <c r="I1112" s="87" t="s">
        <v>668</v>
      </c>
      <c r="J1112" s="87" t="s">
        <v>669</v>
      </c>
      <c r="K1112" s="89" t="n">
        <v>10</v>
      </c>
      <c r="L1112" s="89" t="n">
        <v>590000</v>
      </c>
      <c r="M1112" s="89" t="n">
        <v>231750</v>
      </c>
      <c r="N1112" s="90" t="n">
        <f aca="false">IF(A1112="제외",0,IF(OR(N(L1112)&lt;=0,N(M1112)&gt;N(L1112)),N(M1112)/가정!$B$4,N(L1112)))</f>
        <v>590000</v>
      </c>
      <c r="O1112" s="67" t="str">
        <f aca="false">IF(A1112="제외","",IF(OR(N(L1112)&lt;=0,N(M1112)&gt;N(L1112)),"택가보정(판매금액÷공급율)",""))</f>
        <v/>
      </c>
    </row>
    <row r="1113" customFormat="false" ht="15" hidden="false" customHeight="true" outlineLevel="0" collapsed="false">
      <c r="A1113" s="67" t="str">
        <f aca="false">IF(OR(TRIM(C1113)="",SUBSTITUTE(C1113," ","")="소계"),"제외",IF(ISNUMBER(SEARCH("홍콩",C1113)),"HK",IF(ISNUMBER(SEARCH("상해",C1113)),"CN",IF(ISNUMBER(SEARCH("대만",C1113)),"TW","홀세일"))))</f>
        <v>홀세일</v>
      </c>
      <c r="B1113" s="87" t="s">
        <v>1319</v>
      </c>
      <c r="C1113" s="87" t="s">
        <v>1320</v>
      </c>
      <c r="D1113" s="88" t="s">
        <v>178</v>
      </c>
      <c r="E1113" s="87" t="n">
        <v>2026</v>
      </c>
      <c r="F1113" s="87" t="s">
        <v>639</v>
      </c>
      <c r="G1113" s="88" t="s">
        <v>188</v>
      </c>
      <c r="H1113" s="87" t="s">
        <v>189</v>
      </c>
      <c r="I1113" s="87" t="s">
        <v>670</v>
      </c>
      <c r="J1113" s="87" t="s">
        <v>671</v>
      </c>
      <c r="K1113" s="89" t="n">
        <v>20</v>
      </c>
      <c r="L1113" s="89" t="n">
        <v>1380000</v>
      </c>
      <c r="M1113" s="89" t="n">
        <v>543200</v>
      </c>
      <c r="N1113" s="90" t="n">
        <f aca="false">IF(A1113="제외",0,IF(OR(N(L1113)&lt;=0,N(M1113)&gt;N(L1113)),N(M1113)/가정!$B$4,N(L1113)))</f>
        <v>1380000</v>
      </c>
      <c r="O1113" s="67" t="str">
        <f aca="false">IF(A1113="제외","",IF(OR(N(L1113)&lt;=0,N(M1113)&gt;N(L1113)),"택가보정(판매금액÷공급율)",""))</f>
        <v/>
      </c>
    </row>
    <row r="1114" customFormat="false" ht="15" hidden="false" customHeight="true" outlineLevel="0" collapsed="false">
      <c r="A1114" s="67" t="str">
        <f aca="false">IF(OR(TRIM(C1114)="",SUBSTITUTE(C1114," ","")="소계"),"제외",IF(ISNUMBER(SEARCH("홍콩",C1114)),"HK",IF(ISNUMBER(SEARCH("상해",C1114)),"CN",IF(ISNUMBER(SEARCH("대만",C1114)),"TW","홀세일"))))</f>
        <v>홀세일</v>
      </c>
      <c r="B1114" s="87" t="s">
        <v>1319</v>
      </c>
      <c r="C1114" s="87" t="s">
        <v>1320</v>
      </c>
      <c r="D1114" s="88" t="s">
        <v>178</v>
      </c>
      <c r="E1114" s="87" t="n">
        <v>2026</v>
      </c>
      <c r="F1114" s="87" t="s">
        <v>639</v>
      </c>
      <c r="G1114" s="88" t="s">
        <v>188</v>
      </c>
      <c r="H1114" s="87" t="s">
        <v>189</v>
      </c>
      <c r="I1114" s="87" t="s">
        <v>1401</v>
      </c>
      <c r="J1114" s="88" t="s">
        <v>1402</v>
      </c>
      <c r="K1114" s="89" t="n">
        <v>20</v>
      </c>
      <c r="L1114" s="89" t="n">
        <v>1380000</v>
      </c>
      <c r="M1114" s="89" t="n">
        <v>550120</v>
      </c>
      <c r="N1114" s="90" t="n">
        <f aca="false">IF(A1114="제외",0,IF(OR(N(L1114)&lt;=0,N(M1114)&gt;N(L1114)),N(M1114)/가정!$B$4,N(L1114)))</f>
        <v>1380000</v>
      </c>
      <c r="O1114" s="67" t="str">
        <f aca="false">IF(A1114="제외","",IF(OR(N(L1114)&lt;=0,N(M1114)&gt;N(L1114)),"택가보정(판매금액÷공급율)",""))</f>
        <v/>
      </c>
    </row>
    <row r="1115" customFormat="false" ht="15" hidden="false" customHeight="true" outlineLevel="0" collapsed="false">
      <c r="A1115" s="67" t="str">
        <f aca="false">IF(OR(TRIM(C1115)="",SUBSTITUTE(C1115," ","")="소계"),"제외",IF(ISNUMBER(SEARCH("홍콩",C1115)),"HK",IF(ISNUMBER(SEARCH("상해",C1115)),"CN",IF(ISNUMBER(SEARCH("대만",C1115)),"TW","홀세일"))))</f>
        <v>홀세일</v>
      </c>
      <c r="B1115" s="87" t="s">
        <v>1319</v>
      </c>
      <c r="C1115" s="87" t="s">
        <v>1320</v>
      </c>
      <c r="D1115" s="88" t="s">
        <v>178</v>
      </c>
      <c r="E1115" s="87" t="n">
        <v>2026</v>
      </c>
      <c r="F1115" s="87" t="s">
        <v>639</v>
      </c>
      <c r="G1115" s="88" t="s">
        <v>188</v>
      </c>
      <c r="H1115" s="87" t="s">
        <v>181</v>
      </c>
      <c r="I1115" s="87" t="s">
        <v>1403</v>
      </c>
      <c r="J1115" s="88" t="s">
        <v>1404</v>
      </c>
      <c r="K1115" s="89" t="n">
        <v>15</v>
      </c>
      <c r="L1115" s="89" t="n">
        <v>1335000</v>
      </c>
      <c r="M1115" s="89" t="n">
        <v>530805</v>
      </c>
      <c r="N1115" s="90" t="n">
        <f aca="false">IF(A1115="제외",0,IF(OR(N(L1115)&lt;=0,N(M1115)&gt;N(L1115)),N(M1115)/가정!$B$4,N(L1115)))</f>
        <v>1335000</v>
      </c>
      <c r="O1115" s="67" t="str">
        <f aca="false">IF(A1115="제외","",IF(OR(N(L1115)&lt;=0,N(M1115)&gt;N(L1115)),"택가보정(판매금액÷공급율)",""))</f>
        <v/>
      </c>
    </row>
    <row r="1116" customFormat="false" ht="15" hidden="false" customHeight="true" outlineLevel="0" collapsed="false">
      <c r="A1116" s="67" t="str">
        <f aca="false">IF(OR(TRIM(C1116)="",SUBSTITUTE(C1116," ","")="소계"),"제외",IF(ISNUMBER(SEARCH("홍콩",C1116)),"HK",IF(ISNUMBER(SEARCH("상해",C1116)),"CN",IF(ISNUMBER(SEARCH("대만",C1116)),"TW","홀세일"))))</f>
        <v>홀세일</v>
      </c>
      <c r="B1116" s="87" t="s">
        <v>1319</v>
      </c>
      <c r="C1116" s="87" t="s">
        <v>1320</v>
      </c>
      <c r="D1116" s="88" t="s">
        <v>178</v>
      </c>
      <c r="E1116" s="87" t="n">
        <v>2026</v>
      </c>
      <c r="F1116" s="87" t="s">
        <v>639</v>
      </c>
      <c r="G1116" s="88" t="s">
        <v>188</v>
      </c>
      <c r="H1116" s="87" t="s">
        <v>181</v>
      </c>
      <c r="I1116" s="87" t="s">
        <v>672</v>
      </c>
      <c r="J1116" s="88" t="s">
        <v>673</v>
      </c>
      <c r="K1116" s="89" t="n">
        <v>40</v>
      </c>
      <c r="L1116" s="89" t="n">
        <v>3960000</v>
      </c>
      <c r="M1116" s="89" t="n">
        <v>1546120</v>
      </c>
      <c r="N1116" s="90" t="n">
        <f aca="false">IF(A1116="제외",0,IF(OR(N(L1116)&lt;=0,N(M1116)&gt;N(L1116)),N(M1116)/가정!$B$4,N(L1116)))</f>
        <v>3960000</v>
      </c>
      <c r="O1116" s="67" t="str">
        <f aca="false">IF(A1116="제외","",IF(OR(N(L1116)&lt;=0,N(M1116)&gt;N(L1116)),"택가보정(판매금액÷공급율)",""))</f>
        <v/>
      </c>
    </row>
    <row r="1117" customFormat="false" ht="15" hidden="false" customHeight="true" outlineLevel="0" collapsed="false">
      <c r="A1117" s="67" t="str">
        <f aca="false">IF(OR(TRIM(C1117)="",SUBSTITUTE(C1117," ","")="소계"),"제외",IF(ISNUMBER(SEARCH("홍콩",C1117)),"HK",IF(ISNUMBER(SEARCH("상해",C1117)),"CN",IF(ISNUMBER(SEARCH("대만",C1117)),"TW","홀세일"))))</f>
        <v>홀세일</v>
      </c>
      <c r="B1117" s="87" t="s">
        <v>1319</v>
      </c>
      <c r="C1117" s="87" t="s">
        <v>1320</v>
      </c>
      <c r="D1117" s="88" t="s">
        <v>178</v>
      </c>
      <c r="E1117" s="87" t="n">
        <v>2026</v>
      </c>
      <c r="F1117" s="87" t="s">
        <v>639</v>
      </c>
      <c r="G1117" s="88" t="s">
        <v>188</v>
      </c>
      <c r="H1117" s="87" t="s">
        <v>181</v>
      </c>
      <c r="I1117" s="87" t="s">
        <v>674</v>
      </c>
      <c r="J1117" s="87" t="s">
        <v>675</v>
      </c>
      <c r="K1117" s="89" t="n">
        <v>5</v>
      </c>
      <c r="L1117" s="89" t="n">
        <v>395000</v>
      </c>
      <c r="M1117" s="89" t="n">
        <v>154320</v>
      </c>
      <c r="N1117" s="90" t="n">
        <f aca="false">IF(A1117="제외",0,IF(OR(N(L1117)&lt;=0,N(M1117)&gt;N(L1117)),N(M1117)/가정!$B$4,N(L1117)))</f>
        <v>395000</v>
      </c>
      <c r="O1117" s="67" t="str">
        <f aca="false">IF(A1117="제외","",IF(OR(N(L1117)&lt;=0,N(M1117)&gt;N(L1117)),"택가보정(판매금액÷공급율)",""))</f>
        <v/>
      </c>
    </row>
    <row r="1118" customFormat="false" ht="15" hidden="false" customHeight="true" outlineLevel="0" collapsed="false">
      <c r="A1118" s="67" t="str">
        <f aca="false">IF(OR(TRIM(C1118)="",SUBSTITUTE(C1118," ","")="소계"),"제외",IF(ISNUMBER(SEARCH("홍콩",C1118)),"HK",IF(ISNUMBER(SEARCH("상해",C1118)),"CN",IF(ISNUMBER(SEARCH("대만",C1118)),"TW","홀세일"))))</f>
        <v>홀세일</v>
      </c>
      <c r="B1118" s="87" t="s">
        <v>1319</v>
      </c>
      <c r="C1118" s="87" t="s">
        <v>1320</v>
      </c>
      <c r="D1118" s="88" t="s">
        <v>178</v>
      </c>
      <c r="E1118" s="87" t="n">
        <v>2026</v>
      </c>
      <c r="F1118" s="87" t="s">
        <v>639</v>
      </c>
      <c r="G1118" s="88" t="s">
        <v>188</v>
      </c>
      <c r="H1118" s="87" t="s">
        <v>189</v>
      </c>
      <c r="I1118" s="87" t="s">
        <v>678</v>
      </c>
      <c r="J1118" s="88" t="s">
        <v>679</v>
      </c>
      <c r="K1118" s="89" t="n">
        <v>180</v>
      </c>
      <c r="L1118" s="89" t="n">
        <v>7020000</v>
      </c>
      <c r="M1118" s="89" t="n">
        <v>2751300</v>
      </c>
      <c r="N1118" s="90" t="n">
        <f aca="false">IF(A1118="제외",0,IF(OR(N(L1118)&lt;=0,N(M1118)&gt;N(L1118)),N(M1118)/가정!$B$4,N(L1118)))</f>
        <v>7020000</v>
      </c>
      <c r="O1118" s="67" t="str">
        <f aca="false">IF(A1118="제외","",IF(OR(N(L1118)&lt;=0,N(M1118)&gt;N(L1118)),"택가보정(판매금액÷공급율)",""))</f>
        <v/>
      </c>
    </row>
    <row r="1119" customFormat="false" ht="15" hidden="false" customHeight="true" outlineLevel="0" collapsed="false">
      <c r="A1119" s="67" t="str">
        <f aca="false">IF(OR(TRIM(C1119)="",SUBSTITUTE(C1119," ","")="소계"),"제외",IF(ISNUMBER(SEARCH("홍콩",C1119)),"HK",IF(ISNUMBER(SEARCH("상해",C1119)),"CN",IF(ISNUMBER(SEARCH("대만",C1119)),"TW","홀세일"))))</f>
        <v>홀세일</v>
      </c>
      <c r="B1119" s="87" t="s">
        <v>1319</v>
      </c>
      <c r="C1119" s="87" t="s">
        <v>1320</v>
      </c>
      <c r="D1119" s="88" t="s">
        <v>178</v>
      </c>
      <c r="E1119" s="87" t="n">
        <v>2026</v>
      </c>
      <c r="F1119" s="87" t="s">
        <v>639</v>
      </c>
      <c r="G1119" s="88" t="s">
        <v>188</v>
      </c>
      <c r="H1119" s="87" t="s">
        <v>189</v>
      </c>
      <c r="I1119" s="87" t="s">
        <v>680</v>
      </c>
      <c r="J1119" s="88" t="s">
        <v>681</v>
      </c>
      <c r="K1119" s="89" t="n">
        <v>140</v>
      </c>
      <c r="L1119" s="89" t="n">
        <v>5460000</v>
      </c>
      <c r="M1119" s="89" t="n">
        <v>2139900</v>
      </c>
      <c r="N1119" s="90" t="n">
        <f aca="false">IF(A1119="제외",0,IF(OR(N(L1119)&lt;=0,N(M1119)&gt;N(L1119)),N(M1119)/가정!$B$4,N(L1119)))</f>
        <v>5460000</v>
      </c>
      <c r="O1119" s="67" t="str">
        <f aca="false">IF(A1119="제외","",IF(OR(N(L1119)&lt;=0,N(M1119)&gt;N(L1119)),"택가보정(판매금액÷공급율)",""))</f>
        <v/>
      </c>
    </row>
    <row r="1120" customFormat="false" ht="15" hidden="false" customHeight="true" outlineLevel="0" collapsed="false">
      <c r="A1120" s="67" t="str">
        <f aca="false">IF(OR(TRIM(C1120)="",SUBSTITUTE(C1120," ","")="소계"),"제외",IF(ISNUMBER(SEARCH("홍콩",C1120)),"HK",IF(ISNUMBER(SEARCH("상해",C1120)),"CN",IF(ISNUMBER(SEARCH("대만",C1120)),"TW","홀세일"))))</f>
        <v>홀세일</v>
      </c>
      <c r="B1120" s="87" t="s">
        <v>1319</v>
      </c>
      <c r="C1120" s="87" t="s">
        <v>1320</v>
      </c>
      <c r="D1120" s="88" t="s">
        <v>178</v>
      </c>
      <c r="E1120" s="87" t="n">
        <v>2026</v>
      </c>
      <c r="F1120" s="87" t="s">
        <v>639</v>
      </c>
      <c r="G1120" s="88" t="s">
        <v>188</v>
      </c>
      <c r="H1120" s="87" t="s">
        <v>189</v>
      </c>
      <c r="I1120" s="87" t="s">
        <v>686</v>
      </c>
      <c r="J1120" s="88" t="s">
        <v>687</v>
      </c>
      <c r="K1120" s="89" t="n">
        <v>15</v>
      </c>
      <c r="L1120" s="89" t="n">
        <v>1185000</v>
      </c>
      <c r="M1120" s="89" t="n">
        <v>464970</v>
      </c>
      <c r="N1120" s="90" t="n">
        <f aca="false">IF(A1120="제외",0,IF(OR(N(L1120)&lt;=0,N(M1120)&gt;N(L1120)),N(M1120)/가정!$B$4,N(L1120)))</f>
        <v>1185000</v>
      </c>
      <c r="O1120" s="67" t="str">
        <f aca="false">IF(A1120="제외","",IF(OR(N(L1120)&lt;=0,N(M1120)&gt;N(L1120)),"택가보정(판매금액÷공급율)",""))</f>
        <v/>
      </c>
    </row>
    <row r="1121" customFormat="false" ht="15" hidden="false" customHeight="true" outlineLevel="0" collapsed="false">
      <c r="A1121" s="67" t="str">
        <f aca="false">IF(OR(TRIM(C1121)="",SUBSTITUTE(C1121," ","")="소계"),"제외",IF(ISNUMBER(SEARCH("홍콩",C1121)),"HK",IF(ISNUMBER(SEARCH("상해",C1121)),"CN",IF(ISNUMBER(SEARCH("대만",C1121)),"TW","홀세일"))))</f>
        <v>홀세일</v>
      </c>
      <c r="B1121" s="87" t="s">
        <v>1319</v>
      </c>
      <c r="C1121" s="87" t="s">
        <v>1320</v>
      </c>
      <c r="D1121" s="88" t="s">
        <v>178</v>
      </c>
      <c r="E1121" s="87" t="n">
        <v>2026</v>
      </c>
      <c r="F1121" s="87" t="s">
        <v>639</v>
      </c>
      <c r="G1121" s="88" t="s">
        <v>188</v>
      </c>
      <c r="H1121" s="87" t="s">
        <v>189</v>
      </c>
      <c r="I1121" s="87" t="s">
        <v>688</v>
      </c>
      <c r="J1121" s="88" t="s">
        <v>689</v>
      </c>
      <c r="K1121" s="89" t="n">
        <v>30</v>
      </c>
      <c r="L1121" s="89" t="n">
        <v>1470000</v>
      </c>
      <c r="M1121" s="89" t="n">
        <v>580110</v>
      </c>
      <c r="N1121" s="90" t="n">
        <f aca="false">IF(A1121="제외",0,IF(OR(N(L1121)&lt;=0,N(M1121)&gt;N(L1121)),N(M1121)/가정!$B$4,N(L1121)))</f>
        <v>1470000</v>
      </c>
      <c r="O1121" s="67" t="str">
        <f aca="false">IF(A1121="제외","",IF(OR(N(L1121)&lt;=0,N(M1121)&gt;N(L1121)),"택가보정(판매금액÷공급율)",""))</f>
        <v/>
      </c>
    </row>
    <row r="1122" customFormat="false" ht="15" hidden="false" customHeight="true" outlineLevel="0" collapsed="false">
      <c r="A1122" s="67" t="str">
        <f aca="false">IF(OR(TRIM(C1122)="",SUBSTITUTE(C1122," ","")="소계"),"제외",IF(ISNUMBER(SEARCH("홍콩",C1122)),"HK",IF(ISNUMBER(SEARCH("상해",C1122)),"CN",IF(ISNUMBER(SEARCH("대만",C1122)),"TW","홀세일"))))</f>
        <v>홀세일</v>
      </c>
      <c r="B1122" s="87" t="s">
        <v>1319</v>
      </c>
      <c r="C1122" s="87" t="s">
        <v>1320</v>
      </c>
      <c r="D1122" s="88" t="s">
        <v>178</v>
      </c>
      <c r="E1122" s="87" t="n">
        <v>2026</v>
      </c>
      <c r="F1122" s="87" t="s">
        <v>639</v>
      </c>
      <c r="G1122" s="88" t="s">
        <v>188</v>
      </c>
      <c r="H1122" s="87" t="s">
        <v>189</v>
      </c>
      <c r="I1122" s="87" t="s">
        <v>1405</v>
      </c>
      <c r="J1122" s="88" t="s">
        <v>1406</v>
      </c>
      <c r="K1122" s="89" t="n">
        <v>20</v>
      </c>
      <c r="L1122" s="89" t="n">
        <v>1580000</v>
      </c>
      <c r="M1122" s="89" t="n">
        <v>615000</v>
      </c>
      <c r="N1122" s="90" t="n">
        <f aca="false">IF(A1122="제외",0,IF(OR(N(L1122)&lt;=0,N(M1122)&gt;N(L1122)),N(M1122)/가정!$B$4,N(L1122)))</f>
        <v>1580000</v>
      </c>
      <c r="O1122" s="67" t="str">
        <f aca="false">IF(A1122="제외","",IF(OR(N(L1122)&lt;=0,N(M1122)&gt;N(L1122)),"택가보정(판매금액÷공급율)",""))</f>
        <v/>
      </c>
    </row>
    <row r="1123" customFormat="false" ht="15" hidden="false" customHeight="true" outlineLevel="0" collapsed="false">
      <c r="A1123" s="67" t="str">
        <f aca="false">IF(OR(TRIM(C1123)="",SUBSTITUTE(C1123," ","")="소계"),"제외",IF(ISNUMBER(SEARCH("홍콩",C1123)),"HK",IF(ISNUMBER(SEARCH("상해",C1123)),"CN",IF(ISNUMBER(SEARCH("대만",C1123)),"TW","홀세일"))))</f>
        <v>홀세일</v>
      </c>
      <c r="B1123" s="87" t="s">
        <v>1319</v>
      </c>
      <c r="C1123" s="87" t="s">
        <v>1320</v>
      </c>
      <c r="D1123" s="88" t="s">
        <v>178</v>
      </c>
      <c r="E1123" s="87" t="n">
        <v>2026</v>
      </c>
      <c r="F1123" s="87" t="s">
        <v>639</v>
      </c>
      <c r="G1123" s="88" t="s">
        <v>188</v>
      </c>
      <c r="H1123" s="87" t="s">
        <v>189</v>
      </c>
      <c r="I1123" s="87" t="s">
        <v>1407</v>
      </c>
      <c r="J1123" s="88" t="s">
        <v>1408</v>
      </c>
      <c r="K1123" s="89" t="n">
        <v>40</v>
      </c>
      <c r="L1123" s="89" t="n">
        <v>1960000</v>
      </c>
      <c r="M1123" s="89" t="n">
        <v>770120</v>
      </c>
      <c r="N1123" s="90" t="n">
        <f aca="false">IF(A1123="제외",0,IF(OR(N(L1123)&lt;=0,N(M1123)&gt;N(L1123)),N(M1123)/가정!$B$4,N(L1123)))</f>
        <v>1960000</v>
      </c>
      <c r="O1123" s="67" t="str">
        <f aca="false">IF(A1123="제외","",IF(OR(N(L1123)&lt;=0,N(M1123)&gt;N(L1123)),"택가보정(판매금액÷공급율)",""))</f>
        <v/>
      </c>
    </row>
    <row r="1124" customFormat="false" ht="15" hidden="false" customHeight="true" outlineLevel="0" collapsed="false">
      <c r="A1124" s="67" t="str">
        <f aca="false">IF(OR(TRIM(C1124)="",SUBSTITUTE(C1124," ","")="소계"),"제외",IF(ISNUMBER(SEARCH("홍콩",C1124)),"HK",IF(ISNUMBER(SEARCH("상해",C1124)),"CN",IF(ISNUMBER(SEARCH("대만",C1124)),"TW","홀세일"))))</f>
        <v>홀세일</v>
      </c>
      <c r="B1124" s="87" t="s">
        <v>1319</v>
      </c>
      <c r="C1124" s="87" t="s">
        <v>1320</v>
      </c>
      <c r="D1124" s="88" t="s">
        <v>178</v>
      </c>
      <c r="E1124" s="87" t="n">
        <v>2026</v>
      </c>
      <c r="F1124" s="87" t="s">
        <v>639</v>
      </c>
      <c r="G1124" s="88" t="s">
        <v>188</v>
      </c>
      <c r="H1124" s="87" t="s">
        <v>189</v>
      </c>
      <c r="I1124" s="87" t="s">
        <v>1027</v>
      </c>
      <c r="J1124" s="88" t="s">
        <v>1028</v>
      </c>
      <c r="K1124" s="89" t="n">
        <v>10</v>
      </c>
      <c r="L1124" s="89" t="n">
        <v>790000</v>
      </c>
      <c r="M1124" s="89" t="n">
        <v>307500</v>
      </c>
      <c r="N1124" s="90" t="n">
        <f aca="false">IF(A1124="제외",0,IF(OR(N(L1124)&lt;=0,N(M1124)&gt;N(L1124)),N(M1124)/가정!$B$4,N(L1124)))</f>
        <v>790000</v>
      </c>
      <c r="O1124" s="67" t="str">
        <f aca="false">IF(A1124="제외","",IF(OR(N(L1124)&lt;=0,N(M1124)&gt;N(L1124)),"택가보정(판매금액÷공급율)",""))</f>
        <v/>
      </c>
    </row>
    <row r="1125" customFormat="false" ht="15" hidden="false" customHeight="true" outlineLevel="0" collapsed="false">
      <c r="A1125" s="67" t="str">
        <f aca="false">IF(OR(TRIM(C1125)="",SUBSTITUTE(C1125," ","")="소계"),"제외",IF(ISNUMBER(SEARCH("홍콩",C1125)),"HK",IF(ISNUMBER(SEARCH("상해",C1125)),"CN",IF(ISNUMBER(SEARCH("대만",C1125)),"TW","홀세일"))))</f>
        <v>홀세일</v>
      </c>
      <c r="B1125" s="87" t="s">
        <v>1319</v>
      </c>
      <c r="C1125" s="87" t="s">
        <v>1320</v>
      </c>
      <c r="D1125" s="88" t="s">
        <v>178</v>
      </c>
      <c r="E1125" s="87" t="n">
        <v>2026</v>
      </c>
      <c r="F1125" s="87" t="s">
        <v>639</v>
      </c>
      <c r="G1125" s="88" t="s">
        <v>188</v>
      </c>
      <c r="H1125" s="87" t="s">
        <v>189</v>
      </c>
      <c r="I1125" s="87" t="s">
        <v>1409</v>
      </c>
      <c r="J1125" s="87" t="s">
        <v>1410</v>
      </c>
      <c r="K1125" s="89" t="n">
        <v>60</v>
      </c>
      <c r="L1125" s="89" t="n">
        <v>4740000</v>
      </c>
      <c r="M1125" s="89" t="n">
        <v>1859880</v>
      </c>
      <c r="N1125" s="90" t="n">
        <f aca="false">IF(A1125="제외",0,IF(OR(N(L1125)&lt;=0,N(M1125)&gt;N(L1125)),N(M1125)/가정!$B$4,N(L1125)))</f>
        <v>4740000</v>
      </c>
      <c r="O1125" s="67" t="str">
        <f aca="false">IF(A1125="제외","",IF(OR(N(L1125)&lt;=0,N(M1125)&gt;N(L1125)),"택가보정(판매금액÷공급율)",""))</f>
        <v/>
      </c>
    </row>
    <row r="1126" customFormat="false" ht="15" hidden="false" customHeight="true" outlineLevel="0" collapsed="false">
      <c r="A1126" s="67" t="str">
        <f aca="false">IF(OR(TRIM(C1126)="",SUBSTITUTE(C1126," ","")="소계"),"제외",IF(ISNUMBER(SEARCH("홍콩",C1126)),"HK",IF(ISNUMBER(SEARCH("상해",C1126)),"CN",IF(ISNUMBER(SEARCH("대만",C1126)),"TW","홀세일"))))</f>
        <v>홀세일</v>
      </c>
      <c r="B1126" s="87" t="s">
        <v>1319</v>
      </c>
      <c r="C1126" s="87" t="s">
        <v>1320</v>
      </c>
      <c r="D1126" s="88" t="s">
        <v>178</v>
      </c>
      <c r="E1126" s="87" t="n">
        <v>2026</v>
      </c>
      <c r="F1126" s="87" t="s">
        <v>639</v>
      </c>
      <c r="G1126" s="88" t="s">
        <v>188</v>
      </c>
      <c r="H1126" s="87" t="s">
        <v>189</v>
      </c>
      <c r="I1126" s="87" t="s">
        <v>1411</v>
      </c>
      <c r="J1126" s="88" t="s">
        <v>1412</v>
      </c>
      <c r="K1126" s="89" t="n">
        <v>20</v>
      </c>
      <c r="L1126" s="89" t="n">
        <v>1180000</v>
      </c>
      <c r="M1126" s="89" t="n">
        <v>461480</v>
      </c>
      <c r="N1126" s="90" t="n">
        <f aca="false">IF(A1126="제외",0,IF(OR(N(L1126)&lt;=0,N(M1126)&gt;N(L1126)),N(M1126)/가정!$B$4,N(L1126)))</f>
        <v>1180000</v>
      </c>
      <c r="O1126" s="67" t="str">
        <f aca="false">IF(A1126="제외","",IF(OR(N(L1126)&lt;=0,N(M1126)&gt;N(L1126)),"택가보정(판매금액÷공급율)",""))</f>
        <v/>
      </c>
    </row>
    <row r="1127" customFormat="false" ht="15" hidden="false" customHeight="true" outlineLevel="0" collapsed="false">
      <c r="A1127" s="67" t="str">
        <f aca="false">IF(OR(TRIM(C1127)="",SUBSTITUTE(C1127," ","")="소계"),"제외",IF(ISNUMBER(SEARCH("홍콩",C1127)),"HK",IF(ISNUMBER(SEARCH("상해",C1127)),"CN",IF(ISNUMBER(SEARCH("대만",C1127)),"TW","홀세일"))))</f>
        <v>홀세일</v>
      </c>
      <c r="B1127" s="87" t="s">
        <v>1319</v>
      </c>
      <c r="C1127" s="87" t="s">
        <v>1320</v>
      </c>
      <c r="D1127" s="88" t="s">
        <v>178</v>
      </c>
      <c r="E1127" s="87" t="n">
        <v>2026</v>
      </c>
      <c r="F1127" s="87" t="s">
        <v>639</v>
      </c>
      <c r="G1127" s="88" t="s">
        <v>188</v>
      </c>
      <c r="H1127" s="87" t="s">
        <v>189</v>
      </c>
      <c r="I1127" s="87" t="s">
        <v>692</v>
      </c>
      <c r="J1127" s="88" t="s">
        <v>693</v>
      </c>
      <c r="K1127" s="89" t="n">
        <v>20</v>
      </c>
      <c r="L1127" s="89" t="n">
        <v>1580000</v>
      </c>
      <c r="M1127" s="89" t="n">
        <v>615000</v>
      </c>
      <c r="N1127" s="90" t="n">
        <f aca="false">IF(A1127="제외",0,IF(OR(N(L1127)&lt;=0,N(M1127)&gt;N(L1127)),N(M1127)/가정!$B$4,N(L1127)))</f>
        <v>1580000</v>
      </c>
      <c r="O1127" s="67" t="str">
        <f aca="false">IF(A1127="제외","",IF(OR(N(L1127)&lt;=0,N(M1127)&gt;N(L1127)),"택가보정(판매금액÷공급율)",""))</f>
        <v/>
      </c>
    </row>
    <row r="1128" customFormat="false" ht="15" hidden="false" customHeight="true" outlineLevel="0" collapsed="false">
      <c r="A1128" s="67" t="str">
        <f aca="false">IF(OR(TRIM(C1128)="",SUBSTITUTE(C1128," ","")="소계"),"제외",IF(ISNUMBER(SEARCH("홍콩",C1128)),"HK",IF(ISNUMBER(SEARCH("상해",C1128)),"CN",IF(ISNUMBER(SEARCH("대만",C1128)),"TW","홀세일"))))</f>
        <v>홀세일</v>
      </c>
      <c r="B1128" s="87" t="s">
        <v>1319</v>
      </c>
      <c r="C1128" s="87" t="s">
        <v>1320</v>
      </c>
      <c r="D1128" s="88" t="s">
        <v>178</v>
      </c>
      <c r="E1128" s="87" t="n">
        <v>2026</v>
      </c>
      <c r="F1128" s="87" t="s">
        <v>639</v>
      </c>
      <c r="G1128" s="88" t="s">
        <v>188</v>
      </c>
      <c r="H1128" s="87" t="s">
        <v>189</v>
      </c>
      <c r="I1128" s="87" t="s">
        <v>694</v>
      </c>
      <c r="J1128" s="88" t="s">
        <v>695</v>
      </c>
      <c r="K1128" s="89" t="n">
        <v>100</v>
      </c>
      <c r="L1128" s="89" t="n">
        <v>2100000</v>
      </c>
      <c r="M1128" s="89" t="n">
        <v>823000</v>
      </c>
      <c r="N1128" s="90" t="n">
        <f aca="false">IF(A1128="제외",0,IF(OR(N(L1128)&lt;=0,N(M1128)&gt;N(L1128)),N(M1128)/가정!$B$4,N(L1128)))</f>
        <v>2100000</v>
      </c>
      <c r="O1128" s="67" t="str">
        <f aca="false">IF(A1128="제외","",IF(OR(N(L1128)&lt;=0,N(M1128)&gt;N(L1128)),"택가보정(판매금액÷공급율)",""))</f>
        <v/>
      </c>
    </row>
    <row r="1129" customFormat="false" ht="15" hidden="false" customHeight="true" outlineLevel="0" collapsed="false">
      <c r="A1129" s="67" t="str">
        <f aca="false">IF(OR(TRIM(C1129)="",SUBSTITUTE(C1129," ","")="소계"),"제외",IF(ISNUMBER(SEARCH("홍콩",C1129)),"HK",IF(ISNUMBER(SEARCH("상해",C1129)),"CN",IF(ISNUMBER(SEARCH("대만",C1129)),"TW","홀세일"))))</f>
        <v>홀세일</v>
      </c>
      <c r="B1129" s="87" t="s">
        <v>1319</v>
      </c>
      <c r="C1129" s="87" t="s">
        <v>1320</v>
      </c>
      <c r="D1129" s="88" t="s">
        <v>178</v>
      </c>
      <c r="E1129" s="87" t="n">
        <v>2026</v>
      </c>
      <c r="F1129" s="87" t="s">
        <v>639</v>
      </c>
      <c r="G1129" s="88" t="s">
        <v>188</v>
      </c>
      <c r="H1129" s="87" t="s">
        <v>189</v>
      </c>
      <c r="I1129" s="87" t="s">
        <v>696</v>
      </c>
      <c r="J1129" s="88" t="s">
        <v>697</v>
      </c>
      <c r="K1129" s="89" t="n">
        <v>50</v>
      </c>
      <c r="L1129" s="89" t="n">
        <v>950000</v>
      </c>
      <c r="M1129" s="89" t="n">
        <v>374750</v>
      </c>
      <c r="N1129" s="90" t="n">
        <f aca="false">IF(A1129="제외",0,IF(OR(N(L1129)&lt;=0,N(M1129)&gt;N(L1129)),N(M1129)/가정!$B$4,N(L1129)))</f>
        <v>950000</v>
      </c>
      <c r="O1129" s="67" t="str">
        <f aca="false">IF(A1129="제외","",IF(OR(N(L1129)&lt;=0,N(M1129)&gt;N(L1129)),"택가보정(판매금액÷공급율)",""))</f>
        <v/>
      </c>
    </row>
    <row r="1130" customFormat="false" ht="15" hidden="false" customHeight="true" outlineLevel="0" collapsed="false">
      <c r="A1130" s="67" t="str">
        <f aca="false">IF(OR(TRIM(C1130)="",SUBSTITUTE(C1130," ","")="소계"),"제외",IF(ISNUMBER(SEARCH("홍콩",C1130)),"HK",IF(ISNUMBER(SEARCH("상해",C1130)),"CN",IF(ISNUMBER(SEARCH("대만",C1130)),"TW","홀세일"))))</f>
        <v>홀세일</v>
      </c>
      <c r="B1130" s="87" t="s">
        <v>1319</v>
      </c>
      <c r="C1130" s="87" t="s">
        <v>1320</v>
      </c>
      <c r="D1130" s="88" t="s">
        <v>178</v>
      </c>
      <c r="E1130" s="87" t="n">
        <v>2026</v>
      </c>
      <c r="F1130" s="87" t="s">
        <v>639</v>
      </c>
      <c r="G1130" s="88" t="s">
        <v>188</v>
      </c>
      <c r="H1130" s="87" t="s">
        <v>189</v>
      </c>
      <c r="I1130" s="87" t="s">
        <v>700</v>
      </c>
      <c r="J1130" s="88" t="s">
        <v>701</v>
      </c>
      <c r="K1130" s="89" t="n">
        <v>100</v>
      </c>
      <c r="L1130" s="89" t="n">
        <v>1090000</v>
      </c>
      <c r="M1130" s="89" t="n">
        <v>426200</v>
      </c>
      <c r="N1130" s="90" t="n">
        <f aca="false">IF(A1130="제외",0,IF(OR(N(L1130)&lt;=0,N(M1130)&gt;N(L1130)),N(M1130)/가정!$B$4,N(L1130)))</f>
        <v>1090000</v>
      </c>
      <c r="O1130" s="67" t="str">
        <f aca="false">IF(A1130="제외","",IF(OR(N(L1130)&lt;=0,N(M1130)&gt;N(L1130)),"택가보정(판매금액÷공급율)",""))</f>
        <v/>
      </c>
    </row>
    <row r="1131" customFormat="false" ht="15" hidden="false" customHeight="true" outlineLevel="0" collapsed="false">
      <c r="A1131" s="67" t="str">
        <f aca="false">IF(OR(TRIM(C1131)="",SUBSTITUTE(C1131," ","")="소계"),"제외",IF(ISNUMBER(SEARCH("홍콩",C1131)),"HK",IF(ISNUMBER(SEARCH("상해",C1131)),"CN",IF(ISNUMBER(SEARCH("대만",C1131)),"TW","홀세일"))))</f>
        <v>홀세일</v>
      </c>
      <c r="B1131" s="87" t="s">
        <v>1319</v>
      </c>
      <c r="C1131" s="87" t="s">
        <v>1320</v>
      </c>
      <c r="D1131" s="88" t="s">
        <v>178</v>
      </c>
      <c r="E1131" s="87" t="n">
        <v>2026</v>
      </c>
      <c r="F1131" s="87" t="s">
        <v>639</v>
      </c>
      <c r="G1131" s="88" t="s">
        <v>188</v>
      </c>
      <c r="H1131" s="87" t="s">
        <v>189</v>
      </c>
      <c r="I1131" s="87" t="s">
        <v>704</v>
      </c>
      <c r="J1131" s="88" t="s">
        <v>705</v>
      </c>
      <c r="K1131" s="89" t="n">
        <v>20</v>
      </c>
      <c r="L1131" s="89" t="n">
        <v>2580000</v>
      </c>
      <c r="M1131" s="89" t="n">
        <v>1004500</v>
      </c>
      <c r="N1131" s="90" t="n">
        <f aca="false">IF(A1131="제외",0,IF(OR(N(L1131)&lt;=0,N(M1131)&gt;N(L1131)),N(M1131)/가정!$B$4,N(L1131)))</f>
        <v>2580000</v>
      </c>
      <c r="O1131" s="67" t="str">
        <f aca="false">IF(A1131="제외","",IF(OR(N(L1131)&lt;=0,N(M1131)&gt;N(L1131)),"택가보정(판매금액÷공급율)",""))</f>
        <v/>
      </c>
    </row>
    <row r="1132" customFormat="false" ht="15" hidden="false" customHeight="true" outlineLevel="0" collapsed="false">
      <c r="A1132" s="67" t="str">
        <f aca="false">IF(OR(TRIM(C1132)="",SUBSTITUTE(C1132," ","")="소계"),"제외",IF(ISNUMBER(SEARCH("홍콩",C1132)),"HK",IF(ISNUMBER(SEARCH("상해",C1132)),"CN",IF(ISNUMBER(SEARCH("대만",C1132)),"TW","홀세일"))))</f>
        <v>홀세일</v>
      </c>
      <c r="B1132" s="87" t="s">
        <v>1319</v>
      </c>
      <c r="C1132" s="87" t="s">
        <v>1320</v>
      </c>
      <c r="D1132" s="88" t="s">
        <v>178</v>
      </c>
      <c r="E1132" s="87" t="n">
        <v>2026</v>
      </c>
      <c r="F1132" s="87" t="s">
        <v>639</v>
      </c>
      <c r="G1132" s="88" t="s">
        <v>188</v>
      </c>
      <c r="H1132" s="87" t="s">
        <v>189</v>
      </c>
      <c r="I1132" s="87" t="s">
        <v>706</v>
      </c>
      <c r="J1132" s="88" t="s">
        <v>707</v>
      </c>
      <c r="K1132" s="89" t="n">
        <v>40</v>
      </c>
      <c r="L1132" s="89" t="n">
        <v>5160000</v>
      </c>
      <c r="M1132" s="89" t="n">
        <v>2009000</v>
      </c>
      <c r="N1132" s="90" t="n">
        <f aca="false">IF(A1132="제외",0,IF(OR(N(L1132)&lt;=0,N(M1132)&gt;N(L1132)),N(M1132)/가정!$B$4,N(L1132)))</f>
        <v>5160000</v>
      </c>
      <c r="O1132" s="67" t="str">
        <f aca="false">IF(A1132="제외","",IF(OR(N(L1132)&lt;=0,N(M1132)&gt;N(L1132)),"택가보정(판매금액÷공급율)",""))</f>
        <v/>
      </c>
    </row>
    <row r="1133" customFormat="false" ht="15" hidden="false" customHeight="true" outlineLevel="0" collapsed="false">
      <c r="A1133" s="67" t="str">
        <f aca="false">IF(OR(TRIM(C1133)="",SUBSTITUTE(C1133," ","")="소계"),"제외",IF(ISNUMBER(SEARCH("홍콩",C1133)),"HK",IF(ISNUMBER(SEARCH("상해",C1133)),"CN",IF(ISNUMBER(SEARCH("대만",C1133)),"TW","홀세일"))))</f>
        <v>홀세일</v>
      </c>
      <c r="B1133" s="87" t="s">
        <v>1319</v>
      </c>
      <c r="C1133" s="87" t="s">
        <v>1320</v>
      </c>
      <c r="D1133" s="88" t="s">
        <v>178</v>
      </c>
      <c r="E1133" s="87" t="n">
        <v>2026</v>
      </c>
      <c r="F1133" s="87" t="s">
        <v>639</v>
      </c>
      <c r="G1133" s="88" t="s">
        <v>188</v>
      </c>
      <c r="H1133" s="87" t="s">
        <v>189</v>
      </c>
      <c r="I1133" s="87" t="s">
        <v>1413</v>
      </c>
      <c r="J1133" s="87" t="s">
        <v>1414</v>
      </c>
      <c r="K1133" s="89" t="n">
        <v>10</v>
      </c>
      <c r="L1133" s="89" t="n">
        <v>790000</v>
      </c>
      <c r="M1133" s="89" t="n">
        <v>309980</v>
      </c>
      <c r="N1133" s="90" t="n">
        <f aca="false">IF(A1133="제외",0,IF(OR(N(L1133)&lt;=0,N(M1133)&gt;N(L1133)),N(M1133)/가정!$B$4,N(L1133)))</f>
        <v>790000</v>
      </c>
      <c r="O1133" s="67" t="str">
        <f aca="false">IF(A1133="제외","",IF(OR(N(L1133)&lt;=0,N(M1133)&gt;N(L1133)),"택가보정(판매금액÷공급율)",""))</f>
        <v/>
      </c>
    </row>
    <row r="1134" customFormat="false" ht="15" hidden="false" customHeight="true" outlineLevel="0" collapsed="false">
      <c r="A1134" s="67" t="str">
        <f aca="false">IF(OR(TRIM(C1134)="",SUBSTITUTE(C1134," ","")="소계"),"제외",IF(ISNUMBER(SEARCH("홍콩",C1134)),"HK",IF(ISNUMBER(SEARCH("상해",C1134)),"CN",IF(ISNUMBER(SEARCH("대만",C1134)),"TW","홀세일"))))</f>
        <v>홀세일</v>
      </c>
      <c r="B1134" s="87" t="s">
        <v>1319</v>
      </c>
      <c r="C1134" s="87" t="s">
        <v>1320</v>
      </c>
      <c r="D1134" s="88" t="s">
        <v>178</v>
      </c>
      <c r="E1134" s="87" t="n">
        <v>2026</v>
      </c>
      <c r="F1134" s="87" t="s">
        <v>639</v>
      </c>
      <c r="G1134" s="88" t="s">
        <v>1168</v>
      </c>
      <c r="H1134" s="87" t="s">
        <v>181</v>
      </c>
      <c r="I1134" s="87" t="s">
        <v>1173</v>
      </c>
      <c r="J1134" s="88" t="s">
        <v>1174</v>
      </c>
      <c r="K1134" s="89" t="n">
        <v>40</v>
      </c>
      <c r="L1134" s="89" t="n">
        <v>1160000</v>
      </c>
      <c r="M1134" s="89" t="n">
        <v>778000</v>
      </c>
      <c r="N1134" s="90" t="n">
        <f aca="false">IF(A1134="제외",0,IF(OR(N(L1134)&lt;=0,N(M1134)&gt;N(L1134)),N(M1134)/가정!$B$4,N(L1134)))</f>
        <v>1160000</v>
      </c>
      <c r="O1134" s="67" t="str">
        <f aca="false">IF(A1134="제외","",IF(OR(N(L1134)&lt;=0,N(M1134)&gt;N(L1134)),"택가보정(판매금액÷공급율)",""))</f>
        <v/>
      </c>
    </row>
    <row r="1135" customFormat="false" ht="15" hidden="false" customHeight="true" outlineLevel="0" collapsed="false">
      <c r="A1135" s="67" t="str">
        <f aca="false">IF(OR(TRIM(C1135)="",SUBSTITUTE(C1135," ","")="소계"),"제외",IF(ISNUMBER(SEARCH("홍콩",C1135)),"HK",IF(ISNUMBER(SEARCH("상해",C1135)),"CN",IF(ISNUMBER(SEARCH("대만",C1135)),"TW","홀세일"))))</f>
        <v>홀세일</v>
      </c>
      <c r="B1135" s="87" t="s">
        <v>1319</v>
      </c>
      <c r="C1135" s="87" t="s">
        <v>1320</v>
      </c>
      <c r="D1135" s="88" t="s">
        <v>178</v>
      </c>
      <c r="E1135" s="87" t="n">
        <v>2026</v>
      </c>
      <c r="F1135" s="87" t="s">
        <v>639</v>
      </c>
      <c r="G1135" s="88" t="s">
        <v>827</v>
      </c>
      <c r="H1135" s="87" t="s">
        <v>189</v>
      </c>
      <c r="I1135" s="87" t="s">
        <v>1175</v>
      </c>
      <c r="J1135" s="88" t="s">
        <v>1176</v>
      </c>
      <c r="K1135" s="89" t="n">
        <v>15</v>
      </c>
      <c r="L1135" s="89" t="n">
        <v>3675000</v>
      </c>
      <c r="M1135" s="89" t="n">
        <v>1900725</v>
      </c>
      <c r="N1135" s="90" t="n">
        <f aca="false">IF(A1135="제외",0,IF(OR(N(L1135)&lt;=0,N(M1135)&gt;N(L1135)),N(M1135)/가정!$B$4,N(L1135)))</f>
        <v>3675000</v>
      </c>
      <c r="O1135" s="67" t="str">
        <f aca="false">IF(A1135="제외","",IF(OR(N(L1135)&lt;=0,N(M1135)&gt;N(L1135)),"택가보정(판매금액÷공급율)",""))</f>
        <v/>
      </c>
    </row>
    <row r="1136" customFormat="false" ht="15" hidden="false" customHeight="true" outlineLevel="0" collapsed="false">
      <c r="A1136" s="67" t="str">
        <f aca="false">IF(OR(TRIM(C1136)="",SUBSTITUTE(C1136," ","")="소계"),"제외",IF(ISNUMBER(SEARCH("홍콩",C1136)),"HK",IF(ISNUMBER(SEARCH("상해",C1136)),"CN",IF(ISNUMBER(SEARCH("대만",C1136)),"TW","홀세일"))))</f>
        <v>홀세일</v>
      </c>
      <c r="B1136" s="87" t="s">
        <v>1319</v>
      </c>
      <c r="C1136" s="87" t="s">
        <v>1320</v>
      </c>
      <c r="D1136" s="88" t="s">
        <v>178</v>
      </c>
      <c r="E1136" s="87" t="n">
        <v>2026</v>
      </c>
      <c r="F1136" s="87" t="s">
        <v>639</v>
      </c>
      <c r="G1136" s="88" t="s">
        <v>827</v>
      </c>
      <c r="H1136" s="87" t="s">
        <v>189</v>
      </c>
      <c r="I1136" s="87" t="s">
        <v>1177</v>
      </c>
      <c r="J1136" s="88" t="s">
        <v>1178</v>
      </c>
      <c r="K1136" s="89" t="n">
        <v>20</v>
      </c>
      <c r="L1136" s="89" t="n">
        <v>6900000</v>
      </c>
      <c r="M1136" s="89" t="n">
        <v>3523280</v>
      </c>
      <c r="N1136" s="90" t="n">
        <f aca="false">IF(A1136="제외",0,IF(OR(N(L1136)&lt;=0,N(M1136)&gt;N(L1136)),N(M1136)/가정!$B$4,N(L1136)))</f>
        <v>6900000</v>
      </c>
      <c r="O1136" s="67" t="str">
        <f aca="false">IF(A1136="제외","",IF(OR(N(L1136)&lt;=0,N(M1136)&gt;N(L1136)),"택가보정(판매금액÷공급율)",""))</f>
        <v/>
      </c>
    </row>
    <row r="1137" customFormat="false" ht="15" hidden="false" customHeight="true" outlineLevel="0" collapsed="false">
      <c r="A1137" s="67" t="str">
        <f aca="false">IF(OR(TRIM(C1137)="",SUBSTITUTE(C1137," ","")="소계"),"제외",IF(ISNUMBER(SEARCH("홍콩",C1137)),"HK",IF(ISNUMBER(SEARCH("상해",C1137)),"CN",IF(ISNUMBER(SEARCH("대만",C1137)),"TW","홀세일"))))</f>
        <v>홀세일</v>
      </c>
      <c r="B1137" s="87" t="s">
        <v>1319</v>
      </c>
      <c r="C1137" s="87" t="s">
        <v>1320</v>
      </c>
      <c r="D1137" s="88" t="s">
        <v>178</v>
      </c>
      <c r="E1137" s="87" t="n">
        <v>2026</v>
      </c>
      <c r="F1137" s="87" t="s">
        <v>639</v>
      </c>
      <c r="G1137" s="88" t="s">
        <v>827</v>
      </c>
      <c r="H1137" s="87" t="s">
        <v>189</v>
      </c>
      <c r="I1137" s="87" t="s">
        <v>1415</v>
      </c>
      <c r="J1137" s="88" t="s">
        <v>1416</v>
      </c>
      <c r="K1137" s="89" t="n">
        <v>10</v>
      </c>
      <c r="L1137" s="89" t="n">
        <v>2980000</v>
      </c>
      <c r="M1137" s="89" t="n">
        <v>1505370</v>
      </c>
      <c r="N1137" s="90" t="n">
        <f aca="false">IF(A1137="제외",0,IF(OR(N(L1137)&lt;=0,N(M1137)&gt;N(L1137)),N(M1137)/가정!$B$4,N(L1137)))</f>
        <v>2980000</v>
      </c>
      <c r="O1137" s="67" t="str">
        <f aca="false">IF(A1137="제외","",IF(OR(N(L1137)&lt;=0,N(M1137)&gt;N(L1137)),"택가보정(판매금액÷공급율)",""))</f>
        <v/>
      </c>
    </row>
    <row r="1138" customFormat="false" ht="15" hidden="false" customHeight="true" outlineLevel="0" collapsed="false">
      <c r="A1138" s="67" t="str">
        <f aca="false">IF(OR(TRIM(C1138)="",SUBSTITUTE(C1138," ","")="소계"),"제외",IF(ISNUMBER(SEARCH("홍콩",C1138)),"HK",IF(ISNUMBER(SEARCH("상해",C1138)),"CN",IF(ISNUMBER(SEARCH("대만",C1138)),"TW","홀세일"))))</f>
        <v>홀세일</v>
      </c>
      <c r="B1138" s="87" t="s">
        <v>1319</v>
      </c>
      <c r="C1138" s="87" t="s">
        <v>1320</v>
      </c>
      <c r="D1138" s="88" t="s">
        <v>178</v>
      </c>
      <c r="E1138" s="87" t="n">
        <v>2026</v>
      </c>
      <c r="F1138" s="87" t="s">
        <v>639</v>
      </c>
      <c r="G1138" s="88" t="s">
        <v>827</v>
      </c>
      <c r="H1138" s="87" t="s">
        <v>189</v>
      </c>
      <c r="I1138" s="87" t="s">
        <v>1179</v>
      </c>
      <c r="J1138" s="88" t="s">
        <v>1180</v>
      </c>
      <c r="K1138" s="89" t="n">
        <v>5</v>
      </c>
      <c r="L1138" s="89" t="n">
        <v>1545000</v>
      </c>
      <c r="M1138" s="89" t="n">
        <v>798920</v>
      </c>
      <c r="N1138" s="90" t="n">
        <f aca="false">IF(A1138="제외",0,IF(OR(N(L1138)&lt;=0,N(M1138)&gt;N(L1138)),N(M1138)/가정!$B$4,N(L1138)))</f>
        <v>1545000</v>
      </c>
      <c r="O1138" s="67" t="str">
        <f aca="false">IF(A1138="제외","",IF(OR(N(L1138)&lt;=0,N(M1138)&gt;N(L1138)),"택가보정(판매금액÷공급율)",""))</f>
        <v/>
      </c>
    </row>
    <row r="1139" customFormat="false" ht="15" hidden="false" customHeight="true" outlineLevel="0" collapsed="false">
      <c r="A1139" s="67" t="str">
        <f aca="false">IF(OR(TRIM(C1139)="",SUBSTITUTE(C1139," ","")="소계"),"제외",IF(ISNUMBER(SEARCH("홍콩",C1139)),"HK",IF(ISNUMBER(SEARCH("상해",C1139)),"CN",IF(ISNUMBER(SEARCH("대만",C1139)),"TW","홀세일"))))</f>
        <v>홀세일</v>
      </c>
      <c r="B1139" s="87" t="s">
        <v>1319</v>
      </c>
      <c r="C1139" s="87" t="s">
        <v>1320</v>
      </c>
      <c r="D1139" s="88" t="s">
        <v>178</v>
      </c>
      <c r="E1139" s="87" t="n">
        <v>2026</v>
      </c>
      <c r="F1139" s="87" t="s">
        <v>639</v>
      </c>
      <c r="G1139" s="88" t="s">
        <v>180</v>
      </c>
      <c r="H1139" s="87" t="s">
        <v>181</v>
      </c>
      <c r="I1139" s="87" t="s">
        <v>711</v>
      </c>
      <c r="J1139" s="88" t="s">
        <v>712</v>
      </c>
      <c r="K1139" s="89" t="n">
        <v>30</v>
      </c>
      <c r="L1139" s="89" t="n">
        <v>14970000</v>
      </c>
      <c r="M1139" s="89" t="n">
        <v>5768520</v>
      </c>
      <c r="N1139" s="90" t="n">
        <f aca="false">IF(A1139="제외",0,IF(OR(N(L1139)&lt;=0,N(M1139)&gt;N(L1139)),N(M1139)/가정!$B$4,N(L1139)))</f>
        <v>14970000</v>
      </c>
      <c r="O1139" s="67" t="str">
        <f aca="false">IF(A1139="제외","",IF(OR(N(L1139)&lt;=0,N(M1139)&gt;N(L1139)),"택가보정(판매금액÷공급율)",""))</f>
        <v/>
      </c>
    </row>
    <row r="1140" customFormat="false" ht="15" hidden="false" customHeight="true" outlineLevel="0" collapsed="false">
      <c r="A1140" s="67" t="str">
        <f aca="false">IF(OR(TRIM(C1140)="",SUBSTITUTE(C1140," ","")="소계"),"제외",IF(ISNUMBER(SEARCH("홍콩",C1140)),"HK",IF(ISNUMBER(SEARCH("상해",C1140)),"CN",IF(ISNUMBER(SEARCH("대만",C1140)),"TW","홀세일"))))</f>
        <v>홀세일</v>
      </c>
      <c r="B1140" s="87" t="s">
        <v>1319</v>
      </c>
      <c r="C1140" s="87" t="s">
        <v>1320</v>
      </c>
      <c r="D1140" s="88" t="s">
        <v>178</v>
      </c>
      <c r="E1140" s="87" t="n">
        <v>2026</v>
      </c>
      <c r="F1140" s="87" t="s">
        <v>639</v>
      </c>
      <c r="G1140" s="88" t="s">
        <v>180</v>
      </c>
      <c r="H1140" s="87" t="s">
        <v>189</v>
      </c>
      <c r="I1140" s="87" t="s">
        <v>713</v>
      </c>
      <c r="J1140" s="88" t="s">
        <v>714</v>
      </c>
      <c r="K1140" s="89" t="n">
        <v>305</v>
      </c>
      <c r="L1140" s="89" t="n">
        <v>14945000</v>
      </c>
      <c r="M1140" s="89" t="n">
        <v>5542765</v>
      </c>
      <c r="N1140" s="90" t="n">
        <f aca="false">IF(A1140="제외",0,IF(OR(N(L1140)&lt;=0,N(M1140)&gt;N(L1140)),N(M1140)/가정!$B$4,N(L1140)))</f>
        <v>14945000</v>
      </c>
      <c r="O1140" s="67" t="str">
        <f aca="false">IF(A1140="제외","",IF(OR(N(L1140)&lt;=0,N(M1140)&gt;N(L1140)),"택가보정(판매금액÷공급율)",""))</f>
        <v/>
      </c>
    </row>
    <row r="1141" customFormat="false" ht="15" hidden="false" customHeight="true" outlineLevel="0" collapsed="false">
      <c r="A1141" s="67" t="str">
        <f aca="false">IF(OR(TRIM(C1141)="",SUBSTITUTE(C1141," ","")="소계"),"제외",IF(ISNUMBER(SEARCH("홍콩",C1141)),"HK",IF(ISNUMBER(SEARCH("상해",C1141)),"CN",IF(ISNUMBER(SEARCH("대만",C1141)),"TW","홀세일"))))</f>
        <v>홀세일</v>
      </c>
      <c r="B1141" s="87" t="s">
        <v>1319</v>
      </c>
      <c r="C1141" s="87" t="s">
        <v>1320</v>
      </c>
      <c r="D1141" s="88" t="s">
        <v>178</v>
      </c>
      <c r="E1141" s="87" t="n">
        <v>2026</v>
      </c>
      <c r="F1141" s="87" t="s">
        <v>639</v>
      </c>
      <c r="G1141" s="88" t="s">
        <v>180</v>
      </c>
      <c r="H1141" s="87" t="s">
        <v>189</v>
      </c>
      <c r="I1141" s="87" t="s">
        <v>1417</v>
      </c>
      <c r="J1141" s="88" t="s">
        <v>1418</v>
      </c>
      <c r="K1141" s="89" t="n">
        <v>80</v>
      </c>
      <c r="L1141" s="89" t="n">
        <v>3920000</v>
      </c>
      <c r="M1141" s="89" t="n">
        <v>1453840</v>
      </c>
      <c r="N1141" s="90" t="n">
        <f aca="false">IF(A1141="제외",0,IF(OR(N(L1141)&lt;=0,N(M1141)&gt;N(L1141)),N(M1141)/가정!$B$4,N(L1141)))</f>
        <v>3920000</v>
      </c>
      <c r="O1141" s="67" t="str">
        <f aca="false">IF(A1141="제외","",IF(OR(N(L1141)&lt;=0,N(M1141)&gt;N(L1141)),"택가보정(판매금액÷공급율)",""))</f>
        <v/>
      </c>
    </row>
    <row r="1142" customFormat="false" ht="15" hidden="false" customHeight="true" outlineLevel="0" collapsed="false">
      <c r="A1142" s="67" t="str">
        <f aca="false">IF(OR(TRIM(C1142)="",SUBSTITUTE(C1142," ","")="소계"),"제외",IF(ISNUMBER(SEARCH("홍콩",C1142)),"HK",IF(ISNUMBER(SEARCH("상해",C1142)),"CN",IF(ISNUMBER(SEARCH("대만",C1142)),"TW","홀세일"))))</f>
        <v>홀세일</v>
      </c>
      <c r="B1142" s="87" t="s">
        <v>1319</v>
      </c>
      <c r="C1142" s="87" t="s">
        <v>1320</v>
      </c>
      <c r="D1142" s="88" t="s">
        <v>178</v>
      </c>
      <c r="E1142" s="87" t="n">
        <v>2026</v>
      </c>
      <c r="F1142" s="87" t="s">
        <v>639</v>
      </c>
      <c r="G1142" s="88" t="s">
        <v>180</v>
      </c>
      <c r="H1142" s="87" t="s">
        <v>246</v>
      </c>
      <c r="I1142" s="87" t="s">
        <v>721</v>
      </c>
      <c r="J1142" s="87" t="s">
        <v>722</v>
      </c>
      <c r="K1142" s="89" t="n">
        <v>15</v>
      </c>
      <c r="L1142" s="89" t="n">
        <v>5985000</v>
      </c>
      <c r="M1142" s="89" t="n">
        <v>2305230</v>
      </c>
      <c r="N1142" s="90" t="n">
        <f aca="false">IF(A1142="제외",0,IF(OR(N(L1142)&lt;=0,N(M1142)&gt;N(L1142)),N(M1142)/가정!$B$4,N(L1142)))</f>
        <v>5985000</v>
      </c>
      <c r="O1142" s="67" t="str">
        <f aca="false">IF(A1142="제외","",IF(OR(N(L1142)&lt;=0,N(M1142)&gt;N(L1142)),"택가보정(판매금액÷공급율)",""))</f>
        <v/>
      </c>
    </row>
    <row r="1143" customFormat="false" ht="15" hidden="false" customHeight="true" outlineLevel="0" collapsed="false">
      <c r="A1143" s="67" t="str">
        <f aca="false">IF(OR(TRIM(C1143)="",SUBSTITUTE(C1143," ","")="소계"),"제외",IF(ISNUMBER(SEARCH("홍콩",C1143)),"HK",IF(ISNUMBER(SEARCH("상해",C1143)),"CN",IF(ISNUMBER(SEARCH("대만",C1143)),"TW","홀세일"))))</f>
        <v>홀세일</v>
      </c>
      <c r="B1143" s="87" t="s">
        <v>1319</v>
      </c>
      <c r="C1143" s="87" t="s">
        <v>1320</v>
      </c>
      <c r="D1143" s="88" t="s">
        <v>723</v>
      </c>
      <c r="E1143" s="87" t="n">
        <v>2026</v>
      </c>
      <c r="F1143" s="88" t="s">
        <v>277</v>
      </c>
      <c r="G1143" s="88" t="s">
        <v>180</v>
      </c>
      <c r="H1143" s="87" t="s">
        <v>732</v>
      </c>
      <c r="I1143" s="87" t="s">
        <v>1419</v>
      </c>
      <c r="J1143" s="87" t="s">
        <v>1420</v>
      </c>
      <c r="K1143" s="89" t="n">
        <v>180</v>
      </c>
      <c r="L1143" s="89" t="n">
        <v>10620000</v>
      </c>
      <c r="M1143" s="89" t="n">
        <v>3827340</v>
      </c>
      <c r="N1143" s="90" t="n">
        <f aca="false">IF(A1143="제외",0,IF(OR(N(L1143)&lt;=0,N(M1143)&gt;N(L1143)),N(M1143)/가정!$B$4,N(L1143)))</f>
        <v>10620000</v>
      </c>
      <c r="O1143" s="67" t="str">
        <f aca="false">IF(A1143="제외","",IF(OR(N(L1143)&lt;=0,N(M1143)&gt;N(L1143)),"택가보정(판매금액÷공급율)",""))</f>
        <v/>
      </c>
    </row>
    <row r="1144" customFormat="false" ht="15" hidden="false" customHeight="true" outlineLevel="0" collapsed="false">
      <c r="A1144" s="67" t="str">
        <f aca="false">IF(OR(TRIM(C1144)="",SUBSTITUTE(C1144," ","")="소계"),"제외",IF(ISNUMBER(SEARCH("홍콩",C1144)),"HK",IF(ISNUMBER(SEARCH("상해",C1144)),"CN",IF(ISNUMBER(SEARCH("대만",C1144)),"TW","홀세일"))))</f>
        <v>홀세일</v>
      </c>
      <c r="B1144" s="87" t="s">
        <v>1319</v>
      </c>
      <c r="C1144" s="87" t="s">
        <v>1320</v>
      </c>
      <c r="D1144" s="88" t="s">
        <v>723</v>
      </c>
      <c r="E1144" s="87" t="n">
        <v>2026</v>
      </c>
      <c r="F1144" s="88" t="s">
        <v>277</v>
      </c>
      <c r="G1144" s="88" t="s">
        <v>180</v>
      </c>
      <c r="H1144" s="87" t="s">
        <v>732</v>
      </c>
      <c r="I1144" s="87" t="s">
        <v>1421</v>
      </c>
      <c r="J1144" s="88" t="s">
        <v>1422</v>
      </c>
      <c r="K1144" s="89" t="n">
        <v>135</v>
      </c>
      <c r="L1144" s="89" t="n">
        <v>4860000</v>
      </c>
      <c r="M1144" s="89" t="n">
        <v>1782270</v>
      </c>
      <c r="N1144" s="90" t="n">
        <f aca="false">IF(A1144="제외",0,IF(OR(N(L1144)&lt;=0,N(M1144)&gt;N(L1144)),N(M1144)/가정!$B$4,N(L1144)))</f>
        <v>4860000</v>
      </c>
      <c r="O1144" s="67" t="str">
        <f aca="false">IF(A1144="제외","",IF(OR(N(L1144)&lt;=0,N(M1144)&gt;N(L1144)),"택가보정(판매금액÷공급율)",""))</f>
        <v/>
      </c>
    </row>
    <row r="1145" customFormat="false" ht="15" hidden="false" customHeight="true" outlineLevel="0" collapsed="false">
      <c r="A1145" s="67" t="str">
        <f aca="false">IF(OR(TRIM(C1145)="",SUBSTITUTE(C1145," ","")="소계"),"제외",IF(ISNUMBER(SEARCH("홍콩",C1145)),"HK",IF(ISNUMBER(SEARCH("상해",C1145)),"CN",IF(ISNUMBER(SEARCH("대만",C1145)),"TW","홀세일"))))</f>
        <v>홀세일</v>
      </c>
      <c r="B1145" s="87" t="s">
        <v>1319</v>
      </c>
      <c r="C1145" s="87" t="s">
        <v>1320</v>
      </c>
      <c r="D1145" s="88" t="s">
        <v>723</v>
      </c>
      <c r="E1145" s="87" t="n">
        <v>2026</v>
      </c>
      <c r="F1145" s="88" t="s">
        <v>277</v>
      </c>
      <c r="G1145" s="88" t="s">
        <v>180</v>
      </c>
      <c r="H1145" s="87" t="s">
        <v>732</v>
      </c>
      <c r="I1145" s="87" t="s">
        <v>1423</v>
      </c>
      <c r="J1145" s="88" t="s">
        <v>1424</v>
      </c>
      <c r="K1145" s="89" t="n">
        <v>70</v>
      </c>
      <c r="L1145" s="89" t="n">
        <v>2520000</v>
      </c>
      <c r="M1145" s="89" t="n">
        <v>924140</v>
      </c>
      <c r="N1145" s="90" t="n">
        <f aca="false">IF(A1145="제외",0,IF(OR(N(L1145)&lt;=0,N(M1145)&gt;N(L1145)),N(M1145)/가정!$B$4,N(L1145)))</f>
        <v>2520000</v>
      </c>
      <c r="O1145" s="67" t="str">
        <f aca="false">IF(A1145="제외","",IF(OR(N(L1145)&lt;=0,N(M1145)&gt;N(L1145)),"택가보정(판매금액÷공급율)",""))</f>
        <v/>
      </c>
    </row>
    <row r="1146" customFormat="false" ht="15" hidden="false" customHeight="true" outlineLevel="0" collapsed="false">
      <c r="A1146" s="67" t="str">
        <f aca="false">IF(OR(TRIM(C1146)="",SUBSTITUTE(C1146," ","")="소계"),"제외",IF(ISNUMBER(SEARCH("홍콩",C1146)),"HK",IF(ISNUMBER(SEARCH("상해",C1146)),"CN",IF(ISNUMBER(SEARCH("대만",C1146)),"TW","홀세일"))))</f>
        <v>홀세일</v>
      </c>
      <c r="B1146" s="87" t="s">
        <v>1319</v>
      </c>
      <c r="C1146" s="87" t="s">
        <v>1320</v>
      </c>
      <c r="D1146" s="88" t="s">
        <v>723</v>
      </c>
      <c r="E1146" s="87" t="n">
        <v>2026</v>
      </c>
      <c r="F1146" s="88" t="s">
        <v>277</v>
      </c>
      <c r="G1146" s="88" t="s">
        <v>180</v>
      </c>
      <c r="H1146" s="87" t="s">
        <v>732</v>
      </c>
      <c r="I1146" s="87" t="s">
        <v>1425</v>
      </c>
      <c r="J1146" s="88" t="s">
        <v>1426</v>
      </c>
      <c r="K1146" s="89" t="n">
        <v>90</v>
      </c>
      <c r="L1146" s="89" t="n">
        <v>3240000</v>
      </c>
      <c r="M1146" s="89" t="n">
        <v>1188180</v>
      </c>
      <c r="N1146" s="90" t="n">
        <f aca="false">IF(A1146="제외",0,IF(OR(N(L1146)&lt;=0,N(M1146)&gt;N(L1146)),N(M1146)/가정!$B$4,N(L1146)))</f>
        <v>3240000</v>
      </c>
      <c r="O1146" s="67" t="str">
        <f aca="false">IF(A1146="제외","",IF(OR(N(L1146)&lt;=0,N(M1146)&gt;N(L1146)),"택가보정(판매금액÷공급율)",""))</f>
        <v/>
      </c>
    </row>
    <row r="1147" customFormat="false" ht="15" hidden="false" customHeight="true" outlineLevel="0" collapsed="false">
      <c r="A1147" s="67" t="str">
        <f aca="false">IF(OR(TRIM(C1147)="",SUBSTITUTE(C1147," ","")="소계"),"제외",IF(ISNUMBER(SEARCH("홍콩",C1147)),"HK",IF(ISNUMBER(SEARCH("상해",C1147)),"CN",IF(ISNUMBER(SEARCH("대만",C1147)),"TW","홀세일"))))</f>
        <v>홀세일</v>
      </c>
      <c r="B1147" s="87" t="s">
        <v>1319</v>
      </c>
      <c r="C1147" s="87" t="s">
        <v>1320</v>
      </c>
      <c r="D1147" s="88" t="s">
        <v>723</v>
      </c>
      <c r="E1147" s="87" t="n">
        <v>2026</v>
      </c>
      <c r="F1147" s="88" t="s">
        <v>277</v>
      </c>
      <c r="G1147" s="88" t="s">
        <v>180</v>
      </c>
      <c r="H1147" s="87" t="s">
        <v>246</v>
      </c>
      <c r="I1147" s="87" t="s">
        <v>747</v>
      </c>
      <c r="J1147" s="87" t="s">
        <v>748</v>
      </c>
      <c r="K1147" s="89" t="n">
        <v>20</v>
      </c>
      <c r="L1147" s="89" t="n">
        <v>3180000</v>
      </c>
      <c r="M1147" s="89" t="n">
        <v>1155160</v>
      </c>
      <c r="N1147" s="90" t="n">
        <f aca="false">IF(A1147="제외",0,IF(OR(N(L1147)&lt;=0,N(M1147)&gt;N(L1147)),N(M1147)/가정!$B$4,N(L1147)))</f>
        <v>3180000</v>
      </c>
      <c r="O1147" s="67" t="str">
        <f aca="false">IF(A1147="제외","",IF(OR(N(L1147)&lt;=0,N(M1147)&gt;N(L1147)),"택가보정(판매금액÷공급율)",""))</f>
        <v/>
      </c>
    </row>
    <row r="1148" customFormat="false" ht="15" hidden="false" customHeight="true" outlineLevel="0" collapsed="false">
      <c r="A1148" s="67" t="str">
        <f aca="false">IF(OR(TRIM(C1148)="",SUBSTITUTE(C1148," ","")="소계"),"제외",IF(ISNUMBER(SEARCH("홍콩",C1148)),"HK",IF(ISNUMBER(SEARCH("상해",C1148)),"CN",IF(ISNUMBER(SEARCH("대만",C1148)),"TW","홀세일"))))</f>
        <v>홀세일</v>
      </c>
      <c r="B1148" s="87" t="s">
        <v>1319</v>
      </c>
      <c r="C1148" s="87" t="s">
        <v>1320</v>
      </c>
      <c r="D1148" s="88" t="s">
        <v>723</v>
      </c>
      <c r="E1148" s="87" t="n">
        <v>2026</v>
      </c>
      <c r="F1148" s="88" t="s">
        <v>277</v>
      </c>
      <c r="G1148" s="88" t="s">
        <v>180</v>
      </c>
      <c r="H1148" s="87" t="s">
        <v>246</v>
      </c>
      <c r="I1148" s="87" t="s">
        <v>761</v>
      </c>
      <c r="J1148" s="87" t="s">
        <v>762</v>
      </c>
      <c r="K1148" s="89" t="n">
        <v>15</v>
      </c>
      <c r="L1148" s="89" t="n">
        <v>2535000</v>
      </c>
      <c r="M1148" s="89" t="n">
        <v>920790</v>
      </c>
      <c r="N1148" s="90" t="n">
        <f aca="false">IF(A1148="제외",0,IF(OR(N(L1148)&lt;=0,N(M1148)&gt;N(L1148)),N(M1148)/가정!$B$4,N(L1148)))</f>
        <v>2535000</v>
      </c>
      <c r="O1148" s="67" t="str">
        <f aca="false">IF(A1148="제외","",IF(OR(N(L1148)&lt;=0,N(M1148)&gt;N(L1148)),"택가보정(판매금액÷공급율)",""))</f>
        <v/>
      </c>
    </row>
    <row r="1149" customFormat="false" ht="15" hidden="false" customHeight="true" outlineLevel="0" collapsed="false">
      <c r="A1149" s="67" t="str">
        <f aca="false">IF(OR(TRIM(C1149)="",SUBSTITUTE(C1149," ","")="소계"),"제외",IF(ISNUMBER(SEARCH("홍콩",C1149)),"HK",IF(ISNUMBER(SEARCH("상해",C1149)),"CN",IF(ISNUMBER(SEARCH("대만",C1149)),"TW","홀세일"))))</f>
        <v>홀세일</v>
      </c>
      <c r="B1149" s="87" t="s">
        <v>1319</v>
      </c>
      <c r="C1149" s="87" t="s">
        <v>1320</v>
      </c>
      <c r="D1149" s="88" t="s">
        <v>723</v>
      </c>
      <c r="E1149" s="87" t="n">
        <v>2026</v>
      </c>
      <c r="F1149" s="88" t="s">
        <v>421</v>
      </c>
      <c r="G1149" s="88" t="s">
        <v>188</v>
      </c>
      <c r="H1149" s="87" t="s">
        <v>732</v>
      </c>
      <c r="I1149" s="87" t="s">
        <v>1427</v>
      </c>
      <c r="J1149" s="88" t="s">
        <v>1428</v>
      </c>
      <c r="K1149" s="89" t="n">
        <v>400</v>
      </c>
      <c r="L1149" s="89" t="n">
        <v>19600000</v>
      </c>
      <c r="M1149" s="89" t="n">
        <v>8097200</v>
      </c>
      <c r="N1149" s="90" t="n">
        <f aca="false">IF(A1149="제외",0,IF(OR(N(L1149)&lt;=0,N(M1149)&gt;N(L1149)),N(M1149)/가정!$B$4,N(L1149)))</f>
        <v>19600000</v>
      </c>
      <c r="O1149" s="67" t="str">
        <f aca="false">IF(A1149="제외","",IF(OR(N(L1149)&lt;=0,N(M1149)&gt;N(L1149)),"택가보정(판매금액÷공급율)",""))</f>
        <v/>
      </c>
    </row>
    <row r="1150" customFormat="false" ht="15" hidden="false" customHeight="true" outlineLevel="0" collapsed="false">
      <c r="A1150" s="67" t="str">
        <f aca="false">IF(OR(TRIM(C1150)="",SUBSTITUTE(C1150," ","")="소계"),"제외",IF(ISNUMBER(SEARCH("홍콩",C1150)),"HK",IF(ISNUMBER(SEARCH("상해",C1150)),"CN",IF(ISNUMBER(SEARCH("대만",C1150)),"TW","홀세일"))))</f>
        <v>홀세일</v>
      </c>
      <c r="B1150" s="87" t="s">
        <v>1319</v>
      </c>
      <c r="C1150" s="87" t="s">
        <v>1320</v>
      </c>
      <c r="D1150" s="88" t="s">
        <v>723</v>
      </c>
      <c r="E1150" s="87" t="n">
        <v>2026</v>
      </c>
      <c r="F1150" s="88" t="s">
        <v>421</v>
      </c>
      <c r="G1150" s="88" t="s">
        <v>188</v>
      </c>
      <c r="H1150" s="87" t="s">
        <v>732</v>
      </c>
      <c r="I1150" s="87" t="s">
        <v>1429</v>
      </c>
      <c r="J1150" s="88" t="s">
        <v>1430</v>
      </c>
      <c r="K1150" s="89" t="n">
        <v>400</v>
      </c>
      <c r="L1150" s="89" t="n">
        <v>19600000</v>
      </c>
      <c r="M1150" s="89" t="n">
        <v>8097200</v>
      </c>
      <c r="N1150" s="90" t="n">
        <f aca="false">IF(A1150="제외",0,IF(OR(N(L1150)&lt;=0,N(M1150)&gt;N(L1150)),N(M1150)/가정!$B$4,N(L1150)))</f>
        <v>19600000</v>
      </c>
      <c r="O1150" s="67" t="str">
        <f aca="false">IF(A1150="제외","",IF(OR(N(L1150)&lt;=0,N(M1150)&gt;N(L1150)),"택가보정(판매금액÷공급율)",""))</f>
        <v/>
      </c>
    </row>
    <row r="1151" customFormat="false" ht="15" hidden="false" customHeight="true" outlineLevel="0" collapsed="false">
      <c r="A1151" s="67" t="str">
        <f aca="false">IF(OR(TRIM(C1151)="",SUBSTITUTE(C1151," ","")="소계"),"제외",IF(ISNUMBER(SEARCH("홍콩",C1151)),"HK",IF(ISNUMBER(SEARCH("상해",C1151)),"CN",IF(ISNUMBER(SEARCH("대만",C1151)),"TW","홀세일"))))</f>
        <v>홀세일</v>
      </c>
      <c r="B1151" s="87" t="s">
        <v>1319</v>
      </c>
      <c r="C1151" s="87" t="s">
        <v>1320</v>
      </c>
      <c r="D1151" s="88" t="s">
        <v>723</v>
      </c>
      <c r="E1151" s="87" t="n">
        <v>2026</v>
      </c>
      <c r="F1151" s="88" t="s">
        <v>421</v>
      </c>
      <c r="G1151" s="88" t="s">
        <v>180</v>
      </c>
      <c r="H1151" s="87" t="s">
        <v>189</v>
      </c>
      <c r="I1151" s="87" t="s">
        <v>767</v>
      </c>
      <c r="J1151" s="87" t="s">
        <v>768</v>
      </c>
      <c r="K1151" s="89" t="n">
        <v>20</v>
      </c>
      <c r="L1151" s="89" t="n">
        <v>9380000</v>
      </c>
      <c r="M1151" s="89" t="n">
        <v>3554160</v>
      </c>
      <c r="N1151" s="90" t="n">
        <f aca="false">IF(A1151="제외",0,IF(OR(N(L1151)&lt;=0,N(M1151)&gt;N(L1151)),N(M1151)/가정!$B$4,N(L1151)))</f>
        <v>9380000</v>
      </c>
      <c r="O1151" s="67" t="str">
        <f aca="false">IF(A1151="제외","",IF(OR(N(L1151)&lt;=0,N(M1151)&gt;N(L1151)),"택가보정(판매금액÷공급율)",""))</f>
        <v/>
      </c>
    </row>
    <row r="1152" customFormat="false" ht="15" hidden="false" customHeight="true" outlineLevel="0" collapsed="false">
      <c r="A1152" s="67" t="str">
        <f aca="false">IF(OR(TRIM(C1152)="",SUBSTITUTE(C1152," ","")="소계"),"제외",IF(ISNUMBER(SEARCH("홍콩",C1152)),"HK",IF(ISNUMBER(SEARCH("상해",C1152)),"CN",IF(ISNUMBER(SEARCH("대만",C1152)),"TW","홀세일"))))</f>
        <v>홀세일</v>
      </c>
      <c r="B1152" s="87" t="s">
        <v>1319</v>
      </c>
      <c r="C1152" s="87" t="s">
        <v>1320</v>
      </c>
      <c r="D1152" s="88" t="s">
        <v>723</v>
      </c>
      <c r="E1152" s="87" t="n">
        <v>2026</v>
      </c>
      <c r="F1152" s="88" t="s">
        <v>421</v>
      </c>
      <c r="G1152" s="88" t="s">
        <v>180</v>
      </c>
      <c r="H1152" s="87" t="s">
        <v>189</v>
      </c>
      <c r="I1152" s="87" t="s">
        <v>1225</v>
      </c>
      <c r="J1152" s="88" t="s">
        <v>1226</v>
      </c>
      <c r="K1152" s="89" t="n">
        <v>20</v>
      </c>
      <c r="L1152" s="89" t="n">
        <v>4180000</v>
      </c>
      <c r="M1152" s="89" t="n">
        <v>1596420</v>
      </c>
      <c r="N1152" s="90" t="n">
        <f aca="false">IF(A1152="제외",0,IF(OR(N(L1152)&lt;=0,N(M1152)&gt;N(L1152)),N(M1152)/가정!$B$4,N(L1152)))</f>
        <v>4180000</v>
      </c>
      <c r="O1152" s="67" t="str">
        <f aca="false">IF(A1152="제외","",IF(OR(N(L1152)&lt;=0,N(M1152)&gt;N(L1152)),"택가보정(판매금액÷공급율)",""))</f>
        <v/>
      </c>
    </row>
    <row r="1153" customFormat="false" ht="15" hidden="false" customHeight="true" outlineLevel="0" collapsed="false">
      <c r="A1153" s="67" t="str">
        <f aca="false">IF(OR(TRIM(C1153)="",SUBSTITUTE(C1153," ","")="소계"),"제외",IF(ISNUMBER(SEARCH("홍콩",C1153)),"HK",IF(ISNUMBER(SEARCH("상해",C1153)),"CN",IF(ISNUMBER(SEARCH("대만",C1153)),"TW","홀세일"))))</f>
        <v>홀세일</v>
      </c>
      <c r="B1153" s="87" t="s">
        <v>1319</v>
      </c>
      <c r="C1153" s="87" t="s">
        <v>1320</v>
      </c>
      <c r="D1153" s="88" t="s">
        <v>723</v>
      </c>
      <c r="E1153" s="87" t="n">
        <v>2026</v>
      </c>
      <c r="F1153" s="88" t="s">
        <v>421</v>
      </c>
      <c r="G1153" s="88" t="s">
        <v>180</v>
      </c>
      <c r="H1153" s="87" t="s">
        <v>189</v>
      </c>
      <c r="I1153" s="87" t="s">
        <v>1229</v>
      </c>
      <c r="J1153" s="88" t="s">
        <v>1230</v>
      </c>
      <c r="K1153" s="89" t="n">
        <v>35</v>
      </c>
      <c r="L1153" s="89" t="n">
        <v>4865000</v>
      </c>
      <c r="M1153" s="89" t="n">
        <v>1783005</v>
      </c>
      <c r="N1153" s="90" t="n">
        <f aca="false">IF(A1153="제외",0,IF(OR(N(L1153)&lt;=0,N(M1153)&gt;N(L1153)),N(M1153)/가정!$B$4,N(L1153)))</f>
        <v>4865000</v>
      </c>
      <c r="O1153" s="67" t="str">
        <f aca="false">IF(A1153="제외","",IF(OR(N(L1153)&lt;=0,N(M1153)&gt;N(L1153)),"택가보정(판매금액÷공급율)",""))</f>
        <v/>
      </c>
    </row>
    <row r="1154" customFormat="false" ht="15" hidden="false" customHeight="true" outlineLevel="0" collapsed="false">
      <c r="A1154" s="67" t="str">
        <f aca="false">IF(OR(TRIM(C1154)="",SUBSTITUTE(C1154," ","")="소계"),"제외",IF(ISNUMBER(SEARCH("홍콩",C1154)),"HK",IF(ISNUMBER(SEARCH("상해",C1154)),"CN",IF(ISNUMBER(SEARCH("대만",C1154)),"TW","홀세일"))))</f>
        <v>홀세일</v>
      </c>
      <c r="B1154" s="87" t="s">
        <v>1319</v>
      </c>
      <c r="C1154" s="87" t="s">
        <v>1320</v>
      </c>
      <c r="D1154" s="88" t="s">
        <v>723</v>
      </c>
      <c r="E1154" s="87" t="n">
        <v>2026</v>
      </c>
      <c r="F1154" s="88" t="s">
        <v>421</v>
      </c>
      <c r="G1154" s="88" t="s">
        <v>180</v>
      </c>
      <c r="H1154" s="87" t="s">
        <v>732</v>
      </c>
      <c r="I1154" s="87" t="s">
        <v>1431</v>
      </c>
      <c r="J1154" s="88" t="s">
        <v>1432</v>
      </c>
      <c r="K1154" s="89" t="n">
        <v>401</v>
      </c>
      <c r="L1154" s="89" t="n">
        <v>27669000</v>
      </c>
      <c r="M1154" s="89" t="n">
        <v>10328900</v>
      </c>
      <c r="N1154" s="90" t="n">
        <f aca="false">IF(A1154="제외",0,IF(OR(N(L1154)&lt;=0,N(M1154)&gt;N(L1154)),N(M1154)/가정!$B$4,N(L1154)))</f>
        <v>27669000</v>
      </c>
      <c r="O1154" s="67" t="str">
        <f aca="false">IF(A1154="제외","",IF(OR(N(L1154)&lt;=0,N(M1154)&gt;N(L1154)),"택가보정(판매금액÷공급율)",""))</f>
        <v/>
      </c>
    </row>
    <row r="1155" customFormat="false" ht="15" hidden="false" customHeight="true" outlineLevel="0" collapsed="false">
      <c r="A1155" s="67" t="str">
        <f aca="false">IF(OR(TRIM(C1155)="",SUBSTITUTE(C1155," ","")="소계"),"제외",IF(ISNUMBER(SEARCH("홍콩",C1155)),"HK",IF(ISNUMBER(SEARCH("상해",C1155)),"CN",IF(ISNUMBER(SEARCH("대만",C1155)),"TW","홀세일"))))</f>
        <v>홀세일</v>
      </c>
      <c r="B1155" s="87" t="s">
        <v>1319</v>
      </c>
      <c r="C1155" s="87" t="s">
        <v>1320</v>
      </c>
      <c r="D1155" s="88" t="s">
        <v>723</v>
      </c>
      <c r="E1155" s="87" t="n">
        <v>2026</v>
      </c>
      <c r="F1155" s="88" t="s">
        <v>421</v>
      </c>
      <c r="G1155" s="88" t="s">
        <v>180</v>
      </c>
      <c r="H1155" s="87" t="s">
        <v>732</v>
      </c>
      <c r="I1155" s="87" t="s">
        <v>1433</v>
      </c>
      <c r="J1155" s="88" t="s">
        <v>1434</v>
      </c>
      <c r="K1155" s="89" t="n">
        <v>401</v>
      </c>
      <c r="L1155" s="89" t="n">
        <v>27669000</v>
      </c>
      <c r="M1155" s="89" t="n">
        <v>10328900</v>
      </c>
      <c r="N1155" s="90" t="n">
        <f aca="false">IF(A1155="제외",0,IF(OR(N(L1155)&lt;=0,N(M1155)&gt;N(L1155)),N(M1155)/가정!$B$4,N(L1155)))</f>
        <v>27669000</v>
      </c>
      <c r="O1155" s="67" t="str">
        <f aca="false">IF(A1155="제외","",IF(OR(N(L1155)&lt;=0,N(M1155)&gt;N(L1155)),"택가보정(판매금액÷공급율)",""))</f>
        <v/>
      </c>
    </row>
    <row r="1156" customFormat="false" ht="15" hidden="false" customHeight="true" outlineLevel="0" collapsed="false">
      <c r="A1156" s="67" t="str">
        <f aca="false">IF(OR(TRIM(C1156)="",SUBSTITUTE(C1156," ","")="소계"),"제외",IF(ISNUMBER(SEARCH("홍콩",C1156)),"HK",IF(ISNUMBER(SEARCH("상해",C1156)),"CN",IF(ISNUMBER(SEARCH("대만",C1156)),"TW","홀세일"))))</f>
        <v>홀세일</v>
      </c>
      <c r="B1156" s="87" t="s">
        <v>1319</v>
      </c>
      <c r="C1156" s="87" t="s">
        <v>1320</v>
      </c>
      <c r="D1156" s="88" t="s">
        <v>723</v>
      </c>
      <c r="E1156" s="87" t="n">
        <v>2026</v>
      </c>
      <c r="F1156" s="88" t="s">
        <v>421</v>
      </c>
      <c r="G1156" s="88" t="s">
        <v>180</v>
      </c>
      <c r="H1156" s="87" t="s">
        <v>732</v>
      </c>
      <c r="I1156" s="87" t="s">
        <v>1435</v>
      </c>
      <c r="J1156" s="88" t="s">
        <v>1436</v>
      </c>
      <c r="K1156" s="89" t="n">
        <v>401</v>
      </c>
      <c r="L1156" s="89" t="n">
        <v>27669000</v>
      </c>
      <c r="M1156" s="89" t="n">
        <v>10328900</v>
      </c>
      <c r="N1156" s="90" t="n">
        <f aca="false">IF(A1156="제외",0,IF(OR(N(L1156)&lt;=0,N(M1156)&gt;N(L1156)),N(M1156)/가정!$B$4,N(L1156)))</f>
        <v>27669000</v>
      </c>
      <c r="O1156" s="67" t="str">
        <f aca="false">IF(A1156="제외","",IF(OR(N(L1156)&lt;=0,N(M1156)&gt;N(L1156)),"택가보정(판매금액÷공급율)",""))</f>
        <v/>
      </c>
    </row>
    <row r="1157" customFormat="false" ht="15" hidden="false" customHeight="true" outlineLevel="0" collapsed="false">
      <c r="A1157" s="67" t="str">
        <f aca="false">IF(OR(TRIM(C1157)="",SUBSTITUTE(C1157," ","")="소계"),"제외",IF(ISNUMBER(SEARCH("홍콩",C1157)),"HK",IF(ISNUMBER(SEARCH("상해",C1157)),"CN",IF(ISNUMBER(SEARCH("대만",C1157)),"TW","홀세일"))))</f>
        <v>홀세일</v>
      </c>
      <c r="B1157" s="87" t="s">
        <v>1319</v>
      </c>
      <c r="C1157" s="87" t="s">
        <v>1320</v>
      </c>
      <c r="D1157" s="88" t="s">
        <v>723</v>
      </c>
      <c r="E1157" s="87" t="n">
        <v>2026</v>
      </c>
      <c r="F1157" s="88" t="s">
        <v>421</v>
      </c>
      <c r="G1157" s="88" t="s">
        <v>180</v>
      </c>
      <c r="H1157" s="87" t="s">
        <v>732</v>
      </c>
      <c r="I1157" s="87" t="s">
        <v>1437</v>
      </c>
      <c r="J1157" s="88" t="s">
        <v>1438</v>
      </c>
      <c r="K1157" s="89" t="n">
        <v>401</v>
      </c>
      <c r="L1157" s="89" t="n">
        <v>27669000</v>
      </c>
      <c r="M1157" s="89" t="n">
        <v>10328900</v>
      </c>
      <c r="N1157" s="90" t="n">
        <f aca="false">IF(A1157="제외",0,IF(OR(N(L1157)&lt;=0,N(M1157)&gt;N(L1157)),N(M1157)/가정!$B$4,N(L1157)))</f>
        <v>27669000</v>
      </c>
      <c r="O1157" s="67" t="str">
        <f aca="false">IF(A1157="제외","",IF(OR(N(L1157)&lt;=0,N(M1157)&gt;N(L1157)),"택가보정(판매금액÷공급율)",""))</f>
        <v/>
      </c>
    </row>
    <row r="1158" customFormat="false" ht="15" hidden="false" customHeight="true" outlineLevel="0" collapsed="false">
      <c r="A1158" s="67" t="str">
        <f aca="false">IF(OR(TRIM(C1158)="",SUBSTITUTE(C1158," ","")="소계"),"제외",IF(ISNUMBER(SEARCH("홍콩",C1158)),"HK",IF(ISNUMBER(SEARCH("상해",C1158)),"CN",IF(ISNUMBER(SEARCH("대만",C1158)),"TW","홀세일"))))</f>
        <v>홀세일</v>
      </c>
      <c r="B1158" s="87" t="s">
        <v>1319</v>
      </c>
      <c r="C1158" s="87" t="s">
        <v>1320</v>
      </c>
      <c r="D1158" s="88" t="s">
        <v>723</v>
      </c>
      <c r="E1158" s="87" t="n">
        <v>2026</v>
      </c>
      <c r="F1158" s="88" t="s">
        <v>421</v>
      </c>
      <c r="G1158" s="88" t="s">
        <v>180</v>
      </c>
      <c r="H1158" s="87" t="s">
        <v>246</v>
      </c>
      <c r="I1158" s="87" t="s">
        <v>789</v>
      </c>
      <c r="J1158" s="87" t="s">
        <v>790</v>
      </c>
      <c r="K1158" s="89" t="n">
        <v>20</v>
      </c>
      <c r="L1158" s="89" t="n">
        <v>2180000</v>
      </c>
      <c r="M1158" s="89" t="n">
        <v>746380</v>
      </c>
      <c r="N1158" s="90" t="n">
        <f aca="false">IF(A1158="제외",0,IF(OR(N(L1158)&lt;=0,N(M1158)&gt;N(L1158)),N(M1158)/가정!$B$4,N(L1158)))</f>
        <v>2180000</v>
      </c>
      <c r="O1158" s="67" t="str">
        <f aca="false">IF(A1158="제외","",IF(OR(N(L1158)&lt;=0,N(M1158)&gt;N(L1158)),"택가보정(판매금액÷공급율)",""))</f>
        <v/>
      </c>
    </row>
    <row r="1159" customFormat="false" ht="15" hidden="false" customHeight="true" outlineLevel="0" collapsed="false">
      <c r="A1159" s="67" t="str">
        <f aca="false">IF(OR(TRIM(C1159)="",SUBSTITUTE(C1159," ","")="소계"),"제외",IF(ISNUMBER(SEARCH("홍콩",C1159)),"HK",IF(ISNUMBER(SEARCH("상해",C1159)),"CN",IF(ISNUMBER(SEARCH("대만",C1159)),"TW","홀세일"))))</f>
        <v>홀세일</v>
      </c>
      <c r="B1159" s="87" t="s">
        <v>1319</v>
      </c>
      <c r="C1159" s="87" t="s">
        <v>1320</v>
      </c>
      <c r="D1159" s="88" t="s">
        <v>723</v>
      </c>
      <c r="E1159" s="87" t="n">
        <v>2026</v>
      </c>
      <c r="F1159" s="88" t="s">
        <v>421</v>
      </c>
      <c r="G1159" s="88" t="s">
        <v>180</v>
      </c>
      <c r="H1159" s="87" t="s">
        <v>246</v>
      </c>
      <c r="I1159" s="87" t="s">
        <v>793</v>
      </c>
      <c r="J1159" s="87" t="s">
        <v>794</v>
      </c>
      <c r="K1159" s="89" t="n">
        <v>30</v>
      </c>
      <c r="L1159" s="89" t="n">
        <v>5970000</v>
      </c>
      <c r="M1159" s="89" t="n">
        <v>1834830</v>
      </c>
      <c r="N1159" s="90" t="n">
        <f aca="false">IF(A1159="제외",0,IF(OR(N(L1159)&lt;=0,N(M1159)&gt;N(L1159)),N(M1159)/가정!$B$4,N(L1159)))</f>
        <v>5970000</v>
      </c>
      <c r="O1159" s="67" t="str">
        <f aca="false">IF(A1159="제외","",IF(OR(N(L1159)&lt;=0,N(M1159)&gt;N(L1159)),"택가보정(판매금액÷공급율)",""))</f>
        <v/>
      </c>
    </row>
    <row r="1160" customFormat="false" ht="15" hidden="false" customHeight="true" outlineLevel="0" collapsed="false">
      <c r="A1160" s="67" t="str">
        <f aca="false">IF(OR(TRIM(C1160)="",SUBSTITUTE(C1160," ","")="소계"),"제외",IF(ISNUMBER(SEARCH("홍콩",C1160)),"HK",IF(ISNUMBER(SEARCH("상해",C1160)),"CN",IF(ISNUMBER(SEARCH("대만",C1160)),"TW","홀세일"))))</f>
        <v>홀세일</v>
      </c>
      <c r="B1160" s="87" t="s">
        <v>1319</v>
      </c>
      <c r="C1160" s="87" t="s">
        <v>1320</v>
      </c>
      <c r="D1160" s="88" t="s">
        <v>723</v>
      </c>
      <c r="E1160" s="87" t="n">
        <v>2026</v>
      </c>
      <c r="F1160" s="88" t="s">
        <v>421</v>
      </c>
      <c r="G1160" s="88" t="s">
        <v>180</v>
      </c>
      <c r="H1160" s="87" t="s">
        <v>246</v>
      </c>
      <c r="I1160" s="87" t="s">
        <v>1237</v>
      </c>
      <c r="J1160" s="87" t="s">
        <v>1238</v>
      </c>
      <c r="K1160" s="89" t="n">
        <v>65</v>
      </c>
      <c r="L1160" s="89" t="n">
        <v>3835000</v>
      </c>
      <c r="M1160" s="89" t="n">
        <v>1325805</v>
      </c>
      <c r="N1160" s="90" t="n">
        <f aca="false">IF(A1160="제외",0,IF(OR(N(L1160)&lt;=0,N(M1160)&gt;N(L1160)),N(M1160)/가정!$B$4,N(L1160)))</f>
        <v>3835000</v>
      </c>
      <c r="O1160" s="67" t="str">
        <f aca="false">IF(A1160="제외","",IF(OR(N(L1160)&lt;=0,N(M1160)&gt;N(L1160)),"택가보정(판매금액÷공급율)",""))</f>
        <v/>
      </c>
    </row>
    <row r="1161" customFormat="false" ht="15" hidden="false" customHeight="true" outlineLevel="0" collapsed="false">
      <c r="A1161" s="67" t="str">
        <f aca="false">IF(OR(TRIM(C1161)="",SUBSTITUTE(C1161," ","")="소계"),"제외",IF(ISNUMBER(SEARCH("홍콩",C1161)),"HK",IF(ISNUMBER(SEARCH("상해",C1161)),"CN",IF(ISNUMBER(SEARCH("대만",C1161)),"TW","홀세일"))))</f>
        <v>홀세일</v>
      </c>
      <c r="B1161" s="87" t="s">
        <v>1319</v>
      </c>
      <c r="C1161" s="87" t="s">
        <v>1320</v>
      </c>
      <c r="D1161" s="88" t="s">
        <v>723</v>
      </c>
      <c r="E1161" s="87" t="n">
        <v>2026</v>
      </c>
      <c r="F1161" s="88" t="s">
        <v>532</v>
      </c>
      <c r="G1161" s="88" t="s">
        <v>180</v>
      </c>
      <c r="H1161" s="87" t="s">
        <v>189</v>
      </c>
      <c r="I1161" s="87" t="s">
        <v>1243</v>
      </c>
      <c r="J1161" s="88" t="s">
        <v>1244</v>
      </c>
      <c r="K1161" s="89" t="n">
        <v>30</v>
      </c>
      <c r="L1161" s="89" t="n">
        <v>5370000</v>
      </c>
      <c r="M1161" s="89" t="n">
        <v>2059650</v>
      </c>
      <c r="N1161" s="90" t="n">
        <f aca="false">IF(A1161="제외",0,IF(OR(N(L1161)&lt;=0,N(M1161)&gt;N(L1161)),N(M1161)/가정!$B$4,N(L1161)))</f>
        <v>5370000</v>
      </c>
      <c r="O1161" s="67" t="str">
        <f aca="false">IF(A1161="제외","",IF(OR(N(L1161)&lt;=0,N(M1161)&gt;N(L1161)),"택가보정(판매금액÷공급율)",""))</f>
        <v/>
      </c>
    </row>
    <row r="1162" customFormat="false" ht="15" hidden="false" customHeight="true" outlineLevel="0" collapsed="false">
      <c r="A1162" s="67" t="str">
        <f aca="false">IF(OR(TRIM(C1162)="",SUBSTITUTE(C1162," ","")="소계"),"제외",IF(ISNUMBER(SEARCH("홍콩",C1162)),"HK",IF(ISNUMBER(SEARCH("상해",C1162)),"CN",IF(ISNUMBER(SEARCH("대만",C1162)),"TW","홀세일"))))</f>
        <v>홀세일</v>
      </c>
      <c r="B1162" s="87" t="s">
        <v>1319</v>
      </c>
      <c r="C1162" s="87" t="s">
        <v>1320</v>
      </c>
      <c r="D1162" s="88" t="s">
        <v>723</v>
      </c>
      <c r="E1162" s="87" t="n">
        <v>2026</v>
      </c>
      <c r="F1162" s="88" t="s">
        <v>532</v>
      </c>
      <c r="G1162" s="88" t="s">
        <v>180</v>
      </c>
      <c r="H1162" s="87" t="s">
        <v>181</v>
      </c>
      <c r="I1162" s="87" t="s">
        <v>795</v>
      </c>
      <c r="J1162" s="88" t="s">
        <v>796</v>
      </c>
      <c r="K1162" s="89" t="n">
        <v>20</v>
      </c>
      <c r="L1162" s="89" t="n">
        <v>17580000</v>
      </c>
      <c r="M1162" s="89" t="n">
        <v>6102340</v>
      </c>
      <c r="N1162" s="90" t="n">
        <f aca="false">IF(A1162="제외",0,IF(OR(N(L1162)&lt;=0,N(M1162)&gt;N(L1162)),N(M1162)/가정!$B$4,N(L1162)))</f>
        <v>17580000</v>
      </c>
      <c r="O1162" s="67" t="str">
        <f aca="false">IF(A1162="제외","",IF(OR(N(L1162)&lt;=0,N(M1162)&gt;N(L1162)),"택가보정(판매금액÷공급율)",""))</f>
        <v/>
      </c>
    </row>
    <row r="1163" customFormat="false" ht="15" hidden="false" customHeight="true" outlineLevel="0" collapsed="false">
      <c r="A1163" s="67" t="str">
        <f aca="false">IF(OR(TRIM(C1163)="",SUBSTITUTE(C1163," ","")="소계"),"제외",IF(ISNUMBER(SEARCH("홍콩",C1163)),"HK",IF(ISNUMBER(SEARCH("상해",C1163)),"CN",IF(ISNUMBER(SEARCH("대만",C1163)),"TW","홀세일"))))</f>
        <v>홀세일</v>
      </c>
      <c r="B1163" s="87" t="s">
        <v>1319</v>
      </c>
      <c r="C1163" s="87" t="s">
        <v>1320</v>
      </c>
      <c r="D1163" s="88" t="s">
        <v>723</v>
      </c>
      <c r="E1163" s="87" t="n">
        <v>2026</v>
      </c>
      <c r="F1163" s="88" t="s">
        <v>532</v>
      </c>
      <c r="G1163" s="88" t="s">
        <v>180</v>
      </c>
      <c r="H1163" s="87" t="s">
        <v>189</v>
      </c>
      <c r="I1163" s="87" t="s">
        <v>1265</v>
      </c>
      <c r="J1163" s="88" t="s">
        <v>1266</v>
      </c>
      <c r="K1163" s="89" t="n">
        <v>20</v>
      </c>
      <c r="L1163" s="89" t="n">
        <v>2180000</v>
      </c>
      <c r="M1163" s="89" t="n">
        <v>739840</v>
      </c>
      <c r="N1163" s="90" t="n">
        <f aca="false">IF(A1163="제외",0,IF(OR(N(L1163)&lt;=0,N(M1163)&gt;N(L1163)),N(M1163)/가정!$B$4,N(L1163)))</f>
        <v>2180000</v>
      </c>
      <c r="O1163" s="67" t="str">
        <f aca="false">IF(A1163="제외","",IF(OR(N(L1163)&lt;=0,N(M1163)&gt;N(L1163)),"택가보정(판매금액÷공급율)",""))</f>
        <v/>
      </c>
    </row>
    <row r="1164" customFormat="false" ht="15" hidden="false" customHeight="true" outlineLevel="0" collapsed="false">
      <c r="A1164" s="67" t="str">
        <f aca="false">IF(OR(TRIM(C1164)="",SUBSTITUTE(C1164," ","")="소계"),"제외",IF(ISNUMBER(SEARCH("홍콩",C1164)),"HK",IF(ISNUMBER(SEARCH("상해",C1164)),"CN",IF(ISNUMBER(SEARCH("대만",C1164)),"TW","홀세일"))))</f>
        <v>홀세일</v>
      </c>
      <c r="B1164" s="87" t="s">
        <v>1319</v>
      </c>
      <c r="C1164" s="87" t="s">
        <v>1320</v>
      </c>
      <c r="D1164" s="88" t="s">
        <v>723</v>
      </c>
      <c r="E1164" s="87" t="n">
        <v>2026</v>
      </c>
      <c r="F1164" s="88" t="s">
        <v>532</v>
      </c>
      <c r="G1164" s="88" t="s">
        <v>180</v>
      </c>
      <c r="H1164" s="87" t="s">
        <v>246</v>
      </c>
      <c r="I1164" s="87" t="s">
        <v>797</v>
      </c>
      <c r="J1164" s="87" t="s">
        <v>798</v>
      </c>
      <c r="K1164" s="89" t="n">
        <v>20</v>
      </c>
      <c r="L1164" s="89" t="n">
        <v>15980000</v>
      </c>
      <c r="M1164" s="89" t="n">
        <v>5410780</v>
      </c>
      <c r="N1164" s="90" t="n">
        <f aca="false">IF(A1164="제외",0,IF(OR(N(L1164)&lt;=0,N(M1164)&gt;N(L1164)),N(M1164)/가정!$B$4,N(L1164)))</f>
        <v>15980000</v>
      </c>
      <c r="O1164" s="67" t="str">
        <f aca="false">IF(A1164="제외","",IF(OR(N(L1164)&lt;=0,N(M1164)&gt;N(L1164)),"택가보정(판매금액÷공급율)",""))</f>
        <v/>
      </c>
    </row>
    <row r="1165" customFormat="false" ht="15" hidden="false" customHeight="true" outlineLevel="0" collapsed="false">
      <c r="A1165" s="67" t="str">
        <f aca="false">IF(OR(TRIM(C1165)="",SUBSTITUTE(C1165," ","")="소계"),"제외",IF(ISNUMBER(SEARCH("홍콩",C1165)),"HK",IF(ISNUMBER(SEARCH("상해",C1165)),"CN",IF(ISNUMBER(SEARCH("대만",C1165)),"TW","홀세일"))))</f>
        <v>홀세일</v>
      </c>
      <c r="B1165" s="87" t="s">
        <v>1319</v>
      </c>
      <c r="C1165" s="87" t="s">
        <v>1320</v>
      </c>
      <c r="D1165" s="88" t="s">
        <v>723</v>
      </c>
      <c r="E1165" s="87" t="n">
        <v>2026</v>
      </c>
      <c r="F1165" s="88" t="s">
        <v>532</v>
      </c>
      <c r="G1165" s="88" t="s">
        <v>180</v>
      </c>
      <c r="H1165" s="87" t="s">
        <v>246</v>
      </c>
      <c r="I1165" s="87" t="s">
        <v>799</v>
      </c>
      <c r="J1165" s="87" t="s">
        <v>800</v>
      </c>
      <c r="K1165" s="89" t="n">
        <v>15</v>
      </c>
      <c r="L1165" s="89" t="n">
        <v>4485000</v>
      </c>
      <c r="M1165" s="89" t="n">
        <v>1498845</v>
      </c>
      <c r="N1165" s="90" t="n">
        <f aca="false">IF(A1165="제외",0,IF(OR(N(L1165)&lt;=0,N(M1165)&gt;N(L1165)),N(M1165)/가정!$B$4,N(L1165)))</f>
        <v>4485000</v>
      </c>
      <c r="O1165" s="67" t="str">
        <f aca="false">IF(A1165="제외","",IF(OR(N(L1165)&lt;=0,N(M1165)&gt;N(L1165)),"택가보정(판매금액÷공급율)",""))</f>
        <v/>
      </c>
    </row>
    <row r="1166" customFormat="false" ht="15" hidden="false" customHeight="true" outlineLevel="0" collapsed="false">
      <c r="A1166" s="67" t="str">
        <f aca="false">IF(OR(TRIM(C1166)="",SUBSTITUTE(C1166," ","")="소계"),"제외",IF(ISNUMBER(SEARCH("홍콩",C1166)),"HK",IF(ISNUMBER(SEARCH("상해",C1166)),"CN",IF(ISNUMBER(SEARCH("대만",C1166)),"TW","홀세일"))))</f>
        <v>홀세일</v>
      </c>
      <c r="B1166" s="87" t="s">
        <v>1319</v>
      </c>
      <c r="C1166" s="87" t="s">
        <v>1320</v>
      </c>
      <c r="D1166" s="88" t="s">
        <v>723</v>
      </c>
      <c r="E1166" s="87" t="n">
        <v>2026</v>
      </c>
      <c r="F1166" s="88" t="s">
        <v>532</v>
      </c>
      <c r="G1166" s="88" t="s">
        <v>180</v>
      </c>
      <c r="H1166" s="87" t="s">
        <v>246</v>
      </c>
      <c r="I1166" s="87" t="s">
        <v>805</v>
      </c>
      <c r="J1166" s="87" t="s">
        <v>806</v>
      </c>
      <c r="K1166" s="89" t="n">
        <v>95</v>
      </c>
      <c r="L1166" s="89" t="n">
        <v>15105000</v>
      </c>
      <c r="M1166" s="89" t="n">
        <v>4812415</v>
      </c>
      <c r="N1166" s="90" t="n">
        <f aca="false">IF(A1166="제외",0,IF(OR(N(L1166)&lt;=0,N(M1166)&gt;N(L1166)),N(M1166)/가정!$B$4,N(L1166)))</f>
        <v>15105000</v>
      </c>
      <c r="O1166" s="67" t="str">
        <f aca="false">IF(A1166="제외","",IF(OR(N(L1166)&lt;=0,N(M1166)&gt;N(L1166)),"택가보정(판매금액÷공급율)",""))</f>
        <v/>
      </c>
    </row>
    <row r="1167" customFormat="false" ht="15" hidden="false" customHeight="true" outlineLevel="0" collapsed="false">
      <c r="A1167" s="67" t="str">
        <f aca="false">IF(OR(TRIM(C1167)="",SUBSTITUTE(C1167," ","")="소계"),"제외",IF(ISNUMBER(SEARCH("홍콩",C1167)),"HK",IF(ISNUMBER(SEARCH("상해",C1167)),"CN",IF(ISNUMBER(SEARCH("대만",C1167)),"TW","홀세일"))))</f>
        <v>제외</v>
      </c>
      <c r="B1167" s="87" t="s">
        <v>821</v>
      </c>
      <c r="C1167" s="88" t="s">
        <v>822</v>
      </c>
      <c r="D1167" s="87"/>
      <c r="E1167" s="87"/>
      <c r="F1167" s="87"/>
      <c r="G1167" s="87"/>
      <c r="H1167" s="87"/>
      <c r="I1167" s="87"/>
      <c r="J1167" s="87"/>
      <c r="K1167" s="89" t="n">
        <v>16342</v>
      </c>
      <c r="L1167" s="89" t="n">
        <v>1645633000</v>
      </c>
      <c r="M1167" s="89" t="n">
        <v>588082057</v>
      </c>
      <c r="N1167" s="90" t="n">
        <f aca="false">IF(A1167="제외",0,IF(OR(N(L1167)&lt;=0,N(M1167)&gt;N(L1167)),N(M1167)/가정!$B$4,N(L1167)))</f>
        <v>0</v>
      </c>
      <c r="O1167" s="67" t="str">
        <f aca="false">IF(A1167="제외","",IF(OR(N(L1167)&lt;=0,N(M1167)&gt;N(L1167)),"택가보정(판매금액÷공급율)",""))</f>
        <v/>
      </c>
    </row>
    <row r="1168" customFormat="false" ht="15" hidden="false" customHeight="true" outlineLevel="0" collapsed="false">
      <c r="A1168" s="67" t="str">
        <f aca="false">IF(OR(TRIM(C1168)="",SUBSTITUTE(C1168," ","")="소계"),"제외",IF(ISNUMBER(SEARCH("홍콩",C1168)),"HK",IF(ISNUMBER(SEARCH("상해",C1168)),"CN",IF(ISNUMBER(SEARCH("대만",C1168)),"TW","홀세일"))))</f>
        <v>홀세일</v>
      </c>
      <c r="B1168" s="87" t="s">
        <v>1439</v>
      </c>
      <c r="C1168" s="87" t="s">
        <v>1440</v>
      </c>
      <c r="D1168" s="88" t="s">
        <v>178</v>
      </c>
      <c r="E1168" s="87" t="n">
        <v>2026</v>
      </c>
      <c r="F1168" s="88" t="s">
        <v>179</v>
      </c>
      <c r="G1168" s="88" t="s">
        <v>188</v>
      </c>
      <c r="H1168" s="87" t="s">
        <v>189</v>
      </c>
      <c r="I1168" s="87" t="s">
        <v>194</v>
      </c>
      <c r="J1168" s="88" t="s">
        <v>195</v>
      </c>
      <c r="K1168" s="89" t="n">
        <v>41</v>
      </c>
      <c r="L1168" s="89" t="n">
        <v>6929000</v>
      </c>
      <c r="M1168" s="89" t="n">
        <v>2665955</v>
      </c>
      <c r="N1168" s="90" t="n">
        <f aca="false">IF(A1168="제외",0,IF(OR(N(L1168)&lt;=0,N(M1168)&gt;N(L1168)),N(M1168)/가정!$B$4,N(L1168)))</f>
        <v>6929000</v>
      </c>
      <c r="O1168" s="67" t="str">
        <f aca="false">IF(A1168="제외","",IF(OR(N(L1168)&lt;=0,N(M1168)&gt;N(L1168)),"택가보정(판매금액÷공급율)",""))</f>
        <v/>
      </c>
    </row>
    <row r="1169" customFormat="false" ht="15" hidden="false" customHeight="true" outlineLevel="0" collapsed="false">
      <c r="A1169" s="67" t="str">
        <f aca="false">IF(OR(TRIM(C1169)="",SUBSTITUTE(C1169," ","")="소계"),"제외",IF(ISNUMBER(SEARCH("홍콩",C1169)),"HK",IF(ISNUMBER(SEARCH("상해",C1169)),"CN",IF(ISNUMBER(SEARCH("대만",C1169)),"TW","홀세일"))))</f>
        <v>홀세일</v>
      </c>
      <c r="B1169" s="87" t="s">
        <v>1439</v>
      </c>
      <c r="C1169" s="87" t="s">
        <v>1440</v>
      </c>
      <c r="D1169" s="88" t="s">
        <v>178</v>
      </c>
      <c r="E1169" s="87" t="n">
        <v>2026</v>
      </c>
      <c r="F1169" s="88" t="s">
        <v>179</v>
      </c>
      <c r="G1169" s="88" t="s">
        <v>188</v>
      </c>
      <c r="H1169" s="87" t="s">
        <v>189</v>
      </c>
      <c r="I1169" s="87" t="s">
        <v>198</v>
      </c>
      <c r="J1169" s="88" t="s">
        <v>199</v>
      </c>
      <c r="K1169" s="89" t="n">
        <v>61</v>
      </c>
      <c r="L1169" s="89" t="n">
        <v>9089000</v>
      </c>
      <c r="M1169" s="89" t="n">
        <v>3498327</v>
      </c>
      <c r="N1169" s="90" t="n">
        <f aca="false">IF(A1169="제외",0,IF(OR(N(L1169)&lt;=0,N(M1169)&gt;N(L1169)),N(M1169)/가정!$B$4,N(L1169)))</f>
        <v>9089000</v>
      </c>
      <c r="O1169" s="67" t="str">
        <f aca="false">IF(A1169="제외","",IF(OR(N(L1169)&lt;=0,N(M1169)&gt;N(L1169)),"택가보정(판매금액÷공급율)",""))</f>
        <v/>
      </c>
    </row>
    <row r="1170" customFormat="false" ht="15" hidden="false" customHeight="true" outlineLevel="0" collapsed="false">
      <c r="A1170" s="67" t="str">
        <f aca="false">IF(OR(TRIM(C1170)="",SUBSTITUTE(C1170," ","")="소계"),"제외",IF(ISNUMBER(SEARCH("홍콩",C1170)),"HK",IF(ISNUMBER(SEARCH("상해",C1170)),"CN",IF(ISNUMBER(SEARCH("대만",C1170)),"TW","홀세일"))))</f>
        <v>홀세일</v>
      </c>
      <c r="B1170" s="87" t="s">
        <v>1439</v>
      </c>
      <c r="C1170" s="87" t="s">
        <v>1440</v>
      </c>
      <c r="D1170" s="88" t="s">
        <v>178</v>
      </c>
      <c r="E1170" s="87" t="n">
        <v>2026</v>
      </c>
      <c r="F1170" s="88" t="s">
        <v>179</v>
      </c>
      <c r="G1170" s="88" t="s">
        <v>188</v>
      </c>
      <c r="H1170" s="87" t="s">
        <v>189</v>
      </c>
      <c r="I1170" s="87" t="s">
        <v>200</v>
      </c>
      <c r="J1170" s="88" t="s">
        <v>201</v>
      </c>
      <c r="K1170" s="89" t="n">
        <v>162</v>
      </c>
      <c r="L1170" s="89" t="n">
        <v>27378000</v>
      </c>
      <c r="M1170" s="89" t="n">
        <v>10534230</v>
      </c>
      <c r="N1170" s="90" t="n">
        <f aca="false">IF(A1170="제외",0,IF(OR(N(L1170)&lt;=0,N(M1170)&gt;N(L1170)),N(M1170)/가정!$B$4,N(L1170)))</f>
        <v>27378000</v>
      </c>
      <c r="O1170" s="67" t="str">
        <f aca="false">IF(A1170="제외","",IF(OR(N(L1170)&lt;=0,N(M1170)&gt;N(L1170)),"택가보정(판매금액÷공급율)",""))</f>
        <v/>
      </c>
    </row>
    <row r="1171" customFormat="false" ht="15" hidden="false" customHeight="true" outlineLevel="0" collapsed="false">
      <c r="A1171" s="67" t="str">
        <f aca="false">IF(OR(TRIM(C1171)="",SUBSTITUTE(C1171," ","")="소계"),"제외",IF(ISNUMBER(SEARCH("홍콩",C1171)),"HK",IF(ISNUMBER(SEARCH("상해",C1171)),"CN",IF(ISNUMBER(SEARCH("대만",C1171)),"TW","홀세일"))))</f>
        <v>홀세일</v>
      </c>
      <c r="B1171" s="87" t="s">
        <v>1439</v>
      </c>
      <c r="C1171" s="87" t="s">
        <v>1440</v>
      </c>
      <c r="D1171" s="88" t="s">
        <v>178</v>
      </c>
      <c r="E1171" s="87" t="n">
        <v>2026</v>
      </c>
      <c r="F1171" s="88" t="s">
        <v>179</v>
      </c>
      <c r="G1171" s="88" t="s">
        <v>188</v>
      </c>
      <c r="H1171" s="87" t="s">
        <v>189</v>
      </c>
      <c r="I1171" s="87" t="s">
        <v>202</v>
      </c>
      <c r="J1171" s="88" t="s">
        <v>203</v>
      </c>
      <c r="K1171" s="89" t="n">
        <v>122</v>
      </c>
      <c r="L1171" s="89" t="n">
        <v>20618000</v>
      </c>
      <c r="M1171" s="89" t="n">
        <v>7933070</v>
      </c>
      <c r="N1171" s="90" t="n">
        <f aca="false">IF(A1171="제외",0,IF(OR(N(L1171)&lt;=0,N(M1171)&gt;N(L1171)),N(M1171)/가정!$B$4,N(L1171)))</f>
        <v>20618000</v>
      </c>
      <c r="O1171" s="67" t="str">
        <f aca="false">IF(A1171="제외","",IF(OR(N(L1171)&lt;=0,N(M1171)&gt;N(L1171)),"택가보정(판매금액÷공급율)",""))</f>
        <v/>
      </c>
    </row>
    <row r="1172" customFormat="false" ht="15" hidden="false" customHeight="true" outlineLevel="0" collapsed="false">
      <c r="A1172" s="67" t="str">
        <f aca="false">IF(OR(TRIM(C1172)="",SUBSTITUTE(C1172," ","")="소계"),"제외",IF(ISNUMBER(SEARCH("홍콩",C1172)),"HK",IF(ISNUMBER(SEARCH("상해",C1172)),"CN",IF(ISNUMBER(SEARCH("대만",C1172)),"TW","홀세일"))))</f>
        <v>홀세일</v>
      </c>
      <c r="B1172" s="87" t="s">
        <v>1439</v>
      </c>
      <c r="C1172" s="87" t="s">
        <v>1440</v>
      </c>
      <c r="D1172" s="88" t="s">
        <v>178</v>
      </c>
      <c r="E1172" s="87" t="n">
        <v>2026</v>
      </c>
      <c r="F1172" s="88" t="s">
        <v>179</v>
      </c>
      <c r="G1172" s="88" t="s">
        <v>188</v>
      </c>
      <c r="H1172" s="87" t="s">
        <v>189</v>
      </c>
      <c r="I1172" s="87" t="s">
        <v>204</v>
      </c>
      <c r="J1172" s="88" t="s">
        <v>205</v>
      </c>
      <c r="K1172" s="89" t="n">
        <v>102</v>
      </c>
      <c r="L1172" s="89" t="n">
        <v>19278000</v>
      </c>
      <c r="M1172" s="89" t="n">
        <v>7415388</v>
      </c>
      <c r="N1172" s="90" t="n">
        <f aca="false">IF(A1172="제외",0,IF(OR(N(L1172)&lt;=0,N(M1172)&gt;N(L1172)),N(M1172)/가정!$B$4,N(L1172)))</f>
        <v>19278000</v>
      </c>
      <c r="O1172" s="67" t="str">
        <f aca="false">IF(A1172="제외","",IF(OR(N(L1172)&lt;=0,N(M1172)&gt;N(L1172)),"택가보정(판매금액÷공급율)",""))</f>
        <v/>
      </c>
    </row>
    <row r="1173" customFormat="false" ht="15" hidden="false" customHeight="true" outlineLevel="0" collapsed="false">
      <c r="A1173" s="67" t="str">
        <f aca="false">IF(OR(TRIM(C1173)="",SUBSTITUTE(C1173," ","")="소계"),"제외",IF(ISNUMBER(SEARCH("홍콩",C1173)),"HK",IF(ISNUMBER(SEARCH("상해",C1173)),"CN",IF(ISNUMBER(SEARCH("대만",C1173)),"TW","홀세일"))))</f>
        <v>홀세일</v>
      </c>
      <c r="B1173" s="87" t="s">
        <v>1439</v>
      </c>
      <c r="C1173" s="87" t="s">
        <v>1440</v>
      </c>
      <c r="D1173" s="88" t="s">
        <v>178</v>
      </c>
      <c r="E1173" s="87" t="n">
        <v>2026</v>
      </c>
      <c r="F1173" s="88" t="s">
        <v>179</v>
      </c>
      <c r="G1173" s="88" t="s">
        <v>188</v>
      </c>
      <c r="H1173" s="87" t="s">
        <v>189</v>
      </c>
      <c r="I1173" s="87" t="s">
        <v>206</v>
      </c>
      <c r="J1173" s="88" t="s">
        <v>207</v>
      </c>
      <c r="K1173" s="89" t="n">
        <v>102</v>
      </c>
      <c r="L1173" s="89" t="n">
        <v>18258000</v>
      </c>
      <c r="M1173" s="89" t="n">
        <v>7031284</v>
      </c>
      <c r="N1173" s="90" t="n">
        <f aca="false">IF(A1173="제외",0,IF(OR(N(L1173)&lt;=0,N(M1173)&gt;N(L1173)),N(M1173)/가정!$B$4,N(L1173)))</f>
        <v>18258000</v>
      </c>
      <c r="O1173" s="67" t="str">
        <f aca="false">IF(A1173="제외","",IF(OR(N(L1173)&lt;=0,N(M1173)&gt;N(L1173)),"택가보정(판매금액÷공급율)",""))</f>
        <v/>
      </c>
    </row>
    <row r="1174" customFormat="false" ht="15" hidden="false" customHeight="true" outlineLevel="0" collapsed="false">
      <c r="A1174" s="67" t="str">
        <f aca="false">IF(OR(TRIM(C1174)="",SUBSTITUTE(C1174," ","")="소계"),"제외",IF(ISNUMBER(SEARCH("홍콩",C1174)),"HK",IF(ISNUMBER(SEARCH("상해",C1174)),"CN",IF(ISNUMBER(SEARCH("대만",C1174)),"TW","홀세일"))))</f>
        <v>홀세일</v>
      </c>
      <c r="B1174" s="87" t="s">
        <v>1439</v>
      </c>
      <c r="C1174" s="87" t="s">
        <v>1440</v>
      </c>
      <c r="D1174" s="88" t="s">
        <v>178</v>
      </c>
      <c r="E1174" s="87" t="n">
        <v>2026</v>
      </c>
      <c r="F1174" s="88" t="s">
        <v>179</v>
      </c>
      <c r="G1174" s="88" t="s">
        <v>188</v>
      </c>
      <c r="H1174" s="87" t="s">
        <v>189</v>
      </c>
      <c r="I1174" s="87" t="s">
        <v>208</v>
      </c>
      <c r="J1174" s="88" t="s">
        <v>209</v>
      </c>
      <c r="K1174" s="89" t="n">
        <v>102</v>
      </c>
      <c r="L1174" s="89" t="n">
        <v>19278000</v>
      </c>
      <c r="M1174" s="89" t="n">
        <v>7415388</v>
      </c>
      <c r="N1174" s="90" t="n">
        <f aca="false">IF(A1174="제외",0,IF(OR(N(L1174)&lt;=0,N(M1174)&gt;N(L1174)),N(M1174)/가정!$B$4,N(L1174)))</f>
        <v>19278000</v>
      </c>
      <c r="O1174" s="67" t="str">
        <f aca="false">IF(A1174="제외","",IF(OR(N(L1174)&lt;=0,N(M1174)&gt;N(L1174)),"택가보정(판매금액÷공급율)",""))</f>
        <v/>
      </c>
    </row>
    <row r="1175" customFormat="false" ht="15" hidden="false" customHeight="true" outlineLevel="0" collapsed="false">
      <c r="A1175" s="67" t="str">
        <f aca="false">IF(OR(TRIM(C1175)="",SUBSTITUTE(C1175," ","")="소계"),"제외",IF(ISNUMBER(SEARCH("홍콩",C1175)),"HK",IF(ISNUMBER(SEARCH("상해",C1175)),"CN",IF(ISNUMBER(SEARCH("대만",C1175)),"TW","홀세일"))))</f>
        <v>홀세일</v>
      </c>
      <c r="B1175" s="87" t="s">
        <v>1439</v>
      </c>
      <c r="C1175" s="87" t="s">
        <v>1440</v>
      </c>
      <c r="D1175" s="88" t="s">
        <v>178</v>
      </c>
      <c r="E1175" s="87" t="n">
        <v>2026</v>
      </c>
      <c r="F1175" s="88" t="s">
        <v>179</v>
      </c>
      <c r="G1175" s="88" t="s">
        <v>180</v>
      </c>
      <c r="H1175" s="87" t="s">
        <v>189</v>
      </c>
      <c r="I1175" s="87" t="s">
        <v>1441</v>
      </c>
      <c r="J1175" s="88" t="s">
        <v>1442</v>
      </c>
      <c r="K1175" s="89" t="n">
        <v>97</v>
      </c>
      <c r="L1175" s="89" t="n">
        <v>13483000</v>
      </c>
      <c r="M1175" s="89" t="n">
        <v>4971850</v>
      </c>
      <c r="N1175" s="90" t="n">
        <f aca="false">IF(A1175="제외",0,IF(OR(N(L1175)&lt;=0,N(M1175)&gt;N(L1175)),N(M1175)/가정!$B$4,N(L1175)))</f>
        <v>13483000</v>
      </c>
      <c r="O1175" s="67" t="str">
        <f aca="false">IF(A1175="제외","",IF(OR(N(L1175)&lt;=0,N(M1175)&gt;N(L1175)),"택가보정(판매금액÷공급율)",""))</f>
        <v/>
      </c>
    </row>
    <row r="1176" customFormat="false" ht="15" hidden="false" customHeight="true" outlineLevel="0" collapsed="false">
      <c r="A1176" s="67" t="str">
        <f aca="false">IF(OR(TRIM(C1176)="",SUBSTITUTE(C1176," ","")="소계"),"제외",IF(ISNUMBER(SEARCH("홍콩",C1176)),"HK",IF(ISNUMBER(SEARCH("상해",C1176)),"CN",IF(ISNUMBER(SEARCH("대만",C1176)),"TW","홀세일"))))</f>
        <v>홀세일</v>
      </c>
      <c r="B1176" s="87" t="s">
        <v>1439</v>
      </c>
      <c r="C1176" s="87" t="s">
        <v>1440</v>
      </c>
      <c r="D1176" s="88" t="s">
        <v>178</v>
      </c>
      <c r="E1176" s="87" t="n">
        <v>2026</v>
      </c>
      <c r="F1176" s="88" t="s">
        <v>179</v>
      </c>
      <c r="G1176" s="88" t="s">
        <v>180</v>
      </c>
      <c r="H1176" s="87" t="s">
        <v>189</v>
      </c>
      <c r="I1176" s="87" t="s">
        <v>1443</v>
      </c>
      <c r="J1176" s="87" t="s">
        <v>1115</v>
      </c>
      <c r="K1176" s="89" t="n">
        <v>41</v>
      </c>
      <c r="L1176" s="89" t="n">
        <v>8159000</v>
      </c>
      <c r="M1176" s="89" t="n">
        <v>3007066</v>
      </c>
      <c r="N1176" s="90" t="n">
        <f aca="false">IF(A1176="제외",0,IF(OR(N(L1176)&lt;=0,N(M1176)&gt;N(L1176)),N(M1176)/가정!$B$4,N(L1176)))</f>
        <v>8159000</v>
      </c>
      <c r="O1176" s="67" t="str">
        <f aca="false">IF(A1176="제외","",IF(OR(N(L1176)&lt;=0,N(M1176)&gt;N(L1176)),"택가보정(판매금액÷공급율)",""))</f>
        <v/>
      </c>
    </row>
    <row r="1177" customFormat="false" ht="15" hidden="false" customHeight="true" outlineLevel="0" collapsed="false">
      <c r="A1177" s="67" t="str">
        <f aca="false">IF(OR(TRIM(C1177)="",SUBSTITUTE(C1177," ","")="소계"),"제외",IF(ISNUMBER(SEARCH("홍콩",C1177)),"HK",IF(ISNUMBER(SEARCH("상해",C1177)),"CN",IF(ISNUMBER(SEARCH("대만",C1177)),"TW","홀세일"))))</f>
        <v>홀세일</v>
      </c>
      <c r="B1177" s="87" t="s">
        <v>1439</v>
      </c>
      <c r="C1177" s="87" t="s">
        <v>1440</v>
      </c>
      <c r="D1177" s="88" t="s">
        <v>178</v>
      </c>
      <c r="E1177" s="87" t="n">
        <v>2026</v>
      </c>
      <c r="F1177" s="88" t="s">
        <v>179</v>
      </c>
      <c r="G1177" s="88" t="s">
        <v>180</v>
      </c>
      <c r="H1177" s="87" t="s">
        <v>181</v>
      </c>
      <c r="I1177" s="87" t="s">
        <v>837</v>
      </c>
      <c r="J1177" s="88" t="s">
        <v>838</v>
      </c>
      <c r="K1177" s="89" t="n">
        <v>41</v>
      </c>
      <c r="L1177" s="89" t="n">
        <v>6519000</v>
      </c>
      <c r="M1177" s="89" t="n">
        <v>2403235</v>
      </c>
      <c r="N1177" s="90" t="n">
        <f aca="false">IF(A1177="제외",0,IF(OR(N(L1177)&lt;=0,N(M1177)&gt;N(L1177)),N(M1177)/가정!$B$4,N(L1177)))</f>
        <v>6519000</v>
      </c>
      <c r="O1177" s="67" t="str">
        <f aca="false">IF(A1177="제외","",IF(OR(N(L1177)&lt;=0,N(M1177)&gt;N(L1177)),"택가보정(판매금액÷공급율)",""))</f>
        <v/>
      </c>
    </row>
    <row r="1178" customFormat="false" ht="15" hidden="false" customHeight="true" outlineLevel="0" collapsed="false">
      <c r="A1178" s="67" t="str">
        <f aca="false">IF(OR(TRIM(C1178)="",SUBSTITUTE(C1178," ","")="소계"),"제외",IF(ISNUMBER(SEARCH("홍콩",C1178)),"HK",IF(ISNUMBER(SEARCH("상해",C1178)),"CN",IF(ISNUMBER(SEARCH("대만",C1178)),"TW","홀세일"))))</f>
        <v>홀세일</v>
      </c>
      <c r="B1178" s="87" t="s">
        <v>1439</v>
      </c>
      <c r="C1178" s="87" t="s">
        <v>1440</v>
      </c>
      <c r="D1178" s="88" t="s">
        <v>178</v>
      </c>
      <c r="E1178" s="87" t="n">
        <v>2026</v>
      </c>
      <c r="F1178" s="88" t="s">
        <v>179</v>
      </c>
      <c r="G1178" s="88" t="s">
        <v>180</v>
      </c>
      <c r="H1178" s="87" t="s">
        <v>189</v>
      </c>
      <c r="I1178" s="87" t="s">
        <v>1312</v>
      </c>
      <c r="J1178" s="87" t="s">
        <v>1313</v>
      </c>
      <c r="K1178" s="89" t="n">
        <v>41</v>
      </c>
      <c r="L1178" s="89" t="n">
        <v>12259000</v>
      </c>
      <c r="M1178" s="89" t="n">
        <v>4794422</v>
      </c>
      <c r="N1178" s="90" t="n">
        <f aca="false">IF(A1178="제외",0,IF(OR(N(L1178)&lt;=0,N(M1178)&gt;N(L1178)),N(M1178)/가정!$B$4,N(L1178)))</f>
        <v>12259000</v>
      </c>
      <c r="O1178" s="67" t="str">
        <f aca="false">IF(A1178="제외","",IF(OR(N(L1178)&lt;=0,N(M1178)&gt;N(L1178)),"택가보정(판매금액÷공급율)",""))</f>
        <v/>
      </c>
    </row>
    <row r="1179" customFormat="false" ht="15" hidden="false" customHeight="true" outlineLevel="0" collapsed="false">
      <c r="A1179" s="67" t="str">
        <f aca="false">IF(OR(TRIM(C1179)="",SUBSTITUTE(C1179," ","")="소계"),"제외",IF(ISNUMBER(SEARCH("홍콩",C1179)),"HK",IF(ISNUMBER(SEARCH("상해",C1179)),"CN",IF(ISNUMBER(SEARCH("대만",C1179)),"TW","홀세일"))))</f>
        <v>홀세일</v>
      </c>
      <c r="B1179" s="87" t="s">
        <v>1439</v>
      </c>
      <c r="C1179" s="87" t="s">
        <v>1440</v>
      </c>
      <c r="D1179" s="88" t="s">
        <v>178</v>
      </c>
      <c r="E1179" s="87" t="n">
        <v>2026</v>
      </c>
      <c r="F1179" s="88" t="s">
        <v>179</v>
      </c>
      <c r="G1179" s="88" t="s">
        <v>180</v>
      </c>
      <c r="H1179" s="87" t="s">
        <v>189</v>
      </c>
      <c r="I1179" s="87" t="s">
        <v>839</v>
      </c>
      <c r="J1179" s="87" t="s">
        <v>840</v>
      </c>
      <c r="K1179" s="89" t="n">
        <v>82</v>
      </c>
      <c r="L1179" s="89" t="n">
        <v>22878000</v>
      </c>
      <c r="M1179" s="89" t="n">
        <v>8948748</v>
      </c>
      <c r="N1179" s="90" t="n">
        <f aca="false">IF(A1179="제외",0,IF(OR(N(L1179)&lt;=0,N(M1179)&gt;N(L1179)),N(M1179)/가정!$B$4,N(L1179)))</f>
        <v>22878000</v>
      </c>
      <c r="O1179" s="67" t="str">
        <f aca="false">IF(A1179="제외","",IF(OR(N(L1179)&lt;=0,N(M1179)&gt;N(L1179)),"택가보정(판매금액÷공급율)",""))</f>
        <v/>
      </c>
    </row>
    <row r="1180" customFormat="false" ht="15" hidden="false" customHeight="true" outlineLevel="0" collapsed="false">
      <c r="A1180" s="67" t="str">
        <f aca="false">IF(OR(TRIM(C1180)="",SUBSTITUTE(C1180," ","")="소계"),"제외",IF(ISNUMBER(SEARCH("홍콩",C1180)),"HK",IF(ISNUMBER(SEARCH("상해",C1180)),"CN",IF(ISNUMBER(SEARCH("대만",C1180)),"TW","홀세일"))))</f>
        <v>홀세일</v>
      </c>
      <c r="B1180" s="87" t="s">
        <v>1439</v>
      </c>
      <c r="C1180" s="87" t="s">
        <v>1440</v>
      </c>
      <c r="D1180" s="88" t="s">
        <v>178</v>
      </c>
      <c r="E1180" s="87" t="n">
        <v>2026</v>
      </c>
      <c r="F1180" s="88" t="s">
        <v>179</v>
      </c>
      <c r="G1180" s="88" t="s">
        <v>180</v>
      </c>
      <c r="H1180" s="87" t="s">
        <v>181</v>
      </c>
      <c r="I1180" s="87" t="s">
        <v>841</v>
      </c>
      <c r="J1180" s="88" t="s">
        <v>842</v>
      </c>
      <c r="K1180" s="89" t="n">
        <v>92</v>
      </c>
      <c r="L1180" s="89" t="n">
        <v>20148000</v>
      </c>
      <c r="M1180" s="89" t="n">
        <v>7836966</v>
      </c>
      <c r="N1180" s="90" t="n">
        <f aca="false">IF(A1180="제외",0,IF(OR(N(L1180)&lt;=0,N(M1180)&gt;N(L1180)),N(M1180)/가정!$B$4,N(L1180)))</f>
        <v>20148000</v>
      </c>
      <c r="O1180" s="67" t="str">
        <f aca="false">IF(A1180="제외","",IF(OR(N(L1180)&lt;=0,N(M1180)&gt;N(L1180)),"택가보정(판매금액÷공급율)",""))</f>
        <v/>
      </c>
    </row>
    <row r="1181" customFormat="false" ht="15" hidden="false" customHeight="true" outlineLevel="0" collapsed="false">
      <c r="A1181" s="67" t="str">
        <f aca="false">IF(OR(TRIM(C1181)="",SUBSTITUTE(C1181," ","")="소계"),"제외",IF(ISNUMBER(SEARCH("홍콩",C1181)),"HK",IF(ISNUMBER(SEARCH("상해",C1181)),"CN",IF(ISNUMBER(SEARCH("대만",C1181)),"TW","홀세일"))))</f>
        <v>홀세일</v>
      </c>
      <c r="B1181" s="87" t="s">
        <v>1439</v>
      </c>
      <c r="C1181" s="87" t="s">
        <v>1440</v>
      </c>
      <c r="D1181" s="88" t="s">
        <v>178</v>
      </c>
      <c r="E1181" s="87" t="n">
        <v>2026</v>
      </c>
      <c r="F1181" s="88" t="s">
        <v>179</v>
      </c>
      <c r="G1181" s="88" t="s">
        <v>180</v>
      </c>
      <c r="H1181" s="87" t="s">
        <v>189</v>
      </c>
      <c r="I1181" s="87" t="s">
        <v>1444</v>
      </c>
      <c r="J1181" s="87" t="s">
        <v>1445</v>
      </c>
      <c r="K1181" s="89" t="n">
        <v>41</v>
      </c>
      <c r="L1181" s="89" t="n">
        <v>16359000</v>
      </c>
      <c r="M1181" s="89" t="n">
        <v>6394584</v>
      </c>
      <c r="N1181" s="90" t="n">
        <f aca="false">IF(A1181="제외",0,IF(OR(N(L1181)&lt;=0,N(M1181)&gt;N(L1181)),N(M1181)/가정!$B$4,N(L1181)))</f>
        <v>16359000</v>
      </c>
      <c r="O1181" s="67" t="str">
        <f aca="false">IF(A1181="제외","",IF(OR(N(L1181)&lt;=0,N(M1181)&gt;N(L1181)),"택가보정(판매금액÷공급율)",""))</f>
        <v/>
      </c>
    </row>
    <row r="1182" customFormat="false" ht="15" hidden="false" customHeight="true" outlineLevel="0" collapsed="false">
      <c r="A1182" s="67" t="str">
        <f aca="false">IF(OR(TRIM(C1182)="",SUBSTITUTE(C1182," ","")="소계"),"제외",IF(ISNUMBER(SEARCH("홍콩",C1182)),"HK",IF(ISNUMBER(SEARCH("상해",C1182)),"CN",IF(ISNUMBER(SEARCH("대만",C1182)),"TW","홀세일"))))</f>
        <v>홀세일</v>
      </c>
      <c r="B1182" s="87" t="s">
        <v>1439</v>
      </c>
      <c r="C1182" s="87" t="s">
        <v>1440</v>
      </c>
      <c r="D1182" s="88" t="s">
        <v>178</v>
      </c>
      <c r="E1182" s="87" t="n">
        <v>2026</v>
      </c>
      <c r="F1182" s="88" t="s">
        <v>179</v>
      </c>
      <c r="G1182" s="88" t="s">
        <v>180</v>
      </c>
      <c r="H1182" s="87" t="s">
        <v>181</v>
      </c>
      <c r="I1182" s="87" t="s">
        <v>1446</v>
      </c>
      <c r="J1182" s="88" t="s">
        <v>1447</v>
      </c>
      <c r="K1182" s="89" t="n">
        <v>41</v>
      </c>
      <c r="L1182" s="89" t="n">
        <v>5699000</v>
      </c>
      <c r="M1182" s="89" t="n">
        <v>2228130</v>
      </c>
      <c r="N1182" s="90" t="n">
        <f aca="false">IF(A1182="제외",0,IF(OR(N(L1182)&lt;=0,N(M1182)&gt;N(L1182)),N(M1182)/가정!$B$4,N(L1182)))</f>
        <v>5699000</v>
      </c>
      <c r="O1182" s="67" t="str">
        <f aca="false">IF(A1182="제외","",IF(OR(N(L1182)&lt;=0,N(M1182)&gt;N(L1182)),"택가보정(판매금액÷공급율)",""))</f>
        <v/>
      </c>
    </row>
    <row r="1183" customFormat="false" ht="15" hidden="false" customHeight="true" outlineLevel="0" collapsed="false">
      <c r="A1183" s="67" t="str">
        <f aca="false">IF(OR(TRIM(C1183)="",SUBSTITUTE(C1183," ","")="소계"),"제외",IF(ISNUMBER(SEARCH("홍콩",C1183)),"HK",IF(ISNUMBER(SEARCH("상해",C1183)),"CN",IF(ISNUMBER(SEARCH("대만",C1183)),"TW","홀세일"))))</f>
        <v>홀세일</v>
      </c>
      <c r="B1183" s="87" t="s">
        <v>1439</v>
      </c>
      <c r="C1183" s="87" t="s">
        <v>1440</v>
      </c>
      <c r="D1183" s="88" t="s">
        <v>178</v>
      </c>
      <c r="E1183" s="87" t="n">
        <v>2026</v>
      </c>
      <c r="F1183" s="88" t="s">
        <v>179</v>
      </c>
      <c r="G1183" s="88" t="s">
        <v>180</v>
      </c>
      <c r="H1183" s="88" t="s">
        <v>185</v>
      </c>
      <c r="I1183" s="87" t="s">
        <v>1448</v>
      </c>
      <c r="J1183" s="87" t="s">
        <v>1449</v>
      </c>
      <c r="K1183" s="89" t="n">
        <v>82</v>
      </c>
      <c r="L1183" s="89" t="n">
        <v>11398000</v>
      </c>
      <c r="M1183" s="89" t="n">
        <v>4202680</v>
      </c>
      <c r="N1183" s="90" t="n">
        <f aca="false">IF(A1183="제외",0,IF(OR(N(L1183)&lt;=0,N(M1183)&gt;N(L1183)),N(M1183)/가정!$B$4,N(L1183)))</f>
        <v>11398000</v>
      </c>
      <c r="O1183" s="67" t="str">
        <f aca="false">IF(A1183="제외","",IF(OR(N(L1183)&lt;=0,N(M1183)&gt;N(L1183)),"택가보정(판매금액÷공급율)",""))</f>
        <v/>
      </c>
    </row>
    <row r="1184" customFormat="false" ht="15" hidden="false" customHeight="true" outlineLevel="0" collapsed="false">
      <c r="A1184" s="67" t="str">
        <f aca="false">IF(OR(TRIM(C1184)="",SUBSTITUTE(C1184," ","")="소계"),"제외",IF(ISNUMBER(SEARCH("홍콩",C1184)),"HK",IF(ISNUMBER(SEARCH("상해",C1184)),"CN",IF(ISNUMBER(SEARCH("대만",C1184)),"TW","홀세일"))))</f>
        <v>홀세일</v>
      </c>
      <c r="B1184" s="87" t="s">
        <v>1439</v>
      </c>
      <c r="C1184" s="87" t="s">
        <v>1440</v>
      </c>
      <c r="D1184" s="88" t="s">
        <v>178</v>
      </c>
      <c r="E1184" s="87" t="n">
        <v>2026</v>
      </c>
      <c r="F1184" s="88" t="s">
        <v>179</v>
      </c>
      <c r="G1184" s="88" t="s">
        <v>180</v>
      </c>
      <c r="H1184" s="87" t="s">
        <v>189</v>
      </c>
      <c r="I1184" s="87" t="s">
        <v>1314</v>
      </c>
      <c r="J1184" s="88" t="s">
        <v>1185</v>
      </c>
      <c r="K1184" s="89" t="n">
        <v>82</v>
      </c>
      <c r="L1184" s="89" t="n">
        <v>17958000</v>
      </c>
      <c r="M1184" s="89" t="n">
        <v>7028616</v>
      </c>
      <c r="N1184" s="90" t="n">
        <f aca="false">IF(A1184="제외",0,IF(OR(N(L1184)&lt;=0,N(M1184)&gt;N(L1184)),N(M1184)/가정!$B$4,N(L1184)))</f>
        <v>17958000</v>
      </c>
      <c r="O1184" s="67" t="str">
        <f aca="false">IF(A1184="제외","",IF(OR(N(L1184)&lt;=0,N(M1184)&gt;N(L1184)),"택가보정(판매금액÷공급율)",""))</f>
        <v/>
      </c>
    </row>
    <row r="1185" customFormat="false" ht="15" hidden="false" customHeight="true" outlineLevel="0" collapsed="false">
      <c r="A1185" s="67" t="str">
        <f aca="false">IF(OR(TRIM(C1185)="",SUBSTITUTE(C1185," ","")="소계"),"제외",IF(ISNUMBER(SEARCH("홍콩",C1185)),"HK",IF(ISNUMBER(SEARCH("상해",C1185)),"CN",IF(ISNUMBER(SEARCH("대만",C1185)),"TW","홀세일"))))</f>
        <v>홀세일</v>
      </c>
      <c r="B1185" s="87" t="s">
        <v>1439</v>
      </c>
      <c r="C1185" s="87" t="s">
        <v>1440</v>
      </c>
      <c r="D1185" s="88" t="s">
        <v>178</v>
      </c>
      <c r="E1185" s="87" t="n">
        <v>2026</v>
      </c>
      <c r="F1185" s="88" t="s">
        <v>179</v>
      </c>
      <c r="G1185" s="88" t="s">
        <v>180</v>
      </c>
      <c r="H1185" s="87" t="s">
        <v>189</v>
      </c>
      <c r="I1185" s="87" t="s">
        <v>220</v>
      </c>
      <c r="J1185" s="88" t="s">
        <v>221</v>
      </c>
      <c r="K1185" s="89" t="n">
        <v>41</v>
      </c>
      <c r="L1185" s="89" t="n">
        <v>8159000</v>
      </c>
      <c r="M1185" s="89" t="n">
        <v>3130580</v>
      </c>
      <c r="N1185" s="90" t="n">
        <f aca="false">IF(A1185="제외",0,IF(OR(N(L1185)&lt;=0,N(M1185)&gt;N(L1185)),N(M1185)/가정!$B$4,N(L1185)))</f>
        <v>8159000</v>
      </c>
      <c r="O1185" s="67" t="str">
        <f aca="false">IF(A1185="제외","",IF(OR(N(L1185)&lt;=0,N(M1185)&gt;N(L1185)),"택가보정(판매금액÷공급율)",""))</f>
        <v/>
      </c>
    </row>
    <row r="1186" customFormat="false" ht="15" hidden="false" customHeight="true" outlineLevel="0" collapsed="false">
      <c r="A1186" s="67" t="str">
        <f aca="false">IF(OR(TRIM(C1186)="",SUBSTITUTE(C1186," ","")="소계"),"제외",IF(ISNUMBER(SEARCH("홍콩",C1186)),"HK",IF(ISNUMBER(SEARCH("상해",C1186)),"CN",IF(ISNUMBER(SEARCH("대만",C1186)),"TW","홀세일"))))</f>
        <v>홀세일</v>
      </c>
      <c r="B1186" s="87" t="s">
        <v>1439</v>
      </c>
      <c r="C1186" s="87" t="s">
        <v>1440</v>
      </c>
      <c r="D1186" s="88" t="s">
        <v>178</v>
      </c>
      <c r="E1186" s="87" t="n">
        <v>2026</v>
      </c>
      <c r="F1186" s="88" t="s">
        <v>179</v>
      </c>
      <c r="G1186" s="88" t="s">
        <v>180</v>
      </c>
      <c r="H1186" s="87" t="s">
        <v>189</v>
      </c>
      <c r="I1186" s="87" t="s">
        <v>222</v>
      </c>
      <c r="J1186" s="88" t="s">
        <v>223</v>
      </c>
      <c r="K1186" s="89" t="n">
        <v>46</v>
      </c>
      <c r="L1186" s="89" t="n">
        <v>8694000</v>
      </c>
      <c r="M1186" s="89" t="n">
        <v>3333099</v>
      </c>
      <c r="N1186" s="90" t="n">
        <f aca="false">IF(A1186="제외",0,IF(OR(N(L1186)&lt;=0,N(M1186)&gt;N(L1186)),N(M1186)/가정!$B$4,N(L1186)))</f>
        <v>8694000</v>
      </c>
      <c r="O1186" s="67" t="str">
        <f aca="false">IF(A1186="제외","",IF(OR(N(L1186)&lt;=0,N(M1186)&gt;N(L1186)),"택가보정(판매금액÷공급율)",""))</f>
        <v/>
      </c>
    </row>
    <row r="1187" customFormat="false" ht="15" hidden="false" customHeight="true" outlineLevel="0" collapsed="false">
      <c r="A1187" s="67" t="str">
        <f aca="false">IF(OR(TRIM(C1187)="",SUBSTITUTE(C1187," ","")="소계"),"제외",IF(ISNUMBER(SEARCH("홍콩",C1187)),"HK",IF(ISNUMBER(SEARCH("상해",C1187)),"CN",IF(ISNUMBER(SEARCH("대만",C1187)),"TW","홀세일"))))</f>
        <v>홀세일</v>
      </c>
      <c r="B1187" s="87" t="s">
        <v>1439</v>
      </c>
      <c r="C1187" s="87" t="s">
        <v>1440</v>
      </c>
      <c r="D1187" s="88" t="s">
        <v>178</v>
      </c>
      <c r="E1187" s="87" t="n">
        <v>2026</v>
      </c>
      <c r="F1187" s="88" t="s">
        <v>179</v>
      </c>
      <c r="G1187" s="88" t="s">
        <v>180</v>
      </c>
      <c r="H1187" s="87" t="s">
        <v>189</v>
      </c>
      <c r="I1187" s="87" t="s">
        <v>1450</v>
      </c>
      <c r="J1187" s="88" t="s">
        <v>1451</v>
      </c>
      <c r="K1187" s="89" t="n">
        <v>66</v>
      </c>
      <c r="L1187" s="89" t="n">
        <v>11814000</v>
      </c>
      <c r="M1187" s="89" t="n">
        <v>4534582</v>
      </c>
      <c r="N1187" s="90" t="n">
        <f aca="false">IF(A1187="제외",0,IF(OR(N(L1187)&lt;=0,N(M1187)&gt;N(L1187)),N(M1187)/가정!$B$4,N(L1187)))</f>
        <v>11814000</v>
      </c>
      <c r="O1187" s="67" t="str">
        <f aca="false">IF(A1187="제외","",IF(OR(N(L1187)&lt;=0,N(M1187)&gt;N(L1187)),"택가보정(판매금액÷공급율)",""))</f>
        <v/>
      </c>
    </row>
    <row r="1188" customFormat="false" ht="15" hidden="false" customHeight="true" outlineLevel="0" collapsed="false">
      <c r="A1188" s="67" t="str">
        <f aca="false">IF(OR(TRIM(C1188)="",SUBSTITUTE(C1188," ","")="소계"),"제외",IF(ISNUMBER(SEARCH("홍콩",C1188)),"HK",IF(ISNUMBER(SEARCH("상해",C1188)),"CN",IF(ISNUMBER(SEARCH("대만",C1188)),"TW","홀세일"))))</f>
        <v>홀세일</v>
      </c>
      <c r="B1188" s="87" t="s">
        <v>1439</v>
      </c>
      <c r="C1188" s="87" t="s">
        <v>1440</v>
      </c>
      <c r="D1188" s="88" t="s">
        <v>178</v>
      </c>
      <c r="E1188" s="87" t="n">
        <v>2026</v>
      </c>
      <c r="F1188" s="88" t="s">
        <v>179</v>
      </c>
      <c r="G1188" s="88" t="s">
        <v>180</v>
      </c>
      <c r="H1188" s="87" t="s">
        <v>189</v>
      </c>
      <c r="I1188" s="87" t="s">
        <v>1452</v>
      </c>
      <c r="J1188" s="88" t="s">
        <v>1453</v>
      </c>
      <c r="K1188" s="89" t="n">
        <v>46</v>
      </c>
      <c r="L1188" s="89" t="n">
        <v>7314000</v>
      </c>
      <c r="M1188" s="89" t="n">
        <v>2859089</v>
      </c>
      <c r="N1188" s="90" t="n">
        <f aca="false">IF(A1188="제외",0,IF(OR(N(L1188)&lt;=0,N(M1188)&gt;N(L1188)),N(M1188)/가정!$B$4,N(L1188)))</f>
        <v>7314000</v>
      </c>
      <c r="O1188" s="67" t="str">
        <f aca="false">IF(A1188="제외","",IF(OR(N(L1188)&lt;=0,N(M1188)&gt;N(L1188)),"택가보정(판매금액÷공급율)",""))</f>
        <v/>
      </c>
    </row>
    <row r="1189" customFormat="false" ht="15" hidden="false" customHeight="true" outlineLevel="0" collapsed="false">
      <c r="A1189" s="67" t="str">
        <f aca="false">IF(OR(TRIM(C1189)="",SUBSTITUTE(C1189," ","")="소계"),"제외",IF(ISNUMBER(SEARCH("홍콩",C1189)),"HK",IF(ISNUMBER(SEARCH("상해",C1189)),"CN",IF(ISNUMBER(SEARCH("대만",C1189)),"TW","홀세일"))))</f>
        <v>홀세일</v>
      </c>
      <c r="B1189" s="87" t="s">
        <v>1439</v>
      </c>
      <c r="C1189" s="87" t="s">
        <v>1440</v>
      </c>
      <c r="D1189" s="88" t="s">
        <v>178</v>
      </c>
      <c r="E1189" s="87" t="n">
        <v>2026</v>
      </c>
      <c r="F1189" s="88" t="s">
        <v>179</v>
      </c>
      <c r="G1189" s="88" t="s">
        <v>180</v>
      </c>
      <c r="H1189" s="87" t="s">
        <v>189</v>
      </c>
      <c r="I1189" s="87" t="s">
        <v>853</v>
      </c>
      <c r="J1189" s="88" t="s">
        <v>854</v>
      </c>
      <c r="K1189" s="89" t="n">
        <v>112</v>
      </c>
      <c r="L1189" s="89" t="n">
        <v>21168000</v>
      </c>
      <c r="M1189" s="89" t="n">
        <v>7803188</v>
      </c>
      <c r="N1189" s="90" t="n">
        <f aca="false">IF(A1189="제외",0,IF(OR(N(L1189)&lt;=0,N(M1189)&gt;N(L1189)),N(M1189)/가정!$B$4,N(L1189)))</f>
        <v>21168000</v>
      </c>
      <c r="O1189" s="67" t="str">
        <f aca="false">IF(A1189="제외","",IF(OR(N(L1189)&lt;=0,N(M1189)&gt;N(L1189)),"택가보정(판매금액÷공급율)",""))</f>
        <v/>
      </c>
    </row>
    <row r="1190" customFormat="false" ht="15" hidden="false" customHeight="true" outlineLevel="0" collapsed="false">
      <c r="A1190" s="67" t="str">
        <f aca="false">IF(OR(TRIM(C1190)="",SUBSTITUTE(C1190," ","")="소계"),"제외",IF(ISNUMBER(SEARCH("홍콩",C1190)),"HK",IF(ISNUMBER(SEARCH("상해",C1190)),"CN",IF(ISNUMBER(SEARCH("대만",C1190)),"TW","홀세일"))))</f>
        <v>홀세일</v>
      </c>
      <c r="B1190" s="87" t="s">
        <v>1439</v>
      </c>
      <c r="C1190" s="87" t="s">
        <v>1440</v>
      </c>
      <c r="D1190" s="88" t="s">
        <v>178</v>
      </c>
      <c r="E1190" s="87" t="n">
        <v>2026</v>
      </c>
      <c r="F1190" s="88" t="s">
        <v>179</v>
      </c>
      <c r="G1190" s="88" t="s">
        <v>180</v>
      </c>
      <c r="H1190" s="87" t="s">
        <v>181</v>
      </c>
      <c r="I1190" s="87" t="s">
        <v>855</v>
      </c>
      <c r="J1190" s="88" t="s">
        <v>856</v>
      </c>
      <c r="K1190" s="89" t="n">
        <v>66</v>
      </c>
      <c r="L1190" s="89" t="n">
        <v>11814000</v>
      </c>
      <c r="M1190" s="89" t="n">
        <v>4267811</v>
      </c>
      <c r="N1190" s="90" t="n">
        <f aca="false">IF(A1190="제외",0,IF(OR(N(L1190)&lt;=0,N(M1190)&gt;N(L1190)),N(M1190)/가정!$B$4,N(L1190)))</f>
        <v>11814000</v>
      </c>
      <c r="O1190" s="67" t="str">
        <f aca="false">IF(A1190="제외","",IF(OR(N(L1190)&lt;=0,N(M1190)&gt;N(L1190)),"택가보정(판매금액÷공급율)",""))</f>
        <v/>
      </c>
    </row>
    <row r="1191" customFormat="false" ht="15" hidden="false" customHeight="true" outlineLevel="0" collapsed="false">
      <c r="A1191" s="67" t="str">
        <f aca="false">IF(OR(TRIM(C1191)="",SUBSTITUTE(C1191," ","")="소계"),"제외",IF(ISNUMBER(SEARCH("홍콩",C1191)),"HK",IF(ISNUMBER(SEARCH("상해",C1191)),"CN",IF(ISNUMBER(SEARCH("대만",C1191)),"TW","홀세일"))))</f>
        <v>홀세일</v>
      </c>
      <c r="B1191" s="87" t="s">
        <v>1439</v>
      </c>
      <c r="C1191" s="87" t="s">
        <v>1440</v>
      </c>
      <c r="D1191" s="88" t="s">
        <v>178</v>
      </c>
      <c r="E1191" s="87" t="n">
        <v>2026</v>
      </c>
      <c r="F1191" s="88" t="s">
        <v>179</v>
      </c>
      <c r="G1191" s="88" t="s">
        <v>180</v>
      </c>
      <c r="H1191" s="87" t="s">
        <v>181</v>
      </c>
      <c r="I1191" s="87" t="s">
        <v>1323</v>
      </c>
      <c r="J1191" s="88" t="s">
        <v>1324</v>
      </c>
      <c r="K1191" s="89" t="n">
        <v>61</v>
      </c>
      <c r="L1191" s="89" t="n">
        <v>4209000</v>
      </c>
      <c r="M1191" s="89" t="n">
        <v>1554486</v>
      </c>
      <c r="N1191" s="90" t="n">
        <f aca="false">IF(A1191="제외",0,IF(OR(N(L1191)&lt;=0,N(M1191)&gt;N(L1191)),N(M1191)/가정!$B$4,N(L1191)))</f>
        <v>4209000</v>
      </c>
      <c r="O1191" s="67" t="str">
        <f aca="false">IF(A1191="제외","",IF(OR(N(L1191)&lt;=0,N(M1191)&gt;N(L1191)),"택가보정(판매금액÷공급율)",""))</f>
        <v/>
      </c>
    </row>
    <row r="1192" customFormat="false" ht="15" hidden="false" customHeight="true" outlineLevel="0" collapsed="false">
      <c r="A1192" s="67" t="str">
        <f aca="false">IF(OR(TRIM(C1192)="",SUBSTITUTE(C1192," ","")="소계"),"제외",IF(ISNUMBER(SEARCH("홍콩",C1192)),"HK",IF(ISNUMBER(SEARCH("상해",C1192)),"CN",IF(ISNUMBER(SEARCH("대만",C1192)),"TW","홀세일"))))</f>
        <v>홀세일</v>
      </c>
      <c r="B1192" s="87" t="s">
        <v>1439</v>
      </c>
      <c r="C1192" s="87" t="s">
        <v>1440</v>
      </c>
      <c r="D1192" s="88" t="s">
        <v>178</v>
      </c>
      <c r="E1192" s="87" t="n">
        <v>2026</v>
      </c>
      <c r="F1192" s="88" t="s">
        <v>179</v>
      </c>
      <c r="G1192" s="88" t="s">
        <v>180</v>
      </c>
      <c r="H1192" s="87" t="s">
        <v>246</v>
      </c>
      <c r="I1192" s="87" t="s">
        <v>249</v>
      </c>
      <c r="J1192" s="87" t="s">
        <v>250</v>
      </c>
      <c r="K1192" s="89" t="n">
        <v>92</v>
      </c>
      <c r="L1192" s="89" t="n">
        <v>11868000</v>
      </c>
      <c r="M1192" s="89" t="n">
        <v>4376684</v>
      </c>
      <c r="N1192" s="90" t="n">
        <f aca="false">IF(A1192="제외",0,IF(OR(N(L1192)&lt;=0,N(M1192)&gt;N(L1192)),N(M1192)/가정!$B$4,N(L1192)))</f>
        <v>11868000</v>
      </c>
      <c r="O1192" s="67" t="str">
        <f aca="false">IF(A1192="제외","",IF(OR(N(L1192)&lt;=0,N(M1192)&gt;N(L1192)),"택가보정(판매금액÷공급율)",""))</f>
        <v/>
      </c>
    </row>
    <row r="1193" customFormat="false" ht="15" hidden="false" customHeight="true" outlineLevel="0" collapsed="false">
      <c r="A1193" s="67" t="str">
        <f aca="false">IF(OR(TRIM(C1193)="",SUBSTITUTE(C1193," ","")="소계"),"제외",IF(ISNUMBER(SEARCH("홍콩",C1193)),"HK",IF(ISNUMBER(SEARCH("상해",C1193)),"CN",IF(ISNUMBER(SEARCH("대만",C1193)),"TW","홀세일"))))</f>
        <v>홀세일</v>
      </c>
      <c r="B1193" s="87" t="s">
        <v>1439</v>
      </c>
      <c r="C1193" s="87" t="s">
        <v>1440</v>
      </c>
      <c r="D1193" s="88" t="s">
        <v>178</v>
      </c>
      <c r="E1193" s="87" t="n">
        <v>2026</v>
      </c>
      <c r="F1193" s="88" t="s">
        <v>179</v>
      </c>
      <c r="G1193" s="88" t="s">
        <v>180</v>
      </c>
      <c r="H1193" s="87" t="s">
        <v>246</v>
      </c>
      <c r="I1193" s="87" t="s">
        <v>259</v>
      </c>
      <c r="J1193" s="87" t="s">
        <v>260</v>
      </c>
      <c r="K1193" s="89" t="n">
        <v>51</v>
      </c>
      <c r="L1193" s="89" t="n">
        <v>12189000</v>
      </c>
      <c r="M1193" s="89" t="n">
        <v>4769987</v>
      </c>
      <c r="N1193" s="90" t="n">
        <f aca="false">IF(A1193="제외",0,IF(OR(N(L1193)&lt;=0,N(M1193)&gt;N(L1193)),N(M1193)/가정!$B$4,N(L1193)))</f>
        <v>12189000</v>
      </c>
      <c r="O1193" s="67" t="str">
        <f aca="false">IF(A1193="제외","",IF(OR(N(L1193)&lt;=0,N(M1193)&gt;N(L1193)),"택가보정(판매금액÷공급율)",""))</f>
        <v/>
      </c>
    </row>
    <row r="1194" customFormat="false" ht="15" hidden="false" customHeight="true" outlineLevel="0" collapsed="false">
      <c r="A1194" s="67" t="str">
        <f aca="false">IF(OR(TRIM(C1194)="",SUBSTITUTE(C1194," ","")="소계"),"제외",IF(ISNUMBER(SEARCH("홍콩",C1194)),"HK",IF(ISNUMBER(SEARCH("상해",C1194)),"CN",IF(ISNUMBER(SEARCH("대만",C1194)),"TW","홀세일"))))</f>
        <v>홀세일</v>
      </c>
      <c r="B1194" s="87" t="s">
        <v>1439</v>
      </c>
      <c r="C1194" s="87" t="s">
        <v>1440</v>
      </c>
      <c r="D1194" s="88" t="s">
        <v>178</v>
      </c>
      <c r="E1194" s="87" t="n">
        <v>2026</v>
      </c>
      <c r="F1194" s="88" t="s">
        <v>277</v>
      </c>
      <c r="G1194" s="88" t="s">
        <v>188</v>
      </c>
      <c r="H1194" s="87" t="s">
        <v>189</v>
      </c>
      <c r="I1194" s="87" t="s">
        <v>1329</v>
      </c>
      <c r="J1194" s="88" t="s">
        <v>1330</v>
      </c>
      <c r="K1194" s="89" t="n">
        <v>62</v>
      </c>
      <c r="L1194" s="89" t="n">
        <v>2790000</v>
      </c>
      <c r="M1194" s="89" t="n">
        <v>1120094</v>
      </c>
      <c r="N1194" s="90" t="n">
        <f aca="false">IF(A1194="제외",0,IF(OR(N(L1194)&lt;=0,N(M1194)&gt;N(L1194)),N(M1194)/가정!$B$4,N(L1194)))</f>
        <v>2790000</v>
      </c>
      <c r="O1194" s="67" t="str">
        <f aca="false">IF(A1194="제외","",IF(OR(N(L1194)&lt;=0,N(M1194)&gt;N(L1194)),"택가보정(판매금액÷공급율)",""))</f>
        <v/>
      </c>
    </row>
    <row r="1195" customFormat="false" ht="15" hidden="false" customHeight="true" outlineLevel="0" collapsed="false">
      <c r="A1195" s="67" t="str">
        <f aca="false">IF(OR(TRIM(C1195)="",SUBSTITUTE(C1195," ","")="소계"),"제외",IF(ISNUMBER(SEARCH("홍콩",C1195)),"HK",IF(ISNUMBER(SEARCH("상해",C1195)),"CN",IF(ISNUMBER(SEARCH("대만",C1195)),"TW","홀세일"))))</f>
        <v>홀세일</v>
      </c>
      <c r="B1195" s="87" t="s">
        <v>1439</v>
      </c>
      <c r="C1195" s="87" t="s">
        <v>1440</v>
      </c>
      <c r="D1195" s="88" t="s">
        <v>178</v>
      </c>
      <c r="E1195" s="87" t="n">
        <v>2026</v>
      </c>
      <c r="F1195" s="88" t="s">
        <v>277</v>
      </c>
      <c r="G1195" s="88" t="s">
        <v>180</v>
      </c>
      <c r="H1195" s="87" t="s">
        <v>189</v>
      </c>
      <c r="I1195" s="87" t="s">
        <v>280</v>
      </c>
      <c r="J1195" s="87" t="s">
        <v>281</v>
      </c>
      <c r="K1195" s="89" t="n">
        <v>41</v>
      </c>
      <c r="L1195" s="89" t="n">
        <v>5289000</v>
      </c>
      <c r="M1195" s="89" t="n">
        <v>1911492</v>
      </c>
      <c r="N1195" s="90" t="n">
        <f aca="false">IF(A1195="제외",0,IF(OR(N(L1195)&lt;=0,N(M1195)&gt;N(L1195)),N(M1195)/가정!$B$4,N(L1195)))</f>
        <v>5289000</v>
      </c>
      <c r="O1195" s="67" t="str">
        <f aca="false">IF(A1195="제외","",IF(OR(N(L1195)&lt;=0,N(M1195)&gt;N(L1195)),"택가보정(판매금액÷공급율)",""))</f>
        <v/>
      </c>
    </row>
    <row r="1196" customFormat="false" ht="15" hidden="false" customHeight="true" outlineLevel="0" collapsed="false">
      <c r="A1196" s="67" t="str">
        <f aca="false">IF(OR(TRIM(C1196)="",SUBSTITUTE(C1196," ","")="소계"),"제외",IF(ISNUMBER(SEARCH("홍콩",C1196)),"HK",IF(ISNUMBER(SEARCH("상해",C1196)),"CN",IF(ISNUMBER(SEARCH("대만",C1196)),"TW","홀세일"))))</f>
        <v>홀세일</v>
      </c>
      <c r="B1196" s="87" t="s">
        <v>1439</v>
      </c>
      <c r="C1196" s="87" t="s">
        <v>1440</v>
      </c>
      <c r="D1196" s="88" t="s">
        <v>178</v>
      </c>
      <c r="E1196" s="87" t="n">
        <v>2026</v>
      </c>
      <c r="F1196" s="88" t="s">
        <v>277</v>
      </c>
      <c r="G1196" s="88" t="s">
        <v>180</v>
      </c>
      <c r="H1196" s="87" t="s">
        <v>189</v>
      </c>
      <c r="I1196" s="87" t="s">
        <v>863</v>
      </c>
      <c r="J1196" s="88" t="s">
        <v>864</v>
      </c>
      <c r="K1196" s="89" t="n">
        <v>97</v>
      </c>
      <c r="L1196" s="89" t="n">
        <v>15423000</v>
      </c>
      <c r="M1196" s="89" t="n">
        <v>5682725</v>
      </c>
      <c r="N1196" s="90" t="n">
        <f aca="false">IF(A1196="제외",0,IF(OR(N(L1196)&lt;=0,N(M1196)&gt;N(L1196)),N(M1196)/가정!$B$4,N(L1196)))</f>
        <v>15423000</v>
      </c>
      <c r="O1196" s="67" t="str">
        <f aca="false">IF(A1196="제외","",IF(OR(N(L1196)&lt;=0,N(M1196)&gt;N(L1196)),"택가보정(판매금액÷공급율)",""))</f>
        <v/>
      </c>
    </row>
    <row r="1197" customFormat="false" ht="15" hidden="false" customHeight="true" outlineLevel="0" collapsed="false">
      <c r="A1197" s="67" t="str">
        <f aca="false">IF(OR(TRIM(C1197)="",SUBSTITUTE(C1197," ","")="소계"),"제외",IF(ISNUMBER(SEARCH("홍콩",C1197)),"HK",IF(ISNUMBER(SEARCH("상해",C1197)),"CN",IF(ISNUMBER(SEARCH("대만",C1197)),"TW","홀세일"))))</f>
        <v>홀세일</v>
      </c>
      <c r="B1197" s="87" t="s">
        <v>1439</v>
      </c>
      <c r="C1197" s="87" t="s">
        <v>1440</v>
      </c>
      <c r="D1197" s="88" t="s">
        <v>178</v>
      </c>
      <c r="E1197" s="87" t="n">
        <v>2026</v>
      </c>
      <c r="F1197" s="88" t="s">
        <v>277</v>
      </c>
      <c r="G1197" s="88" t="s">
        <v>180</v>
      </c>
      <c r="H1197" s="87" t="s">
        <v>189</v>
      </c>
      <c r="I1197" s="87" t="s">
        <v>865</v>
      </c>
      <c r="J1197" s="87" t="s">
        <v>866</v>
      </c>
      <c r="K1197" s="89" t="n">
        <v>41</v>
      </c>
      <c r="L1197" s="89" t="n">
        <v>6929000</v>
      </c>
      <c r="M1197" s="89" t="n">
        <v>2503283</v>
      </c>
      <c r="N1197" s="90" t="n">
        <f aca="false">IF(A1197="제외",0,IF(OR(N(L1197)&lt;=0,N(M1197)&gt;N(L1197)),N(M1197)/가정!$B$4,N(L1197)))</f>
        <v>6929000</v>
      </c>
      <c r="O1197" s="67" t="str">
        <f aca="false">IF(A1197="제외","",IF(OR(N(L1197)&lt;=0,N(M1197)&gt;N(L1197)),"택가보정(판매금액÷공급율)",""))</f>
        <v/>
      </c>
    </row>
    <row r="1198" customFormat="false" ht="15" hidden="false" customHeight="true" outlineLevel="0" collapsed="false">
      <c r="A1198" s="67" t="str">
        <f aca="false">IF(OR(TRIM(C1198)="",SUBSTITUTE(C1198," ","")="소계"),"제외",IF(ISNUMBER(SEARCH("홍콩",C1198)),"HK",IF(ISNUMBER(SEARCH("상해",C1198)),"CN",IF(ISNUMBER(SEARCH("대만",C1198)),"TW","홀세일"))))</f>
        <v>홀세일</v>
      </c>
      <c r="B1198" s="87" t="s">
        <v>1439</v>
      </c>
      <c r="C1198" s="87" t="s">
        <v>1440</v>
      </c>
      <c r="D1198" s="88" t="s">
        <v>178</v>
      </c>
      <c r="E1198" s="87" t="n">
        <v>2026</v>
      </c>
      <c r="F1198" s="88" t="s">
        <v>277</v>
      </c>
      <c r="G1198" s="88" t="s">
        <v>180</v>
      </c>
      <c r="H1198" s="87" t="s">
        <v>181</v>
      </c>
      <c r="I1198" s="87" t="s">
        <v>867</v>
      </c>
      <c r="J1198" s="88" t="s">
        <v>868</v>
      </c>
      <c r="K1198" s="89" t="n">
        <v>112</v>
      </c>
      <c r="L1198" s="89" t="n">
        <v>15568000</v>
      </c>
      <c r="M1198" s="89" t="n">
        <v>5625740</v>
      </c>
      <c r="N1198" s="90" t="n">
        <f aca="false">IF(A1198="제외",0,IF(OR(N(L1198)&lt;=0,N(M1198)&gt;N(L1198)),N(M1198)/가정!$B$4,N(L1198)))</f>
        <v>15568000</v>
      </c>
      <c r="O1198" s="67" t="str">
        <f aca="false">IF(A1198="제외","",IF(OR(N(L1198)&lt;=0,N(M1198)&gt;N(L1198)),"택가보정(판매금액÷공급율)",""))</f>
        <v/>
      </c>
    </row>
    <row r="1199" customFormat="false" ht="15" hidden="false" customHeight="true" outlineLevel="0" collapsed="false">
      <c r="A1199" s="67" t="str">
        <f aca="false">IF(OR(TRIM(C1199)="",SUBSTITUTE(C1199," ","")="소계"),"제외",IF(ISNUMBER(SEARCH("홍콩",C1199)),"HK",IF(ISNUMBER(SEARCH("상해",C1199)),"CN",IF(ISNUMBER(SEARCH("대만",C1199)),"TW","홀세일"))))</f>
        <v>홀세일</v>
      </c>
      <c r="B1199" s="87" t="s">
        <v>1439</v>
      </c>
      <c r="C1199" s="87" t="s">
        <v>1440</v>
      </c>
      <c r="D1199" s="88" t="s">
        <v>178</v>
      </c>
      <c r="E1199" s="87" t="n">
        <v>2026</v>
      </c>
      <c r="F1199" s="88" t="s">
        <v>277</v>
      </c>
      <c r="G1199" s="88" t="s">
        <v>180</v>
      </c>
      <c r="H1199" s="87" t="s">
        <v>189</v>
      </c>
      <c r="I1199" s="87" t="s">
        <v>1098</v>
      </c>
      <c r="J1199" s="87" t="s">
        <v>1099</v>
      </c>
      <c r="K1199" s="89" t="n">
        <v>41</v>
      </c>
      <c r="L1199" s="89" t="n">
        <v>8979000</v>
      </c>
      <c r="M1199" s="89" t="n">
        <v>3444228</v>
      </c>
      <c r="N1199" s="90" t="n">
        <f aca="false">IF(A1199="제외",0,IF(OR(N(L1199)&lt;=0,N(M1199)&gt;N(L1199)),N(M1199)/가정!$B$4,N(L1199)))</f>
        <v>8979000</v>
      </c>
      <c r="O1199" s="67" t="str">
        <f aca="false">IF(A1199="제외","",IF(OR(N(L1199)&lt;=0,N(M1199)&gt;N(L1199)),"택가보정(판매금액÷공급율)",""))</f>
        <v/>
      </c>
    </row>
    <row r="1200" customFormat="false" ht="15" hidden="false" customHeight="true" outlineLevel="0" collapsed="false">
      <c r="A1200" s="67" t="str">
        <f aca="false">IF(OR(TRIM(C1200)="",SUBSTITUTE(C1200," ","")="소계"),"제외",IF(ISNUMBER(SEARCH("홍콩",C1200)),"HK",IF(ISNUMBER(SEARCH("상해",C1200)),"CN",IF(ISNUMBER(SEARCH("대만",C1200)),"TW","홀세일"))))</f>
        <v>홀세일</v>
      </c>
      <c r="B1200" s="87" t="s">
        <v>1439</v>
      </c>
      <c r="C1200" s="87" t="s">
        <v>1440</v>
      </c>
      <c r="D1200" s="88" t="s">
        <v>178</v>
      </c>
      <c r="E1200" s="87" t="n">
        <v>2026</v>
      </c>
      <c r="F1200" s="88" t="s">
        <v>277</v>
      </c>
      <c r="G1200" s="88" t="s">
        <v>180</v>
      </c>
      <c r="H1200" s="87" t="s">
        <v>189</v>
      </c>
      <c r="I1200" s="87" t="s">
        <v>871</v>
      </c>
      <c r="J1200" s="87" t="s">
        <v>872</v>
      </c>
      <c r="K1200" s="89" t="n">
        <v>51</v>
      </c>
      <c r="L1200" s="89" t="n">
        <v>10149000</v>
      </c>
      <c r="M1200" s="89" t="n">
        <v>3894140</v>
      </c>
      <c r="N1200" s="90" t="n">
        <f aca="false">IF(A1200="제외",0,IF(OR(N(L1200)&lt;=0,N(M1200)&gt;N(L1200)),N(M1200)/가정!$B$4,N(L1200)))</f>
        <v>10149000</v>
      </c>
      <c r="O1200" s="67" t="str">
        <f aca="false">IF(A1200="제외","",IF(OR(N(L1200)&lt;=0,N(M1200)&gt;N(L1200)),"택가보정(판매금액÷공급율)",""))</f>
        <v/>
      </c>
    </row>
    <row r="1201" customFormat="false" ht="15" hidden="false" customHeight="true" outlineLevel="0" collapsed="false">
      <c r="A1201" s="67" t="str">
        <f aca="false">IF(OR(TRIM(C1201)="",SUBSTITUTE(C1201," ","")="소계"),"제외",IF(ISNUMBER(SEARCH("홍콩",C1201)),"HK",IF(ISNUMBER(SEARCH("상해",C1201)),"CN",IF(ISNUMBER(SEARCH("대만",C1201)),"TW","홀세일"))))</f>
        <v>홀세일</v>
      </c>
      <c r="B1201" s="87" t="s">
        <v>1439</v>
      </c>
      <c r="C1201" s="87" t="s">
        <v>1440</v>
      </c>
      <c r="D1201" s="88" t="s">
        <v>178</v>
      </c>
      <c r="E1201" s="87" t="n">
        <v>2026</v>
      </c>
      <c r="F1201" s="88" t="s">
        <v>277</v>
      </c>
      <c r="G1201" s="88" t="s">
        <v>180</v>
      </c>
      <c r="H1201" s="87" t="s">
        <v>181</v>
      </c>
      <c r="I1201" s="87" t="s">
        <v>875</v>
      </c>
      <c r="J1201" s="88" t="s">
        <v>876</v>
      </c>
      <c r="K1201" s="89" t="n">
        <v>51</v>
      </c>
      <c r="L1201" s="89" t="n">
        <v>8619000</v>
      </c>
      <c r="M1201" s="89" t="n">
        <v>3175593</v>
      </c>
      <c r="N1201" s="90" t="n">
        <f aca="false">IF(A1201="제외",0,IF(OR(N(L1201)&lt;=0,N(M1201)&gt;N(L1201)),N(M1201)/가정!$B$4,N(L1201)))</f>
        <v>8619000</v>
      </c>
      <c r="O1201" s="67" t="str">
        <f aca="false">IF(A1201="제외","",IF(OR(N(L1201)&lt;=0,N(M1201)&gt;N(L1201)),"택가보정(판매금액÷공급율)",""))</f>
        <v/>
      </c>
    </row>
    <row r="1202" customFormat="false" ht="15" hidden="false" customHeight="true" outlineLevel="0" collapsed="false">
      <c r="A1202" s="67" t="str">
        <f aca="false">IF(OR(TRIM(C1202)="",SUBSTITUTE(C1202," ","")="소계"),"제외",IF(ISNUMBER(SEARCH("홍콩",C1202)),"HK",IF(ISNUMBER(SEARCH("상해",C1202)),"CN",IF(ISNUMBER(SEARCH("대만",C1202)),"TW","홀세일"))))</f>
        <v>홀세일</v>
      </c>
      <c r="B1202" s="87" t="s">
        <v>1439</v>
      </c>
      <c r="C1202" s="87" t="s">
        <v>1440</v>
      </c>
      <c r="D1202" s="88" t="s">
        <v>178</v>
      </c>
      <c r="E1202" s="87" t="n">
        <v>2026</v>
      </c>
      <c r="F1202" s="88" t="s">
        <v>277</v>
      </c>
      <c r="G1202" s="88" t="s">
        <v>180</v>
      </c>
      <c r="H1202" s="87" t="s">
        <v>181</v>
      </c>
      <c r="I1202" s="87" t="s">
        <v>286</v>
      </c>
      <c r="J1202" s="88" t="s">
        <v>287</v>
      </c>
      <c r="K1202" s="89" t="n">
        <v>178</v>
      </c>
      <c r="L1202" s="89" t="n">
        <v>15842000</v>
      </c>
      <c r="M1202" s="89" t="n">
        <v>5979868</v>
      </c>
      <c r="N1202" s="90" t="n">
        <f aca="false">IF(A1202="제외",0,IF(OR(N(L1202)&lt;=0,N(M1202)&gt;N(L1202)),N(M1202)/가정!$B$4,N(L1202)))</f>
        <v>15842000</v>
      </c>
      <c r="O1202" s="67" t="str">
        <f aca="false">IF(A1202="제외","",IF(OR(N(L1202)&lt;=0,N(M1202)&gt;N(L1202)),"택가보정(판매금액÷공급율)",""))</f>
        <v/>
      </c>
    </row>
    <row r="1203" customFormat="false" ht="15" hidden="false" customHeight="true" outlineLevel="0" collapsed="false">
      <c r="A1203" s="67" t="str">
        <f aca="false">IF(OR(TRIM(C1203)="",SUBSTITUTE(C1203," ","")="소계"),"제외",IF(ISNUMBER(SEARCH("홍콩",C1203)),"HK",IF(ISNUMBER(SEARCH("상해",C1203)),"CN",IF(ISNUMBER(SEARCH("대만",C1203)),"TW","홀세일"))))</f>
        <v>홀세일</v>
      </c>
      <c r="B1203" s="87" t="s">
        <v>1439</v>
      </c>
      <c r="C1203" s="87" t="s">
        <v>1440</v>
      </c>
      <c r="D1203" s="88" t="s">
        <v>178</v>
      </c>
      <c r="E1203" s="87" t="n">
        <v>2026</v>
      </c>
      <c r="F1203" s="88" t="s">
        <v>277</v>
      </c>
      <c r="G1203" s="88" t="s">
        <v>180</v>
      </c>
      <c r="H1203" s="87" t="s">
        <v>181</v>
      </c>
      <c r="I1203" s="87" t="s">
        <v>288</v>
      </c>
      <c r="J1203" s="88" t="s">
        <v>289</v>
      </c>
      <c r="K1203" s="89" t="n">
        <v>127</v>
      </c>
      <c r="L1203" s="89" t="n">
        <v>13843000</v>
      </c>
      <c r="M1203" s="89" t="n">
        <v>5104044</v>
      </c>
      <c r="N1203" s="90" t="n">
        <f aca="false">IF(A1203="제외",0,IF(OR(N(L1203)&lt;=0,N(M1203)&gt;N(L1203)),N(M1203)/가정!$B$4,N(L1203)))</f>
        <v>13843000</v>
      </c>
      <c r="O1203" s="67" t="str">
        <f aca="false">IF(A1203="제외","",IF(OR(N(L1203)&lt;=0,N(M1203)&gt;N(L1203)),"택가보정(판매금액÷공급율)",""))</f>
        <v/>
      </c>
    </row>
    <row r="1204" customFormat="false" ht="15" hidden="false" customHeight="true" outlineLevel="0" collapsed="false">
      <c r="A1204" s="67" t="str">
        <f aca="false">IF(OR(TRIM(C1204)="",SUBSTITUTE(C1204," ","")="소계"),"제외",IF(ISNUMBER(SEARCH("홍콩",C1204)),"HK",IF(ISNUMBER(SEARCH("상해",C1204)),"CN",IF(ISNUMBER(SEARCH("대만",C1204)),"TW","홀세일"))))</f>
        <v>홀세일</v>
      </c>
      <c r="B1204" s="87" t="s">
        <v>1439</v>
      </c>
      <c r="C1204" s="87" t="s">
        <v>1440</v>
      </c>
      <c r="D1204" s="88" t="s">
        <v>178</v>
      </c>
      <c r="E1204" s="87" t="n">
        <v>2026</v>
      </c>
      <c r="F1204" s="88" t="s">
        <v>277</v>
      </c>
      <c r="G1204" s="88" t="s">
        <v>180</v>
      </c>
      <c r="H1204" s="87" t="s">
        <v>189</v>
      </c>
      <c r="I1204" s="87" t="s">
        <v>1335</v>
      </c>
      <c r="J1204" s="88" t="s">
        <v>1336</v>
      </c>
      <c r="K1204" s="89" t="n">
        <v>92</v>
      </c>
      <c r="L1204" s="89" t="n">
        <v>10028000</v>
      </c>
      <c r="M1204" s="89" t="n">
        <v>3696974</v>
      </c>
      <c r="N1204" s="90" t="n">
        <f aca="false">IF(A1204="제외",0,IF(OR(N(L1204)&lt;=0,N(M1204)&gt;N(L1204)),N(M1204)/가정!$B$4,N(L1204)))</f>
        <v>10028000</v>
      </c>
      <c r="O1204" s="67" t="str">
        <f aca="false">IF(A1204="제외","",IF(OR(N(L1204)&lt;=0,N(M1204)&gt;N(L1204)),"택가보정(판매금액÷공급율)",""))</f>
        <v/>
      </c>
    </row>
    <row r="1205" customFormat="false" ht="15" hidden="false" customHeight="true" outlineLevel="0" collapsed="false">
      <c r="A1205" s="67" t="str">
        <f aca="false">IF(OR(TRIM(C1205)="",SUBSTITUTE(C1205," ","")="소계"),"제외",IF(ISNUMBER(SEARCH("홍콩",C1205)),"HK",IF(ISNUMBER(SEARCH("상해",C1205)),"CN",IF(ISNUMBER(SEARCH("대만",C1205)),"TW","홀세일"))))</f>
        <v>홀세일</v>
      </c>
      <c r="B1205" s="87" t="s">
        <v>1439</v>
      </c>
      <c r="C1205" s="87" t="s">
        <v>1440</v>
      </c>
      <c r="D1205" s="88" t="s">
        <v>178</v>
      </c>
      <c r="E1205" s="87" t="n">
        <v>2026</v>
      </c>
      <c r="F1205" s="88" t="s">
        <v>277</v>
      </c>
      <c r="G1205" s="88" t="s">
        <v>180</v>
      </c>
      <c r="H1205" s="87" t="s">
        <v>181</v>
      </c>
      <c r="I1205" s="87" t="s">
        <v>290</v>
      </c>
      <c r="J1205" s="88" t="s">
        <v>291</v>
      </c>
      <c r="K1205" s="89" t="n">
        <v>51</v>
      </c>
      <c r="L1205" s="89" t="n">
        <v>7599000</v>
      </c>
      <c r="M1205" s="89" t="n">
        <v>2800228</v>
      </c>
      <c r="N1205" s="90" t="n">
        <f aca="false">IF(A1205="제외",0,IF(OR(N(L1205)&lt;=0,N(M1205)&gt;N(L1205)),N(M1205)/가정!$B$4,N(L1205)))</f>
        <v>7599000</v>
      </c>
      <c r="O1205" s="67" t="str">
        <f aca="false">IF(A1205="제외","",IF(OR(N(L1205)&lt;=0,N(M1205)&gt;N(L1205)),"택가보정(판매금액÷공급율)",""))</f>
        <v/>
      </c>
    </row>
    <row r="1206" customFormat="false" ht="15" hidden="false" customHeight="true" outlineLevel="0" collapsed="false">
      <c r="A1206" s="67" t="str">
        <f aca="false">IF(OR(TRIM(C1206)="",SUBSTITUTE(C1206," ","")="소계"),"제외",IF(ISNUMBER(SEARCH("홍콩",C1206)),"HK",IF(ISNUMBER(SEARCH("상해",C1206)),"CN",IF(ISNUMBER(SEARCH("대만",C1206)),"TW","홀세일"))))</f>
        <v>홀세일</v>
      </c>
      <c r="B1206" s="87" t="s">
        <v>1439</v>
      </c>
      <c r="C1206" s="87" t="s">
        <v>1440</v>
      </c>
      <c r="D1206" s="88" t="s">
        <v>178</v>
      </c>
      <c r="E1206" s="87" t="n">
        <v>2026</v>
      </c>
      <c r="F1206" s="88" t="s">
        <v>277</v>
      </c>
      <c r="G1206" s="88" t="s">
        <v>180</v>
      </c>
      <c r="H1206" s="87" t="s">
        <v>189</v>
      </c>
      <c r="I1206" s="87" t="s">
        <v>300</v>
      </c>
      <c r="J1206" s="87" t="s">
        <v>301</v>
      </c>
      <c r="K1206" s="89" t="n">
        <v>76</v>
      </c>
      <c r="L1206" s="89" t="n">
        <v>6004000</v>
      </c>
      <c r="M1206" s="89" t="n">
        <v>2215348</v>
      </c>
      <c r="N1206" s="90" t="n">
        <f aca="false">IF(A1206="제외",0,IF(OR(N(L1206)&lt;=0,N(M1206)&gt;N(L1206)),N(M1206)/가정!$B$4,N(L1206)))</f>
        <v>6004000</v>
      </c>
      <c r="O1206" s="67" t="str">
        <f aca="false">IF(A1206="제외","",IF(OR(N(L1206)&lt;=0,N(M1206)&gt;N(L1206)),"택가보정(판매금액÷공급율)",""))</f>
        <v/>
      </c>
    </row>
    <row r="1207" customFormat="false" ht="15" hidden="false" customHeight="true" outlineLevel="0" collapsed="false">
      <c r="A1207" s="67" t="str">
        <f aca="false">IF(OR(TRIM(C1207)="",SUBSTITUTE(C1207," ","")="소계"),"제외",IF(ISNUMBER(SEARCH("홍콩",C1207)),"HK",IF(ISNUMBER(SEARCH("상해",C1207)),"CN",IF(ISNUMBER(SEARCH("대만",C1207)),"TW","홀세일"))))</f>
        <v>홀세일</v>
      </c>
      <c r="B1207" s="87" t="s">
        <v>1439</v>
      </c>
      <c r="C1207" s="87" t="s">
        <v>1440</v>
      </c>
      <c r="D1207" s="88" t="s">
        <v>178</v>
      </c>
      <c r="E1207" s="87" t="n">
        <v>2026</v>
      </c>
      <c r="F1207" s="88" t="s">
        <v>277</v>
      </c>
      <c r="G1207" s="88" t="s">
        <v>180</v>
      </c>
      <c r="H1207" s="87" t="s">
        <v>181</v>
      </c>
      <c r="I1207" s="87" t="s">
        <v>302</v>
      </c>
      <c r="J1207" s="88" t="s">
        <v>303</v>
      </c>
      <c r="K1207" s="89" t="n">
        <v>178</v>
      </c>
      <c r="L1207" s="89" t="n">
        <v>14062000</v>
      </c>
      <c r="M1207" s="89" t="n">
        <v>5188194</v>
      </c>
      <c r="N1207" s="90" t="n">
        <f aca="false">IF(A1207="제외",0,IF(OR(N(L1207)&lt;=0,N(M1207)&gt;N(L1207)),N(M1207)/가정!$B$4,N(L1207)))</f>
        <v>14062000</v>
      </c>
      <c r="O1207" s="67" t="str">
        <f aca="false">IF(A1207="제외","",IF(OR(N(L1207)&lt;=0,N(M1207)&gt;N(L1207)),"택가보정(판매금액÷공급율)",""))</f>
        <v/>
      </c>
    </row>
    <row r="1208" customFormat="false" ht="15" hidden="false" customHeight="true" outlineLevel="0" collapsed="false">
      <c r="A1208" s="67" t="str">
        <f aca="false">IF(OR(TRIM(C1208)="",SUBSTITUTE(C1208," ","")="소계"),"제외",IF(ISNUMBER(SEARCH("홍콩",C1208)),"HK",IF(ISNUMBER(SEARCH("상해",C1208)),"CN",IF(ISNUMBER(SEARCH("대만",C1208)),"TW","홀세일"))))</f>
        <v>홀세일</v>
      </c>
      <c r="B1208" s="87" t="s">
        <v>1439</v>
      </c>
      <c r="C1208" s="87" t="s">
        <v>1440</v>
      </c>
      <c r="D1208" s="88" t="s">
        <v>178</v>
      </c>
      <c r="E1208" s="87" t="n">
        <v>2026</v>
      </c>
      <c r="F1208" s="88" t="s">
        <v>277</v>
      </c>
      <c r="G1208" s="88" t="s">
        <v>180</v>
      </c>
      <c r="H1208" s="88" t="s">
        <v>185</v>
      </c>
      <c r="I1208" s="87" t="s">
        <v>314</v>
      </c>
      <c r="J1208" s="87" t="s">
        <v>315</v>
      </c>
      <c r="K1208" s="89" t="n">
        <v>243</v>
      </c>
      <c r="L1208" s="89" t="n">
        <v>21627000</v>
      </c>
      <c r="M1208" s="89" t="n">
        <v>7982703</v>
      </c>
      <c r="N1208" s="90" t="n">
        <f aca="false">IF(A1208="제외",0,IF(OR(N(L1208)&lt;=0,N(M1208)&gt;N(L1208)),N(M1208)/가정!$B$4,N(L1208)))</f>
        <v>21627000</v>
      </c>
      <c r="O1208" s="67" t="str">
        <f aca="false">IF(A1208="제외","",IF(OR(N(L1208)&lt;=0,N(M1208)&gt;N(L1208)),"택가보정(판매금액÷공급율)",""))</f>
        <v/>
      </c>
    </row>
    <row r="1209" customFormat="false" ht="15" hidden="false" customHeight="true" outlineLevel="0" collapsed="false">
      <c r="A1209" s="67" t="str">
        <f aca="false">IF(OR(TRIM(C1209)="",SUBSTITUTE(C1209," ","")="소계"),"제외",IF(ISNUMBER(SEARCH("홍콩",C1209)),"HK",IF(ISNUMBER(SEARCH("상해",C1209)),"CN",IF(ISNUMBER(SEARCH("대만",C1209)),"TW","홀세일"))))</f>
        <v>홀세일</v>
      </c>
      <c r="B1209" s="87" t="s">
        <v>1439</v>
      </c>
      <c r="C1209" s="87" t="s">
        <v>1440</v>
      </c>
      <c r="D1209" s="88" t="s">
        <v>178</v>
      </c>
      <c r="E1209" s="87" t="n">
        <v>2026</v>
      </c>
      <c r="F1209" s="88" t="s">
        <v>277</v>
      </c>
      <c r="G1209" s="88" t="s">
        <v>180</v>
      </c>
      <c r="H1209" s="87" t="s">
        <v>189</v>
      </c>
      <c r="I1209" s="87" t="s">
        <v>885</v>
      </c>
      <c r="J1209" s="88" t="s">
        <v>886</v>
      </c>
      <c r="K1209" s="89" t="n">
        <v>66</v>
      </c>
      <c r="L1209" s="89" t="n">
        <v>9174000</v>
      </c>
      <c r="M1209" s="89" t="n">
        <v>3515215</v>
      </c>
      <c r="N1209" s="90" t="n">
        <f aca="false">IF(A1209="제외",0,IF(OR(N(L1209)&lt;=0,N(M1209)&gt;N(L1209)),N(M1209)/가정!$B$4,N(L1209)))</f>
        <v>9174000</v>
      </c>
      <c r="O1209" s="67" t="str">
        <f aca="false">IF(A1209="제외","",IF(OR(N(L1209)&lt;=0,N(M1209)&gt;N(L1209)),"택가보정(판매금액÷공급율)",""))</f>
        <v/>
      </c>
    </row>
    <row r="1210" customFormat="false" ht="15" hidden="false" customHeight="true" outlineLevel="0" collapsed="false">
      <c r="A1210" s="67" t="str">
        <f aca="false">IF(OR(TRIM(C1210)="",SUBSTITUTE(C1210," ","")="소계"),"제외",IF(ISNUMBER(SEARCH("홍콩",C1210)),"HK",IF(ISNUMBER(SEARCH("상해",C1210)),"CN",IF(ISNUMBER(SEARCH("대만",C1210)),"TW","홀세일"))))</f>
        <v>홀세일</v>
      </c>
      <c r="B1210" s="87" t="s">
        <v>1439</v>
      </c>
      <c r="C1210" s="87" t="s">
        <v>1440</v>
      </c>
      <c r="D1210" s="88" t="s">
        <v>178</v>
      </c>
      <c r="E1210" s="87" t="n">
        <v>2026</v>
      </c>
      <c r="F1210" s="88" t="s">
        <v>277</v>
      </c>
      <c r="G1210" s="88" t="s">
        <v>180</v>
      </c>
      <c r="H1210" s="87" t="s">
        <v>189</v>
      </c>
      <c r="I1210" s="87" t="s">
        <v>1339</v>
      </c>
      <c r="J1210" s="88" t="s">
        <v>1340</v>
      </c>
      <c r="K1210" s="89" t="n">
        <v>264</v>
      </c>
      <c r="L1210" s="89" t="n">
        <v>23496000</v>
      </c>
      <c r="M1210" s="89" t="n">
        <v>8497604</v>
      </c>
      <c r="N1210" s="90" t="n">
        <f aca="false">IF(A1210="제외",0,IF(OR(N(L1210)&lt;=0,N(M1210)&gt;N(L1210)),N(M1210)/가정!$B$4,N(L1210)))</f>
        <v>23496000</v>
      </c>
      <c r="O1210" s="67" t="str">
        <f aca="false">IF(A1210="제외","",IF(OR(N(L1210)&lt;=0,N(M1210)&gt;N(L1210)),"택가보정(판매금액÷공급율)",""))</f>
        <v/>
      </c>
    </row>
    <row r="1211" customFormat="false" ht="15" hidden="false" customHeight="true" outlineLevel="0" collapsed="false">
      <c r="A1211" s="67" t="str">
        <f aca="false">IF(OR(TRIM(C1211)="",SUBSTITUTE(C1211," ","")="소계"),"제외",IF(ISNUMBER(SEARCH("홍콩",C1211)),"HK",IF(ISNUMBER(SEARCH("상해",C1211)),"CN",IF(ISNUMBER(SEARCH("대만",C1211)),"TW","홀세일"))))</f>
        <v>홀세일</v>
      </c>
      <c r="B1211" s="87" t="s">
        <v>1439</v>
      </c>
      <c r="C1211" s="87" t="s">
        <v>1440</v>
      </c>
      <c r="D1211" s="88" t="s">
        <v>178</v>
      </c>
      <c r="E1211" s="87" t="n">
        <v>2026</v>
      </c>
      <c r="F1211" s="88" t="s">
        <v>277</v>
      </c>
      <c r="G1211" s="88" t="s">
        <v>180</v>
      </c>
      <c r="H1211" s="87" t="s">
        <v>181</v>
      </c>
      <c r="I1211" s="87" t="s">
        <v>338</v>
      </c>
      <c r="J1211" s="88" t="s">
        <v>339</v>
      </c>
      <c r="K1211" s="89" t="n">
        <v>122</v>
      </c>
      <c r="L1211" s="89" t="n">
        <v>12078000</v>
      </c>
      <c r="M1211" s="89" t="n">
        <v>4558138</v>
      </c>
      <c r="N1211" s="90" t="n">
        <f aca="false">IF(A1211="제외",0,IF(OR(N(L1211)&lt;=0,N(M1211)&gt;N(L1211)),N(M1211)/가정!$B$4,N(L1211)))</f>
        <v>12078000</v>
      </c>
      <c r="O1211" s="67" t="str">
        <f aca="false">IF(A1211="제외","",IF(OR(N(L1211)&lt;=0,N(M1211)&gt;N(L1211)),"택가보정(판매금액÷공급율)",""))</f>
        <v/>
      </c>
    </row>
    <row r="1212" customFormat="false" ht="15" hidden="false" customHeight="true" outlineLevel="0" collapsed="false">
      <c r="A1212" s="67" t="str">
        <f aca="false">IF(OR(TRIM(C1212)="",SUBSTITUTE(C1212," ","")="소계"),"제외",IF(ISNUMBER(SEARCH("홍콩",C1212)),"HK",IF(ISNUMBER(SEARCH("상해",C1212)),"CN",IF(ISNUMBER(SEARCH("대만",C1212)),"TW","홀세일"))))</f>
        <v>홀세일</v>
      </c>
      <c r="B1212" s="87" t="s">
        <v>1439</v>
      </c>
      <c r="C1212" s="87" t="s">
        <v>1440</v>
      </c>
      <c r="D1212" s="88" t="s">
        <v>178</v>
      </c>
      <c r="E1212" s="87" t="n">
        <v>2026</v>
      </c>
      <c r="F1212" s="88" t="s">
        <v>277</v>
      </c>
      <c r="G1212" s="88" t="s">
        <v>180</v>
      </c>
      <c r="H1212" s="87" t="s">
        <v>189</v>
      </c>
      <c r="I1212" s="87" t="s">
        <v>348</v>
      </c>
      <c r="J1212" s="88" t="s">
        <v>349</v>
      </c>
      <c r="K1212" s="89" t="n">
        <v>183</v>
      </c>
      <c r="L1212" s="89" t="n">
        <v>12627000</v>
      </c>
      <c r="M1212" s="89" t="n">
        <v>4569678</v>
      </c>
      <c r="N1212" s="90" t="n">
        <f aca="false">IF(A1212="제외",0,IF(OR(N(L1212)&lt;=0,N(M1212)&gt;N(L1212)),N(M1212)/가정!$B$4,N(L1212)))</f>
        <v>12627000</v>
      </c>
      <c r="O1212" s="67" t="str">
        <f aca="false">IF(A1212="제외","",IF(OR(N(L1212)&lt;=0,N(M1212)&gt;N(L1212)),"택가보정(판매금액÷공급율)",""))</f>
        <v/>
      </c>
    </row>
    <row r="1213" customFormat="false" ht="15" hidden="false" customHeight="true" outlineLevel="0" collapsed="false">
      <c r="A1213" s="67" t="str">
        <f aca="false">IF(OR(TRIM(C1213)="",SUBSTITUTE(C1213," ","")="소계"),"제외",IF(ISNUMBER(SEARCH("홍콩",C1213)),"HK",IF(ISNUMBER(SEARCH("상해",C1213)),"CN",IF(ISNUMBER(SEARCH("대만",C1213)),"TW","홀세일"))))</f>
        <v>홀세일</v>
      </c>
      <c r="B1213" s="87" t="s">
        <v>1439</v>
      </c>
      <c r="C1213" s="87" t="s">
        <v>1440</v>
      </c>
      <c r="D1213" s="88" t="s">
        <v>178</v>
      </c>
      <c r="E1213" s="87" t="n">
        <v>2026</v>
      </c>
      <c r="F1213" s="88" t="s">
        <v>277</v>
      </c>
      <c r="G1213" s="88" t="s">
        <v>180</v>
      </c>
      <c r="H1213" s="87" t="s">
        <v>189</v>
      </c>
      <c r="I1213" s="87" t="s">
        <v>350</v>
      </c>
      <c r="J1213" s="88" t="s">
        <v>351</v>
      </c>
      <c r="K1213" s="89" t="n">
        <v>61</v>
      </c>
      <c r="L1213" s="89" t="n">
        <v>3599000</v>
      </c>
      <c r="M1213" s="89" t="n">
        <v>1321498</v>
      </c>
      <c r="N1213" s="90" t="n">
        <f aca="false">IF(A1213="제외",0,IF(OR(N(L1213)&lt;=0,N(M1213)&gt;N(L1213)),N(M1213)/가정!$B$4,N(L1213)))</f>
        <v>3599000</v>
      </c>
      <c r="O1213" s="67" t="str">
        <f aca="false">IF(A1213="제외","",IF(OR(N(L1213)&lt;=0,N(M1213)&gt;N(L1213)),"택가보정(판매금액÷공급율)",""))</f>
        <v/>
      </c>
    </row>
    <row r="1214" customFormat="false" ht="15" hidden="false" customHeight="true" outlineLevel="0" collapsed="false">
      <c r="A1214" s="67" t="str">
        <f aca="false">IF(OR(TRIM(C1214)="",SUBSTITUTE(C1214," ","")="소계"),"제외",IF(ISNUMBER(SEARCH("홍콩",C1214)),"HK",IF(ISNUMBER(SEARCH("상해",C1214)),"CN",IF(ISNUMBER(SEARCH("대만",C1214)),"TW","홀세일"))))</f>
        <v>홀세일</v>
      </c>
      <c r="B1214" s="87" t="s">
        <v>1439</v>
      </c>
      <c r="C1214" s="87" t="s">
        <v>1440</v>
      </c>
      <c r="D1214" s="88" t="s">
        <v>178</v>
      </c>
      <c r="E1214" s="87" t="n">
        <v>2026</v>
      </c>
      <c r="F1214" s="88" t="s">
        <v>277</v>
      </c>
      <c r="G1214" s="88" t="s">
        <v>180</v>
      </c>
      <c r="H1214" s="87" t="s">
        <v>189</v>
      </c>
      <c r="I1214" s="87" t="s">
        <v>358</v>
      </c>
      <c r="J1214" s="88" t="s">
        <v>359</v>
      </c>
      <c r="K1214" s="89" t="n">
        <v>56</v>
      </c>
      <c r="L1214" s="89" t="n">
        <v>3864000</v>
      </c>
      <c r="M1214" s="89" t="n">
        <v>1459421</v>
      </c>
      <c r="N1214" s="90" t="n">
        <f aca="false">IF(A1214="제외",0,IF(OR(N(L1214)&lt;=0,N(M1214)&gt;N(L1214)),N(M1214)/가정!$B$4,N(L1214)))</f>
        <v>3864000</v>
      </c>
      <c r="O1214" s="67" t="str">
        <f aca="false">IF(A1214="제외","",IF(OR(N(L1214)&lt;=0,N(M1214)&gt;N(L1214)),"택가보정(판매금액÷공급율)",""))</f>
        <v/>
      </c>
    </row>
    <row r="1215" customFormat="false" ht="15" hidden="false" customHeight="true" outlineLevel="0" collapsed="false">
      <c r="A1215" s="67" t="str">
        <f aca="false">IF(OR(TRIM(C1215)="",SUBSTITUTE(C1215," ","")="소계"),"제외",IF(ISNUMBER(SEARCH("홍콩",C1215)),"HK",IF(ISNUMBER(SEARCH("상해",C1215)),"CN",IF(ISNUMBER(SEARCH("대만",C1215)),"TW","홀세일"))))</f>
        <v>홀세일</v>
      </c>
      <c r="B1215" s="87" t="s">
        <v>1439</v>
      </c>
      <c r="C1215" s="87" t="s">
        <v>1440</v>
      </c>
      <c r="D1215" s="88" t="s">
        <v>178</v>
      </c>
      <c r="E1215" s="87" t="n">
        <v>2026</v>
      </c>
      <c r="F1215" s="88" t="s">
        <v>277</v>
      </c>
      <c r="G1215" s="88" t="s">
        <v>180</v>
      </c>
      <c r="H1215" s="87" t="s">
        <v>189</v>
      </c>
      <c r="I1215" s="87" t="s">
        <v>360</v>
      </c>
      <c r="J1215" s="88" t="s">
        <v>361</v>
      </c>
      <c r="K1215" s="89" t="n">
        <v>56</v>
      </c>
      <c r="L1215" s="89" t="n">
        <v>3864000</v>
      </c>
      <c r="M1215" s="89" t="n">
        <v>1459421</v>
      </c>
      <c r="N1215" s="90" t="n">
        <f aca="false">IF(A1215="제외",0,IF(OR(N(L1215)&lt;=0,N(M1215)&gt;N(L1215)),N(M1215)/가정!$B$4,N(L1215)))</f>
        <v>3864000</v>
      </c>
      <c r="O1215" s="67" t="str">
        <f aca="false">IF(A1215="제외","",IF(OR(N(L1215)&lt;=0,N(M1215)&gt;N(L1215)),"택가보정(판매금액÷공급율)",""))</f>
        <v/>
      </c>
    </row>
    <row r="1216" customFormat="false" ht="15" hidden="false" customHeight="true" outlineLevel="0" collapsed="false">
      <c r="A1216" s="67" t="str">
        <f aca="false">IF(OR(TRIM(C1216)="",SUBSTITUTE(C1216," ","")="소계"),"제외",IF(ISNUMBER(SEARCH("홍콩",C1216)),"HK",IF(ISNUMBER(SEARCH("상해",C1216)),"CN",IF(ISNUMBER(SEARCH("대만",C1216)),"TW","홀세일"))))</f>
        <v>홀세일</v>
      </c>
      <c r="B1216" s="87" t="s">
        <v>1439</v>
      </c>
      <c r="C1216" s="87" t="s">
        <v>1440</v>
      </c>
      <c r="D1216" s="88" t="s">
        <v>178</v>
      </c>
      <c r="E1216" s="87" t="n">
        <v>2026</v>
      </c>
      <c r="F1216" s="88" t="s">
        <v>277</v>
      </c>
      <c r="G1216" s="88" t="s">
        <v>180</v>
      </c>
      <c r="H1216" s="87" t="s">
        <v>189</v>
      </c>
      <c r="I1216" s="87" t="s">
        <v>362</v>
      </c>
      <c r="J1216" s="88" t="s">
        <v>363</v>
      </c>
      <c r="K1216" s="89" t="n">
        <v>141</v>
      </c>
      <c r="L1216" s="89" t="n">
        <v>8319000</v>
      </c>
      <c r="M1216" s="89" t="n">
        <v>3144084</v>
      </c>
      <c r="N1216" s="90" t="n">
        <f aca="false">IF(A1216="제외",0,IF(OR(N(L1216)&lt;=0,N(M1216)&gt;N(L1216)),N(M1216)/가정!$B$4,N(L1216)))</f>
        <v>8319000</v>
      </c>
      <c r="O1216" s="67" t="str">
        <f aca="false">IF(A1216="제외","",IF(OR(N(L1216)&lt;=0,N(M1216)&gt;N(L1216)),"택가보정(판매금액÷공급율)",""))</f>
        <v/>
      </c>
    </row>
    <row r="1217" customFormat="false" ht="15" hidden="false" customHeight="true" outlineLevel="0" collapsed="false">
      <c r="A1217" s="67" t="str">
        <f aca="false">IF(OR(TRIM(C1217)="",SUBSTITUTE(C1217," ","")="소계"),"제외",IF(ISNUMBER(SEARCH("홍콩",C1217)),"HK",IF(ISNUMBER(SEARCH("상해",C1217)),"CN",IF(ISNUMBER(SEARCH("대만",C1217)),"TW","홀세일"))))</f>
        <v>홀세일</v>
      </c>
      <c r="B1217" s="87" t="s">
        <v>1439</v>
      </c>
      <c r="C1217" s="87" t="s">
        <v>1440</v>
      </c>
      <c r="D1217" s="88" t="s">
        <v>178</v>
      </c>
      <c r="E1217" s="87" t="n">
        <v>2026</v>
      </c>
      <c r="F1217" s="88" t="s">
        <v>277</v>
      </c>
      <c r="G1217" s="88" t="s">
        <v>180</v>
      </c>
      <c r="H1217" s="87" t="s">
        <v>189</v>
      </c>
      <c r="I1217" s="87" t="s">
        <v>370</v>
      </c>
      <c r="J1217" s="88" t="s">
        <v>371</v>
      </c>
      <c r="K1217" s="89" t="n">
        <v>56</v>
      </c>
      <c r="L1217" s="89" t="n">
        <v>4984000</v>
      </c>
      <c r="M1217" s="89" t="n">
        <v>1881226</v>
      </c>
      <c r="N1217" s="90" t="n">
        <f aca="false">IF(A1217="제외",0,IF(OR(N(L1217)&lt;=0,N(M1217)&gt;N(L1217)),N(M1217)/가정!$B$4,N(L1217)))</f>
        <v>4984000</v>
      </c>
      <c r="O1217" s="67" t="str">
        <f aca="false">IF(A1217="제외","",IF(OR(N(L1217)&lt;=0,N(M1217)&gt;N(L1217)),"택가보정(판매금액÷공급율)",""))</f>
        <v/>
      </c>
    </row>
    <row r="1218" customFormat="false" ht="15" hidden="false" customHeight="true" outlineLevel="0" collapsed="false">
      <c r="A1218" s="67" t="str">
        <f aca="false">IF(OR(TRIM(C1218)="",SUBSTITUTE(C1218," ","")="소계"),"제외",IF(ISNUMBER(SEARCH("홍콩",C1218)),"HK",IF(ISNUMBER(SEARCH("상해",C1218)),"CN",IF(ISNUMBER(SEARCH("대만",C1218)),"TW","홀세일"))))</f>
        <v>홀세일</v>
      </c>
      <c r="B1218" s="87" t="s">
        <v>1439</v>
      </c>
      <c r="C1218" s="87" t="s">
        <v>1440</v>
      </c>
      <c r="D1218" s="88" t="s">
        <v>178</v>
      </c>
      <c r="E1218" s="87" t="n">
        <v>2026</v>
      </c>
      <c r="F1218" s="88" t="s">
        <v>277</v>
      </c>
      <c r="G1218" s="88" t="s">
        <v>180</v>
      </c>
      <c r="H1218" s="87" t="s">
        <v>181</v>
      </c>
      <c r="I1218" s="87" t="s">
        <v>374</v>
      </c>
      <c r="J1218" s="88" t="s">
        <v>375</v>
      </c>
      <c r="K1218" s="89" t="n">
        <v>122</v>
      </c>
      <c r="L1218" s="89" t="n">
        <v>7198000</v>
      </c>
      <c r="M1218" s="89" t="n">
        <v>2642996</v>
      </c>
      <c r="N1218" s="90" t="n">
        <f aca="false">IF(A1218="제외",0,IF(OR(N(L1218)&lt;=0,N(M1218)&gt;N(L1218)),N(M1218)/가정!$B$4,N(L1218)))</f>
        <v>7198000</v>
      </c>
      <c r="O1218" s="67" t="str">
        <f aca="false">IF(A1218="제외","",IF(OR(N(L1218)&lt;=0,N(M1218)&gt;N(L1218)),"택가보정(판매금액÷공급율)",""))</f>
        <v/>
      </c>
    </row>
    <row r="1219" customFormat="false" ht="15" hidden="false" customHeight="true" outlineLevel="0" collapsed="false">
      <c r="A1219" s="67" t="str">
        <f aca="false">IF(OR(TRIM(C1219)="",SUBSTITUTE(C1219," ","")="소계"),"제외",IF(ISNUMBER(SEARCH("홍콩",C1219)),"HK",IF(ISNUMBER(SEARCH("상해",C1219)),"CN",IF(ISNUMBER(SEARCH("대만",C1219)),"TW","홀세일"))))</f>
        <v>홀세일</v>
      </c>
      <c r="B1219" s="87" t="s">
        <v>1439</v>
      </c>
      <c r="C1219" s="87" t="s">
        <v>1440</v>
      </c>
      <c r="D1219" s="88" t="s">
        <v>178</v>
      </c>
      <c r="E1219" s="87" t="n">
        <v>2026</v>
      </c>
      <c r="F1219" s="88" t="s">
        <v>277</v>
      </c>
      <c r="G1219" s="88" t="s">
        <v>180</v>
      </c>
      <c r="H1219" s="87" t="s">
        <v>181</v>
      </c>
      <c r="I1219" s="87" t="s">
        <v>378</v>
      </c>
      <c r="J1219" s="88" t="s">
        <v>379</v>
      </c>
      <c r="K1219" s="89" t="n">
        <v>56</v>
      </c>
      <c r="L1219" s="89" t="n">
        <v>3864000</v>
      </c>
      <c r="M1219" s="89" t="n">
        <v>1418061</v>
      </c>
      <c r="N1219" s="90" t="n">
        <f aca="false">IF(A1219="제외",0,IF(OR(N(L1219)&lt;=0,N(M1219)&gt;N(L1219)),N(M1219)/가정!$B$4,N(L1219)))</f>
        <v>3864000</v>
      </c>
      <c r="O1219" s="67" t="str">
        <f aca="false">IF(A1219="제외","",IF(OR(N(L1219)&lt;=0,N(M1219)&gt;N(L1219)),"택가보정(판매금액÷공급율)",""))</f>
        <v/>
      </c>
    </row>
    <row r="1220" customFormat="false" ht="15" hidden="false" customHeight="true" outlineLevel="0" collapsed="false">
      <c r="A1220" s="67" t="str">
        <f aca="false">IF(OR(TRIM(C1220)="",SUBSTITUTE(C1220," ","")="소계"),"제외",IF(ISNUMBER(SEARCH("홍콩",C1220)),"HK",IF(ISNUMBER(SEARCH("상해",C1220)),"CN",IF(ISNUMBER(SEARCH("대만",C1220)),"TW","홀세일"))))</f>
        <v>홀세일</v>
      </c>
      <c r="B1220" s="87" t="s">
        <v>1439</v>
      </c>
      <c r="C1220" s="87" t="s">
        <v>1440</v>
      </c>
      <c r="D1220" s="88" t="s">
        <v>178</v>
      </c>
      <c r="E1220" s="87" t="n">
        <v>2026</v>
      </c>
      <c r="F1220" s="88" t="s">
        <v>277</v>
      </c>
      <c r="G1220" s="88" t="s">
        <v>180</v>
      </c>
      <c r="H1220" s="88" t="s">
        <v>185</v>
      </c>
      <c r="I1220" s="87" t="s">
        <v>1454</v>
      </c>
      <c r="J1220" s="87" t="s">
        <v>1455</v>
      </c>
      <c r="K1220" s="89" t="n">
        <v>61</v>
      </c>
      <c r="L1220" s="89" t="n">
        <v>3599000</v>
      </c>
      <c r="M1220" s="89" t="n">
        <v>1360078</v>
      </c>
      <c r="N1220" s="90" t="n">
        <f aca="false">IF(A1220="제외",0,IF(OR(N(L1220)&lt;=0,N(M1220)&gt;N(L1220)),N(M1220)/가정!$B$4,N(L1220)))</f>
        <v>3599000</v>
      </c>
      <c r="O1220" s="67" t="str">
        <f aca="false">IF(A1220="제외","",IF(OR(N(L1220)&lt;=0,N(M1220)&gt;N(L1220)),"택가보정(판매금액÷공급율)",""))</f>
        <v/>
      </c>
    </row>
    <row r="1221" customFormat="false" ht="15" hidden="false" customHeight="true" outlineLevel="0" collapsed="false">
      <c r="A1221" s="67" t="str">
        <f aca="false">IF(OR(TRIM(C1221)="",SUBSTITUTE(C1221," ","")="소계"),"제외",IF(ISNUMBER(SEARCH("홍콩",C1221)),"HK",IF(ISNUMBER(SEARCH("상해",C1221)),"CN",IF(ISNUMBER(SEARCH("대만",C1221)),"TW","홀세일"))))</f>
        <v>홀세일</v>
      </c>
      <c r="B1221" s="87" t="s">
        <v>1439</v>
      </c>
      <c r="C1221" s="87" t="s">
        <v>1440</v>
      </c>
      <c r="D1221" s="88" t="s">
        <v>178</v>
      </c>
      <c r="E1221" s="87" t="n">
        <v>2026</v>
      </c>
      <c r="F1221" s="88" t="s">
        <v>277</v>
      </c>
      <c r="G1221" s="88" t="s">
        <v>418</v>
      </c>
      <c r="H1221" s="87" t="s">
        <v>189</v>
      </c>
      <c r="I1221" s="87" t="s">
        <v>1456</v>
      </c>
      <c r="J1221" s="88" t="s">
        <v>1457</v>
      </c>
      <c r="K1221" s="89" t="n">
        <v>120</v>
      </c>
      <c r="L1221" s="89" t="n">
        <v>15480000</v>
      </c>
      <c r="M1221" s="89" t="n">
        <v>6823680</v>
      </c>
      <c r="N1221" s="90" t="n">
        <f aca="false">IF(A1221="제외",0,IF(OR(N(L1221)&lt;=0,N(M1221)&gt;N(L1221)),N(M1221)/가정!$B$4,N(L1221)))</f>
        <v>15480000</v>
      </c>
      <c r="O1221" s="67" t="str">
        <f aca="false">IF(A1221="제외","",IF(OR(N(L1221)&lt;=0,N(M1221)&gt;N(L1221)),"택가보정(판매금액÷공급율)",""))</f>
        <v/>
      </c>
    </row>
    <row r="1222" customFormat="false" ht="15" hidden="false" customHeight="true" outlineLevel="0" collapsed="false">
      <c r="A1222" s="67" t="str">
        <f aca="false">IF(OR(TRIM(C1222)="",SUBSTITUTE(C1222," ","")="소계"),"제외",IF(ISNUMBER(SEARCH("홍콩",C1222)),"HK",IF(ISNUMBER(SEARCH("상해",C1222)),"CN",IF(ISNUMBER(SEARCH("대만",C1222)),"TW","홀세일"))))</f>
        <v>홀세일</v>
      </c>
      <c r="B1222" s="87" t="s">
        <v>1439</v>
      </c>
      <c r="C1222" s="87" t="s">
        <v>1440</v>
      </c>
      <c r="D1222" s="88" t="s">
        <v>178</v>
      </c>
      <c r="E1222" s="87" t="n">
        <v>2026</v>
      </c>
      <c r="F1222" s="88" t="s">
        <v>277</v>
      </c>
      <c r="G1222" s="88" t="s">
        <v>180</v>
      </c>
      <c r="H1222" s="87" t="s">
        <v>246</v>
      </c>
      <c r="I1222" s="87" t="s">
        <v>390</v>
      </c>
      <c r="J1222" s="87" t="s">
        <v>391</v>
      </c>
      <c r="K1222" s="89" t="n">
        <v>82</v>
      </c>
      <c r="L1222" s="89" t="n">
        <v>10578000</v>
      </c>
      <c r="M1222" s="89" t="n">
        <v>3822984</v>
      </c>
      <c r="N1222" s="90" t="n">
        <f aca="false">IF(A1222="제외",0,IF(OR(N(L1222)&lt;=0,N(M1222)&gt;N(L1222)),N(M1222)/가정!$B$4,N(L1222)))</f>
        <v>10578000</v>
      </c>
      <c r="O1222" s="67" t="str">
        <f aca="false">IF(A1222="제외","",IF(OR(N(L1222)&lt;=0,N(M1222)&gt;N(L1222)),"택가보정(판매금액÷공급율)",""))</f>
        <v/>
      </c>
    </row>
    <row r="1223" customFormat="false" ht="15" hidden="false" customHeight="true" outlineLevel="0" collapsed="false">
      <c r="A1223" s="67" t="str">
        <f aca="false">IF(OR(TRIM(C1223)="",SUBSTITUTE(C1223," ","")="소계"),"제외",IF(ISNUMBER(SEARCH("홍콩",C1223)),"HK",IF(ISNUMBER(SEARCH("상해",C1223)),"CN",IF(ISNUMBER(SEARCH("대만",C1223)),"TW","홀세일"))))</f>
        <v>홀세일</v>
      </c>
      <c r="B1223" s="87" t="s">
        <v>1439</v>
      </c>
      <c r="C1223" s="87" t="s">
        <v>1440</v>
      </c>
      <c r="D1223" s="88" t="s">
        <v>178</v>
      </c>
      <c r="E1223" s="87" t="n">
        <v>2026</v>
      </c>
      <c r="F1223" s="88" t="s">
        <v>277</v>
      </c>
      <c r="G1223" s="88" t="s">
        <v>180</v>
      </c>
      <c r="H1223" s="87" t="s">
        <v>246</v>
      </c>
      <c r="I1223" s="87" t="s">
        <v>392</v>
      </c>
      <c r="J1223" s="87" t="s">
        <v>393</v>
      </c>
      <c r="K1223" s="89" t="n">
        <v>82</v>
      </c>
      <c r="L1223" s="89" t="n">
        <v>12218000</v>
      </c>
      <c r="M1223" s="89" t="n">
        <v>4501896</v>
      </c>
      <c r="N1223" s="90" t="n">
        <f aca="false">IF(A1223="제외",0,IF(OR(N(L1223)&lt;=0,N(M1223)&gt;N(L1223)),N(M1223)/가정!$B$4,N(L1223)))</f>
        <v>12218000</v>
      </c>
      <c r="O1223" s="67" t="str">
        <f aca="false">IF(A1223="제외","",IF(OR(N(L1223)&lt;=0,N(M1223)&gt;N(L1223)),"택가보정(판매금액÷공급율)",""))</f>
        <v/>
      </c>
    </row>
    <row r="1224" customFormat="false" ht="15" hidden="false" customHeight="true" outlineLevel="0" collapsed="false">
      <c r="A1224" s="67" t="str">
        <f aca="false">IF(OR(TRIM(C1224)="",SUBSTITUTE(C1224," ","")="소계"),"제외",IF(ISNUMBER(SEARCH("홍콩",C1224)),"HK",IF(ISNUMBER(SEARCH("상해",C1224)),"CN",IF(ISNUMBER(SEARCH("대만",C1224)),"TW","홀세일"))))</f>
        <v>홀세일</v>
      </c>
      <c r="B1224" s="87" t="s">
        <v>1439</v>
      </c>
      <c r="C1224" s="87" t="s">
        <v>1440</v>
      </c>
      <c r="D1224" s="88" t="s">
        <v>178</v>
      </c>
      <c r="E1224" s="87" t="n">
        <v>2026</v>
      </c>
      <c r="F1224" s="88" t="s">
        <v>277</v>
      </c>
      <c r="G1224" s="88" t="s">
        <v>180</v>
      </c>
      <c r="H1224" s="87" t="s">
        <v>246</v>
      </c>
      <c r="I1224" s="87" t="s">
        <v>1355</v>
      </c>
      <c r="J1224" s="87" t="s">
        <v>1356</v>
      </c>
      <c r="K1224" s="89" t="n">
        <v>92</v>
      </c>
      <c r="L1224" s="89" t="n">
        <v>11868000</v>
      </c>
      <c r="M1224" s="89" t="n">
        <v>4289204</v>
      </c>
      <c r="N1224" s="90" t="n">
        <f aca="false">IF(A1224="제외",0,IF(OR(N(L1224)&lt;=0,N(M1224)&gt;N(L1224)),N(M1224)/가정!$B$4,N(L1224)))</f>
        <v>11868000</v>
      </c>
      <c r="O1224" s="67" t="str">
        <f aca="false">IF(A1224="제외","",IF(OR(N(L1224)&lt;=0,N(M1224)&gt;N(L1224)),"택가보정(판매금액÷공급율)",""))</f>
        <v/>
      </c>
    </row>
    <row r="1225" customFormat="false" ht="15" hidden="false" customHeight="true" outlineLevel="0" collapsed="false">
      <c r="A1225" s="67" t="str">
        <f aca="false">IF(OR(TRIM(C1225)="",SUBSTITUTE(C1225," ","")="소계"),"제외",IF(ISNUMBER(SEARCH("홍콩",C1225)),"HK",IF(ISNUMBER(SEARCH("상해",C1225)),"CN",IF(ISNUMBER(SEARCH("대만",C1225)),"TW","홀세일"))))</f>
        <v>홀세일</v>
      </c>
      <c r="B1225" s="87" t="s">
        <v>1439</v>
      </c>
      <c r="C1225" s="87" t="s">
        <v>1440</v>
      </c>
      <c r="D1225" s="88" t="s">
        <v>178</v>
      </c>
      <c r="E1225" s="87" t="n">
        <v>2026</v>
      </c>
      <c r="F1225" s="88" t="s">
        <v>277</v>
      </c>
      <c r="G1225" s="88" t="s">
        <v>180</v>
      </c>
      <c r="H1225" s="87" t="s">
        <v>246</v>
      </c>
      <c r="I1225" s="87" t="s">
        <v>1357</v>
      </c>
      <c r="J1225" s="87" t="s">
        <v>1358</v>
      </c>
      <c r="K1225" s="89" t="n">
        <v>183</v>
      </c>
      <c r="L1225" s="89" t="n">
        <v>16287000</v>
      </c>
      <c r="M1225" s="89" t="n">
        <v>5890383</v>
      </c>
      <c r="N1225" s="90" t="n">
        <f aca="false">IF(A1225="제외",0,IF(OR(N(L1225)&lt;=0,N(M1225)&gt;N(L1225)),N(M1225)/가정!$B$4,N(L1225)))</f>
        <v>16287000</v>
      </c>
      <c r="O1225" s="67" t="str">
        <f aca="false">IF(A1225="제외","",IF(OR(N(L1225)&lt;=0,N(M1225)&gt;N(L1225)),"택가보정(판매금액÷공급율)",""))</f>
        <v/>
      </c>
    </row>
    <row r="1226" customFormat="false" ht="15" hidden="false" customHeight="true" outlineLevel="0" collapsed="false">
      <c r="A1226" s="67" t="str">
        <f aca="false">IF(OR(TRIM(C1226)="",SUBSTITUTE(C1226," ","")="소계"),"제외",IF(ISNUMBER(SEARCH("홍콩",C1226)),"HK",IF(ISNUMBER(SEARCH("상해",C1226)),"CN",IF(ISNUMBER(SEARCH("대만",C1226)),"TW","홀세일"))))</f>
        <v>홀세일</v>
      </c>
      <c r="B1226" s="87" t="s">
        <v>1439</v>
      </c>
      <c r="C1226" s="87" t="s">
        <v>1440</v>
      </c>
      <c r="D1226" s="88" t="s">
        <v>178</v>
      </c>
      <c r="E1226" s="87" t="n">
        <v>2026</v>
      </c>
      <c r="F1226" s="88" t="s">
        <v>277</v>
      </c>
      <c r="G1226" s="88" t="s">
        <v>180</v>
      </c>
      <c r="H1226" s="87" t="s">
        <v>246</v>
      </c>
      <c r="I1226" s="87" t="s">
        <v>1359</v>
      </c>
      <c r="J1226" s="87" t="s">
        <v>1360</v>
      </c>
      <c r="K1226" s="89" t="n">
        <v>107</v>
      </c>
      <c r="L1226" s="89" t="n">
        <v>10593000</v>
      </c>
      <c r="M1226" s="89" t="n">
        <v>3830158</v>
      </c>
      <c r="N1226" s="90" t="n">
        <f aca="false">IF(A1226="제외",0,IF(OR(N(L1226)&lt;=0,N(M1226)&gt;N(L1226)),N(M1226)/가정!$B$4,N(L1226)))</f>
        <v>10593000</v>
      </c>
      <c r="O1226" s="67" t="str">
        <f aca="false">IF(A1226="제외","",IF(OR(N(L1226)&lt;=0,N(M1226)&gt;N(L1226)),"택가보정(판매금액÷공급율)",""))</f>
        <v/>
      </c>
    </row>
    <row r="1227" customFormat="false" ht="15" hidden="false" customHeight="true" outlineLevel="0" collapsed="false">
      <c r="A1227" s="67" t="str">
        <f aca="false">IF(OR(TRIM(C1227)="",SUBSTITUTE(C1227," ","")="소계"),"제외",IF(ISNUMBER(SEARCH("홍콩",C1227)),"HK",IF(ISNUMBER(SEARCH("상해",C1227)),"CN",IF(ISNUMBER(SEARCH("대만",C1227)),"TW","홀세일"))))</f>
        <v>홀세일</v>
      </c>
      <c r="B1227" s="87" t="s">
        <v>1439</v>
      </c>
      <c r="C1227" s="87" t="s">
        <v>1440</v>
      </c>
      <c r="D1227" s="88" t="s">
        <v>178</v>
      </c>
      <c r="E1227" s="87" t="n">
        <v>2026</v>
      </c>
      <c r="F1227" s="88" t="s">
        <v>277</v>
      </c>
      <c r="G1227" s="88" t="s">
        <v>180</v>
      </c>
      <c r="H1227" s="87" t="s">
        <v>246</v>
      </c>
      <c r="I1227" s="87" t="s">
        <v>410</v>
      </c>
      <c r="J1227" s="87" t="s">
        <v>411</v>
      </c>
      <c r="K1227" s="89" t="n">
        <v>46</v>
      </c>
      <c r="L1227" s="89" t="n">
        <v>4554000</v>
      </c>
      <c r="M1227" s="89" t="n">
        <v>1718249</v>
      </c>
      <c r="N1227" s="90" t="n">
        <f aca="false">IF(A1227="제외",0,IF(OR(N(L1227)&lt;=0,N(M1227)&gt;N(L1227)),N(M1227)/가정!$B$4,N(L1227)))</f>
        <v>4554000</v>
      </c>
      <c r="O1227" s="67" t="str">
        <f aca="false">IF(A1227="제외","",IF(OR(N(L1227)&lt;=0,N(M1227)&gt;N(L1227)),"택가보정(판매금액÷공급율)",""))</f>
        <v/>
      </c>
    </row>
    <row r="1228" customFormat="false" ht="15" hidden="false" customHeight="true" outlineLevel="0" collapsed="false">
      <c r="A1228" s="67" t="str">
        <f aca="false">IF(OR(TRIM(C1228)="",SUBSTITUTE(C1228," ","")="소계"),"제외",IF(ISNUMBER(SEARCH("홍콩",C1228)),"HK",IF(ISNUMBER(SEARCH("상해",C1228)),"CN",IF(ISNUMBER(SEARCH("대만",C1228)),"TW","홀세일"))))</f>
        <v>홀세일</v>
      </c>
      <c r="B1228" s="87" t="s">
        <v>1439</v>
      </c>
      <c r="C1228" s="87" t="s">
        <v>1440</v>
      </c>
      <c r="D1228" s="88" t="s">
        <v>178</v>
      </c>
      <c r="E1228" s="87" t="n">
        <v>2026</v>
      </c>
      <c r="F1228" s="88" t="s">
        <v>277</v>
      </c>
      <c r="G1228" s="88" t="s">
        <v>180</v>
      </c>
      <c r="H1228" s="87" t="s">
        <v>246</v>
      </c>
      <c r="I1228" s="87" t="s">
        <v>416</v>
      </c>
      <c r="J1228" s="87" t="s">
        <v>417</v>
      </c>
      <c r="K1228" s="89" t="n">
        <v>122</v>
      </c>
      <c r="L1228" s="89" t="n">
        <v>9638000</v>
      </c>
      <c r="M1228" s="89" t="n">
        <v>3555986</v>
      </c>
      <c r="N1228" s="90" t="n">
        <f aca="false">IF(A1228="제외",0,IF(OR(N(L1228)&lt;=0,N(M1228)&gt;N(L1228)),N(M1228)/가정!$B$4,N(L1228)))</f>
        <v>9638000</v>
      </c>
      <c r="O1228" s="67" t="str">
        <f aca="false">IF(A1228="제외","",IF(OR(N(L1228)&lt;=0,N(M1228)&gt;N(L1228)),"택가보정(판매금액÷공급율)",""))</f>
        <v/>
      </c>
    </row>
    <row r="1229" customFormat="false" ht="15" hidden="false" customHeight="true" outlineLevel="0" collapsed="false">
      <c r="A1229" s="67" t="str">
        <f aca="false">IF(OR(TRIM(C1229)="",SUBSTITUTE(C1229," ","")="소계"),"제외",IF(ISNUMBER(SEARCH("홍콩",C1229)),"HK",IF(ISNUMBER(SEARCH("상해",C1229)),"CN",IF(ISNUMBER(SEARCH("대만",C1229)),"TW","홀세일"))))</f>
        <v>홀세일</v>
      </c>
      <c r="B1229" s="87" t="s">
        <v>1439</v>
      </c>
      <c r="C1229" s="87" t="s">
        <v>1440</v>
      </c>
      <c r="D1229" s="88" t="s">
        <v>178</v>
      </c>
      <c r="E1229" s="87" t="n">
        <v>2026</v>
      </c>
      <c r="F1229" s="88" t="s">
        <v>421</v>
      </c>
      <c r="G1229" s="88" t="s">
        <v>188</v>
      </c>
      <c r="H1229" s="87" t="s">
        <v>189</v>
      </c>
      <c r="I1229" s="87" t="s">
        <v>927</v>
      </c>
      <c r="J1229" s="88" t="s">
        <v>928</v>
      </c>
      <c r="K1229" s="89" t="n">
        <v>210</v>
      </c>
      <c r="L1229" s="89" t="n">
        <v>10290000</v>
      </c>
      <c r="M1229" s="89" t="n">
        <v>3565800</v>
      </c>
      <c r="N1229" s="90" t="n">
        <f aca="false">IF(A1229="제외",0,IF(OR(N(L1229)&lt;=0,N(M1229)&gt;N(L1229)),N(M1229)/가정!$B$4,N(L1229)))</f>
        <v>10290000</v>
      </c>
      <c r="O1229" s="67" t="str">
        <f aca="false">IF(A1229="제외","",IF(OR(N(L1229)&lt;=0,N(M1229)&gt;N(L1229)),"택가보정(판매금액÷공급율)",""))</f>
        <v/>
      </c>
    </row>
    <row r="1230" customFormat="false" ht="15" hidden="false" customHeight="true" outlineLevel="0" collapsed="false">
      <c r="A1230" s="67" t="str">
        <f aca="false">IF(OR(TRIM(C1230)="",SUBSTITUTE(C1230," ","")="소계"),"제외",IF(ISNUMBER(SEARCH("홍콩",C1230)),"HK",IF(ISNUMBER(SEARCH("상해",C1230)),"CN",IF(ISNUMBER(SEARCH("대만",C1230)),"TW","홀세일"))))</f>
        <v>홀세일</v>
      </c>
      <c r="B1230" s="87" t="s">
        <v>1439</v>
      </c>
      <c r="C1230" s="87" t="s">
        <v>1440</v>
      </c>
      <c r="D1230" s="88" t="s">
        <v>178</v>
      </c>
      <c r="E1230" s="87" t="n">
        <v>2026</v>
      </c>
      <c r="F1230" s="88" t="s">
        <v>421</v>
      </c>
      <c r="G1230" s="88" t="s">
        <v>180</v>
      </c>
      <c r="H1230" s="87" t="s">
        <v>189</v>
      </c>
      <c r="I1230" s="87" t="s">
        <v>456</v>
      </c>
      <c r="J1230" s="88" t="s">
        <v>457</v>
      </c>
      <c r="K1230" s="89" t="n">
        <v>220</v>
      </c>
      <c r="L1230" s="89" t="n">
        <v>30580000</v>
      </c>
      <c r="M1230" s="89" t="n">
        <v>9511040</v>
      </c>
      <c r="N1230" s="90" t="n">
        <f aca="false">IF(A1230="제외",0,IF(OR(N(L1230)&lt;=0,N(M1230)&gt;N(L1230)),N(M1230)/가정!$B$4,N(L1230)))</f>
        <v>30580000</v>
      </c>
      <c r="O1230" s="67" t="str">
        <f aca="false">IF(A1230="제외","",IF(OR(N(L1230)&lt;=0,N(M1230)&gt;N(L1230)),"택가보정(판매금액÷공급율)",""))</f>
        <v/>
      </c>
    </row>
    <row r="1231" customFormat="false" ht="15" hidden="false" customHeight="true" outlineLevel="0" collapsed="false">
      <c r="A1231" s="67" t="str">
        <f aca="false">IF(OR(TRIM(C1231)="",SUBSTITUTE(C1231," ","")="소계"),"제외",IF(ISNUMBER(SEARCH("홍콩",C1231)),"HK",IF(ISNUMBER(SEARCH("상해",C1231)),"CN",IF(ISNUMBER(SEARCH("대만",C1231)),"TW","홀세일"))))</f>
        <v>홀세일</v>
      </c>
      <c r="B1231" s="87" t="s">
        <v>1439</v>
      </c>
      <c r="C1231" s="87" t="s">
        <v>1440</v>
      </c>
      <c r="D1231" s="88" t="s">
        <v>178</v>
      </c>
      <c r="E1231" s="87" t="n">
        <v>2026</v>
      </c>
      <c r="F1231" s="88" t="s">
        <v>421</v>
      </c>
      <c r="G1231" s="88" t="s">
        <v>180</v>
      </c>
      <c r="H1231" s="87" t="s">
        <v>181</v>
      </c>
      <c r="I1231" s="87" t="s">
        <v>941</v>
      </c>
      <c r="J1231" s="87" t="s">
        <v>942</v>
      </c>
      <c r="K1231" s="89" t="n">
        <v>190</v>
      </c>
      <c r="L1231" s="89" t="n">
        <v>45410000</v>
      </c>
      <c r="M1231" s="89" t="n">
        <v>13767590</v>
      </c>
      <c r="N1231" s="90" t="n">
        <f aca="false">IF(A1231="제외",0,IF(OR(N(L1231)&lt;=0,N(M1231)&gt;N(L1231)),N(M1231)/가정!$B$4,N(L1231)))</f>
        <v>45410000</v>
      </c>
      <c r="O1231" s="67" t="str">
        <f aca="false">IF(A1231="제외","",IF(OR(N(L1231)&lt;=0,N(M1231)&gt;N(L1231)),"택가보정(판매금액÷공급율)",""))</f>
        <v/>
      </c>
    </row>
    <row r="1232" customFormat="false" ht="15" hidden="false" customHeight="true" outlineLevel="0" collapsed="false">
      <c r="A1232" s="67" t="str">
        <f aca="false">IF(OR(TRIM(C1232)="",SUBSTITUTE(C1232," ","")="소계"),"제외",IF(ISNUMBER(SEARCH("홍콩",C1232)),"HK",IF(ISNUMBER(SEARCH("상해",C1232)),"CN",IF(ISNUMBER(SEARCH("대만",C1232)),"TW","홀세일"))))</f>
        <v>홀세일</v>
      </c>
      <c r="B1232" s="87" t="s">
        <v>1439</v>
      </c>
      <c r="C1232" s="87" t="s">
        <v>1440</v>
      </c>
      <c r="D1232" s="88" t="s">
        <v>178</v>
      </c>
      <c r="E1232" s="87" t="n">
        <v>2026</v>
      </c>
      <c r="F1232" s="88" t="s">
        <v>421</v>
      </c>
      <c r="G1232" s="88" t="s">
        <v>180</v>
      </c>
      <c r="H1232" s="87" t="s">
        <v>181</v>
      </c>
      <c r="I1232" s="87" t="s">
        <v>484</v>
      </c>
      <c r="J1232" s="88" t="s">
        <v>485</v>
      </c>
      <c r="K1232" s="89" t="n">
        <v>90</v>
      </c>
      <c r="L1232" s="89" t="n">
        <v>19710000</v>
      </c>
      <c r="M1232" s="89" t="n">
        <v>6521490</v>
      </c>
      <c r="N1232" s="90" t="n">
        <f aca="false">IF(A1232="제외",0,IF(OR(N(L1232)&lt;=0,N(M1232)&gt;N(L1232)),N(M1232)/가정!$B$4,N(L1232)))</f>
        <v>19710000</v>
      </c>
      <c r="O1232" s="67" t="str">
        <f aca="false">IF(A1232="제외","",IF(OR(N(L1232)&lt;=0,N(M1232)&gt;N(L1232)),"택가보정(판매금액÷공급율)",""))</f>
        <v/>
      </c>
    </row>
    <row r="1233" customFormat="false" ht="15" hidden="false" customHeight="true" outlineLevel="0" collapsed="false">
      <c r="A1233" s="67" t="str">
        <f aca="false">IF(OR(TRIM(C1233)="",SUBSTITUTE(C1233," ","")="소계"),"제외",IF(ISNUMBER(SEARCH("홍콩",C1233)),"HK",IF(ISNUMBER(SEARCH("상해",C1233)),"CN",IF(ISNUMBER(SEARCH("대만",C1233)),"TW","홀세일"))))</f>
        <v>홀세일</v>
      </c>
      <c r="B1233" s="87" t="s">
        <v>1439</v>
      </c>
      <c r="C1233" s="87" t="s">
        <v>1440</v>
      </c>
      <c r="D1233" s="88" t="s">
        <v>178</v>
      </c>
      <c r="E1233" s="87" t="n">
        <v>2026</v>
      </c>
      <c r="F1233" s="88" t="s">
        <v>421</v>
      </c>
      <c r="G1233" s="88" t="s">
        <v>180</v>
      </c>
      <c r="H1233" s="87" t="s">
        <v>189</v>
      </c>
      <c r="I1233" s="87" t="s">
        <v>486</v>
      </c>
      <c r="J1233" s="88" t="s">
        <v>487</v>
      </c>
      <c r="K1233" s="89" t="n">
        <v>320</v>
      </c>
      <c r="L1233" s="89" t="n">
        <v>60480000</v>
      </c>
      <c r="M1233" s="89" t="n">
        <v>18793600</v>
      </c>
      <c r="N1233" s="90" t="n">
        <f aca="false">IF(A1233="제외",0,IF(OR(N(L1233)&lt;=0,N(M1233)&gt;N(L1233)),N(M1233)/가정!$B$4,N(L1233)))</f>
        <v>60480000</v>
      </c>
      <c r="O1233" s="67" t="str">
        <f aca="false">IF(A1233="제외","",IF(OR(N(L1233)&lt;=0,N(M1233)&gt;N(L1233)),"택가보정(판매금액÷공급율)",""))</f>
        <v/>
      </c>
    </row>
    <row r="1234" customFormat="false" ht="15" hidden="false" customHeight="true" outlineLevel="0" collapsed="false">
      <c r="A1234" s="67" t="str">
        <f aca="false">IF(OR(TRIM(C1234)="",SUBSTITUTE(C1234," ","")="소계"),"제외",IF(ISNUMBER(SEARCH("홍콩",C1234)),"HK",IF(ISNUMBER(SEARCH("상해",C1234)),"CN",IF(ISNUMBER(SEARCH("대만",C1234)),"TW","홀세일"))))</f>
        <v>홀세일</v>
      </c>
      <c r="B1234" s="87" t="s">
        <v>1439</v>
      </c>
      <c r="C1234" s="87" t="s">
        <v>1440</v>
      </c>
      <c r="D1234" s="88" t="s">
        <v>178</v>
      </c>
      <c r="E1234" s="87" t="n">
        <v>2026</v>
      </c>
      <c r="F1234" s="88" t="s">
        <v>421</v>
      </c>
      <c r="G1234" s="88" t="s">
        <v>180</v>
      </c>
      <c r="H1234" s="87" t="s">
        <v>189</v>
      </c>
      <c r="I1234" s="87" t="s">
        <v>947</v>
      </c>
      <c r="J1234" s="88" t="s">
        <v>948</v>
      </c>
      <c r="K1234" s="89" t="n">
        <v>115</v>
      </c>
      <c r="L1234" s="89" t="n">
        <v>12535000</v>
      </c>
      <c r="M1234" s="89" t="n">
        <v>4068125</v>
      </c>
      <c r="N1234" s="90" t="n">
        <f aca="false">IF(A1234="제외",0,IF(OR(N(L1234)&lt;=0,N(M1234)&gt;N(L1234)),N(M1234)/가정!$B$4,N(L1234)))</f>
        <v>12535000</v>
      </c>
      <c r="O1234" s="67" t="str">
        <f aca="false">IF(A1234="제외","",IF(OR(N(L1234)&lt;=0,N(M1234)&gt;N(L1234)),"택가보정(판매금액÷공급율)",""))</f>
        <v/>
      </c>
    </row>
    <row r="1235" customFormat="false" ht="15" hidden="false" customHeight="true" outlineLevel="0" collapsed="false">
      <c r="A1235" s="67" t="str">
        <f aca="false">IF(OR(TRIM(C1235)="",SUBSTITUTE(C1235," ","")="소계"),"제외",IF(ISNUMBER(SEARCH("홍콩",C1235)),"HK",IF(ISNUMBER(SEARCH("상해",C1235)),"CN",IF(ISNUMBER(SEARCH("대만",C1235)),"TW","홀세일"))))</f>
        <v>홀세일</v>
      </c>
      <c r="B1235" s="87" t="s">
        <v>1439</v>
      </c>
      <c r="C1235" s="87" t="s">
        <v>1440</v>
      </c>
      <c r="D1235" s="88" t="s">
        <v>178</v>
      </c>
      <c r="E1235" s="87" t="n">
        <v>2026</v>
      </c>
      <c r="F1235" s="88" t="s">
        <v>421</v>
      </c>
      <c r="G1235" s="88" t="s">
        <v>180</v>
      </c>
      <c r="H1235" s="87" t="s">
        <v>189</v>
      </c>
      <c r="I1235" s="87" t="s">
        <v>498</v>
      </c>
      <c r="J1235" s="88" t="s">
        <v>499</v>
      </c>
      <c r="K1235" s="89" t="n">
        <v>220</v>
      </c>
      <c r="L1235" s="89" t="n">
        <v>15180000</v>
      </c>
      <c r="M1235" s="89" t="n">
        <v>4202660</v>
      </c>
      <c r="N1235" s="90" t="n">
        <f aca="false">IF(A1235="제외",0,IF(OR(N(L1235)&lt;=0,N(M1235)&gt;N(L1235)),N(M1235)/가정!$B$4,N(L1235)))</f>
        <v>15180000</v>
      </c>
      <c r="O1235" s="67" t="str">
        <f aca="false">IF(A1235="제외","",IF(OR(N(L1235)&lt;=0,N(M1235)&gt;N(L1235)),"택가보정(판매금액÷공급율)",""))</f>
        <v/>
      </c>
    </row>
    <row r="1236" customFormat="false" ht="15" hidden="false" customHeight="true" outlineLevel="0" collapsed="false">
      <c r="A1236" s="67" t="str">
        <f aca="false">IF(OR(TRIM(C1236)="",SUBSTITUTE(C1236," ","")="소계"),"제외",IF(ISNUMBER(SEARCH("홍콩",C1236)),"HK",IF(ISNUMBER(SEARCH("상해",C1236)),"CN",IF(ISNUMBER(SEARCH("대만",C1236)),"TW","홀세일"))))</f>
        <v>홀세일</v>
      </c>
      <c r="B1236" s="87" t="s">
        <v>1439</v>
      </c>
      <c r="C1236" s="87" t="s">
        <v>1440</v>
      </c>
      <c r="D1236" s="88" t="s">
        <v>178</v>
      </c>
      <c r="E1236" s="87" t="n">
        <v>2026</v>
      </c>
      <c r="F1236" s="88" t="s">
        <v>421</v>
      </c>
      <c r="G1236" s="88" t="s">
        <v>180</v>
      </c>
      <c r="H1236" s="87" t="s">
        <v>181</v>
      </c>
      <c r="I1236" s="87" t="s">
        <v>508</v>
      </c>
      <c r="J1236" s="88" t="s">
        <v>509</v>
      </c>
      <c r="K1236" s="89" t="n">
        <v>220</v>
      </c>
      <c r="L1236" s="89" t="n">
        <v>15180000</v>
      </c>
      <c r="M1236" s="89" t="n">
        <v>4949780</v>
      </c>
      <c r="N1236" s="90" t="n">
        <f aca="false">IF(A1236="제외",0,IF(OR(N(L1236)&lt;=0,N(M1236)&gt;N(L1236)),N(M1236)/가정!$B$4,N(L1236)))</f>
        <v>15180000</v>
      </c>
      <c r="O1236" s="67" t="str">
        <f aca="false">IF(A1236="제외","",IF(OR(N(L1236)&lt;=0,N(M1236)&gt;N(L1236)),"택가보정(판매금액÷공급율)",""))</f>
        <v/>
      </c>
    </row>
    <row r="1237" customFormat="false" ht="15" hidden="false" customHeight="true" outlineLevel="0" collapsed="false">
      <c r="A1237" s="67" t="str">
        <f aca="false">IF(OR(TRIM(C1237)="",SUBSTITUTE(C1237," ","")="소계"),"제외",IF(ISNUMBER(SEARCH("홍콩",C1237)),"HK",IF(ISNUMBER(SEARCH("상해",C1237)),"CN",IF(ISNUMBER(SEARCH("대만",C1237)),"TW","홀세일"))))</f>
        <v>홀세일</v>
      </c>
      <c r="B1237" s="87" t="s">
        <v>1439</v>
      </c>
      <c r="C1237" s="87" t="s">
        <v>1440</v>
      </c>
      <c r="D1237" s="88" t="s">
        <v>178</v>
      </c>
      <c r="E1237" s="87" t="n">
        <v>2026</v>
      </c>
      <c r="F1237" s="88" t="s">
        <v>421</v>
      </c>
      <c r="G1237" s="88" t="s">
        <v>180</v>
      </c>
      <c r="H1237" s="87" t="s">
        <v>246</v>
      </c>
      <c r="I1237" s="87" t="s">
        <v>530</v>
      </c>
      <c r="J1237" s="87" t="s">
        <v>531</v>
      </c>
      <c r="K1237" s="89" t="n">
        <v>230</v>
      </c>
      <c r="L1237" s="89" t="n">
        <v>15870000</v>
      </c>
      <c r="M1237" s="89" t="n">
        <v>4393690</v>
      </c>
      <c r="N1237" s="90" t="n">
        <f aca="false">IF(A1237="제외",0,IF(OR(N(L1237)&lt;=0,N(M1237)&gt;N(L1237)),N(M1237)/가정!$B$4,N(L1237)))</f>
        <v>15870000</v>
      </c>
      <c r="O1237" s="67" t="str">
        <f aca="false">IF(A1237="제외","",IF(OR(N(L1237)&lt;=0,N(M1237)&gt;N(L1237)),"택가보정(판매금액÷공급율)",""))</f>
        <v/>
      </c>
    </row>
    <row r="1238" customFormat="false" ht="15" hidden="false" customHeight="true" outlineLevel="0" collapsed="false">
      <c r="A1238" s="67" t="str">
        <f aca="false">IF(OR(TRIM(C1238)="",SUBSTITUTE(C1238," ","")="소계"),"제외",IF(ISNUMBER(SEARCH("홍콩",C1238)),"HK",IF(ISNUMBER(SEARCH("상해",C1238)),"CN",IF(ISNUMBER(SEARCH("대만",C1238)),"TW","홀세일"))))</f>
        <v>홀세일</v>
      </c>
      <c r="B1238" s="87" t="s">
        <v>1439</v>
      </c>
      <c r="C1238" s="87" t="s">
        <v>1440</v>
      </c>
      <c r="D1238" s="88" t="s">
        <v>178</v>
      </c>
      <c r="E1238" s="87" t="n">
        <v>2026</v>
      </c>
      <c r="F1238" s="88" t="s">
        <v>532</v>
      </c>
      <c r="G1238" s="88" t="s">
        <v>180</v>
      </c>
      <c r="H1238" s="87" t="s">
        <v>189</v>
      </c>
      <c r="I1238" s="87" t="s">
        <v>959</v>
      </c>
      <c r="J1238" s="88" t="s">
        <v>960</v>
      </c>
      <c r="K1238" s="89" t="n">
        <v>220</v>
      </c>
      <c r="L1238" s="89" t="n">
        <v>32780000</v>
      </c>
      <c r="M1238" s="89" t="n">
        <v>10198980</v>
      </c>
      <c r="N1238" s="90" t="n">
        <f aca="false">IF(A1238="제외",0,IF(OR(N(L1238)&lt;=0,N(M1238)&gt;N(L1238)),N(M1238)/가정!$B$4,N(L1238)))</f>
        <v>32780000</v>
      </c>
      <c r="O1238" s="67" t="str">
        <f aca="false">IF(A1238="제외","",IF(OR(N(L1238)&lt;=0,N(M1238)&gt;N(L1238)),"택가보정(판매금액÷공급율)",""))</f>
        <v/>
      </c>
    </row>
    <row r="1239" customFormat="false" ht="15" hidden="false" customHeight="true" outlineLevel="0" collapsed="false">
      <c r="A1239" s="67" t="str">
        <f aca="false">IF(OR(TRIM(C1239)="",SUBSTITUTE(C1239," ","")="소계"),"제외",IF(ISNUMBER(SEARCH("홍콩",C1239)),"HK",IF(ISNUMBER(SEARCH("상해",C1239)),"CN",IF(ISNUMBER(SEARCH("대만",C1239)),"TW","홀세일"))))</f>
        <v>홀세일</v>
      </c>
      <c r="B1239" s="87" t="s">
        <v>1439</v>
      </c>
      <c r="C1239" s="87" t="s">
        <v>1440</v>
      </c>
      <c r="D1239" s="88" t="s">
        <v>178</v>
      </c>
      <c r="E1239" s="87" t="n">
        <v>2026</v>
      </c>
      <c r="F1239" s="88" t="s">
        <v>532</v>
      </c>
      <c r="G1239" s="88" t="s">
        <v>180</v>
      </c>
      <c r="H1239" s="87" t="s">
        <v>181</v>
      </c>
      <c r="I1239" s="87" t="s">
        <v>1132</v>
      </c>
      <c r="J1239" s="88" t="s">
        <v>1133</v>
      </c>
      <c r="K1239" s="89" t="n">
        <v>90</v>
      </c>
      <c r="L1239" s="89" t="n">
        <v>8910000</v>
      </c>
      <c r="M1239" s="89" t="n">
        <v>2777490</v>
      </c>
      <c r="N1239" s="90" t="n">
        <f aca="false">IF(A1239="제외",0,IF(OR(N(L1239)&lt;=0,N(M1239)&gt;N(L1239)),N(M1239)/가정!$B$4,N(L1239)))</f>
        <v>8910000</v>
      </c>
      <c r="O1239" s="67" t="str">
        <f aca="false">IF(A1239="제외","",IF(OR(N(L1239)&lt;=0,N(M1239)&gt;N(L1239)),"택가보정(판매금액÷공급율)",""))</f>
        <v/>
      </c>
    </row>
    <row r="1240" customFormat="false" ht="15" hidden="false" customHeight="true" outlineLevel="0" collapsed="false">
      <c r="A1240" s="67" t="str">
        <f aca="false">IF(OR(TRIM(C1240)="",SUBSTITUTE(C1240," ","")="소계"),"제외",IF(ISNUMBER(SEARCH("홍콩",C1240)),"HK",IF(ISNUMBER(SEARCH("상해",C1240)),"CN",IF(ISNUMBER(SEARCH("대만",C1240)),"TW","홀세일"))))</f>
        <v>홀세일</v>
      </c>
      <c r="B1240" s="87" t="s">
        <v>1439</v>
      </c>
      <c r="C1240" s="87" t="s">
        <v>1440</v>
      </c>
      <c r="D1240" s="88" t="s">
        <v>178</v>
      </c>
      <c r="E1240" s="87" t="n">
        <v>2026</v>
      </c>
      <c r="F1240" s="88" t="s">
        <v>532</v>
      </c>
      <c r="G1240" s="88" t="s">
        <v>180</v>
      </c>
      <c r="H1240" s="87" t="s">
        <v>189</v>
      </c>
      <c r="I1240" s="87" t="s">
        <v>547</v>
      </c>
      <c r="J1240" s="88" t="s">
        <v>548</v>
      </c>
      <c r="K1240" s="89" t="n">
        <v>110</v>
      </c>
      <c r="L1240" s="89" t="n">
        <v>17490000</v>
      </c>
      <c r="M1240" s="89" t="n">
        <v>5428500</v>
      </c>
      <c r="N1240" s="90" t="n">
        <f aca="false">IF(A1240="제외",0,IF(OR(N(L1240)&lt;=0,N(M1240)&gt;N(L1240)),N(M1240)/가정!$B$4,N(L1240)))</f>
        <v>17490000</v>
      </c>
      <c r="O1240" s="67" t="str">
        <f aca="false">IF(A1240="제외","",IF(OR(N(L1240)&lt;=0,N(M1240)&gt;N(L1240)),"택가보정(판매금액÷공급율)",""))</f>
        <v/>
      </c>
    </row>
    <row r="1241" customFormat="false" ht="15" hidden="false" customHeight="true" outlineLevel="0" collapsed="false">
      <c r="A1241" s="67" t="str">
        <f aca="false">IF(OR(TRIM(C1241)="",SUBSTITUTE(C1241," ","")="소계"),"제외",IF(ISNUMBER(SEARCH("홍콩",C1241)),"HK",IF(ISNUMBER(SEARCH("상해",C1241)),"CN",IF(ISNUMBER(SEARCH("대만",C1241)),"TW","홀세일"))))</f>
        <v>홀세일</v>
      </c>
      <c r="B1241" s="87" t="s">
        <v>1439</v>
      </c>
      <c r="C1241" s="87" t="s">
        <v>1440</v>
      </c>
      <c r="D1241" s="88" t="s">
        <v>178</v>
      </c>
      <c r="E1241" s="87" t="n">
        <v>2026</v>
      </c>
      <c r="F1241" s="88" t="s">
        <v>532</v>
      </c>
      <c r="G1241" s="88" t="s">
        <v>180</v>
      </c>
      <c r="H1241" s="87" t="s">
        <v>189</v>
      </c>
      <c r="I1241" s="87" t="s">
        <v>551</v>
      </c>
      <c r="J1241" s="88" t="s">
        <v>552</v>
      </c>
      <c r="K1241" s="89" t="n">
        <v>50</v>
      </c>
      <c r="L1241" s="89" t="n">
        <v>7450000</v>
      </c>
      <c r="M1241" s="89" t="n">
        <v>2588100</v>
      </c>
      <c r="N1241" s="90" t="n">
        <f aca="false">IF(A1241="제외",0,IF(OR(N(L1241)&lt;=0,N(M1241)&gt;N(L1241)),N(M1241)/가정!$B$4,N(L1241)))</f>
        <v>7450000</v>
      </c>
      <c r="O1241" s="67" t="str">
        <f aca="false">IF(A1241="제외","",IF(OR(N(L1241)&lt;=0,N(M1241)&gt;N(L1241)),"택가보정(판매금액÷공급율)",""))</f>
        <v/>
      </c>
    </row>
    <row r="1242" customFormat="false" ht="15" hidden="false" customHeight="true" outlineLevel="0" collapsed="false">
      <c r="A1242" s="67" t="str">
        <f aca="false">IF(OR(TRIM(C1242)="",SUBSTITUTE(C1242," ","")="소계"),"제외",IF(ISNUMBER(SEARCH("홍콩",C1242)),"HK",IF(ISNUMBER(SEARCH("상해",C1242)),"CN",IF(ISNUMBER(SEARCH("대만",C1242)),"TW","홀세일"))))</f>
        <v>홀세일</v>
      </c>
      <c r="B1242" s="87" t="s">
        <v>1439</v>
      </c>
      <c r="C1242" s="87" t="s">
        <v>1440</v>
      </c>
      <c r="D1242" s="88" t="s">
        <v>178</v>
      </c>
      <c r="E1242" s="87" t="n">
        <v>2026</v>
      </c>
      <c r="F1242" s="88" t="s">
        <v>532</v>
      </c>
      <c r="G1242" s="88" t="s">
        <v>180</v>
      </c>
      <c r="H1242" s="87" t="s">
        <v>189</v>
      </c>
      <c r="I1242" s="87" t="s">
        <v>553</v>
      </c>
      <c r="J1242" s="88" t="s">
        <v>554</v>
      </c>
      <c r="K1242" s="89" t="n">
        <v>155</v>
      </c>
      <c r="L1242" s="89" t="n">
        <v>37045000</v>
      </c>
      <c r="M1242" s="89" t="n">
        <v>12264065</v>
      </c>
      <c r="N1242" s="90" t="n">
        <f aca="false">IF(A1242="제외",0,IF(OR(N(L1242)&lt;=0,N(M1242)&gt;N(L1242)),N(M1242)/가정!$B$4,N(L1242)))</f>
        <v>37045000</v>
      </c>
      <c r="O1242" s="67" t="str">
        <f aca="false">IF(A1242="제외","",IF(OR(N(L1242)&lt;=0,N(M1242)&gt;N(L1242)),"택가보정(판매금액÷공급율)",""))</f>
        <v/>
      </c>
    </row>
    <row r="1243" customFormat="false" ht="15" hidden="false" customHeight="true" outlineLevel="0" collapsed="false">
      <c r="A1243" s="67" t="str">
        <f aca="false">IF(OR(TRIM(C1243)="",SUBSTITUTE(C1243," ","")="소계"),"제외",IF(ISNUMBER(SEARCH("홍콩",C1243)),"HK",IF(ISNUMBER(SEARCH("상해",C1243)),"CN",IF(ISNUMBER(SEARCH("대만",C1243)),"TW","홀세일"))))</f>
        <v>홀세일</v>
      </c>
      <c r="B1243" s="87" t="s">
        <v>1439</v>
      </c>
      <c r="C1243" s="87" t="s">
        <v>1440</v>
      </c>
      <c r="D1243" s="88" t="s">
        <v>178</v>
      </c>
      <c r="E1243" s="87" t="n">
        <v>2026</v>
      </c>
      <c r="F1243" s="88" t="s">
        <v>532</v>
      </c>
      <c r="G1243" s="88" t="s">
        <v>180</v>
      </c>
      <c r="H1243" s="87" t="s">
        <v>189</v>
      </c>
      <c r="I1243" s="87" t="s">
        <v>557</v>
      </c>
      <c r="J1243" s="88" t="s">
        <v>558</v>
      </c>
      <c r="K1243" s="89" t="n">
        <v>140</v>
      </c>
      <c r="L1243" s="89" t="n">
        <v>23660000</v>
      </c>
      <c r="M1243" s="89" t="n">
        <v>7822500</v>
      </c>
      <c r="N1243" s="90" t="n">
        <f aca="false">IF(A1243="제외",0,IF(OR(N(L1243)&lt;=0,N(M1243)&gt;N(L1243)),N(M1243)/가정!$B$4,N(L1243)))</f>
        <v>23660000</v>
      </c>
      <c r="O1243" s="67" t="str">
        <f aca="false">IF(A1243="제외","",IF(OR(N(L1243)&lt;=0,N(M1243)&gt;N(L1243)),"택가보정(판매금액÷공급율)",""))</f>
        <v/>
      </c>
    </row>
    <row r="1244" customFormat="false" ht="15" hidden="false" customHeight="true" outlineLevel="0" collapsed="false">
      <c r="A1244" s="67" t="str">
        <f aca="false">IF(OR(TRIM(C1244)="",SUBSTITUTE(C1244," ","")="소계"),"제외",IF(ISNUMBER(SEARCH("홍콩",C1244)),"HK",IF(ISNUMBER(SEARCH("상해",C1244)),"CN",IF(ISNUMBER(SEARCH("대만",C1244)),"TW","홀세일"))))</f>
        <v>홀세일</v>
      </c>
      <c r="B1244" s="87" t="s">
        <v>1439</v>
      </c>
      <c r="C1244" s="87" t="s">
        <v>1440</v>
      </c>
      <c r="D1244" s="88" t="s">
        <v>178</v>
      </c>
      <c r="E1244" s="87" t="n">
        <v>2026</v>
      </c>
      <c r="F1244" s="88" t="s">
        <v>532</v>
      </c>
      <c r="G1244" s="88" t="s">
        <v>180</v>
      </c>
      <c r="H1244" s="87" t="s">
        <v>189</v>
      </c>
      <c r="I1244" s="87" t="s">
        <v>559</v>
      </c>
      <c r="J1244" s="88" t="s">
        <v>560</v>
      </c>
      <c r="K1244" s="89" t="n">
        <v>75</v>
      </c>
      <c r="L1244" s="89" t="n">
        <v>14175000</v>
      </c>
      <c r="M1244" s="89" t="n">
        <v>4680075</v>
      </c>
      <c r="N1244" s="90" t="n">
        <f aca="false">IF(A1244="제외",0,IF(OR(N(L1244)&lt;=0,N(M1244)&gt;N(L1244)),N(M1244)/가정!$B$4,N(L1244)))</f>
        <v>14175000</v>
      </c>
      <c r="O1244" s="67" t="str">
        <f aca="false">IF(A1244="제외","",IF(OR(N(L1244)&lt;=0,N(M1244)&gt;N(L1244)),"택가보정(판매금액÷공급율)",""))</f>
        <v/>
      </c>
    </row>
    <row r="1245" customFormat="false" ht="15" hidden="false" customHeight="true" outlineLevel="0" collapsed="false">
      <c r="A1245" s="67" t="str">
        <f aca="false">IF(OR(TRIM(C1245)="",SUBSTITUTE(C1245," ","")="소계"),"제외",IF(ISNUMBER(SEARCH("홍콩",C1245)),"HK",IF(ISNUMBER(SEARCH("상해",C1245)),"CN",IF(ISNUMBER(SEARCH("대만",C1245)),"TW","홀세일"))))</f>
        <v>홀세일</v>
      </c>
      <c r="B1245" s="87" t="s">
        <v>1439</v>
      </c>
      <c r="C1245" s="87" t="s">
        <v>1440</v>
      </c>
      <c r="D1245" s="88" t="s">
        <v>178</v>
      </c>
      <c r="E1245" s="87" t="n">
        <v>2026</v>
      </c>
      <c r="F1245" s="88" t="s">
        <v>532</v>
      </c>
      <c r="G1245" s="88" t="s">
        <v>180</v>
      </c>
      <c r="H1245" s="87" t="s">
        <v>189</v>
      </c>
      <c r="I1245" s="87" t="s">
        <v>563</v>
      </c>
      <c r="J1245" s="88" t="s">
        <v>564</v>
      </c>
      <c r="K1245" s="89" t="n">
        <v>90</v>
      </c>
      <c r="L1245" s="89" t="n">
        <v>26910000</v>
      </c>
      <c r="M1245" s="89" t="n">
        <v>8895240</v>
      </c>
      <c r="N1245" s="90" t="n">
        <f aca="false">IF(A1245="제외",0,IF(OR(N(L1245)&lt;=0,N(M1245)&gt;N(L1245)),N(M1245)/가정!$B$4,N(L1245)))</f>
        <v>26910000</v>
      </c>
      <c r="O1245" s="67" t="str">
        <f aca="false">IF(A1245="제외","",IF(OR(N(L1245)&lt;=0,N(M1245)&gt;N(L1245)),"택가보정(판매금액÷공급율)",""))</f>
        <v/>
      </c>
    </row>
    <row r="1246" customFormat="false" ht="15" hidden="false" customHeight="true" outlineLevel="0" collapsed="false">
      <c r="A1246" s="67" t="str">
        <f aca="false">IF(OR(TRIM(C1246)="",SUBSTITUTE(C1246," ","")="소계"),"제외",IF(ISNUMBER(SEARCH("홍콩",C1246)),"HK",IF(ISNUMBER(SEARCH("상해",C1246)),"CN",IF(ISNUMBER(SEARCH("대만",C1246)),"TW","홀세일"))))</f>
        <v>홀세일</v>
      </c>
      <c r="B1246" s="87" t="s">
        <v>1439</v>
      </c>
      <c r="C1246" s="87" t="s">
        <v>1440</v>
      </c>
      <c r="D1246" s="88" t="s">
        <v>178</v>
      </c>
      <c r="E1246" s="87" t="n">
        <v>2026</v>
      </c>
      <c r="F1246" s="88" t="s">
        <v>532</v>
      </c>
      <c r="G1246" s="88" t="s">
        <v>180</v>
      </c>
      <c r="H1246" s="87" t="s">
        <v>189</v>
      </c>
      <c r="I1246" s="87" t="s">
        <v>569</v>
      </c>
      <c r="J1246" s="88" t="s">
        <v>570</v>
      </c>
      <c r="K1246" s="89" t="n">
        <v>140</v>
      </c>
      <c r="L1246" s="89" t="n">
        <v>61460000</v>
      </c>
      <c r="M1246" s="89" t="n">
        <v>20308260</v>
      </c>
      <c r="N1246" s="90" t="n">
        <f aca="false">IF(A1246="제외",0,IF(OR(N(L1246)&lt;=0,N(M1246)&gt;N(L1246)),N(M1246)/가정!$B$4,N(L1246)))</f>
        <v>61460000</v>
      </c>
      <c r="O1246" s="67" t="str">
        <f aca="false">IF(A1246="제외","",IF(OR(N(L1246)&lt;=0,N(M1246)&gt;N(L1246)),"택가보정(판매금액÷공급율)",""))</f>
        <v/>
      </c>
    </row>
    <row r="1247" customFormat="false" ht="15" hidden="false" customHeight="true" outlineLevel="0" collapsed="false">
      <c r="A1247" s="67" t="str">
        <f aca="false">IF(OR(TRIM(C1247)="",SUBSTITUTE(C1247," ","")="소계"),"제외",IF(ISNUMBER(SEARCH("홍콩",C1247)),"HK",IF(ISNUMBER(SEARCH("상해",C1247)),"CN",IF(ISNUMBER(SEARCH("대만",C1247)),"TW","홀세일"))))</f>
        <v>홀세일</v>
      </c>
      <c r="B1247" s="87" t="s">
        <v>1439</v>
      </c>
      <c r="C1247" s="87" t="s">
        <v>1440</v>
      </c>
      <c r="D1247" s="88" t="s">
        <v>178</v>
      </c>
      <c r="E1247" s="87" t="n">
        <v>2026</v>
      </c>
      <c r="F1247" s="88" t="s">
        <v>532</v>
      </c>
      <c r="G1247" s="88" t="s">
        <v>180</v>
      </c>
      <c r="H1247" s="87" t="s">
        <v>189</v>
      </c>
      <c r="I1247" s="87" t="s">
        <v>573</v>
      </c>
      <c r="J1247" s="88" t="s">
        <v>574</v>
      </c>
      <c r="K1247" s="89" t="n">
        <v>70</v>
      </c>
      <c r="L1247" s="89" t="n">
        <v>13230000</v>
      </c>
      <c r="M1247" s="89" t="n">
        <v>4368070</v>
      </c>
      <c r="N1247" s="90" t="n">
        <f aca="false">IF(A1247="제외",0,IF(OR(N(L1247)&lt;=0,N(M1247)&gt;N(L1247)),N(M1247)/가정!$B$4,N(L1247)))</f>
        <v>13230000</v>
      </c>
      <c r="O1247" s="67" t="str">
        <f aca="false">IF(A1247="제외","",IF(OR(N(L1247)&lt;=0,N(M1247)&gt;N(L1247)),"택가보정(판매금액÷공급율)",""))</f>
        <v/>
      </c>
    </row>
    <row r="1248" customFormat="false" ht="15" hidden="false" customHeight="true" outlineLevel="0" collapsed="false">
      <c r="A1248" s="67" t="str">
        <f aca="false">IF(OR(TRIM(C1248)="",SUBSTITUTE(C1248," ","")="소계"),"제외",IF(ISNUMBER(SEARCH("홍콩",C1248)),"HK",IF(ISNUMBER(SEARCH("상해",C1248)),"CN",IF(ISNUMBER(SEARCH("대만",C1248)),"TW","홀세일"))))</f>
        <v>홀세일</v>
      </c>
      <c r="B1248" s="87" t="s">
        <v>1439</v>
      </c>
      <c r="C1248" s="87" t="s">
        <v>1440</v>
      </c>
      <c r="D1248" s="88" t="s">
        <v>178</v>
      </c>
      <c r="E1248" s="87" t="n">
        <v>2026</v>
      </c>
      <c r="F1248" s="88" t="s">
        <v>532</v>
      </c>
      <c r="G1248" s="88" t="s">
        <v>180</v>
      </c>
      <c r="H1248" s="87" t="s">
        <v>189</v>
      </c>
      <c r="I1248" s="87" t="s">
        <v>575</v>
      </c>
      <c r="J1248" s="88" t="s">
        <v>576</v>
      </c>
      <c r="K1248" s="89" t="n">
        <v>80</v>
      </c>
      <c r="L1248" s="89" t="n">
        <v>14320000</v>
      </c>
      <c r="M1248" s="89" t="n">
        <v>4731040</v>
      </c>
      <c r="N1248" s="90" t="n">
        <f aca="false">IF(A1248="제외",0,IF(OR(N(L1248)&lt;=0,N(M1248)&gt;N(L1248)),N(M1248)/가정!$B$4,N(L1248)))</f>
        <v>14320000</v>
      </c>
      <c r="O1248" s="67" t="str">
        <f aca="false">IF(A1248="제외","",IF(OR(N(L1248)&lt;=0,N(M1248)&gt;N(L1248)),"택가보정(판매금액÷공급율)",""))</f>
        <v/>
      </c>
    </row>
    <row r="1249" customFormat="false" ht="15" hidden="false" customHeight="true" outlineLevel="0" collapsed="false">
      <c r="A1249" s="67" t="str">
        <f aca="false">IF(OR(TRIM(C1249)="",SUBSTITUTE(C1249," ","")="소계"),"제외",IF(ISNUMBER(SEARCH("홍콩",C1249)),"HK",IF(ISNUMBER(SEARCH("상해",C1249)),"CN",IF(ISNUMBER(SEARCH("대만",C1249)),"TW","홀세일"))))</f>
        <v>홀세일</v>
      </c>
      <c r="B1249" s="87" t="s">
        <v>1439</v>
      </c>
      <c r="C1249" s="87" t="s">
        <v>1440</v>
      </c>
      <c r="D1249" s="88" t="s">
        <v>178</v>
      </c>
      <c r="E1249" s="87" t="n">
        <v>2026</v>
      </c>
      <c r="F1249" s="88" t="s">
        <v>532</v>
      </c>
      <c r="G1249" s="88" t="s">
        <v>180</v>
      </c>
      <c r="H1249" s="87" t="s">
        <v>189</v>
      </c>
      <c r="I1249" s="87" t="s">
        <v>983</v>
      </c>
      <c r="J1249" s="88" t="s">
        <v>984</v>
      </c>
      <c r="K1249" s="89" t="n">
        <v>155</v>
      </c>
      <c r="L1249" s="89" t="n">
        <v>18445000</v>
      </c>
      <c r="M1249" s="89" t="n">
        <v>6360425</v>
      </c>
      <c r="N1249" s="90" t="n">
        <f aca="false">IF(A1249="제외",0,IF(OR(N(L1249)&lt;=0,N(M1249)&gt;N(L1249)),N(M1249)/가정!$B$4,N(L1249)))</f>
        <v>18445000</v>
      </c>
      <c r="O1249" s="67" t="str">
        <f aca="false">IF(A1249="제외","",IF(OR(N(L1249)&lt;=0,N(M1249)&gt;N(L1249)),"택가보정(판매금액÷공급율)",""))</f>
        <v/>
      </c>
    </row>
    <row r="1250" customFormat="false" ht="15" hidden="false" customHeight="true" outlineLevel="0" collapsed="false">
      <c r="A1250" s="67" t="str">
        <f aca="false">IF(OR(TRIM(C1250)="",SUBSTITUTE(C1250," ","")="소계"),"제외",IF(ISNUMBER(SEARCH("홍콩",C1250)),"HK",IF(ISNUMBER(SEARCH("상해",C1250)),"CN",IF(ISNUMBER(SEARCH("대만",C1250)),"TW","홀세일"))))</f>
        <v>홀세일</v>
      </c>
      <c r="B1250" s="87" t="s">
        <v>1439</v>
      </c>
      <c r="C1250" s="87" t="s">
        <v>1440</v>
      </c>
      <c r="D1250" s="88" t="s">
        <v>178</v>
      </c>
      <c r="E1250" s="87" t="n">
        <v>2026</v>
      </c>
      <c r="F1250" s="88" t="s">
        <v>532</v>
      </c>
      <c r="G1250" s="88" t="s">
        <v>180</v>
      </c>
      <c r="H1250" s="87" t="s">
        <v>189</v>
      </c>
      <c r="I1250" s="87" t="s">
        <v>1379</v>
      </c>
      <c r="J1250" s="88" t="s">
        <v>1380</v>
      </c>
      <c r="K1250" s="89" t="n">
        <v>160</v>
      </c>
      <c r="L1250" s="89" t="n">
        <v>19040000</v>
      </c>
      <c r="M1250" s="89" t="n">
        <v>5999680</v>
      </c>
      <c r="N1250" s="90" t="n">
        <f aca="false">IF(A1250="제외",0,IF(OR(N(L1250)&lt;=0,N(M1250)&gt;N(L1250)),N(M1250)/가정!$B$4,N(L1250)))</f>
        <v>19040000</v>
      </c>
      <c r="O1250" s="67" t="str">
        <f aca="false">IF(A1250="제외","",IF(OR(N(L1250)&lt;=0,N(M1250)&gt;N(L1250)),"택가보정(판매금액÷공급율)",""))</f>
        <v/>
      </c>
    </row>
    <row r="1251" customFormat="false" ht="15" hidden="false" customHeight="true" outlineLevel="0" collapsed="false">
      <c r="A1251" s="67" t="str">
        <f aca="false">IF(OR(TRIM(C1251)="",SUBSTITUTE(C1251," ","")="소계"),"제외",IF(ISNUMBER(SEARCH("홍콩",C1251)),"HK",IF(ISNUMBER(SEARCH("상해",C1251)),"CN",IF(ISNUMBER(SEARCH("대만",C1251)),"TW","홀세일"))))</f>
        <v>홀세일</v>
      </c>
      <c r="B1251" s="87" t="s">
        <v>1439</v>
      </c>
      <c r="C1251" s="87" t="s">
        <v>1440</v>
      </c>
      <c r="D1251" s="88" t="s">
        <v>178</v>
      </c>
      <c r="E1251" s="87" t="n">
        <v>2026</v>
      </c>
      <c r="F1251" s="88" t="s">
        <v>532</v>
      </c>
      <c r="G1251" s="88" t="s">
        <v>180</v>
      </c>
      <c r="H1251" s="87" t="s">
        <v>189</v>
      </c>
      <c r="I1251" s="87" t="s">
        <v>579</v>
      </c>
      <c r="J1251" s="88" t="s">
        <v>580</v>
      </c>
      <c r="K1251" s="89" t="n">
        <v>155</v>
      </c>
      <c r="L1251" s="89" t="n">
        <v>23095000</v>
      </c>
      <c r="M1251" s="89" t="n">
        <v>7628170</v>
      </c>
      <c r="N1251" s="90" t="n">
        <f aca="false">IF(A1251="제외",0,IF(OR(N(L1251)&lt;=0,N(M1251)&gt;N(L1251)),N(M1251)/가정!$B$4,N(L1251)))</f>
        <v>23095000</v>
      </c>
      <c r="O1251" s="67" t="str">
        <f aca="false">IF(A1251="제외","",IF(OR(N(L1251)&lt;=0,N(M1251)&gt;N(L1251)),"택가보정(판매금액÷공급율)",""))</f>
        <v/>
      </c>
    </row>
    <row r="1252" customFormat="false" ht="15" hidden="false" customHeight="true" outlineLevel="0" collapsed="false">
      <c r="A1252" s="67" t="str">
        <f aca="false">IF(OR(TRIM(C1252)="",SUBSTITUTE(C1252," ","")="소계"),"제외",IF(ISNUMBER(SEARCH("홍콩",C1252)),"HK",IF(ISNUMBER(SEARCH("상해",C1252)),"CN",IF(ISNUMBER(SEARCH("대만",C1252)),"TW","홀세일"))))</f>
        <v>홀세일</v>
      </c>
      <c r="B1252" s="87" t="s">
        <v>1439</v>
      </c>
      <c r="C1252" s="87" t="s">
        <v>1440</v>
      </c>
      <c r="D1252" s="88" t="s">
        <v>178</v>
      </c>
      <c r="E1252" s="87" t="n">
        <v>2026</v>
      </c>
      <c r="F1252" s="88" t="s">
        <v>532</v>
      </c>
      <c r="G1252" s="88" t="s">
        <v>180</v>
      </c>
      <c r="H1252" s="87" t="s">
        <v>189</v>
      </c>
      <c r="I1252" s="87" t="s">
        <v>585</v>
      </c>
      <c r="J1252" s="88" t="s">
        <v>586</v>
      </c>
      <c r="K1252" s="89" t="n">
        <v>190</v>
      </c>
      <c r="L1252" s="89" t="n">
        <v>37810000</v>
      </c>
      <c r="M1252" s="89" t="n">
        <v>11726990</v>
      </c>
      <c r="N1252" s="90" t="n">
        <f aca="false">IF(A1252="제외",0,IF(OR(N(L1252)&lt;=0,N(M1252)&gt;N(L1252)),N(M1252)/가정!$B$4,N(L1252)))</f>
        <v>37810000</v>
      </c>
      <c r="O1252" s="67" t="str">
        <f aca="false">IF(A1252="제외","",IF(OR(N(L1252)&lt;=0,N(M1252)&gt;N(L1252)),"택가보정(판매금액÷공급율)",""))</f>
        <v/>
      </c>
    </row>
    <row r="1253" customFormat="false" ht="15" hidden="false" customHeight="true" outlineLevel="0" collapsed="false">
      <c r="A1253" s="67" t="str">
        <f aca="false">IF(OR(TRIM(C1253)="",SUBSTITUTE(C1253," ","")="소계"),"제외",IF(ISNUMBER(SEARCH("홍콩",C1253)),"HK",IF(ISNUMBER(SEARCH("상해",C1253)),"CN",IF(ISNUMBER(SEARCH("대만",C1253)),"TW","홀세일"))))</f>
        <v>홀세일</v>
      </c>
      <c r="B1253" s="87" t="s">
        <v>1439</v>
      </c>
      <c r="C1253" s="87" t="s">
        <v>1440</v>
      </c>
      <c r="D1253" s="88" t="s">
        <v>178</v>
      </c>
      <c r="E1253" s="87" t="n">
        <v>2026</v>
      </c>
      <c r="F1253" s="88" t="s">
        <v>532</v>
      </c>
      <c r="G1253" s="88" t="s">
        <v>180</v>
      </c>
      <c r="H1253" s="87" t="s">
        <v>246</v>
      </c>
      <c r="I1253" s="87" t="s">
        <v>599</v>
      </c>
      <c r="J1253" s="87" t="s">
        <v>600</v>
      </c>
      <c r="K1253" s="89" t="n">
        <v>80</v>
      </c>
      <c r="L1253" s="89" t="n">
        <v>12720000</v>
      </c>
      <c r="M1253" s="89" t="n">
        <v>3948000</v>
      </c>
      <c r="N1253" s="90" t="n">
        <f aca="false">IF(A1253="제외",0,IF(OR(N(L1253)&lt;=0,N(M1253)&gt;N(L1253)),N(M1253)/가정!$B$4,N(L1253)))</f>
        <v>12720000</v>
      </c>
      <c r="O1253" s="67" t="str">
        <f aca="false">IF(A1253="제외","",IF(OR(N(L1253)&lt;=0,N(M1253)&gt;N(L1253)),"택가보정(판매금액÷공급율)",""))</f>
        <v/>
      </c>
    </row>
    <row r="1254" customFormat="false" ht="15" hidden="false" customHeight="true" outlineLevel="0" collapsed="false">
      <c r="A1254" s="67" t="str">
        <f aca="false">IF(OR(TRIM(C1254)="",SUBSTITUTE(C1254," ","")="소계"),"제외",IF(ISNUMBER(SEARCH("홍콩",C1254)),"HK",IF(ISNUMBER(SEARCH("상해",C1254)),"CN",IF(ISNUMBER(SEARCH("대만",C1254)),"TW","홀세일"))))</f>
        <v>홀세일</v>
      </c>
      <c r="B1254" s="87" t="s">
        <v>1439</v>
      </c>
      <c r="C1254" s="87" t="s">
        <v>1440</v>
      </c>
      <c r="D1254" s="88" t="s">
        <v>178</v>
      </c>
      <c r="E1254" s="87" t="n">
        <v>2026</v>
      </c>
      <c r="F1254" s="88" t="s">
        <v>532</v>
      </c>
      <c r="G1254" s="88" t="s">
        <v>180</v>
      </c>
      <c r="H1254" s="87" t="s">
        <v>246</v>
      </c>
      <c r="I1254" s="87" t="s">
        <v>993</v>
      </c>
      <c r="J1254" s="87" t="s">
        <v>994</v>
      </c>
      <c r="K1254" s="89" t="n">
        <v>80</v>
      </c>
      <c r="L1254" s="89" t="n">
        <v>13520000</v>
      </c>
      <c r="M1254" s="89" t="n">
        <v>4209040</v>
      </c>
      <c r="N1254" s="90" t="n">
        <f aca="false">IF(A1254="제외",0,IF(OR(N(L1254)&lt;=0,N(M1254)&gt;N(L1254)),N(M1254)/가정!$B$4,N(L1254)))</f>
        <v>13520000</v>
      </c>
      <c r="O1254" s="67" t="str">
        <f aca="false">IF(A1254="제외","",IF(OR(N(L1254)&lt;=0,N(M1254)&gt;N(L1254)),"택가보정(판매금액÷공급율)",""))</f>
        <v/>
      </c>
    </row>
    <row r="1255" customFormat="false" ht="15" hidden="false" customHeight="true" outlineLevel="0" collapsed="false">
      <c r="A1255" s="67" t="str">
        <f aca="false">IF(OR(TRIM(C1255)="",SUBSTITUTE(C1255," ","")="소계"),"제외",IF(ISNUMBER(SEARCH("홍콩",C1255)),"HK",IF(ISNUMBER(SEARCH("상해",C1255)),"CN",IF(ISNUMBER(SEARCH("대만",C1255)),"TW","홀세일"))))</f>
        <v>홀세일</v>
      </c>
      <c r="B1255" s="87" t="s">
        <v>1439</v>
      </c>
      <c r="C1255" s="87" t="s">
        <v>1440</v>
      </c>
      <c r="D1255" s="88" t="s">
        <v>178</v>
      </c>
      <c r="E1255" s="87" t="n">
        <v>2026</v>
      </c>
      <c r="F1255" s="88" t="s">
        <v>532</v>
      </c>
      <c r="G1255" s="88" t="s">
        <v>180</v>
      </c>
      <c r="H1255" s="87" t="s">
        <v>246</v>
      </c>
      <c r="I1255" s="87" t="s">
        <v>603</v>
      </c>
      <c r="J1255" s="87" t="s">
        <v>604</v>
      </c>
      <c r="K1255" s="89" t="n">
        <v>50</v>
      </c>
      <c r="L1255" s="89" t="n">
        <v>7450000</v>
      </c>
      <c r="M1255" s="89" t="n">
        <v>2588100</v>
      </c>
      <c r="N1255" s="90" t="n">
        <f aca="false">IF(A1255="제외",0,IF(OR(N(L1255)&lt;=0,N(M1255)&gt;N(L1255)),N(M1255)/가정!$B$4,N(L1255)))</f>
        <v>7450000</v>
      </c>
      <c r="O1255" s="67" t="str">
        <f aca="false">IF(A1255="제외","",IF(OR(N(L1255)&lt;=0,N(M1255)&gt;N(L1255)),"택가보정(판매금액÷공급율)",""))</f>
        <v/>
      </c>
    </row>
    <row r="1256" customFormat="false" ht="15" hidden="false" customHeight="true" outlineLevel="0" collapsed="false">
      <c r="A1256" s="67" t="str">
        <f aca="false">IF(OR(TRIM(C1256)="",SUBSTITUTE(C1256," ","")="소계"),"제외",IF(ISNUMBER(SEARCH("홍콩",C1256)),"HK",IF(ISNUMBER(SEARCH("상해",C1256)),"CN",IF(ISNUMBER(SEARCH("대만",C1256)),"TW","홀세일"))))</f>
        <v>홀세일</v>
      </c>
      <c r="B1256" s="87" t="s">
        <v>1439</v>
      </c>
      <c r="C1256" s="87" t="s">
        <v>1440</v>
      </c>
      <c r="D1256" s="88" t="s">
        <v>178</v>
      </c>
      <c r="E1256" s="87" t="n">
        <v>2026</v>
      </c>
      <c r="F1256" s="88" t="s">
        <v>532</v>
      </c>
      <c r="G1256" s="88" t="s">
        <v>180</v>
      </c>
      <c r="H1256" s="87" t="s">
        <v>246</v>
      </c>
      <c r="I1256" s="87" t="s">
        <v>997</v>
      </c>
      <c r="J1256" s="87" t="s">
        <v>998</v>
      </c>
      <c r="K1256" s="89" t="n">
        <v>70</v>
      </c>
      <c r="L1256" s="89" t="n">
        <v>15330000</v>
      </c>
      <c r="M1256" s="89" t="n">
        <v>5072270</v>
      </c>
      <c r="N1256" s="90" t="n">
        <f aca="false">IF(A1256="제외",0,IF(OR(N(L1256)&lt;=0,N(M1256)&gt;N(L1256)),N(M1256)/가정!$B$4,N(L1256)))</f>
        <v>15330000</v>
      </c>
      <c r="O1256" s="67" t="str">
        <f aca="false">IF(A1256="제외","",IF(OR(N(L1256)&lt;=0,N(M1256)&gt;N(L1256)),"택가보정(판매금액÷공급율)",""))</f>
        <v/>
      </c>
    </row>
    <row r="1257" customFormat="false" ht="15" hidden="false" customHeight="true" outlineLevel="0" collapsed="false">
      <c r="A1257" s="67" t="str">
        <f aca="false">IF(OR(TRIM(C1257)="",SUBSTITUTE(C1257," ","")="소계"),"제외",IF(ISNUMBER(SEARCH("홍콩",C1257)),"HK",IF(ISNUMBER(SEARCH("상해",C1257)),"CN",IF(ISNUMBER(SEARCH("대만",C1257)),"TW","홀세일"))))</f>
        <v>홀세일</v>
      </c>
      <c r="B1257" s="87" t="s">
        <v>1439</v>
      </c>
      <c r="C1257" s="87" t="s">
        <v>1440</v>
      </c>
      <c r="D1257" s="88" t="s">
        <v>178</v>
      </c>
      <c r="E1257" s="87" t="n">
        <v>2026</v>
      </c>
      <c r="F1257" s="88" t="s">
        <v>532</v>
      </c>
      <c r="G1257" s="88" t="s">
        <v>180</v>
      </c>
      <c r="H1257" s="87" t="s">
        <v>246</v>
      </c>
      <c r="I1257" s="87" t="s">
        <v>605</v>
      </c>
      <c r="J1257" s="87" t="s">
        <v>606</v>
      </c>
      <c r="K1257" s="89" t="n">
        <v>50</v>
      </c>
      <c r="L1257" s="89" t="n">
        <v>11950000</v>
      </c>
      <c r="M1257" s="89" t="n">
        <v>3956150</v>
      </c>
      <c r="N1257" s="90" t="n">
        <f aca="false">IF(A1257="제외",0,IF(OR(N(L1257)&lt;=0,N(M1257)&gt;N(L1257)),N(M1257)/가정!$B$4,N(L1257)))</f>
        <v>11950000</v>
      </c>
      <c r="O1257" s="67" t="str">
        <f aca="false">IF(A1257="제외","",IF(OR(N(L1257)&lt;=0,N(M1257)&gt;N(L1257)),"택가보정(판매금액÷공급율)",""))</f>
        <v/>
      </c>
    </row>
    <row r="1258" customFormat="false" ht="15" hidden="false" customHeight="true" outlineLevel="0" collapsed="false">
      <c r="A1258" s="67" t="str">
        <f aca="false">IF(OR(TRIM(C1258)="",SUBSTITUTE(C1258," ","")="소계"),"제외",IF(ISNUMBER(SEARCH("홍콩",C1258)),"HK",IF(ISNUMBER(SEARCH("상해",C1258)),"CN",IF(ISNUMBER(SEARCH("대만",C1258)),"TW","홀세일"))))</f>
        <v>홀세일</v>
      </c>
      <c r="B1258" s="87" t="s">
        <v>1439</v>
      </c>
      <c r="C1258" s="87" t="s">
        <v>1440</v>
      </c>
      <c r="D1258" s="88" t="s">
        <v>178</v>
      </c>
      <c r="E1258" s="87" t="n">
        <v>2026</v>
      </c>
      <c r="F1258" s="88" t="s">
        <v>532</v>
      </c>
      <c r="G1258" s="88" t="s">
        <v>180</v>
      </c>
      <c r="H1258" s="87" t="s">
        <v>246</v>
      </c>
      <c r="I1258" s="87" t="s">
        <v>609</v>
      </c>
      <c r="J1258" s="87" t="s">
        <v>610</v>
      </c>
      <c r="K1258" s="89" t="n">
        <v>140</v>
      </c>
      <c r="L1258" s="89" t="n">
        <v>23660000</v>
      </c>
      <c r="M1258" s="89" t="n">
        <v>7822500</v>
      </c>
      <c r="N1258" s="90" t="n">
        <f aca="false">IF(A1258="제외",0,IF(OR(N(L1258)&lt;=0,N(M1258)&gt;N(L1258)),N(M1258)/가정!$B$4,N(L1258)))</f>
        <v>23660000</v>
      </c>
      <c r="O1258" s="67" t="str">
        <f aca="false">IF(A1258="제외","",IF(OR(N(L1258)&lt;=0,N(M1258)&gt;N(L1258)),"택가보정(판매금액÷공급율)",""))</f>
        <v/>
      </c>
    </row>
    <row r="1259" customFormat="false" ht="15" hidden="false" customHeight="true" outlineLevel="0" collapsed="false">
      <c r="A1259" s="67" t="str">
        <f aca="false">IF(OR(TRIM(C1259)="",SUBSTITUTE(C1259," ","")="소계"),"제외",IF(ISNUMBER(SEARCH("홍콩",C1259)),"HK",IF(ISNUMBER(SEARCH("상해",C1259)),"CN",IF(ISNUMBER(SEARCH("대만",C1259)),"TW","홀세일"))))</f>
        <v>홀세일</v>
      </c>
      <c r="B1259" s="87" t="s">
        <v>1439</v>
      </c>
      <c r="C1259" s="87" t="s">
        <v>1440</v>
      </c>
      <c r="D1259" s="88" t="s">
        <v>178</v>
      </c>
      <c r="E1259" s="87" t="n">
        <v>2026</v>
      </c>
      <c r="F1259" s="88" t="s">
        <v>532</v>
      </c>
      <c r="G1259" s="88" t="s">
        <v>180</v>
      </c>
      <c r="H1259" s="87" t="s">
        <v>246</v>
      </c>
      <c r="I1259" s="87" t="s">
        <v>623</v>
      </c>
      <c r="J1259" s="87" t="s">
        <v>624</v>
      </c>
      <c r="K1259" s="89" t="n">
        <v>110</v>
      </c>
      <c r="L1259" s="89" t="n">
        <v>48290000</v>
      </c>
      <c r="M1259" s="89" t="n">
        <v>15956490</v>
      </c>
      <c r="N1259" s="90" t="n">
        <f aca="false">IF(A1259="제외",0,IF(OR(N(L1259)&lt;=0,N(M1259)&gt;N(L1259)),N(M1259)/가정!$B$4,N(L1259)))</f>
        <v>48290000</v>
      </c>
      <c r="O1259" s="67" t="str">
        <f aca="false">IF(A1259="제외","",IF(OR(N(L1259)&lt;=0,N(M1259)&gt;N(L1259)),"택가보정(판매금액÷공급율)",""))</f>
        <v/>
      </c>
    </row>
    <row r="1260" customFormat="false" ht="15" hidden="false" customHeight="true" outlineLevel="0" collapsed="false">
      <c r="A1260" s="67" t="str">
        <f aca="false">IF(OR(TRIM(C1260)="",SUBSTITUTE(C1260," ","")="소계"),"제외",IF(ISNUMBER(SEARCH("홍콩",C1260)),"HK",IF(ISNUMBER(SEARCH("상해",C1260)),"CN",IF(ISNUMBER(SEARCH("대만",C1260)),"TW","홀세일"))))</f>
        <v>홀세일</v>
      </c>
      <c r="B1260" s="87" t="s">
        <v>1439</v>
      </c>
      <c r="C1260" s="87" t="s">
        <v>1440</v>
      </c>
      <c r="D1260" s="88" t="s">
        <v>178</v>
      </c>
      <c r="E1260" s="87" t="n">
        <v>2026</v>
      </c>
      <c r="F1260" s="88" t="s">
        <v>532</v>
      </c>
      <c r="G1260" s="88" t="s">
        <v>180</v>
      </c>
      <c r="H1260" s="87" t="s">
        <v>246</v>
      </c>
      <c r="I1260" s="87" t="s">
        <v>1458</v>
      </c>
      <c r="J1260" s="87" t="s">
        <v>1459</v>
      </c>
      <c r="K1260" s="89" t="n">
        <v>50</v>
      </c>
      <c r="L1260" s="89" t="n">
        <v>9450000</v>
      </c>
      <c r="M1260" s="89" t="n">
        <v>3290000</v>
      </c>
      <c r="N1260" s="90" t="n">
        <f aca="false">IF(A1260="제외",0,IF(OR(N(L1260)&lt;=0,N(M1260)&gt;N(L1260)),N(M1260)/가정!$B$4,N(L1260)))</f>
        <v>9450000</v>
      </c>
      <c r="O1260" s="67" t="str">
        <f aca="false">IF(A1260="제외","",IF(OR(N(L1260)&lt;=0,N(M1260)&gt;N(L1260)),"택가보정(판매금액÷공급율)",""))</f>
        <v/>
      </c>
    </row>
    <row r="1261" customFormat="false" ht="15" hidden="false" customHeight="true" outlineLevel="0" collapsed="false">
      <c r="A1261" s="67" t="str">
        <f aca="false">IF(OR(TRIM(C1261)="",SUBSTITUTE(C1261," ","")="소계"),"제외",IF(ISNUMBER(SEARCH("홍콩",C1261)),"HK",IF(ISNUMBER(SEARCH("상해",C1261)),"CN",IF(ISNUMBER(SEARCH("대만",C1261)),"TW","홀세일"))))</f>
        <v>홀세일</v>
      </c>
      <c r="B1261" s="87" t="s">
        <v>1439</v>
      </c>
      <c r="C1261" s="87" t="s">
        <v>1440</v>
      </c>
      <c r="D1261" s="88" t="s">
        <v>178</v>
      </c>
      <c r="E1261" s="87" t="n">
        <v>2026</v>
      </c>
      <c r="F1261" s="88" t="s">
        <v>532</v>
      </c>
      <c r="G1261" s="88" t="s">
        <v>180</v>
      </c>
      <c r="H1261" s="87" t="s">
        <v>246</v>
      </c>
      <c r="I1261" s="87" t="s">
        <v>635</v>
      </c>
      <c r="J1261" s="87" t="s">
        <v>636</v>
      </c>
      <c r="K1261" s="89" t="n">
        <v>140</v>
      </c>
      <c r="L1261" s="89" t="n">
        <v>27860000</v>
      </c>
      <c r="M1261" s="89" t="n">
        <v>8640940</v>
      </c>
      <c r="N1261" s="90" t="n">
        <f aca="false">IF(A1261="제외",0,IF(OR(N(L1261)&lt;=0,N(M1261)&gt;N(L1261)),N(M1261)/가정!$B$4,N(L1261)))</f>
        <v>27860000</v>
      </c>
      <c r="O1261" s="67" t="str">
        <f aca="false">IF(A1261="제외","",IF(OR(N(L1261)&lt;=0,N(M1261)&gt;N(L1261)),"택가보정(판매금액÷공급율)",""))</f>
        <v/>
      </c>
    </row>
    <row r="1262" customFormat="false" ht="15" hidden="false" customHeight="true" outlineLevel="0" collapsed="false">
      <c r="A1262" s="67" t="str">
        <f aca="false">IF(OR(TRIM(C1262)="",SUBSTITUTE(C1262," ","")="소계"),"제외",IF(ISNUMBER(SEARCH("홍콩",C1262)),"HK",IF(ISNUMBER(SEARCH("상해",C1262)),"CN",IF(ISNUMBER(SEARCH("대만",C1262)),"TW","홀세일"))))</f>
        <v>홀세일</v>
      </c>
      <c r="B1262" s="87" t="s">
        <v>1439</v>
      </c>
      <c r="C1262" s="87" t="s">
        <v>1440</v>
      </c>
      <c r="D1262" s="88" t="s">
        <v>178</v>
      </c>
      <c r="E1262" s="87" t="n">
        <v>2026</v>
      </c>
      <c r="F1262" s="87" t="s">
        <v>639</v>
      </c>
      <c r="G1262" s="88" t="s">
        <v>188</v>
      </c>
      <c r="H1262" s="87" t="s">
        <v>189</v>
      </c>
      <c r="I1262" s="87" t="s">
        <v>1395</v>
      </c>
      <c r="J1262" s="88" t="s">
        <v>1396</v>
      </c>
      <c r="K1262" s="89" t="n">
        <v>303</v>
      </c>
      <c r="L1262" s="89" t="n">
        <v>5757000</v>
      </c>
      <c r="M1262" s="89" t="n">
        <v>2237880</v>
      </c>
      <c r="N1262" s="90" t="n">
        <f aca="false">IF(A1262="제외",0,IF(OR(N(L1262)&lt;=0,N(M1262)&gt;N(L1262)),N(M1262)/가정!$B$4,N(L1262)))</f>
        <v>5757000</v>
      </c>
      <c r="O1262" s="67" t="str">
        <f aca="false">IF(A1262="제외","",IF(OR(N(L1262)&lt;=0,N(M1262)&gt;N(L1262)),"택가보정(판매금액÷공급율)",""))</f>
        <v/>
      </c>
    </row>
    <row r="1263" customFormat="false" ht="15" hidden="false" customHeight="true" outlineLevel="0" collapsed="false">
      <c r="A1263" s="67" t="str">
        <f aca="false">IF(OR(TRIM(C1263)="",SUBSTITUTE(C1263," ","")="소계"),"제외",IF(ISNUMBER(SEARCH("홍콩",C1263)),"HK",IF(ISNUMBER(SEARCH("상해",C1263)),"CN",IF(ISNUMBER(SEARCH("대만",C1263)),"TW","홀세일"))))</f>
        <v>홀세일</v>
      </c>
      <c r="B1263" s="87" t="s">
        <v>1439</v>
      </c>
      <c r="C1263" s="87" t="s">
        <v>1440</v>
      </c>
      <c r="D1263" s="88" t="s">
        <v>178</v>
      </c>
      <c r="E1263" s="87" t="n">
        <v>2026</v>
      </c>
      <c r="F1263" s="87" t="s">
        <v>639</v>
      </c>
      <c r="G1263" s="88" t="s">
        <v>188</v>
      </c>
      <c r="H1263" s="87" t="s">
        <v>189</v>
      </c>
      <c r="I1263" s="87" t="s">
        <v>640</v>
      </c>
      <c r="J1263" s="88" t="s">
        <v>641</v>
      </c>
      <c r="K1263" s="89" t="n">
        <v>303</v>
      </c>
      <c r="L1263" s="89" t="n">
        <v>8787000</v>
      </c>
      <c r="M1263" s="89" t="n">
        <v>3378936</v>
      </c>
      <c r="N1263" s="90" t="n">
        <f aca="false">IF(A1263="제외",0,IF(OR(N(L1263)&lt;=0,N(M1263)&gt;N(L1263)),N(M1263)/가정!$B$4,N(L1263)))</f>
        <v>8787000</v>
      </c>
      <c r="O1263" s="67" t="str">
        <f aca="false">IF(A1263="제외","",IF(OR(N(L1263)&lt;=0,N(M1263)&gt;N(L1263)),"택가보정(판매금액÷공급율)",""))</f>
        <v/>
      </c>
    </row>
    <row r="1264" customFormat="false" ht="15" hidden="false" customHeight="true" outlineLevel="0" collapsed="false">
      <c r="A1264" s="67" t="str">
        <f aca="false">IF(OR(TRIM(C1264)="",SUBSTITUTE(C1264," ","")="소계"),"제외",IF(ISNUMBER(SEARCH("홍콩",C1264)),"HK",IF(ISNUMBER(SEARCH("상해",C1264)),"CN",IF(ISNUMBER(SEARCH("대만",C1264)),"TW","홀세일"))))</f>
        <v>홀세일</v>
      </c>
      <c r="B1264" s="87" t="s">
        <v>1439</v>
      </c>
      <c r="C1264" s="87" t="s">
        <v>1440</v>
      </c>
      <c r="D1264" s="88" t="s">
        <v>178</v>
      </c>
      <c r="E1264" s="87" t="n">
        <v>2026</v>
      </c>
      <c r="F1264" s="87" t="s">
        <v>639</v>
      </c>
      <c r="G1264" s="88" t="s">
        <v>188</v>
      </c>
      <c r="H1264" s="87" t="s">
        <v>189</v>
      </c>
      <c r="I1264" s="87" t="s">
        <v>1007</v>
      </c>
      <c r="J1264" s="88" t="s">
        <v>1008</v>
      </c>
      <c r="K1264" s="89" t="n">
        <v>41</v>
      </c>
      <c r="L1264" s="89" t="n">
        <v>4879000</v>
      </c>
      <c r="M1264" s="89" t="n">
        <v>1936562</v>
      </c>
      <c r="N1264" s="90" t="n">
        <f aca="false">IF(A1264="제외",0,IF(OR(N(L1264)&lt;=0,N(M1264)&gt;N(L1264)),N(M1264)/가정!$B$4,N(L1264)))</f>
        <v>4879000</v>
      </c>
      <c r="O1264" s="67" t="str">
        <f aca="false">IF(A1264="제외","",IF(OR(N(L1264)&lt;=0,N(M1264)&gt;N(L1264)),"택가보정(판매금액÷공급율)",""))</f>
        <v/>
      </c>
    </row>
    <row r="1265" customFormat="false" ht="15" hidden="false" customHeight="true" outlineLevel="0" collapsed="false">
      <c r="A1265" s="67" t="str">
        <f aca="false">IF(OR(TRIM(C1265)="",SUBSTITUTE(C1265," ","")="소계"),"제외",IF(ISNUMBER(SEARCH("홍콩",C1265)),"HK",IF(ISNUMBER(SEARCH("상해",C1265)),"CN",IF(ISNUMBER(SEARCH("대만",C1265)),"TW","홀세일"))))</f>
        <v>홀세일</v>
      </c>
      <c r="B1265" s="87" t="s">
        <v>1439</v>
      </c>
      <c r="C1265" s="87" t="s">
        <v>1440</v>
      </c>
      <c r="D1265" s="88" t="s">
        <v>178</v>
      </c>
      <c r="E1265" s="87" t="n">
        <v>2026</v>
      </c>
      <c r="F1265" s="87" t="s">
        <v>639</v>
      </c>
      <c r="G1265" s="88" t="s">
        <v>188</v>
      </c>
      <c r="H1265" s="87" t="s">
        <v>189</v>
      </c>
      <c r="I1265" s="87" t="s">
        <v>1397</v>
      </c>
      <c r="J1265" s="88" t="s">
        <v>1398</v>
      </c>
      <c r="K1265" s="89" t="n">
        <v>102</v>
      </c>
      <c r="L1265" s="89" t="n">
        <v>35598000</v>
      </c>
      <c r="M1265" s="89" t="n">
        <v>14135450</v>
      </c>
      <c r="N1265" s="90" t="n">
        <f aca="false">IF(A1265="제외",0,IF(OR(N(L1265)&lt;=0,N(M1265)&gt;N(L1265)),N(M1265)/가정!$B$4,N(L1265)))</f>
        <v>35598000</v>
      </c>
      <c r="O1265" s="67" t="str">
        <f aca="false">IF(A1265="제외","",IF(OR(N(L1265)&lt;=0,N(M1265)&gt;N(L1265)),"택가보정(판매금액÷공급율)",""))</f>
        <v/>
      </c>
    </row>
    <row r="1266" customFormat="false" ht="15" hidden="false" customHeight="true" outlineLevel="0" collapsed="false">
      <c r="A1266" s="67" t="str">
        <f aca="false">IF(OR(TRIM(C1266)="",SUBSTITUTE(C1266," ","")="소계"),"제외",IF(ISNUMBER(SEARCH("홍콩",C1266)),"HK",IF(ISNUMBER(SEARCH("상해",C1266)),"CN",IF(ISNUMBER(SEARCH("대만",C1266)),"TW","홀세일"))))</f>
        <v>홀세일</v>
      </c>
      <c r="B1266" s="87" t="s">
        <v>1439</v>
      </c>
      <c r="C1266" s="87" t="s">
        <v>1440</v>
      </c>
      <c r="D1266" s="88" t="s">
        <v>178</v>
      </c>
      <c r="E1266" s="87" t="n">
        <v>2026</v>
      </c>
      <c r="F1266" s="87" t="s">
        <v>639</v>
      </c>
      <c r="G1266" s="88" t="s">
        <v>188</v>
      </c>
      <c r="H1266" s="87" t="s">
        <v>189</v>
      </c>
      <c r="I1266" s="87" t="s">
        <v>1009</v>
      </c>
      <c r="J1266" s="88" t="s">
        <v>1010</v>
      </c>
      <c r="K1266" s="89" t="n">
        <v>125</v>
      </c>
      <c r="L1266" s="89" t="n">
        <v>8625000</v>
      </c>
      <c r="M1266" s="89" t="n">
        <v>3457875</v>
      </c>
      <c r="N1266" s="90" t="n">
        <f aca="false">IF(A1266="제외",0,IF(OR(N(L1266)&lt;=0,N(M1266)&gt;N(L1266)),N(M1266)/가정!$B$4,N(L1266)))</f>
        <v>8625000</v>
      </c>
      <c r="O1266" s="67" t="str">
        <f aca="false">IF(A1266="제외","",IF(OR(N(L1266)&lt;=0,N(M1266)&gt;N(L1266)),"택가보정(판매금액÷공급율)",""))</f>
        <v/>
      </c>
    </row>
    <row r="1267" customFormat="false" ht="15" hidden="false" customHeight="true" outlineLevel="0" collapsed="false">
      <c r="A1267" s="67" t="str">
        <f aca="false">IF(OR(TRIM(C1267)="",SUBSTITUTE(C1267," ","")="소계"),"제외",IF(ISNUMBER(SEARCH("홍콩",C1267)),"HK",IF(ISNUMBER(SEARCH("상해",C1267)),"CN",IF(ISNUMBER(SEARCH("대만",C1267)),"TW","홀세일"))))</f>
        <v>홀세일</v>
      </c>
      <c r="B1267" s="87" t="s">
        <v>1439</v>
      </c>
      <c r="C1267" s="87" t="s">
        <v>1440</v>
      </c>
      <c r="D1267" s="88" t="s">
        <v>178</v>
      </c>
      <c r="E1267" s="87" t="n">
        <v>2026</v>
      </c>
      <c r="F1267" s="87" t="s">
        <v>639</v>
      </c>
      <c r="G1267" s="88" t="s">
        <v>188</v>
      </c>
      <c r="H1267" s="87" t="s">
        <v>189</v>
      </c>
      <c r="I1267" s="87" t="s">
        <v>1011</v>
      </c>
      <c r="J1267" s="88" t="s">
        <v>1012</v>
      </c>
      <c r="K1267" s="89" t="n">
        <v>80</v>
      </c>
      <c r="L1267" s="89" t="n">
        <v>14320000</v>
      </c>
      <c r="M1267" s="89" t="n">
        <v>5724960</v>
      </c>
      <c r="N1267" s="90" t="n">
        <f aca="false">IF(A1267="제외",0,IF(OR(N(L1267)&lt;=0,N(M1267)&gt;N(L1267)),N(M1267)/가정!$B$4,N(L1267)))</f>
        <v>14320000</v>
      </c>
      <c r="O1267" s="67" t="str">
        <f aca="false">IF(A1267="제외","",IF(OR(N(L1267)&lt;=0,N(M1267)&gt;N(L1267)),"택가보정(판매금액÷공급율)",""))</f>
        <v/>
      </c>
    </row>
    <row r="1268" customFormat="false" ht="15" hidden="false" customHeight="true" outlineLevel="0" collapsed="false">
      <c r="A1268" s="67" t="str">
        <f aca="false">IF(OR(TRIM(C1268)="",SUBSTITUTE(C1268," ","")="소계"),"제외",IF(ISNUMBER(SEARCH("홍콩",C1268)),"HK",IF(ISNUMBER(SEARCH("상해",C1268)),"CN",IF(ISNUMBER(SEARCH("대만",C1268)),"TW","홀세일"))))</f>
        <v>홀세일</v>
      </c>
      <c r="B1268" s="87" t="s">
        <v>1439</v>
      </c>
      <c r="C1268" s="87" t="s">
        <v>1440</v>
      </c>
      <c r="D1268" s="88" t="s">
        <v>178</v>
      </c>
      <c r="E1268" s="87" t="n">
        <v>2026</v>
      </c>
      <c r="F1268" s="87" t="s">
        <v>639</v>
      </c>
      <c r="G1268" s="88" t="s">
        <v>188</v>
      </c>
      <c r="H1268" s="87" t="s">
        <v>181</v>
      </c>
      <c r="I1268" s="87" t="s">
        <v>1460</v>
      </c>
      <c r="J1268" s="88" t="s">
        <v>1461</v>
      </c>
      <c r="K1268" s="89" t="n">
        <v>61</v>
      </c>
      <c r="L1268" s="89" t="n">
        <v>11529000</v>
      </c>
      <c r="M1268" s="89" t="n">
        <v>4434744</v>
      </c>
      <c r="N1268" s="90" t="n">
        <f aca="false">IF(A1268="제외",0,IF(OR(N(L1268)&lt;=0,N(M1268)&gt;N(L1268)),N(M1268)/가정!$B$4,N(L1268)))</f>
        <v>11529000</v>
      </c>
      <c r="O1268" s="67" t="str">
        <f aca="false">IF(A1268="제외","",IF(OR(N(L1268)&lt;=0,N(M1268)&gt;N(L1268)),"택가보정(판매금액÷공급율)",""))</f>
        <v/>
      </c>
    </row>
    <row r="1269" customFormat="false" ht="15" hidden="false" customHeight="true" outlineLevel="0" collapsed="false">
      <c r="A1269" s="67" t="str">
        <f aca="false">IF(OR(TRIM(C1269)="",SUBSTITUTE(C1269," ","")="소계"),"제외",IF(ISNUMBER(SEARCH("홍콩",C1269)),"HK",IF(ISNUMBER(SEARCH("상해",C1269)),"CN",IF(ISNUMBER(SEARCH("대만",C1269)),"TW","홀세일"))))</f>
        <v>홀세일</v>
      </c>
      <c r="B1269" s="87" t="s">
        <v>1439</v>
      </c>
      <c r="C1269" s="87" t="s">
        <v>1440</v>
      </c>
      <c r="D1269" s="88" t="s">
        <v>178</v>
      </c>
      <c r="E1269" s="87" t="n">
        <v>2026</v>
      </c>
      <c r="F1269" s="87" t="s">
        <v>639</v>
      </c>
      <c r="G1269" s="88" t="s">
        <v>188</v>
      </c>
      <c r="H1269" s="87" t="s">
        <v>181</v>
      </c>
      <c r="I1269" s="87" t="s">
        <v>646</v>
      </c>
      <c r="J1269" s="88" t="s">
        <v>647</v>
      </c>
      <c r="K1269" s="89" t="n">
        <v>61</v>
      </c>
      <c r="L1269" s="89" t="n">
        <v>12139000</v>
      </c>
      <c r="M1269" s="89" t="n">
        <v>4673240</v>
      </c>
      <c r="N1269" s="90" t="n">
        <f aca="false">IF(A1269="제외",0,IF(OR(N(L1269)&lt;=0,N(M1269)&gt;N(L1269)),N(M1269)/가정!$B$4,N(L1269)))</f>
        <v>12139000</v>
      </c>
      <c r="O1269" s="67" t="str">
        <f aca="false">IF(A1269="제외","",IF(OR(N(L1269)&lt;=0,N(M1269)&gt;N(L1269)),"택가보정(판매금액÷공급율)",""))</f>
        <v/>
      </c>
    </row>
    <row r="1270" customFormat="false" ht="15" hidden="false" customHeight="true" outlineLevel="0" collapsed="false">
      <c r="A1270" s="67" t="str">
        <f aca="false">IF(OR(TRIM(C1270)="",SUBSTITUTE(C1270," ","")="소계"),"제외",IF(ISNUMBER(SEARCH("홍콩",C1270)),"HK",IF(ISNUMBER(SEARCH("상해",C1270)),"CN",IF(ISNUMBER(SEARCH("대만",C1270)),"TW","홀세일"))))</f>
        <v>홀세일</v>
      </c>
      <c r="B1270" s="87" t="s">
        <v>1439</v>
      </c>
      <c r="C1270" s="87" t="s">
        <v>1440</v>
      </c>
      <c r="D1270" s="88" t="s">
        <v>178</v>
      </c>
      <c r="E1270" s="87" t="n">
        <v>2026</v>
      </c>
      <c r="F1270" s="87" t="s">
        <v>639</v>
      </c>
      <c r="G1270" s="88" t="s">
        <v>188</v>
      </c>
      <c r="H1270" s="87" t="s">
        <v>181</v>
      </c>
      <c r="I1270" s="87" t="s">
        <v>648</v>
      </c>
      <c r="J1270" s="88" t="s">
        <v>649</v>
      </c>
      <c r="K1270" s="89" t="n">
        <v>102</v>
      </c>
      <c r="L1270" s="89" t="n">
        <v>15198000</v>
      </c>
      <c r="M1270" s="89" t="n">
        <v>6038494</v>
      </c>
      <c r="N1270" s="90" t="n">
        <f aca="false">IF(A1270="제외",0,IF(OR(N(L1270)&lt;=0,N(M1270)&gt;N(L1270)),N(M1270)/가정!$B$4,N(L1270)))</f>
        <v>15198000</v>
      </c>
      <c r="O1270" s="67" t="str">
        <f aca="false">IF(A1270="제외","",IF(OR(N(L1270)&lt;=0,N(M1270)&gt;N(L1270)),"택가보정(판매금액÷공급율)",""))</f>
        <v/>
      </c>
    </row>
    <row r="1271" customFormat="false" ht="15" hidden="false" customHeight="true" outlineLevel="0" collapsed="false">
      <c r="A1271" s="67" t="str">
        <f aca="false">IF(OR(TRIM(C1271)="",SUBSTITUTE(C1271," ","")="소계"),"제외",IF(ISNUMBER(SEARCH("홍콩",C1271)),"HK",IF(ISNUMBER(SEARCH("상해",C1271)),"CN",IF(ISNUMBER(SEARCH("대만",C1271)),"TW","홀세일"))))</f>
        <v>홀세일</v>
      </c>
      <c r="B1271" s="87" t="s">
        <v>1439</v>
      </c>
      <c r="C1271" s="87" t="s">
        <v>1440</v>
      </c>
      <c r="D1271" s="88" t="s">
        <v>178</v>
      </c>
      <c r="E1271" s="87" t="n">
        <v>2026</v>
      </c>
      <c r="F1271" s="87" t="s">
        <v>639</v>
      </c>
      <c r="G1271" s="88" t="s">
        <v>188</v>
      </c>
      <c r="H1271" s="87" t="s">
        <v>189</v>
      </c>
      <c r="I1271" s="87" t="s">
        <v>650</v>
      </c>
      <c r="J1271" s="88" t="s">
        <v>651</v>
      </c>
      <c r="K1271" s="89" t="n">
        <v>92</v>
      </c>
      <c r="L1271" s="89" t="n">
        <v>11868000</v>
      </c>
      <c r="M1271" s="89" t="n">
        <v>4569926</v>
      </c>
      <c r="N1271" s="90" t="n">
        <f aca="false">IF(A1271="제외",0,IF(OR(N(L1271)&lt;=0,N(M1271)&gt;N(L1271)),N(M1271)/가정!$B$4,N(L1271)))</f>
        <v>11868000</v>
      </c>
      <c r="O1271" s="67" t="str">
        <f aca="false">IF(A1271="제외","",IF(OR(N(L1271)&lt;=0,N(M1271)&gt;N(L1271)),"택가보정(판매금액÷공급율)",""))</f>
        <v/>
      </c>
    </row>
    <row r="1272" customFormat="false" ht="15" hidden="false" customHeight="true" outlineLevel="0" collapsed="false">
      <c r="A1272" s="67" t="str">
        <f aca="false">IF(OR(TRIM(C1272)="",SUBSTITUTE(C1272," ","")="소계"),"제외",IF(ISNUMBER(SEARCH("홍콩",C1272)),"HK",IF(ISNUMBER(SEARCH("상해",C1272)),"CN",IF(ISNUMBER(SEARCH("대만",C1272)),"TW","홀세일"))))</f>
        <v>홀세일</v>
      </c>
      <c r="B1272" s="87" t="s">
        <v>1439</v>
      </c>
      <c r="C1272" s="87" t="s">
        <v>1440</v>
      </c>
      <c r="D1272" s="88" t="s">
        <v>178</v>
      </c>
      <c r="E1272" s="87" t="n">
        <v>2026</v>
      </c>
      <c r="F1272" s="87" t="s">
        <v>639</v>
      </c>
      <c r="G1272" s="88" t="s">
        <v>188</v>
      </c>
      <c r="H1272" s="87" t="s">
        <v>189</v>
      </c>
      <c r="I1272" s="87" t="s">
        <v>652</v>
      </c>
      <c r="J1272" s="88" t="s">
        <v>653</v>
      </c>
      <c r="K1272" s="89" t="n">
        <v>92</v>
      </c>
      <c r="L1272" s="89" t="n">
        <v>10948000</v>
      </c>
      <c r="M1272" s="89" t="n">
        <v>4210144</v>
      </c>
      <c r="N1272" s="90" t="n">
        <f aca="false">IF(A1272="제외",0,IF(OR(N(L1272)&lt;=0,N(M1272)&gt;N(L1272)),N(M1272)/가정!$B$4,N(L1272)))</f>
        <v>10948000</v>
      </c>
      <c r="O1272" s="67" t="str">
        <f aca="false">IF(A1272="제외","",IF(OR(N(L1272)&lt;=0,N(M1272)&gt;N(L1272)),"택가보정(판매금액÷공급율)",""))</f>
        <v/>
      </c>
    </row>
    <row r="1273" customFormat="false" ht="15" hidden="false" customHeight="true" outlineLevel="0" collapsed="false">
      <c r="A1273" s="67" t="str">
        <f aca="false">IF(OR(TRIM(C1273)="",SUBSTITUTE(C1273," ","")="소계"),"제외",IF(ISNUMBER(SEARCH("홍콩",C1273)),"HK",IF(ISNUMBER(SEARCH("상해",C1273)),"CN",IF(ISNUMBER(SEARCH("대만",C1273)),"TW","홀세일"))))</f>
        <v>홀세일</v>
      </c>
      <c r="B1273" s="87" t="s">
        <v>1439</v>
      </c>
      <c r="C1273" s="87" t="s">
        <v>1440</v>
      </c>
      <c r="D1273" s="88" t="s">
        <v>178</v>
      </c>
      <c r="E1273" s="87" t="n">
        <v>2026</v>
      </c>
      <c r="F1273" s="87" t="s">
        <v>639</v>
      </c>
      <c r="G1273" s="88" t="s">
        <v>188</v>
      </c>
      <c r="H1273" s="87" t="s">
        <v>189</v>
      </c>
      <c r="I1273" s="87" t="s">
        <v>654</v>
      </c>
      <c r="J1273" s="88" t="s">
        <v>655</v>
      </c>
      <c r="K1273" s="89" t="n">
        <v>121</v>
      </c>
      <c r="L1273" s="89" t="n">
        <v>7139000</v>
      </c>
      <c r="M1273" s="89" t="n">
        <v>2751217</v>
      </c>
      <c r="N1273" s="90" t="n">
        <f aca="false">IF(A1273="제외",0,IF(OR(N(L1273)&lt;=0,N(M1273)&gt;N(L1273)),N(M1273)/가정!$B$4,N(L1273)))</f>
        <v>7139000</v>
      </c>
      <c r="O1273" s="67" t="str">
        <f aca="false">IF(A1273="제외","",IF(OR(N(L1273)&lt;=0,N(M1273)&gt;N(L1273)),"택가보정(판매금액÷공급율)",""))</f>
        <v/>
      </c>
    </row>
    <row r="1274" customFormat="false" ht="15" hidden="false" customHeight="true" outlineLevel="0" collapsed="false">
      <c r="A1274" s="67" t="str">
        <f aca="false">IF(OR(TRIM(C1274)="",SUBSTITUTE(C1274," ","")="소계"),"제외",IF(ISNUMBER(SEARCH("홍콩",C1274)),"HK",IF(ISNUMBER(SEARCH("상해",C1274)),"CN",IF(ISNUMBER(SEARCH("대만",C1274)),"TW","홀세일"))))</f>
        <v>홀세일</v>
      </c>
      <c r="B1274" s="87" t="s">
        <v>1439</v>
      </c>
      <c r="C1274" s="87" t="s">
        <v>1440</v>
      </c>
      <c r="D1274" s="88" t="s">
        <v>178</v>
      </c>
      <c r="E1274" s="87" t="n">
        <v>2026</v>
      </c>
      <c r="F1274" s="87" t="s">
        <v>639</v>
      </c>
      <c r="G1274" s="88" t="s">
        <v>188</v>
      </c>
      <c r="H1274" s="87" t="s">
        <v>189</v>
      </c>
      <c r="I1274" s="87" t="s">
        <v>656</v>
      </c>
      <c r="J1274" s="88" t="s">
        <v>657</v>
      </c>
      <c r="K1274" s="89" t="n">
        <v>61</v>
      </c>
      <c r="L1274" s="89" t="n">
        <v>4209000</v>
      </c>
      <c r="M1274" s="89" t="n">
        <v>1625493</v>
      </c>
      <c r="N1274" s="90" t="n">
        <f aca="false">IF(A1274="제외",0,IF(OR(N(L1274)&lt;=0,N(M1274)&gt;N(L1274)),N(M1274)/가정!$B$4,N(L1274)))</f>
        <v>4209000</v>
      </c>
      <c r="O1274" s="67" t="str">
        <f aca="false">IF(A1274="제외","",IF(OR(N(L1274)&lt;=0,N(M1274)&gt;N(L1274)),"택가보정(판매금액÷공급율)",""))</f>
        <v/>
      </c>
    </row>
    <row r="1275" customFormat="false" ht="15" hidden="false" customHeight="true" outlineLevel="0" collapsed="false">
      <c r="A1275" s="67" t="str">
        <f aca="false">IF(OR(TRIM(C1275)="",SUBSTITUTE(C1275," ","")="소계"),"제외",IF(ISNUMBER(SEARCH("홍콩",C1275)),"HK",IF(ISNUMBER(SEARCH("상해",C1275)),"CN",IF(ISNUMBER(SEARCH("대만",C1275)),"TW","홀세일"))))</f>
        <v>홀세일</v>
      </c>
      <c r="B1275" s="87" t="s">
        <v>1439</v>
      </c>
      <c r="C1275" s="87" t="s">
        <v>1440</v>
      </c>
      <c r="D1275" s="88" t="s">
        <v>178</v>
      </c>
      <c r="E1275" s="87" t="n">
        <v>2026</v>
      </c>
      <c r="F1275" s="87" t="s">
        <v>639</v>
      </c>
      <c r="G1275" s="88" t="s">
        <v>188</v>
      </c>
      <c r="H1275" s="87" t="s">
        <v>189</v>
      </c>
      <c r="I1275" s="87" t="s">
        <v>1462</v>
      </c>
      <c r="J1275" s="88" t="s">
        <v>1463</v>
      </c>
      <c r="K1275" s="89" t="n">
        <v>152</v>
      </c>
      <c r="L1275" s="89" t="n">
        <v>10488000</v>
      </c>
      <c r="M1275" s="89" t="n">
        <v>4182006</v>
      </c>
      <c r="N1275" s="90" t="n">
        <f aca="false">IF(A1275="제외",0,IF(OR(N(L1275)&lt;=0,N(M1275)&gt;N(L1275)),N(M1275)/가정!$B$4,N(L1275)))</f>
        <v>10488000</v>
      </c>
      <c r="O1275" s="67" t="str">
        <f aca="false">IF(A1275="제외","",IF(OR(N(L1275)&lt;=0,N(M1275)&gt;N(L1275)),"택가보정(판매금액÷공급율)",""))</f>
        <v/>
      </c>
    </row>
    <row r="1276" customFormat="false" ht="15" hidden="false" customHeight="true" outlineLevel="0" collapsed="false">
      <c r="A1276" s="67" t="str">
        <f aca="false">IF(OR(TRIM(C1276)="",SUBSTITUTE(C1276," ","")="소계"),"제외",IF(ISNUMBER(SEARCH("홍콩",C1276)),"HK",IF(ISNUMBER(SEARCH("상해",C1276)),"CN",IF(ISNUMBER(SEARCH("대만",C1276)),"TW","홀세일"))))</f>
        <v>홀세일</v>
      </c>
      <c r="B1276" s="87" t="s">
        <v>1439</v>
      </c>
      <c r="C1276" s="87" t="s">
        <v>1440</v>
      </c>
      <c r="D1276" s="88" t="s">
        <v>178</v>
      </c>
      <c r="E1276" s="87" t="n">
        <v>2026</v>
      </c>
      <c r="F1276" s="87" t="s">
        <v>639</v>
      </c>
      <c r="G1276" s="88" t="s">
        <v>188</v>
      </c>
      <c r="H1276" s="87" t="s">
        <v>189</v>
      </c>
      <c r="I1276" s="87" t="s">
        <v>1013</v>
      </c>
      <c r="J1276" s="88" t="s">
        <v>1014</v>
      </c>
      <c r="K1276" s="89" t="n">
        <v>92</v>
      </c>
      <c r="L1276" s="89" t="n">
        <v>8188000</v>
      </c>
      <c r="M1276" s="89" t="n">
        <v>3157652</v>
      </c>
      <c r="N1276" s="90" t="n">
        <f aca="false">IF(A1276="제외",0,IF(OR(N(L1276)&lt;=0,N(M1276)&gt;N(L1276)),N(M1276)/가정!$B$4,N(L1276)))</f>
        <v>8188000</v>
      </c>
      <c r="O1276" s="67" t="str">
        <f aca="false">IF(A1276="제외","",IF(OR(N(L1276)&lt;=0,N(M1276)&gt;N(L1276)),"택가보정(판매금액÷공급율)",""))</f>
        <v/>
      </c>
    </row>
    <row r="1277" customFormat="false" ht="15" hidden="false" customHeight="true" outlineLevel="0" collapsed="false">
      <c r="A1277" s="67" t="str">
        <f aca="false">IF(OR(TRIM(C1277)="",SUBSTITUTE(C1277," ","")="소계"),"제외",IF(ISNUMBER(SEARCH("홍콩",C1277)),"HK",IF(ISNUMBER(SEARCH("상해",C1277)),"CN",IF(ISNUMBER(SEARCH("대만",C1277)),"TW","홀세일"))))</f>
        <v>홀세일</v>
      </c>
      <c r="B1277" s="87" t="s">
        <v>1439</v>
      </c>
      <c r="C1277" s="87" t="s">
        <v>1440</v>
      </c>
      <c r="D1277" s="88" t="s">
        <v>178</v>
      </c>
      <c r="E1277" s="87" t="n">
        <v>2026</v>
      </c>
      <c r="F1277" s="87" t="s">
        <v>639</v>
      </c>
      <c r="G1277" s="88" t="s">
        <v>188</v>
      </c>
      <c r="H1277" s="87" t="s">
        <v>189</v>
      </c>
      <c r="I1277" s="87" t="s">
        <v>660</v>
      </c>
      <c r="J1277" s="88" t="s">
        <v>661</v>
      </c>
      <c r="K1277" s="89" t="n">
        <v>243</v>
      </c>
      <c r="L1277" s="89" t="n">
        <v>19197000</v>
      </c>
      <c r="M1277" s="89" t="n">
        <v>7390275</v>
      </c>
      <c r="N1277" s="90" t="n">
        <f aca="false">IF(A1277="제외",0,IF(OR(N(L1277)&lt;=0,N(M1277)&gt;N(L1277)),N(M1277)/가정!$B$4,N(L1277)))</f>
        <v>19197000</v>
      </c>
      <c r="O1277" s="67" t="str">
        <f aca="false">IF(A1277="제외","",IF(OR(N(L1277)&lt;=0,N(M1277)&gt;N(L1277)),"택가보정(판매금액÷공급율)",""))</f>
        <v/>
      </c>
    </row>
    <row r="1278" customFormat="false" ht="15" hidden="false" customHeight="true" outlineLevel="0" collapsed="false">
      <c r="A1278" s="67" t="str">
        <f aca="false">IF(OR(TRIM(C1278)="",SUBSTITUTE(C1278," ","")="소계"),"제외",IF(ISNUMBER(SEARCH("홍콩",C1278)),"HK",IF(ISNUMBER(SEARCH("상해",C1278)),"CN",IF(ISNUMBER(SEARCH("대만",C1278)),"TW","홀세일"))))</f>
        <v>홀세일</v>
      </c>
      <c r="B1278" s="87" t="s">
        <v>1439</v>
      </c>
      <c r="C1278" s="87" t="s">
        <v>1440</v>
      </c>
      <c r="D1278" s="88" t="s">
        <v>178</v>
      </c>
      <c r="E1278" s="87" t="n">
        <v>2026</v>
      </c>
      <c r="F1278" s="87" t="s">
        <v>639</v>
      </c>
      <c r="G1278" s="88" t="s">
        <v>188</v>
      </c>
      <c r="H1278" s="87" t="s">
        <v>189</v>
      </c>
      <c r="I1278" s="87" t="s">
        <v>1464</v>
      </c>
      <c r="J1278" s="88" t="s">
        <v>1465</v>
      </c>
      <c r="K1278" s="89" t="n">
        <v>92</v>
      </c>
      <c r="L1278" s="89" t="n">
        <v>7268000</v>
      </c>
      <c r="M1278" s="89" t="n">
        <v>2797870</v>
      </c>
      <c r="N1278" s="90" t="n">
        <f aca="false">IF(A1278="제외",0,IF(OR(N(L1278)&lt;=0,N(M1278)&gt;N(L1278)),N(M1278)/가정!$B$4,N(L1278)))</f>
        <v>7268000</v>
      </c>
      <c r="O1278" s="67" t="str">
        <f aca="false">IF(A1278="제외","",IF(OR(N(L1278)&lt;=0,N(M1278)&gt;N(L1278)),"택가보정(판매금액÷공급율)",""))</f>
        <v/>
      </c>
    </row>
    <row r="1279" customFormat="false" ht="15" hidden="false" customHeight="true" outlineLevel="0" collapsed="false">
      <c r="A1279" s="67" t="str">
        <f aca="false">IF(OR(TRIM(C1279)="",SUBSTITUTE(C1279," ","")="소계"),"제외",IF(ISNUMBER(SEARCH("홍콩",C1279)),"HK",IF(ISNUMBER(SEARCH("상해",C1279)),"CN",IF(ISNUMBER(SEARCH("대만",C1279)),"TW","홀세일"))))</f>
        <v>홀세일</v>
      </c>
      <c r="B1279" s="87" t="s">
        <v>1439</v>
      </c>
      <c r="C1279" s="87" t="s">
        <v>1440</v>
      </c>
      <c r="D1279" s="88" t="s">
        <v>178</v>
      </c>
      <c r="E1279" s="87" t="n">
        <v>2026</v>
      </c>
      <c r="F1279" s="87" t="s">
        <v>639</v>
      </c>
      <c r="G1279" s="88" t="s">
        <v>188</v>
      </c>
      <c r="H1279" s="87" t="s">
        <v>189</v>
      </c>
      <c r="I1279" s="87" t="s">
        <v>662</v>
      </c>
      <c r="J1279" s="88" t="s">
        <v>663</v>
      </c>
      <c r="K1279" s="89" t="n">
        <v>92</v>
      </c>
      <c r="L1279" s="89" t="n">
        <v>6348000</v>
      </c>
      <c r="M1279" s="89" t="n">
        <v>2451516</v>
      </c>
      <c r="N1279" s="90" t="n">
        <f aca="false">IF(A1279="제외",0,IF(OR(N(L1279)&lt;=0,N(M1279)&gt;N(L1279)),N(M1279)/가정!$B$4,N(L1279)))</f>
        <v>6348000</v>
      </c>
      <c r="O1279" s="67" t="str">
        <f aca="false">IF(A1279="제외","",IF(OR(N(L1279)&lt;=0,N(M1279)&gt;N(L1279)),"택가보정(판매금액÷공급율)",""))</f>
        <v/>
      </c>
    </row>
    <row r="1280" customFormat="false" ht="15" hidden="false" customHeight="true" outlineLevel="0" collapsed="false">
      <c r="A1280" s="67" t="str">
        <f aca="false">IF(OR(TRIM(C1280)="",SUBSTITUTE(C1280," ","")="소계"),"제외",IF(ISNUMBER(SEARCH("홍콩",C1280)),"HK",IF(ISNUMBER(SEARCH("상해",C1280)),"CN",IF(ISNUMBER(SEARCH("대만",C1280)),"TW","홀세일"))))</f>
        <v>홀세일</v>
      </c>
      <c r="B1280" s="87" t="s">
        <v>1439</v>
      </c>
      <c r="C1280" s="87" t="s">
        <v>1440</v>
      </c>
      <c r="D1280" s="88" t="s">
        <v>178</v>
      </c>
      <c r="E1280" s="87" t="n">
        <v>2026</v>
      </c>
      <c r="F1280" s="87" t="s">
        <v>639</v>
      </c>
      <c r="G1280" s="88" t="s">
        <v>188</v>
      </c>
      <c r="H1280" s="87" t="s">
        <v>189</v>
      </c>
      <c r="I1280" s="87" t="s">
        <v>1466</v>
      </c>
      <c r="J1280" s="88" t="s">
        <v>1467</v>
      </c>
      <c r="K1280" s="89" t="n">
        <v>122</v>
      </c>
      <c r="L1280" s="89" t="n">
        <v>24278000</v>
      </c>
      <c r="M1280" s="89" t="n">
        <v>9649240</v>
      </c>
      <c r="N1280" s="90" t="n">
        <f aca="false">IF(A1280="제외",0,IF(OR(N(L1280)&lt;=0,N(M1280)&gt;N(L1280)),N(M1280)/가정!$B$4,N(L1280)))</f>
        <v>24278000</v>
      </c>
      <c r="O1280" s="67" t="str">
        <f aca="false">IF(A1280="제외","",IF(OR(N(L1280)&lt;=0,N(M1280)&gt;N(L1280)),"택가보정(판매금액÷공급율)",""))</f>
        <v/>
      </c>
    </row>
    <row r="1281" customFormat="false" ht="15" hidden="false" customHeight="true" outlineLevel="0" collapsed="false">
      <c r="A1281" s="67" t="str">
        <f aca="false">IF(OR(TRIM(C1281)="",SUBSTITUTE(C1281," ","")="소계"),"제외",IF(ISNUMBER(SEARCH("홍콩",C1281)),"HK",IF(ISNUMBER(SEARCH("상해",C1281)),"CN",IF(ISNUMBER(SEARCH("대만",C1281)),"TW","홀세일"))))</f>
        <v>홀세일</v>
      </c>
      <c r="B1281" s="87" t="s">
        <v>1439</v>
      </c>
      <c r="C1281" s="87" t="s">
        <v>1440</v>
      </c>
      <c r="D1281" s="88" t="s">
        <v>178</v>
      </c>
      <c r="E1281" s="87" t="n">
        <v>2026</v>
      </c>
      <c r="F1281" s="87" t="s">
        <v>639</v>
      </c>
      <c r="G1281" s="88" t="s">
        <v>188</v>
      </c>
      <c r="H1281" s="87" t="s">
        <v>189</v>
      </c>
      <c r="I1281" s="87" t="s">
        <v>666</v>
      </c>
      <c r="J1281" s="88" t="s">
        <v>667</v>
      </c>
      <c r="K1281" s="89" t="n">
        <v>123</v>
      </c>
      <c r="L1281" s="89" t="n">
        <v>9717000</v>
      </c>
      <c r="M1281" s="89" t="n">
        <v>3860835</v>
      </c>
      <c r="N1281" s="90" t="n">
        <f aca="false">IF(A1281="제외",0,IF(OR(N(L1281)&lt;=0,N(M1281)&gt;N(L1281)),N(M1281)/가정!$B$4,N(L1281)))</f>
        <v>9717000</v>
      </c>
      <c r="O1281" s="67" t="str">
        <f aca="false">IF(A1281="제외","",IF(OR(N(L1281)&lt;=0,N(M1281)&gt;N(L1281)),"택가보정(판매금액÷공급율)",""))</f>
        <v/>
      </c>
    </row>
    <row r="1282" customFormat="false" ht="15" hidden="false" customHeight="true" outlineLevel="0" collapsed="false">
      <c r="A1282" s="67" t="str">
        <f aca="false">IF(OR(TRIM(C1282)="",SUBSTITUTE(C1282," ","")="소계"),"제외",IF(ISNUMBER(SEARCH("홍콩",C1282)),"HK",IF(ISNUMBER(SEARCH("상해",C1282)),"CN",IF(ISNUMBER(SEARCH("대만",C1282)),"TW","홀세일"))))</f>
        <v>홀세일</v>
      </c>
      <c r="B1282" s="87" t="s">
        <v>1439</v>
      </c>
      <c r="C1282" s="87" t="s">
        <v>1440</v>
      </c>
      <c r="D1282" s="88" t="s">
        <v>178</v>
      </c>
      <c r="E1282" s="87" t="n">
        <v>2026</v>
      </c>
      <c r="F1282" s="87" t="s">
        <v>639</v>
      </c>
      <c r="G1282" s="88" t="s">
        <v>188</v>
      </c>
      <c r="H1282" s="87" t="s">
        <v>189</v>
      </c>
      <c r="I1282" s="87" t="s">
        <v>668</v>
      </c>
      <c r="J1282" s="87" t="s">
        <v>669</v>
      </c>
      <c r="K1282" s="89" t="n">
        <v>31</v>
      </c>
      <c r="L1282" s="89" t="n">
        <v>1829000</v>
      </c>
      <c r="M1282" s="89" t="n">
        <v>727267</v>
      </c>
      <c r="N1282" s="90" t="n">
        <f aca="false">IF(A1282="제외",0,IF(OR(N(L1282)&lt;=0,N(M1282)&gt;N(L1282)),N(M1282)/가정!$B$4,N(L1282)))</f>
        <v>1829000</v>
      </c>
      <c r="O1282" s="67" t="str">
        <f aca="false">IF(A1282="제외","",IF(OR(N(L1282)&lt;=0,N(M1282)&gt;N(L1282)),"택가보정(판매금액÷공급율)",""))</f>
        <v/>
      </c>
    </row>
    <row r="1283" customFormat="false" ht="15" hidden="false" customHeight="true" outlineLevel="0" collapsed="false">
      <c r="A1283" s="67" t="str">
        <f aca="false">IF(OR(TRIM(C1283)="",SUBSTITUTE(C1283," ","")="소계"),"제외",IF(ISNUMBER(SEARCH("홍콩",C1283)),"HK",IF(ISNUMBER(SEARCH("상해",C1283)),"CN",IF(ISNUMBER(SEARCH("대만",C1283)),"TW","홀세일"))))</f>
        <v>홀세일</v>
      </c>
      <c r="B1283" s="87" t="s">
        <v>1439</v>
      </c>
      <c r="C1283" s="87" t="s">
        <v>1440</v>
      </c>
      <c r="D1283" s="88" t="s">
        <v>178</v>
      </c>
      <c r="E1283" s="87" t="n">
        <v>2026</v>
      </c>
      <c r="F1283" s="87" t="s">
        <v>639</v>
      </c>
      <c r="G1283" s="88" t="s">
        <v>188</v>
      </c>
      <c r="H1283" s="87" t="s">
        <v>189</v>
      </c>
      <c r="I1283" s="87" t="s">
        <v>1017</v>
      </c>
      <c r="J1283" s="87" t="s">
        <v>1018</v>
      </c>
      <c r="K1283" s="89" t="n">
        <v>61</v>
      </c>
      <c r="L1283" s="89" t="n">
        <v>4819000</v>
      </c>
      <c r="M1283" s="89" t="n">
        <v>1915265</v>
      </c>
      <c r="N1283" s="90" t="n">
        <f aca="false">IF(A1283="제외",0,IF(OR(N(L1283)&lt;=0,N(M1283)&gt;N(L1283)),N(M1283)/가정!$B$4,N(L1283)))</f>
        <v>4819000</v>
      </c>
      <c r="O1283" s="67" t="str">
        <f aca="false">IF(A1283="제외","",IF(OR(N(L1283)&lt;=0,N(M1283)&gt;N(L1283)),"택가보정(판매금액÷공급율)",""))</f>
        <v/>
      </c>
    </row>
    <row r="1284" customFormat="false" ht="15" hidden="false" customHeight="true" outlineLevel="0" collapsed="false">
      <c r="A1284" s="67" t="str">
        <f aca="false">IF(OR(TRIM(C1284)="",SUBSTITUTE(C1284," ","")="소계"),"제외",IF(ISNUMBER(SEARCH("홍콩",C1284)),"HK",IF(ISNUMBER(SEARCH("상해",C1284)),"CN",IF(ISNUMBER(SEARCH("대만",C1284)),"TW","홀세일"))))</f>
        <v>홀세일</v>
      </c>
      <c r="B1284" s="87" t="s">
        <v>1439</v>
      </c>
      <c r="C1284" s="87" t="s">
        <v>1440</v>
      </c>
      <c r="D1284" s="88" t="s">
        <v>178</v>
      </c>
      <c r="E1284" s="87" t="n">
        <v>2026</v>
      </c>
      <c r="F1284" s="87" t="s">
        <v>639</v>
      </c>
      <c r="G1284" s="88" t="s">
        <v>188</v>
      </c>
      <c r="H1284" s="87" t="s">
        <v>189</v>
      </c>
      <c r="I1284" s="87" t="s">
        <v>1019</v>
      </c>
      <c r="J1284" s="88" t="s">
        <v>1020</v>
      </c>
      <c r="K1284" s="89" t="n">
        <v>190</v>
      </c>
      <c r="L1284" s="89" t="n">
        <v>7410000</v>
      </c>
      <c r="M1284" s="89" t="n">
        <v>2970650</v>
      </c>
      <c r="N1284" s="90" t="n">
        <f aca="false">IF(A1284="제외",0,IF(OR(N(L1284)&lt;=0,N(M1284)&gt;N(L1284)),N(M1284)/가정!$B$4,N(L1284)))</f>
        <v>7410000</v>
      </c>
      <c r="O1284" s="67" t="str">
        <f aca="false">IF(A1284="제외","",IF(OR(N(L1284)&lt;=0,N(M1284)&gt;N(L1284)),"택가보정(판매금액÷공급율)",""))</f>
        <v/>
      </c>
    </row>
    <row r="1285" customFormat="false" ht="15" hidden="false" customHeight="true" outlineLevel="0" collapsed="false">
      <c r="A1285" s="67" t="str">
        <f aca="false">IF(OR(TRIM(C1285)="",SUBSTITUTE(C1285," ","")="소계"),"제외",IF(ISNUMBER(SEARCH("홍콩",C1285)),"HK",IF(ISNUMBER(SEARCH("상해",C1285)),"CN",IF(ISNUMBER(SEARCH("대만",C1285)),"TW","홀세일"))))</f>
        <v>홀세일</v>
      </c>
      <c r="B1285" s="87" t="s">
        <v>1439</v>
      </c>
      <c r="C1285" s="87" t="s">
        <v>1440</v>
      </c>
      <c r="D1285" s="88" t="s">
        <v>178</v>
      </c>
      <c r="E1285" s="87" t="n">
        <v>2026</v>
      </c>
      <c r="F1285" s="87" t="s">
        <v>639</v>
      </c>
      <c r="G1285" s="88" t="s">
        <v>188</v>
      </c>
      <c r="H1285" s="87" t="s">
        <v>189</v>
      </c>
      <c r="I1285" s="87" t="s">
        <v>1021</v>
      </c>
      <c r="J1285" s="88" t="s">
        <v>1022</v>
      </c>
      <c r="K1285" s="89" t="n">
        <v>190</v>
      </c>
      <c r="L1285" s="89" t="n">
        <v>9310000</v>
      </c>
      <c r="M1285" s="89" t="n">
        <v>3742050</v>
      </c>
      <c r="N1285" s="90" t="n">
        <f aca="false">IF(A1285="제외",0,IF(OR(N(L1285)&lt;=0,N(M1285)&gt;N(L1285)),N(M1285)/가정!$B$4,N(L1285)))</f>
        <v>9310000</v>
      </c>
      <c r="O1285" s="67" t="str">
        <f aca="false">IF(A1285="제외","",IF(OR(N(L1285)&lt;=0,N(M1285)&gt;N(L1285)),"택가보정(판매금액÷공급율)",""))</f>
        <v/>
      </c>
    </row>
    <row r="1286" customFormat="false" ht="15" hidden="false" customHeight="true" outlineLevel="0" collapsed="false">
      <c r="A1286" s="67" t="str">
        <f aca="false">IF(OR(TRIM(C1286)="",SUBSTITUTE(C1286," ","")="소계"),"제외",IF(ISNUMBER(SEARCH("홍콩",C1286)),"HK",IF(ISNUMBER(SEARCH("상해",C1286)),"CN",IF(ISNUMBER(SEARCH("대만",C1286)),"TW","홀세일"))))</f>
        <v>홀세일</v>
      </c>
      <c r="B1286" s="87" t="s">
        <v>1439</v>
      </c>
      <c r="C1286" s="87" t="s">
        <v>1440</v>
      </c>
      <c r="D1286" s="88" t="s">
        <v>178</v>
      </c>
      <c r="E1286" s="87" t="n">
        <v>2026</v>
      </c>
      <c r="F1286" s="87" t="s">
        <v>639</v>
      </c>
      <c r="G1286" s="88" t="s">
        <v>188</v>
      </c>
      <c r="H1286" s="87" t="s">
        <v>189</v>
      </c>
      <c r="I1286" s="87" t="s">
        <v>1468</v>
      </c>
      <c r="J1286" s="88" t="s">
        <v>1469</v>
      </c>
      <c r="K1286" s="89" t="n">
        <v>190</v>
      </c>
      <c r="L1286" s="89" t="n">
        <v>11210000</v>
      </c>
      <c r="M1286" s="89" t="n">
        <v>4484570</v>
      </c>
      <c r="N1286" s="90" t="n">
        <f aca="false">IF(A1286="제외",0,IF(OR(N(L1286)&lt;=0,N(M1286)&gt;N(L1286)),N(M1286)/가정!$B$4,N(L1286)))</f>
        <v>11210000</v>
      </c>
      <c r="O1286" s="67" t="str">
        <f aca="false">IF(A1286="제외","",IF(OR(N(L1286)&lt;=0,N(M1286)&gt;N(L1286)),"택가보정(판매금액÷공급율)",""))</f>
        <v/>
      </c>
    </row>
    <row r="1287" customFormat="false" ht="15" hidden="false" customHeight="true" outlineLevel="0" collapsed="false">
      <c r="A1287" s="67" t="str">
        <f aca="false">IF(OR(TRIM(C1287)="",SUBSTITUTE(C1287," ","")="소계"),"제외",IF(ISNUMBER(SEARCH("홍콩",C1287)),"HK",IF(ISNUMBER(SEARCH("상해",C1287)),"CN",IF(ISNUMBER(SEARCH("대만",C1287)),"TW","홀세일"))))</f>
        <v>홀세일</v>
      </c>
      <c r="B1287" s="87" t="s">
        <v>1439</v>
      </c>
      <c r="C1287" s="87" t="s">
        <v>1440</v>
      </c>
      <c r="D1287" s="88" t="s">
        <v>178</v>
      </c>
      <c r="E1287" s="87" t="n">
        <v>2026</v>
      </c>
      <c r="F1287" s="87" t="s">
        <v>639</v>
      </c>
      <c r="G1287" s="88" t="s">
        <v>188</v>
      </c>
      <c r="H1287" s="87" t="s">
        <v>189</v>
      </c>
      <c r="I1287" s="87" t="s">
        <v>1023</v>
      </c>
      <c r="J1287" s="88" t="s">
        <v>1024</v>
      </c>
      <c r="K1287" s="89" t="n">
        <v>90</v>
      </c>
      <c r="L1287" s="89" t="n">
        <v>5310000</v>
      </c>
      <c r="M1287" s="89" t="n">
        <v>2124270</v>
      </c>
      <c r="N1287" s="90" t="n">
        <f aca="false">IF(A1287="제외",0,IF(OR(N(L1287)&lt;=0,N(M1287)&gt;N(L1287)),N(M1287)/가정!$B$4,N(L1287)))</f>
        <v>5310000</v>
      </c>
      <c r="O1287" s="67" t="str">
        <f aca="false">IF(A1287="제외","",IF(OR(N(L1287)&lt;=0,N(M1287)&gt;N(L1287)),"택가보정(판매금액÷공급율)",""))</f>
        <v/>
      </c>
    </row>
    <row r="1288" customFormat="false" ht="15" hidden="false" customHeight="true" outlineLevel="0" collapsed="false">
      <c r="A1288" s="67" t="str">
        <f aca="false">IF(OR(TRIM(C1288)="",SUBSTITUTE(C1288," ","")="소계"),"제외",IF(ISNUMBER(SEARCH("홍콩",C1288)),"HK",IF(ISNUMBER(SEARCH("상해",C1288)),"CN",IF(ISNUMBER(SEARCH("대만",C1288)),"TW","홀세일"))))</f>
        <v>홀세일</v>
      </c>
      <c r="B1288" s="87" t="s">
        <v>1439</v>
      </c>
      <c r="C1288" s="87" t="s">
        <v>1440</v>
      </c>
      <c r="D1288" s="88" t="s">
        <v>178</v>
      </c>
      <c r="E1288" s="87" t="n">
        <v>2026</v>
      </c>
      <c r="F1288" s="87" t="s">
        <v>639</v>
      </c>
      <c r="G1288" s="88" t="s">
        <v>188</v>
      </c>
      <c r="H1288" s="87" t="s">
        <v>181</v>
      </c>
      <c r="I1288" s="87" t="s">
        <v>1470</v>
      </c>
      <c r="J1288" s="88" t="s">
        <v>1471</v>
      </c>
      <c r="K1288" s="89" t="n">
        <v>101</v>
      </c>
      <c r="L1288" s="89" t="n">
        <v>8989000</v>
      </c>
      <c r="M1288" s="89" t="n">
        <v>3466701</v>
      </c>
      <c r="N1288" s="90" t="n">
        <f aca="false">IF(A1288="제외",0,IF(OR(N(L1288)&lt;=0,N(M1288)&gt;N(L1288)),N(M1288)/가정!$B$4,N(L1288)))</f>
        <v>8989000</v>
      </c>
      <c r="O1288" s="67" t="str">
        <f aca="false">IF(A1288="제외","",IF(OR(N(L1288)&lt;=0,N(M1288)&gt;N(L1288)),"택가보정(판매금액÷공급율)",""))</f>
        <v/>
      </c>
    </row>
    <row r="1289" customFormat="false" ht="15" hidden="false" customHeight="true" outlineLevel="0" collapsed="false">
      <c r="A1289" s="67" t="str">
        <f aca="false">IF(OR(TRIM(C1289)="",SUBSTITUTE(C1289," ","")="소계"),"제외",IF(ISNUMBER(SEARCH("홍콩",C1289)),"HK",IF(ISNUMBER(SEARCH("상해",C1289)),"CN",IF(ISNUMBER(SEARCH("대만",C1289)),"TW","홀세일"))))</f>
        <v>홀세일</v>
      </c>
      <c r="B1289" s="87" t="s">
        <v>1439</v>
      </c>
      <c r="C1289" s="87" t="s">
        <v>1440</v>
      </c>
      <c r="D1289" s="88" t="s">
        <v>178</v>
      </c>
      <c r="E1289" s="87" t="n">
        <v>2026</v>
      </c>
      <c r="F1289" s="87" t="s">
        <v>639</v>
      </c>
      <c r="G1289" s="88" t="s">
        <v>188</v>
      </c>
      <c r="H1289" s="87" t="s">
        <v>181</v>
      </c>
      <c r="I1289" s="87" t="s">
        <v>1403</v>
      </c>
      <c r="J1289" s="88" t="s">
        <v>1404</v>
      </c>
      <c r="K1289" s="89" t="n">
        <v>101</v>
      </c>
      <c r="L1289" s="89" t="n">
        <v>8989000</v>
      </c>
      <c r="M1289" s="89" t="n">
        <v>3466701</v>
      </c>
      <c r="N1289" s="90" t="n">
        <f aca="false">IF(A1289="제외",0,IF(OR(N(L1289)&lt;=0,N(M1289)&gt;N(L1289)),N(M1289)/가정!$B$4,N(L1289)))</f>
        <v>8989000</v>
      </c>
      <c r="O1289" s="67" t="str">
        <f aca="false">IF(A1289="제외","",IF(OR(N(L1289)&lt;=0,N(M1289)&gt;N(L1289)),"택가보정(판매금액÷공급율)",""))</f>
        <v/>
      </c>
    </row>
    <row r="1290" customFormat="false" ht="15" hidden="false" customHeight="true" outlineLevel="0" collapsed="false">
      <c r="A1290" s="67" t="str">
        <f aca="false">IF(OR(TRIM(C1290)="",SUBSTITUTE(C1290," ","")="소계"),"제외",IF(ISNUMBER(SEARCH("홍콩",C1290)),"HK",IF(ISNUMBER(SEARCH("상해",C1290)),"CN",IF(ISNUMBER(SEARCH("대만",C1290)),"TW","홀세일"))))</f>
        <v>홀세일</v>
      </c>
      <c r="B1290" s="87" t="s">
        <v>1439</v>
      </c>
      <c r="C1290" s="87" t="s">
        <v>1440</v>
      </c>
      <c r="D1290" s="88" t="s">
        <v>178</v>
      </c>
      <c r="E1290" s="87" t="n">
        <v>2026</v>
      </c>
      <c r="F1290" s="87" t="s">
        <v>639</v>
      </c>
      <c r="G1290" s="88" t="s">
        <v>188</v>
      </c>
      <c r="H1290" s="87" t="s">
        <v>181</v>
      </c>
      <c r="I1290" s="87" t="s">
        <v>674</v>
      </c>
      <c r="J1290" s="87" t="s">
        <v>675</v>
      </c>
      <c r="K1290" s="89" t="n">
        <v>92</v>
      </c>
      <c r="L1290" s="89" t="n">
        <v>7268000</v>
      </c>
      <c r="M1290" s="89" t="n">
        <v>2797870</v>
      </c>
      <c r="N1290" s="90" t="n">
        <f aca="false">IF(A1290="제외",0,IF(OR(N(L1290)&lt;=0,N(M1290)&gt;N(L1290)),N(M1290)/가정!$B$4,N(L1290)))</f>
        <v>7268000</v>
      </c>
      <c r="O1290" s="67" t="str">
        <f aca="false">IF(A1290="제외","",IF(OR(N(L1290)&lt;=0,N(M1290)&gt;N(L1290)),"택가보정(판매금액÷공급율)",""))</f>
        <v/>
      </c>
    </row>
    <row r="1291" customFormat="false" ht="15" hidden="false" customHeight="true" outlineLevel="0" collapsed="false">
      <c r="A1291" s="67" t="str">
        <f aca="false">IF(OR(TRIM(C1291)="",SUBSTITUTE(C1291," ","")="소계"),"제외",IF(ISNUMBER(SEARCH("홍콩",C1291)),"HK",IF(ISNUMBER(SEARCH("상해",C1291)),"CN",IF(ISNUMBER(SEARCH("대만",C1291)),"TW","홀세일"))))</f>
        <v>홀세일</v>
      </c>
      <c r="B1291" s="87" t="s">
        <v>1439</v>
      </c>
      <c r="C1291" s="87" t="s">
        <v>1440</v>
      </c>
      <c r="D1291" s="88" t="s">
        <v>178</v>
      </c>
      <c r="E1291" s="87" t="n">
        <v>2026</v>
      </c>
      <c r="F1291" s="87" t="s">
        <v>639</v>
      </c>
      <c r="G1291" s="88" t="s">
        <v>188</v>
      </c>
      <c r="H1291" s="87" t="s">
        <v>181</v>
      </c>
      <c r="I1291" s="87" t="s">
        <v>1472</v>
      </c>
      <c r="J1291" s="87" t="s">
        <v>1473</v>
      </c>
      <c r="K1291" s="89" t="n">
        <v>62</v>
      </c>
      <c r="L1291" s="89" t="n">
        <v>4278000</v>
      </c>
      <c r="M1291" s="89" t="n">
        <v>1652046</v>
      </c>
      <c r="N1291" s="90" t="n">
        <f aca="false">IF(A1291="제외",0,IF(OR(N(L1291)&lt;=0,N(M1291)&gt;N(L1291)),N(M1291)/가정!$B$4,N(L1291)))</f>
        <v>4278000</v>
      </c>
      <c r="O1291" s="67" t="str">
        <f aca="false">IF(A1291="제외","",IF(OR(N(L1291)&lt;=0,N(M1291)&gt;N(L1291)),"택가보정(판매금액÷공급율)",""))</f>
        <v/>
      </c>
    </row>
    <row r="1292" customFormat="false" ht="15" hidden="false" customHeight="true" outlineLevel="0" collapsed="false">
      <c r="A1292" s="67" t="str">
        <f aca="false">IF(OR(TRIM(C1292)="",SUBSTITUTE(C1292," ","")="소계"),"제외",IF(ISNUMBER(SEARCH("홍콩",C1292)),"HK",IF(ISNUMBER(SEARCH("상해",C1292)),"CN",IF(ISNUMBER(SEARCH("대만",C1292)),"TW","홀세일"))))</f>
        <v>홀세일</v>
      </c>
      <c r="B1292" s="87" t="s">
        <v>1439</v>
      </c>
      <c r="C1292" s="87" t="s">
        <v>1440</v>
      </c>
      <c r="D1292" s="88" t="s">
        <v>178</v>
      </c>
      <c r="E1292" s="87" t="n">
        <v>2026</v>
      </c>
      <c r="F1292" s="87" t="s">
        <v>639</v>
      </c>
      <c r="G1292" s="88" t="s">
        <v>188</v>
      </c>
      <c r="H1292" s="87" t="s">
        <v>189</v>
      </c>
      <c r="I1292" s="87" t="s">
        <v>678</v>
      </c>
      <c r="J1292" s="88" t="s">
        <v>679</v>
      </c>
      <c r="K1292" s="89" t="n">
        <v>203</v>
      </c>
      <c r="L1292" s="89" t="n">
        <v>7917000</v>
      </c>
      <c r="M1292" s="89" t="n">
        <v>3090424</v>
      </c>
      <c r="N1292" s="90" t="n">
        <f aca="false">IF(A1292="제외",0,IF(OR(N(L1292)&lt;=0,N(M1292)&gt;N(L1292)),N(M1292)/가정!$B$4,N(L1292)))</f>
        <v>7917000</v>
      </c>
      <c r="O1292" s="67" t="str">
        <f aca="false">IF(A1292="제외","",IF(OR(N(L1292)&lt;=0,N(M1292)&gt;N(L1292)),"택가보정(판매금액÷공급율)",""))</f>
        <v/>
      </c>
    </row>
    <row r="1293" customFormat="false" ht="15" hidden="false" customHeight="true" outlineLevel="0" collapsed="false">
      <c r="A1293" s="67" t="str">
        <f aca="false">IF(OR(TRIM(C1293)="",SUBSTITUTE(C1293," ","")="소계"),"제외",IF(ISNUMBER(SEARCH("홍콩",C1293)),"HK",IF(ISNUMBER(SEARCH("상해",C1293)),"CN",IF(ISNUMBER(SEARCH("대만",C1293)),"TW","홀세일"))))</f>
        <v>홀세일</v>
      </c>
      <c r="B1293" s="87" t="s">
        <v>1439</v>
      </c>
      <c r="C1293" s="87" t="s">
        <v>1440</v>
      </c>
      <c r="D1293" s="88" t="s">
        <v>178</v>
      </c>
      <c r="E1293" s="87" t="n">
        <v>2026</v>
      </c>
      <c r="F1293" s="87" t="s">
        <v>639</v>
      </c>
      <c r="G1293" s="88" t="s">
        <v>188</v>
      </c>
      <c r="H1293" s="87" t="s">
        <v>189</v>
      </c>
      <c r="I1293" s="87" t="s">
        <v>680</v>
      </c>
      <c r="J1293" s="88" t="s">
        <v>681</v>
      </c>
      <c r="K1293" s="89" t="n">
        <v>642</v>
      </c>
      <c r="L1293" s="89" t="n">
        <v>25038000</v>
      </c>
      <c r="M1293" s="89" t="n">
        <v>9200176</v>
      </c>
      <c r="N1293" s="90" t="n">
        <f aca="false">IF(A1293="제외",0,IF(OR(N(L1293)&lt;=0,N(M1293)&gt;N(L1293)),N(M1293)/가정!$B$4,N(L1293)))</f>
        <v>25038000</v>
      </c>
      <c r="O1293" s="67" t="str">
        <f aca="false">IF(A1293="제외","",IF(OR(N(L1293)&lt;=0,N(M1293)&gt;N(L1293)),"택가보정(판매금액÷공급율)",""))</f>
        <v/>
      </c>
    </row>
    <row r="1294" customFormat="false" ht="15" hidden="false" customHeight="true" outlineLevel="0" collapsed="false">
      <c r="A1294" s="67" t="str">
        <f aca="false">IF(OR(TRIM(C1294)="",SUBSTITUTE(C1294," ","")="소계"),"제외",IF(ISNUMBER(SEARCH("홍콩",C1294)),"HK",IF(ISNUMBER(SEARCH("상해",C1294)),"CN",IF(ISNUMBER(SEARCH("대만",C1294)),"TW","홀세일"))))</f>
        <v>홀세일</v>
      </c>
      <c r="B1294" s="87" t="s">
        <v>1439</v>
      </c>
      <c r="C1294" s="87" t="s">
        <v>1440</v>
      </c>
      <c r="D1294" s="88" t="s">
        <v>178</v>
      </c>
      <c r="E1294" s="87" t="n">
        <v>2026</v>
      </c>
      <c r="F1294" s="87" t="s">
        <v>639</v>
      </c>
      <c r="G1294" s="88" t="s">
        <v>188</v>
      </c>
      <c r="H1294" s="87" t="s">
        <v>189</v>
      </c>
      <c r="I1294" s="87" t="s">
        <v>684</v>
      </c>
      <c r="J1294" s="88" t="s">
        <v>685</v>
      </c>
      <c r="K1294" s="89" t="n">
        <v>243</v>
      </c>
      <c r="L1294" s="89" t="n">
        <v>14337000</v>
      </c>
      <c r="M1294" s="89" t="n">
        <v>5584611</v>
      </c>
      <c r="N1294" s="90" t="n">
        <f aca="false">IF(A1294="제외",0,IF(OR(N(L1294)&lt;=0,N(M1294)&gt;N(L1294)),N(M1294)/가정!$B$4,N(L1294)))</f>
        <v>14337000</v>
      </c>
      <c r="O1294" s="67" t="str">
        <f aca="false">IF(A1294="제외","",IF(OR(N(L1294)&lt;=0,N(M1294)&gt;N(L1294)),"택가보정(판매금액÷공급율)",""))</f>
        <v/>
      </c>
    </row>
    <row r="1295" customFormat="false" ht="15" hidden="false" customHeight="true" outlineLevel="0" collapsed="false">
      <c r="A1295" s="67" t="str">
        <f aca="false">IF(OR(TRIM(C1295)="",SUBSTITUTE(C1295," ","")="소계"),"제외",IF(ISNUMBER(SEARCH("홍콩",C1295)),"HK",IF(ISNUMBER(SEARCH("상해",C1295)),"CN",IF(ISNUMBER(SEARCH("대만",C1295)),"TW","홀세일"))))</f>
        <v>홀세일</v>
      </c>
      <c r="B1295" s="87" t="s">
        <v>1439</v>
      </c>
      <c r="C1295" s="87" t="s">
        <v>1440</v>
      </c>
      <c r="D1295" s="88" t="s">
        <v>178</v>
      </c>
      <c r="E1295" s="87" t="n">
        <v>2026</v>
      </c>
      <c r="F1295" s="87" t="s">
        <v>639</v>
      </c>
      <c r="G1295" s="88" t="s">
        <v>188</v>
      </c>
      <c r="H1295" s="87" t="s">
        <v>189</v>
      </c>
      <c r="I1295" s="87" t="s">
        <v>686</v>
      </c>
      <c r="J1295" s="88" t="s">
        <v>687</v>
      </c>
      <c r="K1295" s="89" t="n">
        <v>121</v>
      </c>
      <c r="L1295" s="89" t="n">
        <v>9559000</v>
      </c>
      <c r="M1295" s="89" t="n">
        <v>3666905</v>
      </c>
      <c r="N1295" s="90" t="n">
        <f aca="false">IF(A1295="제외",0,IF(OR(N(L1295)&lt;=0,N(M1295)&gt;N(L1295)),N(M1295)/가정!$B$4,N(L1295)))</f>
        <v>9559000</v>
      </c>
      <c r="O1295" s="67" t="str">
        <f aca="false">IF(A1295="제외","",IF(OR(N(L1295)&lt;=0,N(M1295)&gt;N(L1295)),"택가보정(판매금액÷공급율)",""))</f>
        <v/>
      </c>
    </row>
    <row r="1296" customFormat="false" ht="15" hidden="false" customHeight="true" outlineLevel="0" collapsed="false">
      <c r="A1296" s="67" t="str">
        <f aca="false">IF(OR(TRIM(C1296)="",SUBSTITUTE(C1296," ","")="소계"),"제외",IF(ISNUMBER(SEARCH("홍콩",C1296)),"HK",IF(ISNUMBER(SEARCH("상해",C1296)),"CN",IF(ISNUMBER(SEARCH("대만",C1296)),"TW","홀세일"))))</f>
        <v>홀세일</v>
      </c>
      <c r="B1296" s="87" t="s">
        <v>1439</v>
      </c>
      <c r="C1296" s="87" t="s">
        <v>1440</v>
      </c>
      <c r="D1296" s="88" t="s">
        <v>178</v>
      </c>
      <c r="E1296" s="87" t="n">
        <v>2026</v>
      </c>
      <c r="F1296" s="87" t="s">
        <v>639</v>
      </c>
      <c r="G1296" s="88" t="s">
        <v>188</v>
      </c>
      <c r="H1296" s="87" t="s">
        <v>189</v>
      </c>
      <c r="I1296" s="87" t="s">
        <v>688</v>
      </c>
      <c r="J1296" s="88" t="s">
        <v>689</v>
      </c>
      <c r="K1296" s="89" t="n">
        <v>61</v>
      </c>
      <c r="L1296" s="89" t="n">
        <v>2989000</v>
      </c>
      <c r="M1296" s="89" t="n">
        <v>1176365</v>
      </c>
      <c r="N1296" s="90" t="n">
        <f aca="false">IF(A1296="제외",0,IF(OR(N(L1296)&lt;=0,N(M1296)&gt;N(L1296)),N(M1296)/가정!$B$4,N(L1296)))</f>
        <v>2989000</v>
      </c>
      <c r="O1296" s="67" t="str">
        <f aca="false">IF(A1296="제외","",IF(OR(N(L1296)&lt;=0,N(M1296)&gt;N(L1296)),"택가보정(판매금액÷공급율)",""))</f>
        <v/>
      </c>
    </row>
    <row r="1297" customFormat="false" ht="15" hidden="false" customHeight="true" outlineLevel="0" collapsed="false">
      <c r="A1297" s="67" t="str">
        <f aca="false">IF(OR(TRIM(C1297)="",SUBSTITUTE(C1297," ","")="소계"),"제외",IF(ISNUMBER(SEARCH("홍콩",C1297)),"HK",IF(ISNUMBER(SEARCH("상해",C1297)),"CN",IF(ISNUMBER(SEARCH("대만",C1297)),"TW","홀세일"))))</f>
        <v>홀세일</v>
      </c>
      <c r="B1297" s="87" t="s">
        <v>1439</v>
      </c>
      <c r="C1297" s="87" t="s">
        <v>1440</v>
      </c>
      <c r="D1297" s="88" t="s">
        <v>178</v>
      </c>
      <c r="E1297" s="87" t="n">
        <v>2026</v>
      </c>
      <c r="F1297" s="87" t="s">
        <v>639</v>
      </c>
      <c r="G1297" s="88" t="s">
        <v>188</v>
      </c>
      <c r="H1297" s="87" t="s">
        <v>189</v>
      </c>
      <c r="I1297" s="87" t="s">
        <v>690</v>
      </c>
      <c r="J1297" s="88" t="s">
        <v>691</v>
      </c>
      <c r="K1297" s="89" t="n">
        <v>122</v>
      </c>
      <c r="L1297" s="89" t="n">
        <v>7198000</v>
      </c>
      <c r="M1297" s="89" t="n">
        <v>2885594</v>
      </c>
      <c r="N1297" s="90" t="n">
        <f aca="false">IF(A1297="제외",0,IF(OR(N(L1297)&lt;=0,N(M1297)&gt;N(L1297)),N(M1297)/가정!$B$4,N(L1297)))</f>
        <v>7198000</v>
      </c>
      <c r="O1297" s="67" t="str">
        <f aca="false">IF(A1297="제외","",IF(OR(N(L1297)&lt;=0,N(M1297)&gt;N(L1297)),"택가보정(판매금액÷공급율)",""))</f>
        <v/>
      </c>
    </row>
    <row r="1298" customFormat="false" ht="15" hidden="false" customHeight="true" outlineLevel="0" collapsed="false">
      <c r="A1298" s="67" t="str">
        <f aca="false">IF(OR(TRIM(C1298)="",SUBSTITUTE(C1298," ","")="소계"),"제외",IF(ISNUMBER(SEARCH("홍콩",C1298)),"HK",IF(ISNUMBER(SEARCH("상해",C1298)),"CN",IF(ISNUMBER(SEARCH("대만",C1298)),"TW","홀세일"))))</f>
        <v>홀세일</v>
      </c>
      <c r="B1298" s="87" t="s">
        <v>1439</v>
      </c>
      <c r="C1298" s="87" t="s">
        <v>1440</v>
      </c>
      <c r="D1298" s="88" t="s">
        <v>178</v>
      </c>
      <c r="E1298" s="87" t="n">
        <v>2026</v>
      </c>
      <c r="F1298" s="87" t="s">
        <v>639</v>
      </c>
      <c r="G1298" s="88" t="s">
        <v>188</v>
      </c>
      <c r="H1298" s="87" t="s">
        <v>189</v>
      </c>
      <c r="I1298" s="87" t="s">
        <v>1027</v>
      </c>
      <c r="J1298" s="88" t="s">
        <v>1028</v>
      </c>
      <c r="K1298" s="89" t="n">
        <v>121</v>
      </c>
      <c r="L1298" s="89" t="n">
        <v>9559000</v>
      </c>
      <c r="M1298" s="89" t="n">
        <v>3719825</v>
      </c>
      <c r="N1298" s="90" t="n">
        <f aca="false">IF(A1298="제외",0,IF(OR(N(L1298)&lt;=0,N(M1298)&gt;N(L1298)),N(M1298)/가정!$B$4,N(L1298)))</f>
        <v>9559000</v>
      </c>
      <c r="O1298" s="67" t="str">
        <f aca="false">IF(A1298="제외","",IF(OR(N(L1298)&lt;=0,N(M1298)&gt;N(L1298)),"택가보정(판매금액÷공급율)",""))</f>
        <v/>
      </c>
    </row>
    <row r="1299" customFormat="false" ht="15" hidden="false" customHeight="true" outlineLevel="0" collapsed="false">
      <c r="A1299" s="67" t="str">
        <f aca="false">IF(OR(TRIM(C1299)="",SUBSTITUTE(C1299," ","")="소계"),"제외",IF(ISNUMBER(SEARCH("홍콩",C1299)),"HK",IF(ISNUMBER(SEARCH("상해",C1299)),"CN",IF(ISNUMBER(SEARCH("대만",C1299)),"TW","홀세일"))))</f>
        <v>홀세일</v>
      </c>
      <c r="B1299" s="87" t="s">
        <v>1439</v>
      </c>
      <c r="C1299" s="87" t="s">
        <v>1440</v>
      </c>
      <c r="D1299" s="88" t="s">
        <v>178</v>
      </c>
      <c r="E1299" s="87" t="n">
        <v>2026</v>
      </c>
      <c r="F1299" s="87" t="s">
        <v>639</v>
      </c>
      <c r="G1299" s="88" t="s">
        <v>188</v>
      </c>
      <c r="H1299" s="87" t="s">
        <v>189</v>
      </c>
      <c r="I1299" s="87" t="s">
        <v>1409</v>
      </c>
      <c r="J1299" s="87" t="s">
        <v>1410</v>
      </c>
      <c r="K1299" s="89" t="n">
        <v>122</v>
      </c>
      <c r="L1299" s="89" t="n">
        <v>9638000</v>
      </c>
      <c r="M1299" s="89" t="n">
        <v>3859810</v>
      </c>
      <c r="N1299" s="90" t="n">
        <f aca="false">IF(A1299="제외",0,IF(OR(N(L1299)&lt;=0,N(M1299)&gt;N(L1299)),N(M1299)/가정!$B$4,N(L1299)))</f>
        <v>9638000</v>
      </c>
      <c r="O1299" s="67" t="str">
        <f aca="false">IF(A1299="제외","",IF(OR(N(L1299)&lt;=0,N(M1299)&gt;N(L1299)),"택가보정(판매금액÷공급율)",""))</f>
        <v/>
      </c>
    </row>
    <row r="1300" customFormat="false" ht="15" hidden="false" customHeight="true" outlineLevel="0" collapsed="false">
      <c r="A1300" s="67" t="str">
        <f aca="false">IF(OR(TRIM(C1300)="",SUBSTITUTE(C1300," ","")="소계"),"제외",IF(ISNUMBER(SEARCH("홍콩",C1300)),"HK",IF(ISNUMBER(SEARCH("상해",C1300)),"CN",IF(ISNUMBER(SEARCH("대만",C1300)),"TW","홀세일"))))</f>
        <v>홀세일</v>
      </c>
      <c r="B1300" s="87" t="s">
        <v>1439</v>
      </c>
      <c r="C1300" s="87" t="s">
        <v>1440</v>
      </c>
      <c r="D1300" s="88" t="s">
        <v>178</v>
      </c>
      <c r="E1300" s="87" t="n">
        <v>2026</v>
      </c>
      <c r="F1300" s="87" t="s">
        <v>639</v>
      </c>
      <c r="G1300" s="88" t="s">
        <v>188</v>
      </c>
      <c r="H1300" s="87" t="s">
        <v>189</v>
      </c>
      <c r="I1300" s="87" t="s">
        <v>1166</v>
      </c>
      <c r="J1300" s="88" t="s">
        <v>1167</v>
      </c>
      <c r="K1300" s="89" t="n">
        <v>81</v>
      </c>
      <c r="L1300" s="89" t="n">
        <v>7209000</v>
      </c>
      <c r="M1300" s="89" t="n">
        <v>2770281</v>
      </c>
      <c r="N1300" s="90" t="n">
        <f aca="false">IF(A1300="제외",0,IF(OR(N(L1300)&lt;=0,N(M1300)&gt;N(L1300)),N(M1300)/가정!$B$4,N(L1300)))</f>
        <v>7209000</v>
      </c>
      <c r="O1300" s="67" t="str">
        <f aca="false">IF(A1300="제외","",IF(OR(N(L1300)&lt;=0,N(M1300)&gt;N(L1300)),"택가보정(판매금액÷공급율)",""))</f>
        <v/>
      </c>
    </row>
    <row r="1301" customFormat="false" ht="15" hidden="false" customHeight="true" outlineLevel="0" collapsed="false">
      <c r="A1301" s="67" t="str">
        <f aca="false">IF(OR(TRIM(C1301)="",SUBSTITUTE(C1301," ","")="소계"),"제외",IF(ISNUMBER(SEARCH("홍콩",C1301)),"HK",IF(ISNUMBER(SEARCH("상해",C1301)),"CN",IF(ISNUMBER(SEARCH("대만",C1301)),"TW","홀세일"))))</f>
        <v>홀세일</v>
      </c>
      <c r="B1301" s="87" t="s">
        <v>1439</v>
      </c>
      <c r="C1301" s="87" t="s">
        <v>1440</v>
      </c>
      <c r="D1301" s="88" t="s">
        <v>178</v>
      </c>
      <c r="E1301" s="87" t="n">
        <v>2026</v>
      </c>
      <c r="F1301" s="87" t="s">
        <v>639</v>
      </c>
      <c r="G1301" s="88" t="s">
        <v>188</v>
      </c>
      <c r="H1301" s="87" t="s">
        <v>189</v>
      </c>
      <c r="I1301" s="87" t="s">
        <v>692</v>
      </c>
      <c r="J1301" s="88" t="s">
        <v>693</v>
      </c>
      <c r="K1301" s="89" t="n">
        <v>122</v>
      </c>
      <c r="L1301" s="89" t="n">
        <v>9638000</v>
      </c>
      <c r="M1301" s="89" t="n">
        <v>3830530</v>
      </c>
      <c r="N1301" s="90" t="n">
        <f aca="false">IF(A1301="제외",0,IF(OR(N(L1301)&lt;=0,N(M1301)&gt;N(L1301)),N(M1301)/가정!$B$4,N(L1301)))</f>
        <v>9638000</v>
      </c>
      <c r="O1301" s="67" t="str">
        <f aca="false">IF(A1301="제외","",IF(OR(N(L1301)&lt;=0,N(M1301)&gt;N(L1301)),"택가보정(판매금액÷공급율)",""))</f>
        <v/>
      </c>
    </row>
    <row r="1302" customFormat="false" ht="15" hidden="false" customHeight="true" outlineLevel="0" collapsed="false">
      <c r="A1302" s="67" t="str">
        <f aca="false">IF(OR(TRIM(C1302)="",SUBSTITUTE(C1302," ","")="소계"),"제외",IF(ISNUMBER(SEARCH("홍콩",C1302)),"HK",IF(ISNUMBER(SEARCH("상해",C1302)),"CN",IF(ISNUMBER(SEARCH("대만",C1302)),"TW","홀세일"))))</f>
        <v>홀세일</v>
      </c>
      <c r="B1302" s="87" t="s">
        <v>1439</v>
      </c>
      <c r="C1302" s="87" t="s">
        <v>1440</v>
      </c>
      <c r="D1302" s="88" t="s">
        <v>178</v>
      </c>
      <c r="E1302" s="87" t="n">
        <v>2026</v>
      </c>
      <c r="F1302" s="87" t="s">
        <v>639</v>
      </c>
      <c r="G1302" s="88" t="s">
        <v>188</v>
      </c>
      <c r="H1302" s="87" t="s">
        <v>189</v>
      </c>
      <c r="I1302" s="87" t="s">
        <v>694</v>
      </c>
      <c r="J1302" s="88" t="s">
        <v>695</v>
      </c>
      <c r="K1302" s="89" t="n">
        <v>122</v>
      </c>
      <c r="L1302" s="89" t="n">
        <v>2562000</v>
      </c>
      <c r="M1302" s="89" t="n">
        <v>985882</v>
      </c>
      <c r="N1302" s="90" t="n">
        <f aca="false">IF(A1302="제외",0,IF(OR(N(L1302)&lt;=0,N(M1302)&gt;N(L1302)),N(M1302)/가정!$B$4,N(L1302)))</f>
        <v>2562000</v>
      </c>
      <c r="O1302" s="67" t="str">
        <f aca="false">IF(A1302="제외","",IF(OR(N(L1302)&lt;=0,N(M1302)&gt;N(L1302)),"택가보정(판매금액÷공급율)",""))</f>
        <v/>
      </c>
    </row>
    <row r="1303" customFormat="false" ht="15" hidden="false" customHeight="true" outlineLevel="0" collapsed="false">
      <c r="A1303" s="67" t="str">
        <f aca="false">IF(OR(TRIM(C1303)="",SUBSTITUTE(C1303," ","")="소계"),"제외",IF(ISNUMBER(SEARCH("홍콩",C1303)),"HK",IF(ISNUMBER(SEARCH("상해",C1303)),"CN",IF(ISNUMBER(SEARCH("대만",C1303)),"TW","홀세일"))))</f>
        <v>홀세일</v>
      </c>
      <c r="B1303" s="87" t="s">
        <v>1439</v>
      </c>
      <c r="C1303" s="87" t="s">
        <v>1440</v>
      </c>
      <c r="D1303" s="88" t="s">
        <v>178</v>
      </c>
      <c r="E1303" s="87" t="n">
        <v>2026</v>
      </c>
      <c r="F1303" s="87" t="s">
        <v>639</v>
      </c>
      <c r="G1303" s="88" t="s">
        <v>188</v>
      </c>
      <c r="H1303" s="87" t="s">
        <v>189</v>
      </c>
      <c r="I1303" s="87" t="s">
        <v>704</v>
      </c>
      <c r="J1303" s="88" t="s">
        <v>705</v>
      </c>
      <c r="K1303" s="89" t="n">
        <v>102</v>
      </c>
      <c r="L1303" s="89" t="n">
        <v>13158000</v>
      </c>
      <c r="M1303" s="89" t="n">
        <v>5230296</v>
      </c>
      <c r="N1303" s="90" t="n">
        <f aca="false">IF(A1303="제외",0,IF(OR(N(L1303)&lt;=0,N(M1303)&gt;N(L1303)),N(M1303)/가정!$B$4,N(L1303)))</f>
        <v>13158000</v>
      </c>
      <c r="O1303" s="67" t="str">
        <f aca="false">IF(A1303="제외","",IF(OR(N(L1303)&lt;=0,N(M1303)&gt;N(L1303)),"택가보정(판매금액÷공급율)",""))</f>
        <v/>
      </c>
    </row>
    <row r="1304" customFormat="false" ht="15" hidden="false" customHeight="true" outlineLevel="0" collapsed="false">
      <c r="A1304" s="67" t="str">
        <f aca="false">IF(OR(TRIM(C1304)="",SUBSTITUTE(C1304," ","")="소계"),"제외",IF(ISNUMBER(SEARCH("홍콩",C1304)),"HK",IF(ISNUMBER(SEARCH("상해",C1304)),"CN",IF(ISNUMBER(SEARCH("대만",C1304)),"TW","홀세일"))))</f>
        <v>홀세일</v>
      </c>
      <c r="B1304" s="87" t="s">
        <v>1439</v>
      </c>
      <c r="C1304" s="87" t="s">
        <v>1440</v>
      </c>
      <c r="D1304" s="88" t="s">
        <v>178</v>
      </c>
      <c r="E1304" s="87" t="n">
        <v>2026</v>
      </c>
      <c r="F1304" s="87" t="s">
        <v>639</v>
      </c>
      <c r="G1304" s="88" t="s">
        <v>188</v>
      </c>
      <c r="H1304" s="87" t="s">
        <v>189</v>
      </c>
      <c r="I1304" s="87" t="s">
        <v>706</v>
      </c>
      <c r="J1304" s="88" t="s">
        <v>707</v>
      </c>
      <c r="K1304" s="89" t="n">
        <v>122</v>
      </c>
      <c r="L1304" s="89" t="n">
        <v>15738000</v>
      </c>
      <c r="M1304" s="89" t="n">
        <v>6256556</v>
      </c>
      <c r="N1304" s="90" t="n">
        <f aca="false">IF(A1304="제외",0,IF(OR(N(L1304)&lt;=0,N(M1304)&gt;N(L1304)),N(M1304)/가정!$B$4,N(L1304)))</f>
        <v>15738000</v>
      </c>
      <c r="O1304" s="67" t="str">
        <f aca="false">IF(A1304="제외","",IF(OR(N(L1304)&lt;=0,N(M1304)&gt;N(L1304)),"택가보정(판매금액÷공급율)",""))</f>
        <v/>
      </c>
    </row>
    <row r="1305" customFormat="false" ht="15" hidden="false" customHeight="true" outlineLevel="0" collapsed="false">
      <c r="A1305" s="67" t="str">
        <f aca="false">IF(OR(TRIM(C1305)="",SUBSTITUTE(C1305," ","")="소계"),"제외",IF(ISNUMBER(SEARCH("홍콩",C1305)),"HK",IF(ISNUMBER(SEARCH("상해",C1305)),"CN",IF(ISNUMBER(SEARCH("대만",C1305)),"TW","홀세일"))))</f>
        <v>홀세일</v>
      </c>
      <c r="B1305" s="87" t="s">
        <v>1439</v>
      </c>
      <c r="C1305" s="87" t="s">
        <v>1440</v>
      </c>
      <c r="D1305" s="88" t="s">
        <v>178</v>
      </c>
      <c r="E1305" s="87" t="n">
        <v>2026</v>
      </c>
      <c r="F1305" s="87" t="s">
        <v>639</v>
      </c>
      <c r="G1305" s="88" t="s">
        <v>188</v>
      </c>
      <c r="H1305" s="87" t="s">
        <v>189</v>
      </c>
      <c r="I1305" s="87" t="s">
        <v>1474</v>
      </c>
      <c r="J1305" s="88" t="s">
        <v>1475</v>
      </c>
      <c r="K1305" s="89" t="n">
        <v>62</v>
      </c>
      <c r="L1305" s="89" t="n">
        <v>2418000</v>
      </c>
      <c r="M1305" s="89" t="n">
        <v>933736</v>
      </c>
      <c r="N1305" s="90" t="n">
        <f aca="false">IF(A1305="제외",0,IF(OR(N(L1305)&lt;=0,N(M1305)&gt;N(L1305)),N(M1305)/가정!$B$4,N(L1305)))</f>
        <v>2418000</v>
      </c>
      <c r="O1305" s="67" t="str">
        <f aca="false">IF(A1305="제외","",IF(OR(N(L1305)&lt;=0,N(M1305)&gt;N(L1305)),"택가보정(판매금액÷공급율)",""))</f>
        <v/>
      </c>
    </row>
    <row r="1306" customFormat="false" ht="15" hidden="false" customHeight="true" outlineLevel="0" collapsed="false">
      <c r="A1306" s="67" t="str">
        <f aca="false">IF(OR(TRIM(C1306)="",SUBSTITUTE(C1306," ","")="소계"),"제외",IF(ISNUMBER(SEARCH("홍콩",C1306)),"HK",IF(ISNUMBER(SEARCH("상해",C1306)),"CN",IF(ISNUMBER(SEARCH("대만",C1306)),"TW","홀세일"))))</f>
        <v>홀세일</v>
      </c>
      <c r="B1306" s="87" t="s">
        <v>1439</v>
      </c>
      <c r="C1306" s="87" t="s">
        <v>1440</v>
      </c>
      <c r="D1306" s="88" t="s">
        <v>178</v>
      </c>
      <c r="E1306" s="87" t="n">
        <v>2026</v>
      </c>
      <c r="F1306" s="87" t="s">
        <v>639</v>
      </c>
      <c r="G1306" s="88" t="s">
        <v>827</v>
      </c>
      <c r="H1306" s="87" t="s">
        <v>189</v>
      </c>
      <c r="I1306" s="87" t="s">
        <v>1177</v>
      </c>
      <c r="J1306" s="88" t="s">
        <v>1178</v>
      </c>
      <c r="K1306" s="89" t="n">
        <v>30</v>
      </c>
      <c r="L1306" s="89" t="n">
        <v>10350000</v>
      </c>
      <c r="M1306" s="89" t="n">
        <v>5099910</v>
      </c>
      <c r="N1306" s="90" t="n">
        <f aca="false">IF(A1306="제외",0,IF(OR(N(L1306)&lt;=0,N(M1306)&gt;N(L1306)),N(M1306)/가정!$B$4,N(L1306)))</f>
        <v>10350000</v>
      </c>
      <c r="O1306" s="67" t="str">
        <f aca="false">IF(A1306="제외","",IF(OR(N(L1306)&lt;=0,N(M1306)&gt;N(L1306)),"택가보정(판매금액÷공급율)",""))</f>
        <v/>
      </c>
    </row>
    <row r="1307" customFormat="false" ht="15" hidden="false" customHeight="true" outlineLevel="0" collapsed="false">
      <c r="A1307" s="67" t="str">
        <f aca="false">IF(OR(TRIM(C1307)="",SUBSTITUTE(C1307," ","")="소계"),"제외",IF(ISNUMBER(SEARCH("홍콩",C1307)),"HK",IF(ISNUMBER(SEARCH("상해",C1307)),"CN",IF(ISNUMBER(SEARCH("대만",C1307)),"TW","홀세일"))))</f>
        <v>홀세일</v>
      </c>
      <c r="B1307" s="87" t="s">
        <v>1439</v>
      </c>
      <c r="C1307" s="87" t="s">
        <v>1440</v>
      </c>
      <c r="D1307" s="88" t="s">
        <v>178</v>
      </c>
      <c r="E1307" s="87" t="n">
        <v>2026</v>
      </c>
      <c r="F1307" s="87" t="s">
        <v>639</v>
      </c>
      <c r="G1307" s="88" t="s">
        <v>180</v>
      </c>
      <c r="H1307" s="87" t="s">
        <v>181</v>
      </c>
      <c r="I1307" s="87" t="s">
        <v>1476</v>
      </c>
      <c r="J1307" s="88" t="s">
        <v>1477</v>
      </c>
      <c r="K1307" s="89" t="n">
        <v>92</v>
      </c>
      <c r="L1307" s="89" t="n">
        <v>25668000</v>
      </c>
      <c r="M1307" s="89" t="n">
        <v>10040608</v>
      </c>
      <c r="N1307" s="90" t="n">
        <f aca="false">IF(A1307="제외",0,IF(OR(N(L1307)&lt;=0,N(M1307)&gt;N(L1307)),N(M1307)/가정!$B$4,N(L1307)))</f>
        <v>25668000</v>
      </c>
      <c r="O1307" s="67" t="str">
        <f aca="false">IF(A1307="제외","",IF(OR(N(L1307)&lt;=0,N(M1307)&gt;N(L1307)),"택가보정(판매금액÷공급율)",""))</f>
        <v/>
      </c>
    </row>
    <row r="1308" customFormat="false" ht="15" hidden="false" customHeight="true" outlineLevel="0" collapsed="false">
      <c r="A1308" s="67" t="str">
        <f aca="false">IF(OR(TRIM(C1308)="",SUBSTITUTE(C1308," ","")="소계"),"제외",IF(ISNUMBER(SEARCH("홍콩",C1308)),"HK",IF(ISNUMBER(SEARCH("상해",C1308)),"CN",IF(ISNUMBER(SEARCH("대만",C1308)),"TW","홀세일"))))</f>
        <v>홀세일</v>
      </c>
      <c r="B1308" s="87" t="s">
        <v>1439</v>
      </c>
      <c r="C1308" s="87" t="s">
        <v>1440</v>
      </c>
      <c r="D1308" s="88" t="s">
        <v>178</v>
      </c>
      <c r="E1308" s="87" t="n">
        <v>2026</v>
      </c>
      <c r="F1308" s="87" t="s">
        <v>639</v>
      </c>
      <c r="G1308" s="88" t="s">
        <v>180</v>
      </c>
      <c r="H1308" s="87" t="s">
        <v>181</v>
      </c>
      <c r="I1308" s="87" t="s">
        <v>1478</v>
      </c>
      <c r="J1308" s="88" t="s">
        <v>1479</v>
      </c>
      <c r="K1308" s="89" t="n">
        <v>122</v>
      </c>
      <c r="L1308" s="89" t="n">
        <v>36478000</v>
      </c>
      <c r="M1308" s="89" t="n">
        <v>14268684</v>
      </c>
      <c r="N1308" s="90" t="n">
        <f aca="false">IF(A1308="제외",0,IF(OR(N(L1308)&lt;=0,N(M1308)&gt;N(L1308)),N(M1308)/가정!$B$4,N(L1308)))</f>
        <v>36478000</v>
      </c>
      <c r="O1308" s="67" t="str">
        <f aca="false">IF(A1308="제외","",IF(OR(N(L1308)&lt;=0,N(M1308)&gt;N(L1308)),"택가보정(판매금액÷공급율)",""))</f>
        <v/>
      </c>
    </row>
    <row r="1309" customFormat="false" ht="15" hidden="false" customHeight="true" outlineLevel="0" collapsed="false">
      <c r="A1309" s="67" t="str">
        <f aca="false">IF(OR(TRIM(C1309)="",SUBSTITUTE(C1309," ","")="소계"),"제외",IF(ISNUMBER(SEARCH("홍콩",C1309)),"HK",IF(ISNUMBER(SEARCH("상해",C1309)),"CN",IF(ISNUMBER(SEARCH("대만",C1309)),"TW","홀세일"))))</f>
        <v>홀세일</v>
      </c>
      <c r="B1309" s="87" t="s">
        <v>1439</v>
      </c>
      <c r="C1309" s="87" t="s">
        <v>1440</v>
      </c>
      <c r="D1309" s="88" t="s">
        <v>178</v>
      </c>
      <c r="E1309" s="87" t="n">
        <v>2026</v>
      </c>
      <c r="F1309" s="87" t="s">
        <v>639</v>
      </c>
      <c r="G1309" s="88" t="s">
        <v>418</v>
      </c>
      <c r="H1309" s="87" t="s">
        <v>189</v>
      </c>
      <c r="I1309" s="87" t="s">
        <v>1480</v>
      </c>
      <c r="J1309" s="88" t="s">
        <v>1481</v>
      </c>
      <c r="K1309" s="89" t="n">
        <v>120</v>
      </c>
      <c r="L1309" s="89" t="n">
        <v>15480000</v>
      </c>
      <c r="M1309" s="89" t="n">
        <v>6589320</v>
      </c>
      <c r="N1309" s="90" t="n">
        <f aca="false">IF(A1309="제외",0,IF(OR(N(L1309)&lt;=0,N(M1309)&gt;N(L1309)),N(M1309)/가정!$B$4,N(L1309)))</f>
        <v>15480000</v>
      </c>
      <c r="O1309" s="67" t="str">
        <f aca="false">IF(A1309="제외","",IF(OR(N(L1309)&lt;=0,N(M1309)&gt;N(L1309)),"택가보정(판매금액÷공급율)",""))</f>
        <v/>
      </c>
    </row>
    <row r="1310" customFormat="false" ht="15" hidden="false" customHeight="true" outlineLevel="0" collapsed="false">
      <c r="A1310" s="67" t="str">
        <f aca="false">IF(OR(TRIM(C1310)="",SUBSTITUTE(C1310," ","")="소계"),"제외",IF(ISNUMBER(SEARCH("홍콩",C1310)),"HK",IF(ISNUMBER(SEARCH("상해",C1310)),"CN",IF(ISNUMBER(SEARCH("대만",C1310)),"TW","홀세일"))))</f>
        <v>홀세일</v>
      </c>
      <c r="B1310" s="87" t="s">
        <v>1439</v>
      </c>
      <c r="C1310" s="87" t="s">
        <v>1440</v>
      </c>
      <c r="D1310" s="88" t="s">
        <v>178</v>
      </c>
      <c r="E1310" s="87" t="n">
        <v>2026</v>
      </c>
      <c r="F1310" s="87" t="s">
        <v>639</v>
      </c>
      <c r="G1310" s="88" t="s">
        <v>418</v>
      </c>
      <c r="H1310" s="87" t="s">
        <v>189</v>
      </c>
      <c r="I1310" s="87" t="s">
        <v>1482</v>
      </c>
      <c r="J1310" s="88" t="s">
        <v>1483</v>
      </c>
      <c r="K1310" s="89" t="n">
        <v>60</v>
      </c>
      <c r="L1310" s="89" t="n">
        <v>7140000</v>
      </c>
      <c r="M1310" s="89" t="n">
        <v>3037800</v>
      </c>
      <c r="N1310" s="90" t="n">
        <f aca="false">IF(A1310="제외",0,IF(OR(N(L1310)&lt;=0,N(M1310)&gt;N(L1310)),N(M1310)/가정!$B$4,N(L1310)))</f>
        <v>7140000</v>
      </c>
      <c r="O1310" s="67" t="str">
        <f aca="false">IF(A1310="제외","",IF(OR(N(L1310)&lt;=0,N(M1310)&gt;N(L1310)),"택가보정(판매금액÷공급율)",""))</f>
        <v/>
      </c>
    </row>
    <row r="1311" customFormat="false" ht="15" hidden="false" customHeight="true" outlineLevel="0" collapsed="false">
      <c r="A1311" s="67" t="str">
        <f aca="false">IF(OR(TRIM(C1311)="",SUBSTITUTE(C1311," ","")="소계"),"제외",IF(ISNUMBER(SEARCH("홍콩",C1311)),"HK",IF(ISNUMBER(SEARCH("상해",C1311)),"CN",IF(ISNUMBER(SEARCH("대만",C1311)),"TW","홀세일"))))</f>
        <v>홀세일</v>
      </c>
      <c r="B1311" s="87" t="s">
        <v>1439</v>
      </c>
      <c r="C1311" s="87" t="s">
        <v>1440</v>
      </c>
      <c r="D1311" s="88" t="s">
        <v>178</v>
      </c>
      <c r="E1311" s="87" t="n">
        <v>2026</v>
      </c>
      <c r="F1311" s="87" t="s">
        <v>639</v>
      </c>
      <c r="G1311" s="88" t="s">
        <v>418</v>
      </c>
      <c r="H1311" s="87" t="s">
        <v>189</v>
      </c>
      <c r="I1311" s="87" t="s">
        <v>1484</v>
      </c>
      <c r="J1311" s="88" t="s">
        <v>1485</v>
      </c>
      <c r="K1311" s="89" t="n">
        <v>62</v>
      </c>
      <c r="L1311" s="89" t="n">
        <v>9238000</v>
      </c>
      <c r="M1311" s="89" t="n">
        <v>3587096</v>
      </c>
      <c r="N1311" s="90" t="n">
        <f aca="false">IF(A1311="제외",0,IF(OR(N(L1311)&lt;=0,N(M1311)&gt;N(L1311)),N(M1311)/가정!$B$4,N(L1311)))</f>
        <v>9238000</v>
      </c>
      <c r="O1311" s="67" t="str">
        <f aca="false">IF(A1311="제외","",IF(OR(N(L1311)&lt;=0,N(M1311)&gt;N(L1311)),"택가보정(판매금액÷공급율)",""))</f>
        <v/>
      </c>
    </row>
    <row r="1312" customFormat="false" ht="15" hidden="false" customHeight="true" outlineLevel="0" collapsed="false">
      <c r="A1312" s="67" t="str">
        <f aca="false">IF(OR(TRIM(C1312)="",SUBSTITUTE(C1312," ","")="소계"),"제외",IF(ISNUMBER(SEARCH("홍콩",C1312)),"HK",IF(ISNUMBER(SEARCH("상해",C1312)),"CN",IF(ISNUMBER(SEARCH("대만",C1312)),"TW","홀세일"))))</f>
        <v>홀세일</v>
      </c>
      <c r="B1312" s="87" t="s">
        <v>1439</v>
      </c>
      <c r="C1312" s="87" t="s">
        <v>1440</v>
      </c>
      <c r="D1312" s="88" t="s">
        <v>178</v>
      </c>
      <c r="E1312" s="87" t="n">
        <v>2026</v>
      </c>
      <c r="F1312" s="87" t="s">
        <v>639</v>
      </c>
      <c r="G1312" s="88" t="s">
        <v>180</v>
      </c>
      <c r="H1312" s="87" t="s">
        <v>246</v>
      </c>
      <c r="I1312" s="87" t="s">
        <v>721</v>
      </c>
      <c r="J1312" s="87" t="s">
        <v>722</v>
      </c>
      <c r="K1312" s="89" t="n">
        <v>72</v>
      </c>
      <c r="L1312" s="89" t="n">
        <v>28728000</v>
      </c>
      <c r="M1312" s="89" t="n">
        <v>11005568</v>
      </c>
      <c r="N1312" s="90" t="n">
        <f aca="false">IF(A1312="제외",0,IF(OR(N(L1312)&lt;=0,N(M1312)&gt;N(L1312)),N(M1312)/가정!$B$4,N(L1312)))</f>
        <v>28728000</v>
      </c>
      <c r="O1312" s="67" t="str">
        <f aca="false">IF(A1312="제외","",IF(OR(N(L1312)&lt;=0,N(M1312)&gt;N(L1312)),"택가보정(판매금액÷공급율)",""))</f>
        <v/>
      </c>
    </row>
    <row r="1313" customFormat="false" ht="15" hidden="false" customHeight="true" outlineLevel="0" collapsed="false">
      <c r="A1313" s="67" t="str">
        <f aca="false">IF(OR(TRIM(C1313)="",SUBSTITUTE(C1313," ","")="소계"),"제외",IF(ISNUMBER(SEARCH("홍콩",C1313)),"HK",IF(ISNUMBER(SEARCH("상해",C1313)),"CN",IF(ISNUMBER(SEARCH("대만",C1313)),"TW","홀세일"))))</f>
        <v>홀세일</v>
      </c>
      <c r="B1313" s="87" t="s">
        <v>1439</v>
      </c>
      <c r="C1313" s="87" t="s">
        <v>1440</v>
      </c>
      <c r="D1313" s="88" t="s">
        <v>723</v>
      </c>
      <c r="E1313" s="87" t="n">
        <v>2026</v>
      </c>
      <c r="F1313" s="88" t="s">
        <v>277</v>
      </c>
      <c r="G1313" s="88" t="s">
        <v>180</v>
      </c>
      <c r="H1313" s="87" t="s">
        <v>732</v>
      </c>
      <c r="I1313" s="87" t="s">
        <v>1486</v>
      </c>
      <c r="J1313" s="87" t="s">
        <v>1487</v>
      </c>
      <c r="K1313" s="89" t="n">
        <v>140</v>
      </c>
      <c r="L1313" s="89" t="n">
        <v>8260000</v>
      </c>
      <c r="M1313" s="89" t="n">
        <v>3033660</v>
      </c>
      <c r="N1313" s="90" t="n">
        <f aca="false">IF(A1313="제외",0,IF(OR(N(L1313)&lt;=0,N(M1313)&gt;N(L1313)),N(M1313)/가정!$B$4,N(L1313)))</f>
        <v>8260000</v>
      </c>
      <c r="O1313" s="67" t="str">
        <f aca="false">IF(A1313="제외","",IF(OR(N(L1313)&lt;=0,N(M1313)&gt;N(L1313)),"택가보정(판매금액÷공급율)",""))</f>
        <v/>
      </c>
    </row>
    <row r="1314" customFormat="false" ht="15" hidden="false" customHeight="true" outlineLevel="0" collapsed="false">
      <c r="A1314" s="67" t="str">
        <f aca="false">IF(OR(TRIM(C1314)="",SUBSTITUTE(C1314," ","")="소계"),"제외",IF(ISNUMBER(SEARCH("홍콩",C1314)),"HK",IF(ISNUMBER(SEARCH("상해",C1314)),"CN",IF(ISNUMBER(SEARCH("대만",C1314)),"TW","홀세일"))))</f>
        <v>홀세일</v>
      </c>
      <c r="B1314" s="87" t="s">
        <v>1439</v>
      </c>
      <c r="C1314" s="87" t="s">
        <v>1440</v>
      </c>
      <c r="D1314" s="88" t="s">
        <v>723</v>
      </c>
      <c r="E1314" s="87" t="n">
        <v>2026</v>
      </c>
      <c r="F1314" s="88" t="s">
        <v>277</v>
      </c>
      <c r="G1314" s="88" t="s">
        <v>180</v>
      </c>
      <c r="H1314" s="87" t="s">
        <v>732</v>
      </c>
      <c r="I1314" s="87" t="s">
        <v>1488</v>
      </c>
      <c r="J1314" s="87" t="s">
        <v>1489</v>
      </c>
      <c r="K1314" s="89" t="n">
        <v>80</v>
      </c>
      <c r="L1314" s="89" t="n">
        <v>4720000</v>
      </c>
      <c r="M1314" s="89" t="n">
        <v>1733520</v>
      </c>
      <c r="N1314" s="90" t="n">
        <f aca="false">IF(A1314="제외",0,IF(OR(N(L1314)&lt;=0,N(M1314)&gt;N(L1314)),N(M1314)/가정!$B$4,N(L1314)))</f>
        <v>4720000</v>
      </c>
      <c r="O1314" s="67" t="str">
        <f aca="false">IF(A1314="제외","",IF(OR(N(L1314)&lt;=0,N(M1314)&gt;N(L1314)),"택가보정(판매금액÷공급율)",""))</f>
        <v/>
      </c>
    </row>
    <row r="1315" customFormat="false" ht="15" hidden="false" customHeight="true" outlineLevel="0" collapsed="false">
      <c r="A1315" s="67" t="str">
        <f aca="false">IF(OR(TRIM(C1315)="",SUBSTITUTE(C1315," ","")="소계"),"제외",IF(ISNUMBER(SEARCH("홍콩",C1315)),"HK",IF(ISNUMBER(SEARCH("상해",C1315)),"CN",IF(ISNUMBER(SEARCH("대만",C1315)),"TW","홀세일"))))</f>
        <v>제외</v>
      </c>
      <c r="B1315" s="87" t="s">
        <v>821</v>
      </c>
      <c r="C1315" s="88" t="s">
        <v>822</v>
      </c>
      <c r="D1315" s="87"/>
      <c r="E1315" s="87"/>
      <c r="F1315" s="87"/>
      <c r="G1315" s="87"/>
      <c r="H1315" s="87"/>
      <c r="I1315" s="87"/>
      <c r="J1315" s="87"/>
      <c r="K1315" s="89" t="n">
        <v>16489</v>
      </c>
      <c r="L1315" s="89" t="n">
        <v>2043747000</v>
      </c>
      <c r="M1315" s="89" t="n">
        <v>738157771</v>
      </c>
      <c r="N1315" s="90" t="n">
        <f aca="false">IF(A1315="제외",0,IF(OR(N(L1315)&lt;=0,N(M1315)&gt;N(L1315)),N(M1315)/가정!$B$4,N(L1315)))</f>
        <v>0</v>
      </c>
      <c r="O1315" s="67" t="str">
        <f aca="false">IF(A1315="제외","",IF(OR(N(L1315)&lt;=0,N(M1315)&gt;N(L1315)),"택가보정(판매금액÷공급율)",""))</f>
        <v/>
      </c>
    </row>
    <row r="1316" customFormat="false" ht="15" hidden="false" customHeight="true" outlineLevel="0" collapsed="false">
      <c r="A1316" s="67" t="str">
        <f aca="false">IF(OR(TRIM(C1316)="",SUBSTITUTE(C1316," ","")="소계"),"제외",IF(ISNUMBER(SEARCH("홍콩",C1316)),"HK",IF(ISNUMBER(SEARCH("상해",C1316)),"CN",IF(ISNUMBER(SEARCH("대만",C1316)),"TW","홀세일"))))</f>
        <v>홀세일</v>
      </c>
      <c r="B1316" s="87" t="s">
        <v>1490</v>
      </c>
      <c r="C1316" s="87" t="s">
        <v>1491</v>
      </c>
      <c r="D1316" s="88" t="s">
        <v>178</v>
      </c>
      <c r="E1316" s="87" t="n">
        <v>2026</v>
      </c>
      <c r="F1316" s="88" t="s">
        <v>179</v>
      </c>
      <c r="G1316" s="88" t="s">
        <v>188</v>
      </c>
      <c r="H1316" s="87" t="s">
        <v>189</v>
      </c>
      <c r="I1316" s="87" t="s">
        <v>190</v>
      </c>
      <c r="J1316" s="88" t="s">
        <v>191</v>
      </c>
      <c r="K1316" s="89" t="n">
        <v>30</v>
      </c>
      <c r="L1316" s="89" t="n">
        <v>5070000</v>
      </c>
      <c r="M1316" s="89" t="n">
        <v>2037750</v>
      </c>
      <c r="N1316" s="90" t="n">
        <f aca="false">IF(A1316="제외",0,IF(OR(N(L1316)&lt;=0,N(M1316)&gt;N(L1316)),N(M1316)/가정!$B$4,N(L1316)))</f>
        <v>5070000</v>
      </c>
      <c r="O1316" s="67" t="str">
        <f aca="false">IF(A1316="제외","",IF(OR(N(L1316)&lt;=0,N(M1316)&gt;N(L1316)),"택가보정(판매금액÷공급율)",""))</f>
        <v/>
      </c>
    </row>
    <row r="1317" customFormat="false" ht="15" hidden="false" customHeight="true" outlineLevel="0" collapsed="false">
      <c r="A1317" s="67" t="str">
        <f aca="false">IF(OR(TRIM(C1317)="",SUBSTITUTE(C1317," ","")="소계"),"제외",IF(ISNUMBER(SEARCH("홍콩",C1317)),"HK",IF(ISNUMBER(SEARCH("상해",C1317)),"CN",IF(ISNUMBER(SEARCH("대만",C1317)),"TW","홀세일"))))</f>
        <v>홀세일</v>
      </c>
      <c r="B1317" s="87" t="s">
        <v>1490</v>
      </c>
      <c r="C1317" s="87" t="s">
        <v>1491</v>
      </c>
      <c r="D1317" s="88" t="s">
        <v>178</v>
      </c>
      <c r="E1317" s="87" t="n">
        <v>2026</v>
      </c>
      <c r="F1317" s="88" t="s">
        <v>179</v>
      </c>
      <c r="G1317" s="88" t="s">
        <v>188</v>
      </c>
      <c r="H1317" s="87" t="s">
        <v>189</v>
      </c>
      <c r="I1317" s="87" t="s">
        <v>192</v>
      </c>
      <c r="J1317" s="88" t="s">
        <v>193</v>
      </c>
      <c r="K1317" s="89" t="n">
        <v>40</v>
      </c>
      <c r="L1317" s="89" t="n">
        <v>7160000</v>
      </c>
      <c r="M1317" s="89" t="n">
        <v>2880360</v>
      </c>
      <c r="N1317" s="90" t="n">
        <f aca="false">IF(A1317="제외",0,IF(OR(N(L1317)&lt;=0,N(M1317)&gt;N(L1317)),N(M1317)/가정!$B$4,N(L1317)))</f>
        <v>7160000</v>
      </c>
      <c r="O1317" s="67" t="str">
        <f aca="false">IF(A1317="제외","",IF(OR(N(L1317)&lt;=0,N(M1317)&gt;N(L1317)),"택가보정(판매금액÷공급율)",""))</f>
        <v/>
      </c>
    </row>
    <row r="1318" customFormat="false" ht="15" hidden="false" customHeight="true" outlineLevel="0" collapsed="false">
      <c r="A1318" s="67" t="str">
        <f aca="false">IF(OR(TRIM(C1318)="",SUBSTITUTE(C1318," ","")="소계"),"제외",IF(ISNUMBER(SEARCH("홍콩",C1318)),"HK",IF(ISNUMBER(SEARCH("상해",C1318)),"CN",IF(ISNUMBER(SEARCH("대만",C1318)),"TW","홀세일"))))</f>
        <v>홀세일</v>
      </c>
      <c r="B1318" s="87" t="s">
        <v>1490</v>
      </c>
      <c r="C1318" s="87" t="s">
        <v>1491</v>
      </c>
      <c r="D1318" s="88" t="s">
        <v>178</v>
      </c>
      <c r="E1318" s="87" t="n">
        <v>2026</v>
      </c>
      <c r="F1318" s="88" t="s">
        <v>179</v>
      </c>
      <c r="G1318" s="88" t="s">
        <v>188</v>
      </c>
      <c r="H1318" s="87" t="s">
        <v>189</v>
      </c>
      <c r="I1318" s="87" t="s">
        <v>196</v>
      </c>
      <c r="J1318" s="88" t="s">
        <v>197</v>
      </c>
      <c r="K1318" s="89" t="n">
        <v>20</v>
      </c>
      <c r="L1318" s="89" t="n">
        <v>2980000</v>
      </c>
      <c r="M1318" s="89" t="n">
        <v>1198140</v>
      </c>
      <c r="N1318" s="90" t="n">
        <f aca="false">IF(A1318="제외",0,IF(OR(N(L1318)&lt;=0,N(M1318)&gt;N(L1318)),N(M1318)/가정!$B$4,N(L1318)))</f>
        <v>2980000</v>
      </c>
      <c r="O1318" s="67" t="str">
        <f aca="false">IF(A1318="제외","",IF(OR(N(L1318)&lt;=0,N(M1318)&gt;N(L1318)),"택가보정(판매금액÷공급율)",""))</f>
        <v/>
      </c>
    </row>
    <row r="1319" customFormat="false" ht="15" hidden="false" customHeight="true" outlineLevel="0" collapsed="false">
      <c r="A1319" s="67" t="str">
        <f aca="false">IF(OR(TRIM(C1319)="",SUBSTITUTE(C1319," ","")="소계"),"제외",IF(ISNUMBER(SEARCH("홍콩",C1319)),"HK",IF(ISNUMBER(SEARCH("상해",C1319)),"CN",IF(ISNUMBER(SEARCH("대만",C1319)),"TW","홀세일"))))</f>
        <v>홀세일</v>
      </c>
      <c r="B1319" s="87" t="s">
        <v>1490</v>
      </c>
      <c r="C1319" s="87" t="s">
        <v>1491</v>
      </c>
      <c r="D1319" s="88" t="s">
        <v>178</v>
      </c>
      <c r="E1319" s="87" t="n">
        <v>2026</v>
      </c>
      <c r="F1319" s="88" t="s">
        <v>179</v>
      </c>
      <c r="G1319" s="88" t="s">
        <v>188</v>
      </c>
      <c r="H1319" s="87" t="s">
        <v>189</v>
      </c>
      <c r="I1319" s="87" t="s">
        <v>200</v>
      </c>
      <c r="J1319" s="88" t="s">
        <v>201</v>
      </c>
      <c r="K1319" s="89" t="n">
        <v>25</v>
      </c>
      <c r="L1319" s="89" t="n">
        <v>4225000</v>
      </c>
      <c r="M1319" s="89" t="n">
        <v>1698125</v>
      </c>
      <c r="N1319" s="90" t="n">
        <f aca="false">IF(A1319="제외",0,IF(OR(N(L1319)&lt;=0,N(M1319)&gt;N(L1319)),N(M1319)/가정!$B$4,N(L1319)))</f>
        <v>4225000</v>
      </c>
      <c r="O1319" s="67" t="str">
        <f aca="false">IF(A1319="제외","",IF(OR(N(L1319)&lt;=0,N(M1319)&gt;N(L1319)),"택가보정(판매금액÷공급율)",""))</f>
        <v/>
      </c>
    </row>
    <row r="1320" customFormat="false" ht="15" hidden="false" customHeight="true" outlineLevel="0" collapsed="false">
      <c r="A1320" s="67" t="str">
        <f aca="false">IF(OR(TRIM(C1320)="",SUBSTITUTE(C1320," ","")="소계"),"제외",IF(ISNUMBER(SEARCH("홍콩",C1320)),"HK",IF(ISNUMBER(SEARCH("상해",C1320)),"CN",IF(ISNUMBER(SEARCH("대만",C1320)),"TW","홀세일"))))</f>
        <v>홀세일</v>
      </c>
      <c r="B1320" s="87" t="s">
        <v>1490</v>
      </c>
      <c r="C1320" s="87" t="s">
        <v>1491</v>
      </c>
      <c r="D1320" s="88" t="s">
        <v>178</v>
      </c>
      <c r="E1320" s="87" t="n">
        <v>2026</v>
      </c>
      <c r="F1320" s="88" t="s">
        <v>179</v>
      </c>
      <c r="G1320" s="88" t="s">
        <v>188</v>
      </c>
      <c r="H1320" s="87" t="s">
        <v>189</v>
      </c>
      <c r="I1320" s="87" t="s">
        <v>202</v>
      </c>
      <c r="J1320" s="88" t="s">
        <v>203</v>
      </c>
      <c r="K1320" s="89" t="n">
        <v>25</v>
      </c>
      <c r="L1320" s="89" t="n">
        <v>4225000</v>
      </c>
      <c r="M1320" s="89" t="n">
        <v>1698125</v>
      </c>
      <c r="N1320" s="90" t="n">
        <f aca="false">IF(A1320="제외",0,IF(OR(N(L1320)&lt;=0,N(M1320)&gt;N(L1320)),N(M1320)/가정!$B$4,N(L1320)))</f>
        <v>4225000</v>
      </c>
      <c r="O1320" s="67" t="str">
        <f aca="false">IF(A1320="제외","",IF(OR(N(L1320)&lt;=0,N(M1320)&gt;N(L1320)),"택가보정(판매금액÷공급율)",""))</f>
        <v/>
      </c>
    </row>
    <row r="1321" customFormat="false" ht="15" hidden="false" customHeight="true" outlineLevel="0" collapsed="false">
      <c r="A1321" s="67" t="str">
        <f aca="false">IF(OR(TRIM(C1321)="",SUBSTITUTE(C1321," ","")="소계"),"제외",IF(ISNUMBER(SEARCH("홍콩",C1321)),"HK",IF(ISNUMBER(SEARCH("상해",C1321)),"CN",IF(ISNUMBER(SEARCH("대만",C1321)),"TW","홀세일"))))</f>
        <v>홀세일</v>
      </c>
      <c r="B1321" s="87" t="s">
        <v>1490</v>
      </c>
      <c r="C1321" s="87" t="s">
        <v>1491</v>
      </c>
      <c r="D1321" s="88" t="s">
        <v>178</v>
      </c>
      <c r="E1321" s="87" t="n">
        <v>2026</v>
      </c>
      <c r="F1321" s="88" t="s">
        <v>179</v>
      </c>
      <c r="G1321" s="88" t="s">
        <v>188</v>
      </c>
      <c r="H1321" s="87" t="s">
        <v>189</v>
      </c>
      <c r="I1321" s="87" t="s">
        <v>204</v>
      </c>
      <c r="J1321" s="88" t="s">
        <v>205</v>
      </c>
      <c r="K1321" s="89" t="n">
        <v>25</v>
      </c>
      <c r="L1321" s="89" t="n">
        <v>4725000</v>
      </c>
      <c r="M1321" s="89" t="n">
        <v>1898575</v>
      </c>
      <c r="N1321" s="90" t="n">
        <f aca="false">IF(A1321="제외",0,IF(OR(N(L1321)&lt;=0,N(M1321)&gt;N(L1321)),N(M1321)/가정!$B$4,N(L1321)))</f>
        <v>4725000</v>
      </c>
      <c r="O1321" s="67" t="str">
        <f aca="false">IF(A1321="제외","",IF(OR(N(L1321)&lt;=0,N(M1321)&gt;N(L1321)),"택가보정(판매금액÷공급율)",""))</f>
        <v/>
      </c>
    </row>
    <row r="1322" customFormat="false" ht="15" hidden="false" customHeight="true" outlineLevel="0" collapsed="false">
      <c r="A1322" s="67" t="str">
        <f aca="false">IF(OR(TRIM(C1322)="",SUBSTITUTE(C1322," ","")="소계"),"제외",IF(ISNUMBER(SEARCH("홍콩",C1322)),"HK",IF(ISNUMBER(SEARCH("상해",C1322)),"CN",IF(ISNUMBER(SEARCH("대만",C1322)),"TW","홀세일"))))</f>
        <v>홀세일</v>
      </c>
      <c r="B1322" s="87" t="s">
        <v>1490</v>
      </c>
      <c r="C1322" s="87" t="s">
        <v>1491</v>
      </c>
      <c r="D1322" s="88" t="s">
        <v>178</v>
      </c>
      <c r="E1322" s="87" t="n">
        <v>2026</v>
      </c>
      <c r="F1322" s="88" t="s">
        <v>179</v>
      </c>
      <c r="G1322" s="88" t="s">
        <v>188</v>
      </c>
      <c r="H1322" s="87" t="s">
        <v>189</v>
      </c>
      <c r="I1322" s="87" t="s">
        <v>206</v>
      </c>
      <c r="J1322" s="88" t="s">
        <v>207</v>
      </c>
      <c r="K1322" s="89" t="n">
        <v>20</v>
      </c>
      <c r="L1322" s="89" t="n">
        <v>3580000</v>
      </c>
      <c r="M1322" s="89" t="n">
        <v>1440180</v>
      </c>
      <c r="N1322" s="90" t="n">
        <f aca="false">IF(A1322="제외",0,IF(OR(N(L1322)&lt;=0,N(M1322)&gt;N(L1322)),N(M1322)/가정!$B$4,N(L1322)))</f>
        <v>3580000</v>
      </c>
      <c r="O1322" s="67" t="str">
        <f aca="false">IF(A1322="제외","",IF(OR(N(L1322)&lt;=0,N(M1322)&gt;N(L1322)),"택가보정(판매금액÷공급율)",""))</f>
        <v/>
      </c>
    </row>
    <row r="1323" customFormat="false" ht="15" hidden="false" customHeight="true" outlineLevel="0" collapsed="false">
      <c r="A1323" s="67" t="str">
        <f aca="false">IF(OR(TRIM(C1323)="",SUBSTITUTE(C1323," ","")="소계"),"제외",IF(ISNUMBER(SEARCH("홍콩",C1323)),"HK",IF(ISNUMBER(SEARCH("상해",C1323)),"CN",IF(ISNUMBER(SEARCH("대만",C1323)),"TW","홀세일"))))</f>
        <v>홀세일</v>
      </c>
      <c r="B1323" s="87" t="s">
        <v>1490</v>
      </c>
      <c r="C1323" s="87" t="s">
        <v>1491</v>
      </c>
      <c r="D1323" s="88" t="s">
        <v>178</v>
      </c>
      <c r="E1323" s="87" t="n">
        <v>2026</v>
      </c>
      <c r="F1323" s="88" t="s">
        <v>179</v>
      </c>
      <c r="G1323" s="88" t="s">
        <v>188</v>
      </c>
      <c r="H1323" s="87" t="s">
        <v>189</v>
      </c>
      <c r="I1323" s="87" t="s">
        <v>208</v>
      </c>
      <c r="J1323" s="88" t="s">
        <v>209</v>
      </c>
      <c r="K1323" s="89" t="n">
        <v>20</v>
      </c>
      <c r="L1323" s="89" t="n">
        <v>3780000</v>
      </c>
      <c r="M1323" s="89" t="n">
        <v>1518860</v>
      </c>
      <c r="N1323" s="90" t="n">
        <f aca="false">IF(A1323="제외",0,IF(OR(N(L1323)&lt;=0,N(M1323)&gt;N(L1323)),N(M1323)/가정!$B$4,N(L1323)))</f>
        <v>3780000</v>
      </c>
      <c r="O1323" s="67" t="str">
        <f aca="false">IF(A1323="제외","",IF(OR(N(L1323)&lt;=0,N(M1323)&gt;N(L1323)),"택가보정(판매금액÷공급율)",""))</f>
        <v/>
      </c>
    </row>
    <row r="1324" customFormat="false" ht="15" hidden="false" customHeight="true" outlineLevel="0" collapsed="false">
      <c r="A1324" s="67" t="str">
        <f aca="false">IF(OR(TRIM(C1324)="",SUBSTITUTE(C1324," ","")="소계"),"제외",IF(ISNUMBER(SEARCH("홍콩",C1324)),"HK",IF(ISNUMBER(SEARCH("상해",C1324)),"CN",IF(ISNUMBER(SEARCH("대만",C1324)),"TW","홀세일"))))</f>
        <v>홀세일</v>
      </c>
      <c r="B1324" s="87" t="s">
        <v>1490</v>
      </c>
      <c r="C1324" s="87" t="s">
        <v>1491</v>
      </c>
      <c r="D1324" s="88" t="s">
        <v>178</v>
      </c>
      <c r="E1324" s="87" t="n">
        <v>2026</v>
      </c>
      <c r="F1324" s="88" t="s">
        <v>277</v>
      </c>
      <c r="G1324" s="88" t="s">
        <v>188</v>
      </c>
      <c r="H1324" s="87" t="s">
        <v>189</v>
      </c>
      <c r="I1324" s="87" t="s">
        <v>1329</v>
      </c>
      <c r="J1324" s="88" t="s">
        <v>1330</v>
      </c>
      <c r="K1324" s="89" t="n">
        <v>10</v>
      </c>
      <c r="L1324" s="89" t="n">
        <v>450000</v>
      </c>
      <c r="M1324" s="89" t="n">
        <v>181540</v>
      </c>
      <c r="N1324" s="90" t="n">
        <f aca="false">IF(A1324="제외",0,IF(OR(N(L1324)&lt;=0,N(M1324)&gt;N(L1324)),N(M1324)/가정!$B$4,N(L1324)))</f>
        <v>450000</v>
      </c>
      <c r="O1324" s="67" t="str">
        <f aca="false">IF(A1324="제외","",IF(OR(N(L1324)&lt;=0,N(M1324)&gt;N(L1324)),"택가보정(판매금액÷공급율)",""))</f>
        <v/>
      </c>
    </row>
    <row r="1325" customFormat="false" ht="15" hidden="false" customHeight="true" outlineLevel="0" collapsed="false">
      <c r="A1325" s="67" t="str">
        <f aca="false">IF(OR(TRIM(C1325)="",SUBSTITUTE(C1325," ","")="소계"),"제외",IF(ISNUMBER(SEARCH("홍콩",C1325)),"HK",IF(ISNUMBER(SEARCH("상해",C1325)),"CN",IF(ISNUMBER(SEARCH("대만",C1325)),"TW","홀세일"))))</f>
        <v>홀세일</v>
      </c>
      <c r="B1325" s="87" t="s">
        <v>1490</v>
      </c>
      <c r="C1325" s="87" t="s">
        <v>1491</v>
      </c>
      <c r="D1325" s="88" t="s">
        <v>178</v>
      </c>
      <c r="E1325" s="87" t="n">
        <v>2026</v>
      </c>
      <c r="F1325" s="87" t="s">
        <v>639</v>
      </c>
      <c r="G1325" s="88" t="s">
        <v>188</v>
      </c>
      <c r="H1325" s="87" t="s">
        <v>189</v>
      </c>
      <c r="I1325" s="87" t="s">
        <v>1395</v>
      </c>
      <c r="J1325" s="88" t="s">
        <v>1396</v>
      </c>
      <c r="K1325" s="89" t="n">
        <v>20</v>
      </c>
      <c r="L1325" s="89" t="n">
        <v>380000</v>
      </c>
      <c r="M1325" s="89" t="n">
        <v>154300</v>
      </c>
      <c r="N1325" s="90" t="n">
        <f aca="false">IF(A1325="제외",0,IF(OR(N(L1325)&lt;=0,N(M1325)&gt;N(L1325)),N(M1325)/가정!$B$4,N(L1325)))</f>
        <v>380000</v>
      </c>
      <c r="O1325" s="67" t="str">
        <f aca="false">IF(A1325="제외","",IF(OR(N(L1325)&lt;=0,N(M1325)&gt;N(L1325)),"택가보정(판매금액÷공급율)",""))</f>
        <v/>
      </c>
    </row>
    <row r="1326" customFormat="false" ht="15" hidden="false" customHeight="true" outlineLevel="0" collapsed="false">
      <c r="A1326" s="67" t="str">
        <f aca="false">IF(OR(TRIM(C1326)="",SUBSTITUTE(C1326," ","")="소계"),"제외",IF(ISNUMBER(SEARCH("홍콩",C1326)),"HK",IF(ISNUMBER(SEARCH("상해",C1326)),"CN",IF(ISNUMBER(SEARCH("대만",C1326)),"TW","홀세일"))))</f>
        <v>홀세일</v>
      </c>
      <c r="B1326" s="87" t="s">
        <v>1490</v>
      </c>
      <c r="C1326" s="87" t="s">
        <v>1491</v>
      </c>
      <c r="D1326" s="88" t="s">
        <v>178</v>
      </c>
      <c r="E1326" s="87" t="n">
        <v>2026</v>
      </c>
      <c r="F1326" s="87" t="s">
        <v>639</v>
      </c>
      <c r="G1326" s="88" t="s">
        <v>188</v>
      </c>
      <c r="H1326" s="87" t="s">
        <v>189</v>
      </c>
      <c r="I1326" s="87" t="s">
        <v>640</v>
      </c>
      <c r="J1326" s="88" t="s">
        <v>641</v>
      </c>
      <c r="K1326" s="89" t="n">
        <v>15</v>
      </c>
      <c r="L1326" s="89" t="n">
        <v>435000</v>
      </c>
      <c r="M1326" s="89" t="n">
        <v>174735</v>
      </c>
      <c r="N1326" s="90" t="n">
        <f aca="false">IF(A1326="제외",0,IF(OR(N(L1326)&lt;=0,N(M1326)&gt;N(L1326)),N(M1326)/가정!$B$4,N(L1326)))</f>
        <v>435000</v>
      </c>
      <c r="O1326" s="67" t="str">
        <f aca="false">IF(A1326="제외","",IF(OR(N(L1326)&lt;=0,N(M1326)&gt;N(L1326)),"택가보정(판매금액÷공급율)",""))</f>
        <v/>
      </c>
    </row>
    <row r="1327" customFormat="false" ht="15" hidden="false" customHeight="true" outlineLevel="0" collapsed="false">
      <c r="A1327" s="67" t="str">
        <f aca="false">IF(OR(TRIM(C1327)="",SUBSTITUTE(C1327," ","")="소계"),"제외",IF(ISNUMBER(SEARCH("홍콩",C1327)),"HK",IF(ISNUMBER(SEARCH("상해",C1327)),"CN",IF(ISNUMBER(SEARCH("대만",C1327)),"TW","홀세일"))))</f>
        <v>홀세일</v>
      </c>
      <c r="B1327" s="87" t="s">
        <v>1490</v>
      </c>
      <c r="C1327" s="87" t="s">
        <v>1491</v>
      </c>
      <c r="D1327" s="88" t="s">
        <v>178</v>
      </c>
      <c r="E1327" s="87" t="n">
        <v>2026</v>
      </c>
      <c r="F1327" s="87" t="s">
        <v>639</v>
      </c>
      <c r="G1327" s="88" t="s">
        <v>188</v>
      </c>
      <c r="H1327" s="87" t="s">
        <v>189</v>
      </c>
      <c r="I1327" s="87" t="s">
        <v>1492</v>
      </c>
      <c r="J1327" s="88" t="s">
        <v>1493</v>
      </c>
      <c r="K1327" s="89" t="n">
        <v>20</v>
      </c>
      <c r="L1327" s="89" t="n">
        <v>380000</v>
      </c>
      <c r="M1327" s="89" t="n">
        <v>154300</v>
      </c>
      <c r="N1327" s="90" t="n">
        <f aca="false">IF(A1327="제외",0,IF(OR(N(L1327)&lt;=0,N(M1327)&gt;N(L1327)),N(M1327)/가정!$B$4,N(L1327)))</f>
        <v>380000</v>
      </c>
      <c r="O1327" s="67" t="str">
        <f aca="false">IF(A1327="제외","",IF(OR(N(L1327)&lt;=0,N(M1327)&gt;N(L1327)),"택가보정(판매금액÷공급율)",""))</f>
        <v/>
      </c>
    </row>
    <row r="1328" customFormat="false" ht="15" hidden="false" customHeight="true" outlineLevel="0" collapsed="false">
      <c r="A1328" s="67" t="str">
        <f aca="false">IF(OR(TRIM(C1328)="",SUBSTITUTE(C1328," ","")="소계"),"제외",IF(ISNUMBER(SEARCH("홍콩",C1328)),"HK",IF(ISNUMBER(SEARCH("상해",C1328)),"CN",IF(ISNUMBER(SEARCH("대만",C1328)),"TW","홀세일"))))</f>
        <v>홀세일</v>
      </c>
      <c r="B1328" s="87" t="s">
        <v>1490</v>
      </c>
      <c r="C1328" s="87" t="s">
        <v>1491</v>
      </c>
      <c r="D1328" s="88" t="s">
        <v>178</v>
      </c>
      <c r="E1328" s="87" t="n">
        <v>2026</v>
      </c>
      <c r="F1328" s="87" t="s">
        <v>639</v>
      </c>
      <c r="G1328" s="88" t="s">
        <v>188</v>
      </c>
      <c r="H1328" s="87" t="s">
        <v>189</v>
      </c>
      <c r="I1328" s="87" t="s">
        <v>1494</v>
      </c>
      <c r="J1328" s="88" t="s">
        <v>1495</v>
      </c>
      <c r="K1328" s="89" t="n">
        <v>10</v>
      </c>
      <c r="L1328" s="89" t="n">
        <v>290000</v>
      </c>
      <c r="M1328" s="89" t="n">
        <v>116490</v>
      </c>
      <c r="N1328" s="90" t="n">
        <f aca="false">IF(A1328="제외",0,IF(OR(N(L1328)&lt;=0,N(M1328)&gt;N(L1328)),N(M1328)/가정!$B$4,N(L1328)))</f>
        <v>290000</v>
      </c>
      <c r="O1328" s="67" t="str">
        <f aca="false">IF(A1328="제외","",IF(OR(N(L1328)&lt;=0,N(M1328)&gt;N(L1328)),"택가보정(판매금액÷공급율)",""))</f>
        <v/>
      </c>
    </row>
    <row r="1329" customFormat="false" ht="15" hidden="false" customHeight="true" outlineLevel="0" collapsed="false">
      <c r="A1329" s="67" t="str">
        <f aca="false">IF(OR(TRIM(C1329)="",SUBSTITUTE(C1329," ","")="소계"),"제외",IF(ISNUMBER(SEARCH("홍콩",C1329)),"HK",IF(ISNUMBER(SEARCH("상해",C1329)),"CN",IF(ISNUMBER(SEARCH("대만",C1329)),"TW","홀세일"))))</f>
        <v>홀세일</v>
      </c>
      <c r="B1329" s="87" t="s">
        <v>1490</v>
      </c>
      <c r="C1329" s="87" t="s">
        <v>1491</v>
      </c>
      <c r="D1329" s="88" t="s">
        <v>178</v>
      </c>
      <c r="E1329" s="87" t="n">
        <v>2026</v>
      </c>
      <c r="F1329" s="87" t="s">
        <v>639</v>
      </c>
      <c r="G1329" s="88" t="s">
        <v>188</v>
      </c>
      <c r="H1329" s="87" t="s">
        <v>189</v>
      </c>
      <c r="I1329" s="87" t="s">
        <v>1158</v>
      </c>
      <c r="J1329" s="87" t="s">
        <v>1159</v>
      </c>
      <c r="K1329" s="89" t="n">
        <v>10</v>
      </c>
      <c r="L1329" s="89" t="n">
        <v>990000</v>
      </c>
      <c r="M1329" s="89" t="n">
        <v>397870</v>
      </c>
      <c r="N1329" s="90" t="n">
        <f aca="false">IF(A1329="제외",0,IF(OR(N(L1329)&lt;=0,N(M1329)&gt;N(L1329)),N(M1329)/가정!$B$4,N(L1329)))</f>
        <v>990000</v>
      </c>
      <c r="O1329" s="67" t="str">
        <f aca="false">IF(A1329="제외","",IF(OR(N(L1329)&lt;=0,N(M1329)&gt;N(L1329)),"택가보정(판매금액÷공급율)",""))</f>
        <v/>
      </c>
    </row>
    <row r="1330" customFormat="false" ht="15" hidden="false" customHeight="true" outlineLevel="0" collapsed="false">
      <c r="A1330" s="67" t="str">
        <f aca="false">IF(OR(TRIM(C1330)="",SUBSTITUTE(C1330," ","")="소계"),"제외",IF(ISNUMBER(SEARCH("홍콩",C1330)),"HK",IF(ISNUMBER(SEARCH("상해",C1330)),"CN",IF(ISNUMBER(SEARCH("대만",C1330)),"TW","홀세일"))))</f>
        <v>홀세일</v>
      </c>
      <c r="B1330" s="87" t="s">
        <v>1490</v>
      </c>
      <c r="C1330" s="87" t="s">
        <v>1491</v>
      </c>
      <c r="D1330" s="88" t="s">
        <v>178</v>
      </c>
      <c r="E1330" s="87" t="n">
        <v>2026</v>
      </c>
      <c r="F1330" s="87" t="s">
        <v>639</v>
      </c>
      <c r="G1330" s="88" t="s">
        <v>188</v>
      </c>
      <c r="H1330" s="87" t="s">
        <v>189</v>
      </c>
      <c r="I1330" s="87" t="s">
        <v>644</v>
      </c>
      <c r="J1330" s="87" t="s">
        <v>645</v>
      </c>
      <c r="K1330" s="89" t="n">
        <v>30</v>
      </c>
      <c r="L1330" s="89" t="n">
        <v>3570000</v>
      </c>
      <c r="M1330" s="89" t="n">
        <v>1434120</v>
      </c>
      <c r="N1330" s="90" t="n">
        <f aca="false">IF(A1330="제외",0,IF(OR(N(L1330)&lt;=0,N(M1330)&gt;N(L1330)),N(M1330)/가정!$B$4,N(L1330)))</f>
        <v>3570000</v>
      </c>
      <c r="O1330" s="67" t="str">
        <f aca="false">IF(A1330="제외","",IF(OR(N(L1330)&lt;=0,N(M1330)&gt;N(L1330)),"택가보정(판매금액÷공급율)",""))</f>
        <v/>
      </c>
    </row>
    <row r="1331" customFormat="false" ht="15" hidden="false" customHeight="true" outlineLevel="0" collapsed="false">
      <c r="A1331" s="67" t="str">
        <f aca="false">IF(OR(TRIM(C1331)="",SUBSTITUTE(C1331," ","")="소계"),"제외",IF(ISNUMBER(SEARCH("홍콩",C1331)),"HK",IF(ISNUMBER(SEARCH("상해",C1331)),"CN",IF(ISNUMBER(SEARCH("대만",C1331)),"TW","홀세일"))))</f>
        <v>홀세일</v>
      </c>
      <c r="B1331" s="87" t="s">
        <v>1490</v>
      </c>
      <c r="C1331" s="87" t="s">
        <v>1491</v>
      </c>
      <c r="D1331" s="88" t="s">
        <v>178</v>
      </c>
      <c r="E1331" s="87" t="n">
        <v>2026</v>
      </c>
      <c r="F1331" s="87" t="s">
        <v>639</v>
      </c>
      <c r="G1331" s="88" t="s">
        <v>188</v>
      </c>
      <c r="H1331" s="87" t="s">
        <v>189</v>
      </c>
      <c r="I1331" s="87" t="s">
        <v>1007</v>
      </c>
      <c r="J1331" s="88" t="s">
        <v>1008</v>
      </c>
      <c r="K1331" s="89" t="n">
        <v>10</v>
      </c>
      <c r="L1331" s="89" t="n">
        <v>1190000</v>
      </c>
      <c r="M1331" s="89" t="n">
        <v>478040</v>
      </c>
      <c r="N1331" s="90" t="n">
        <f aca="false">IF(A1331="제외",0,IF(OR(N(L1331)&lt;=0,N(M1331)&gt;N(L1331)),N(M1331)/가정!$B$4,N(L1331)))</f>
        <v>1190000</v>
      </c>
      <c r="O1331" s="67" t="str">
        <f aca="false">IF(A1331="제외","",IF(OR(N(L1331)&lt;=0,N(M1331)&gt;N(L1331)),"택가보정(판매금액÷공급율)",""))</f>
        <v/>
      </c>
    </row>
    <row r="1332" customFormat="false" ht="15" hidden="false" customHeight="true" outlineLevel="0" collapsed="false">
      <c r="A1332" s="67" t="str">
        <f aca="false">IF(OR(TRIM(C1332)="",SUBSTITUTE(C1332," ","")="소계"),"제외",IF(ISNUMBER(SEARCH("홍콩",C1332)),"HK",IF(ISNUMBER(SEARCH("상해",C1332)),"CN",IF(ISNUMBER(SEARCH("대만",C1332)),"TW","홀세일"))))</f>
        <v>홀세일</v>
      </c>
      <c r="B1332" s="87" t="s">
        <v>1490</v>
      </c>
      <c r="C1332" s="87" t="s">
        <v>1491</v>
      </c>
      <c r="D1332" s="88" t="s">
        <v>178</v>
      </c>
      <c r="E1332" s="87" t="n">
        <v>2026</v>
      </c>
      <c r="F1332" s="87" t="s">
        <v>639</v>
      </c>
      <c r="G1332" s="88" t="s">
        <v>188</v>
      </c>
      <c r="H1332" s="87" t="s">
        <v>189</v>
      </c>
      <c r="I1332" s="87" t="s">
        <v>1397</v>
      </c>
      <c r="J1332" s="88" t="s">
        <v>1398</v>
      </c>
      <c r="K1332" s="89" t="n">
        <v>10</v>
      </c>
      <c r="L1332" s="89" t="n">
        <v>3490000</v>
      </c>
      <c r="M1332" s="89" t="n">
        <v>1402370</v>
      </c>
      <c r="N1332" s="90" t="n">
        <f aca="false">IF(A1332="제외",0,IF(OR(N(L1332)&lt;=0,N(M1332)&gt;N(L1332)),N(M1332)/가정!$B$4,N(L1332)))</f>
        <v>3490000</v>
      </c>
      <c r="O1332" s="67" t="str">
        <f aca="false">IF(A1332="제외","",IF(OR(N(L1332)&lt;=0,N(M1332)&gt;N(L1332)),"택가보정(판매금액÷공급율)",""))</f>
        <v/>
      </c>
    </row>
    <row r="1333" customFormat="false" ht="15" hidden="false" customHeight="true" outlineLevel="0" collapsed="false">
      <c r="A1333" s="67" t="str">
        <f aca="false">IF(OR(TRIM(C1333)="",SUBSTITUTE(C1333," ","")="소계"),"제외",IF(ISNUMBER(SEARCH("홍콩",C1333)),"HK",IF(ISNUMBER(SEARCH("상해",C1333)),"CN",IF(ISNUMBER(SEARCH("대만",C1333)),"TW","홀세일"))))</f>
        <v>홀세일</v>
      </c>
      <c r="B1333" s="87" t="s">
        <v>1490</v>
      </c>
      <c r="C1333" s="87" t="s">
        <v>1491</v>
      </c>
      <c r="D1333" s="88" t="s">
        <v>178</v>
      </c>
      <c r="E1333" s="87" t="n">
        <v>2026</v>
      </c>
      <c r="F1333" s="87" t="s">
        <v>639</v>
      </c>
      <c r="G1333" s="88" t="s">
        <v>188</v>
      </c>
      <c r="H1333" s="87" t="s">
        <v>181</v>
      </c>
      <c r="I1333" s="87" t="s">
        <v>1496</v>
      </c>
      <c r="J1333" s="88" t="s">
        <v>1497</v>
      </c>
      <c r="K1333" s="89" t="n">
        <v>5</v>
      </c>
      <c r="L1333" s="89" t="n">
        <v>995000</v>
      </c>
      <c r="M1333" s="89" t="n">
        <v>400135</v>
      </c>
      <c r="N1333" s="90" t="n">
        <f aca="false">IF(A1333="제외",0,IF(OR(N(L1333)&lt;=0,N(M1333)&gt;N(L1333)),N(M1333)/가정!$B$4,N(L1333)))</f>
        <v>995000</v>
      </c>
      <c r="O1333" s="67" t="str">
        <f aca="false">IF(A1333="제외","",IF(OR(N(L1333)&lt;=0,N(M1333)&gt;N(L1333)),"택가보정(판매금액÷공급율)",""))</f>
        <v/>
      </c>
    </row>
    <row r="1334" customFormat="false" ht="15" hidden="false" customHeight="true" outlineLevel="0" collapsed="false">
      <c r="A1334" s="67" t="str">
        <f aca="false">IF(OR(TRIM(C1334)="",SUBSTITUTE(C1334," ","")="소계"),"제외",IF(ISNUMBER(SEARCH("홍콩",C1334)),"HK",IF(ISNUMBER(SEARCH("상해",C1334)),"CN",IF(ISNUMBER(SEARCH("대만",C1334)),"TW","홀세일"))))</f>
        <v>홀세일</v>
      </c>
      <c r="B1334" s="87" t="s">
        <v>1490</v>
      </c>
      <c r="C1334" s="87" t="s">
        <v>1491</v>
      </c>
      <c r="D1334" s="88" t="s">
        <v>178</v>
      </c>
      <c r="E1334" s="87" t="n">
        <v>2026</v>
      </c>
      <c r="F1334" s="87" t="s">
        <v>639</v>
      </c>
      <c r="G1334" s="88" t="s">
        <v>188</v>
      </c>
      <c r="H1334" s="87" t="s">
        <v>181</v>
      </c>
      <c r="I1334" s="87" t="s">
        <v>1460</v>
      </c>
      <c r="J1334" s="88" t="s">
        <v>1461</v>
      </c>
      <c r="K1334" s="89" t="n">
        <v>5</v>
      </c>
      <c r="L1334" s="89" t="n">
        <v>945000</v>
      </c>
      <c r="M1334" s="89" t="n">
        <v>379715</v>
      </c>
      <c r="N1334" s="90" t="n">
        <f aca="false">IF(A1334="제외",0,IF(OR(N(L1334)&lt;=0,N(M1334)&gt;N(L1334)),N(M1334)/가정!$B$4,N(L1334)))</f>
        <v>945000</v>
      </c>
      <c r="O1334" s="67" t="str">
        <f aca="false">IF(A1334="제외","",IF(OR(N(L1334)&lt;=0,N(M1334)&gt;N(L1334)),"택가보정(판매금액÷공급율)",""))</f>
        <v/>
      </c>
    </row>
    <row r="1335" customFormat="false" ht="15" hidden="false" customHeight="true" outlineLevel="0" collapsed="false">
      <c r="A1335" s="67" t="str">
        <f aca="false">IF(OR(TRIM(C1335)="",SUBSTITUTE(C1335," ","")="소계"),"제외",IF(ISNUMBER(SEARCH("홍콩",C1335)),"HK",IF(ISNUMBER(SEARCH("상해",C1335)),"CN",IF(ISNUMBER(SEARCH("대만",C1335)),"TW","홀세일"))))</f>
        <v>홀세일</v>
      </c>
      <c r="B1335" s="87" t="s">
        <v>1490</v>
      </c>
      <c r="C1335" s="87" t="s">
        <v>1491</v>
      </c>
      <c r="D1335" s="88" t="s">
        <v>178</v>
      </c>
      <c r="E1335" s="87" t="n">
        <v>2026</v>
      </c>
      <c r="F1335" s="87" t="s">
        <v>639</v>
      </c>
      <c r="G1335" s="88" t="s">
        <v>188</v>
      </c>
      <c r="H1335" s="87" t="s">
        <v>181</v>
      </c>
      <c r="I1335" s="87" t="s">
        <v>646</v>
      </c>
      <c r="J1335" s="88" t="s">
        <v>647</v>
      </c>
      <c r="K1335" s="89" t="n">
        <v>5</v>
      </c>
      <c r="L1335" s="89" t="n">
        <v>995000</v>
      </c>
      <c r="M1335" s="89" t="n">
        <v>400135</v>
      </c>
      <c r="N1335" s="90" t="n">
        <f aca="false">IF(A1335="제외",0,IF(OR(N(L1335)&lt;=0,N(M1335)&gt;N(L1335)),N(M1335)/가정!$B$4,N(L1335)))</f>
        <v>995000</v>
      </c>
      <c r="O1335" s="67" t="str">
        <f aca="false">IF(A1335="제외","",IF(OR(N(L1335)&lt;=0,N(M1335)&gt;N(L1335)),"택가보정(판매금액÷공급율)",""))</f>
        <v/>
      </c>
    </row>
    <row r="1336" customFormat="false" ht="15" hidden="false" customHeight="true" outlineLevel="0" collapsed="false">
      <c r="A1336" s="67" t="str">
        <f aca="false">IF(OR(TRIM(C1336)="",SUBSTITUTE(C1336," ","")="소계"),"제외",IF(ISNUMBER(SEARCH("홍콩",C1336)),"HK",IF(ISNUMBER(SEARCH("상해",C1336)),"CN",IF(ISNUMBER(SEARCH("대만",C1336)),"TW","홀세일"))))</f>
        <v>홀세일</v>
      </c>
      <c r="B1336" s="87" t="s">
        <v>1490</v>
      </c>
      <c r="C1336" s="87" t="s">
        <v>1491</v>
      </c>
      <c r="D1336" s="88" t="s">
        <v>178</v>
      </c>
      <c r="E1336" s="87" t="n">
        <v>2026</v>
      </c>
      <c r="F1336" s="87" t="s">
        <v>639</v>
      </c>
      <c r="G1336" s="88" t="s">
        <v>188</v>
      </c>
      <c r="H1336" s="88" t="s">
        <v>185</v>
      </c>
      <c r="I1336" s="87" t="s">
        <v>1498</v>
      </c>
      <c r="J1336" s="87" t="s">
        <v>1499</v>
      </c>
      <c r="K1336" s="89" t="n">
        <v>10</v>
      </c>
      <c r="L1336" s="89" t="n">
        <v>990000</v>
      </c>
      <c r="M1336" s="89" t="n">
        <v>402400</v>
      </c>
      <c r="N1336" s="90" t="n">
        <f aca="false">IF(A1336="제외",0,IF(OR(N(L1336)&lt;=0,N(M1336)&gt;N(L1336)),N(M1336)/가정!$B$4,N(L1336)))</f>
        <v>990000</v>
      </c>
      <c r="O1336" s="67" t="str">
        <f aca="false">IF(A1336="제외","",IF(OR(N(L1336)&lt;=0,N(M1336)&gt;N(L1336)),"택가보정(판매금액÷공급율)",""))</f>
        <v/>
      </c>
    </row>
    <row r="1337" customFormat="false" ht="15" hidden="false" customHeight="true" outlineLevel="0" collapsed="false">
      <c r="A1337" s="67" t="str">
        <f aca="false">IF(OR(TRIM(C1337)="",SUBSTITUTE(C1337," ","")="소계"),"제외",IF(ISNUMBER(SEARCH("홍콩",C1337)),"HK",IF(ISNUMBER(SEARCH("상해",C1337)),"CN",IF(ISNUMBER(SEARCH("대만",C1337)),"TW","홀세일"))))</f>
        <v>홀세일</v>
      </c>
      <c r="B1337" s="87" t="s">
        <v>1490</v>
      </c>
      <c r="C1337" s="87" t="s">
        <v>1491</v>
      </c>
      <c r="D1337" s="88" t="s">
        <v>178</v>
      </c>
      <c r="E1337" s="87" t="n">
        <v>2026</v>
      </c>
      <c r="F1337" s="87" t="s">
        <v>639</v>
      </c>
      <c r="G1337" s="88" t="s">
        <v>188</v>
      </c>
      <c r="H1337" s="87" t="s">
        <v>189</v>
      </c>
      <c r="I1337" s="87" t="s">
        <v>650</v>
      </c>
      <c r="J1337" s="88" t="s">
        <v>651</v>
      </c>
      <c r="K1337" s="89" t="n">
        <v>90</v>
      </c>
      <c r="L1337" s="89" t="n">
        <v>11610000</v>
      </c>
      <c r="M1337" s="89" t="n">
        <v>4670010</v>
      </c>
      <c r="N1337" s="90" t="n">
        <f aca="false">IF(A1337="제외",0,IF(OR(N(L1337)&lt;=0,N(M1337)&gt;N(L1337)),N(M1337)/가정!$B$4,N(L1337)))</f>
        <v>11610000</v>
      </c>
      <c r="O1337" s="67" t="str">
        <f aca="false">IF(A1337="제외","",IF(OR(N(L1337)&lt;=0,N(M1337)&gt;N(L1337)),"택가보정(판매금액÷공급율)",""))</f>
        <v/>
      </c>
    </row>
    <row r="1338" customFormat="false" ht="15" hidden="false" customHeight="true" outlineLevel="0" collapsed="false">
      <c r="A1338" s="67" t="str">
        <f aca="false">IF(OR(TRIM(C1338)="",SUBSTITUTE(C1338," ","")="소계"),"제외",IF(ISNUMBER(SEARCH("홍콩",C1338)),"HK",IF(ISNUMBER(SEARCH("상해",C1338)),"CN",IF(ISNUMBER(SEARCH("대만",C1338)),"TW","홀세일"))))</f>
        <v>홀세일</v>
      </c>
      <c r="B1338" s="87" t="s">
        <v>1490</v>
      </c>
      <c r="C1338" s="87" t="s">
        <v>1491</v>
      </c>
      <c r="D1338" s="88" t="s">
        <v>178</v>
      </c>
      <c r="E1338" s="87" t="n">
        <v>2026</v>
      </c>
      <c r="F1338" s="87" t="s">
        <v>639</v>
      </c>
      <c r="G1338" s="88" t="s">
        <v>188</v>
      </c>
      <c r="H1338" s="87" t="s">
        <v>189</v>
      </c>
      <c r="I1338" s="87" t="s">
        <v>1162</v>
      </c>
      <c r="J1338" s="88" t="s">
        <v>1163</v>
      </c>
      <c r="K1338" s="89" t="n">
        <v>65</v>
      </c>
      <c r="L1338" s="89" t="n">
        <v>7085000</v>
      </c>
      <c r="M1338" s="89" t="n">
        <v>2851615</v>
      </c>
      <c r="N1338" s="90" t="n">
        <f aca="false">IF(A1338="제외",0,IF(OR(N(L1338)&lt;=0,N(M1338)&gt;N(L1338)),N(M1338)/가정!$B$4,N(L1338)))</f>
        <v>7085000</v>
      </c>
      <c r="O1338" s="67" t="str">
        <f aca="false">IF(A1338="제외","",IF(OR(N(L1338)&lt;=0,N(M1338)&gt;N(L1338)),"택가보정(판매금액÷공급율)",""))</f>
        <v/>
      </c>
    </row>
    <row r="1339" customFormat="false" ht="15" hidden="false" customHeight="true" outlineLevel="0" collapsed="false">
      <c r="A1339" s="67" t="str">
        <f aca="false">IF(OR(TRIM(C1339)="",SUBSTITUTE(C1339," ","")="소계"),"제외",IF(ISNUMBER(SEARCH("홍콩",C1339)),"HK",IF(ISNUMBER(SEARCH("상해",C1339)),"CN",IF(ISNUMBER(SEARCH("대만",C1339)),"TW","홀세일"))))</f>
        <v>홀세일</v>
      </c>
      <c r="B1339" s="87" t="s">
        <v>1490</v>
      </c>
      <c r="C1339" s="87" t="s">
        <v>1491</v>
      </c>
      <c r="D1339" s="88" t="s">
        <v>178</v>
      </c>
      <c r="E1339" s="87" t="n">
        <v>2026</v>
      </c>
      <c r="F1339" s="87" t="s">
        <v>639</v>
      </c>
      <c r="G1339" s="88" t="s">
        <v>188</v>
      </c>
      <c r="H1339" s="87" t="s">
        <v>189</v>
      </c>
      <c r="I1339" s="87" t="s">
        <v>652</v>
      </c>
      <c r="J1339" s="88" t="s">
        <v>653</v>
      </c>
      <c r="K1339" s="89" t="n">
        <v>55</v>
      </c>
      <c r="L1339" s="89" t="n">
        <v>6545000</v>
      </c>
      <c r="M1339" s="89" t="n">
        <v>2629220</v>
      </c>
      <c r="N1339" s="90" t="n">
        <f aca="false">IF(A1339="제외",0,IF(OR(N(L1339)&lt;=0,N(M1339)&gt;N(L1339)),N(M1339)/가정!$B$4,N(L1339)))</f>
        <v>6545000</v>
      </c>
      <c r="O1339" s="67" t="str">
        <f aca="false">IF(A1339="제외","",IF(OR(N(L1339)&lt;=0,N(M1339)&gt;N(L1339)),"택가보정(판매금액÷공급율)",""))</f>
        <v/>
      </c>
    </row>
    <row r="1340" customFormat="false" ht="15" hidden="false" customHeight="true" outlineLevel="0" collapsed="false">
      <c r="A1340" s="67" t="str">
        <f aca="false">IF(OR(TRIM(C1340)="",SUBSTITUTE(C1340," ","")="소계"),"제외",IF(ISNUMBER(SEARCH("홍콩",C1340)),"HK",IF(ISNUMBER(SEARCH("상해",C1340)),"CN",IF(ISNUMBER(SEARCH("대만",C1340)),"TW","홀세일"))))</f>
        <v>홀세일</v>
      </c>
      <c r="B1340" s="87" t="s">
        <v>1490</v>
      </c>
      <c r="C1340" s="87" t="s">
        <v>1491</v>
      </c>
      <c r="D1340" s="88" t="s">
        <v>178</v>
      </c>
      <c r="E1340" s="87" t="n">
        <v>2026</v>
      </c>
      <c r="F1340" s="87" t="s">
        <v>639</v>
      </c>
      <c r="G1340" s="88" t="s">
        <v>188</v>
      </c>
      <c r="H1340" s="87" t="s">
        <v>189</v>
      </c>
      <c r="I1340" s="87" t="s">
        <v>658</v>
      </c>
      <c r="J1340" s="88" t="s">
        <v>659</v>
      </c>
      <c r="K1340" s="89" t="n">
        <v>20</v>
      </c>
      <c r="L1340" s="89" t="n">
        <v>1580000</v>
      </c>
      <c r="M1340" s="89" t="n">
        <v>635380</v>
      </c>
      <c r="N1340" s="90" t="n">
        <f aca="false">IF(A1340="제외",0,IF(OR(N(L1340)&lt;=0,N(M1340)&gt;N(L1340)),N(M1340)/가정!$B$4,N(L1340)))</f>
        <v>1580000</v>
      </c>
      <c r="O1340" s="67" t="str">
        <f aca="false">IF(A1340="제외","",IF(OR(N(L1340)&lt;=0,N(M1340)&gt;N(L1340)),"택가보정(판매금액÷공급율)",""))</f>
        <v/>
      </c>
    </row>
    <row r="1341" customFormat="false" ht="15" hidden="false" customHeight="true" outlineLevel="0" collapsed="false">
      <c r="A1341" s="67" t="str">
        <f aca="false">IF(OR(TRIM(C1341)="",SUBSTITUTE(C1341," ","")="소계"),"제외",IF(ISNUMBER(SEARCH("홍콩",C1341)),"HK",IF(ISNUMBER(SEARCH("상해",C1341)),"CN",IF(ISNUMBER(SEARCH("대만",C1341)),"TW","홀세일"))))</f>
        <v>홀세일</v>
      </c>
      <c r="B1341" s="87" t="s">
        <v>1490</v>
      </c>
      <c r="C1341" s="87" t="s">
        <v>1491</v>
      </c>
      <c r="D1341" s="88" t="s">
        <v>178</v>
      </c>
      <c r="E1341" s="87" t="n">
        <v>2026</v>
      </c>
      <c r="F1341" s="87" t="s">
        <v>639</v>
      </c>
      <c r="G1341" s="88" t="s">
        <v>188</v>
      </c>
      <c r="H1341" s="87" t="s">
        <v>189</v>
      </c>
      <c r="I1341" s="87" t="s">
        <v>668</v>
      </c>
      <c r="J1341" s="87" t="s">
        <v>669</v>
      </c>
      <c r="K1341" s="89" t="n">
        <v>30</v>
      </c>
      <c r="L1341" s="89" t="n">
        <v>1770000</v>
      </c>
      <c r="M1341" s="89" t="n">
        <v>712530</v>
      </c>
      <c r="N1341" s="90" t="n">
        <f aca="false">IF(A1341="제외",0,IF(OR(N(L1341)&lt;=0,N(M1341)&gt;N(L1341)),N(M1341)/가정!$B$4,N(L1341)))</f>
        <v>1770000</v>
      </c>
      <c r="O1341" s="67" t="str">
        <f aca="false">IF(A1341="제외","",IF(OR(N(L1341)&lt;=0,N(M1341)&gt;N(L1341)),"택가보정(판매금액÷공급율)",""))</f>
        <v/>
      </c>
    </row>
    <row r="1342" customFormat="false" ht="15" hidden="false" customHeight="true" outlineLevel="0" collapsed="false">
      <c r="A1342" s="67" t="str">
        <f aca="false">IF(OR(TRIM(C1342)="",SUBSTITUTE(C1342," ","")="소계"),"제외",IF(ISNUMBER(SEARCH("홍콩",C1342)),"HK",IF(ISNUMBER(SEARCH("상해",C1342)),"CN",IF(ISNUMBER(SEARCH("대만",C1342)),"TW","홀세일"))))</f>
        <v>홀세일</v>
      </c>
      <c r="B1342" s="87" t="s">
        <v>1490</v>
      </c>
      <c r="C1342" s="87" t="s">
        <v>1491</v>
      </c>
      <c r="D1342" s="88" t="s">
        <v>178</v>
      </c>
      <c r="E1342" s="87" t="n">
        <v>2026</v>
      </c>
      <c r="F1342" s="87" t="s">
        <v>639</v>
      </c>
      <c r="G1342" s="88" t="s">
        <v>188</v>
      </c>
      <c r="H1342" s="87" t="s">
        <v>189</v>
      </c>
      <c r="I1342" s="87" t="s">
        <v>1017</v>
      </c>
      <c r="J1342" s="87" t="s">
        <v>1018</v>
      </c>
      <c r="K1342" s="89" t="n">
        <v>20</v>
      </c>
      <c r="L1342" s="89" t="n">
        <v>1580000</v>
      </c>
      <c r="M1342" s="89" t="n">
        <v>635380</v>
      </c>
      <c r="N1342" s="90" t="n">
        <f aca="false">IF(A1342="제외",0,IF(OR(N(L1342)&lt;=0,N(M1342)&gt;N(L1342)),N(M1342)/가정!$B$4,N(L1342)))</f>
        <v>1580000</v>
      </c>
      <c r="O1342" s="67" t="str">
        <f aca="false">IF(A1342="제외","",IF(OR(N(L1342)&lt;=0,N(M1342)&gt;N(L1342)),"택가보정(판매금액÷공급율)",""))</f>
        <v/>
      </c>
    </row>
    <row r="1343" customFormat="false" ht="15" hidden="false" customHeight="true" outlineLevel="0" collapsed="false">
      <c r="A1343" s="67" t="str">
        <f aca="false">IF(OR(TRIM(C1343)="",SUBSTITUTE(C1343," ","")="소계"),"제외",IF(ISNUMBER(SEARCH("홍콩",C1343)),"HK",IF(ISNUMBER(SEARCH("상해",C1343)),"CN",IF(ISNUMBER(SEARCH("대만",C1343)),"TW","홀세일"))))</f>
        <v>홀세일</v>
      </c>
      <c r="B1343" s="87" t="s">
        <v>1490</v>
      </c>
      <c r="C1343" s="87" t="s">
        <v>1491</v>
      </c>
      <c r="D1343" s="88" t="s">
        <v>178</v>
      </c>
      <c r="E1343" s="87" t="n">
        <v>2026</v>
      </c>
      <c r="F1343" s="87" t="s">
        <v>639</v>
      </c>
      <c r="G1343" s="88" t="s">
        <v>188</v>
      </c>
      <c r="H1343" s="87" t="s">
        <v>189</v>
      </c>
      <c r="I1343" s="87" t="s">
        <v>670</v>
      </c>
      <c r="J1343" s="87" t="s">
        <v>671</v>
      </c>
      <c r="K1343" s="89" t="n">
        <v>20</v>
      </c>
      <c r="L1343" s="89" t="n">
        <v>1380000</v>
      </c>
      <c r="M1343" s="89" t="n">
        <v>556720</v>
      </c>
      <c r="N1343" s="90" t="n">
        <f aca="false">IF(A1343="제외",0,IF(OR(N(L1343)&lt;=0,N(M1343)&gt;N(L1343)),N(M1343)/가정!$B$4,N(L1343)))</f>
        <v>1380000</v>
      </c>
      <c r="O1343" s="67" t="str">
        <f aca="false">IF(A1343="제외","",IF(OR(N(L1343)&lt;=0,N(M1343)&gt;N(L1343)),"택가보정(판매금액÷공급율)",""))</f>
        <v/>
      </c>
    </row>
    <row r="1344" customFormat="false" ht="15" hidden="false" customHeight="true" outlineLevel="0" collapsed="false">
      <c r="A1344" s="67" t="str">
        <f aca="false">IF(OR(TRIM(C1344)="",SUBSTITUTE(C1344," ","")="소계"),"제외",IF(ISNUMBER(SEARCH("홍콩",C1344)),"HK",IF(ISNUMBER(SEARCH("상해",C1344)),"CN",IF(ISNUMBER(SEARCH("대만",C1344)),"TW","홀세일"))))</f>
        <v>홀세일</v>
      </c>
      <c r="B1344" s="87" t="s">
        <v>1490</v>
      </c>
      <c r="C1344" s="87" t="s">
        <v>1491</v>
      </c>
      <c r="D1344" s="88" t="s">
        <v>178</v>
      </c>
      <c r="E1344" s="87" t="n">
        <v>2026</v>
      </c>
      <c r="F1344" s="87" t="s">
        <v>639</v>
      </c>
      <c r="G1344" s="88" t="s">
        <v>188</v>
      </c>
      <c r="H1344" s="87" t="s">
        <v>189</v>
      </c>
      <c r="I1344" s="87" t="s">
        <v>678</v>
      </c>
      <c r="J1344" s="88" t="s">
        <v>679</v>
      </c>
      <c r="K1344" s="89" t="n">
        <v>90</v>
      </c>
      <c r="L1344" s="89" t="n">
        <v>3510000</v>
      </c>
      <c r="M1344" s="89" t="n">
        <v>1415970</v>
      </c>
      <c r="N1344" s="90" t="n">
        <f aca="false">IF(A1344="제외",0,IF(OR(N(L1344)&lt;=0,N(M1344)&gt;N(L1344)),N(M1344)/가정!$B$4,N(L1344)))</f>
        <v>3510000</v>
      </c>
      <c r="O1344" s="67" t="str">
        <f aca="false">IF(A1344="제외","",IF(OR(N(L1344)&lt;=0,N(M1344)&gt;N(L1344)),"택가보정(판매금액÷공급율)",""))</f>
        <v/>
      </c>
    </row>
    <row r="1345" customFormat="false" ht="15" hidden="false" customHeight="true" outlineLevel="0" collapsed="false">
      <c r="A1345" s="67" t="str">
        <f aca="false">IF(OR(TRIM(C1345)="",SUBSTITUTE(C1345," ","")="소계"),"제외",IF(ISNUMBER(SEARCH("홍콩",C1345)),"HK",IF(ISNUMBER(SEARCH("상해",C1345)),"CN",IF(ISNUMBER(SEARCH("대만",C1345)),"TW","홀세일"))))</f>
        <v>홀세일</v>
      </c>
      <c r="B1345" s="87" t="s">
        <v>1490</v>
      </c>
      <c r="C1345" s="87" t="s">
        <v>1491</v>
      </c>
      <c r="D1345" s="88" t="s">
        <v>178</v>
      </c>
      <c r="E1345" s="87" t="n">
        <v>2026</v>
      </c>
      <c r="F1345" s="87" t="s">
        <v>639</v>
      </c>
      <c r="G1345" s="88" t="s">
        <v>188</v>
      </c>
      <c r="H1345" s="87" t="s">
        <v>189</v>
      </c>
      <c r="I1345" s="87" t="s">
        <v>680</v>
      </c>
      <c r="J1345" s="88" t="s">
        <v>681</v>
      </c>
      <c r="K1345" s="89" t="n">
        <v>105</v>
      </c>
      <c r="L1345" s="89" t="n">
        <v>4095000</v>
      </c>
      <c r="M1345" s="89" t="n">
        <v>1651965</v>
      </c>
      <c r="N1345" s="90" t="n">
        <f aca="false">IF(A1345="제외",0,IF(OR(N(L1345)&lt;=0,N(M1345)&gt;N(L1345)),N(M1345)/가정!$B$4,N(L1345)))</f>
        <v>4095000</v>
      </c>
      <c r="O1345" s="67" t="str">
        <f aca="false">IF(A1345="제외","",IF(OR(N(L1345)&lt;=0,N(M1345)&gt;N(L1345)),"택가보정(판매금액÷공급율)",""))</f>
        <v/>
      </c>
    </row>
    <row r="1346" customFormat="false" ht="15" hidden="false" customHeight="true" outlineLevel="0" collapsed="false">
      <c r="A1346" s="67" t="str">
        <f aca="false">IF(OR(TRIM(C1346)="",SUBSTITUTE(C1346," ","")="소계"),"제외",IF(ISNUMBER(SEARCH("홍콩",C1346)),"HK",IF(ISNUMBER(SEARCH("상해",C1346)),"CN",IF(ISNUMBER(SEARCH("대만",C1346)),"TW","홀세일"))))</f>
        <v>홀세일</v>
      </c>
      <c r="B1346" s="87" t="s">
        <v>1490</v>
      </c>
      <c r="C1346" s="87" t="s">
        <v>1491</v>
      </c>
      <c r="D1346" s="88" t="s">
        <v>178</v>
      </c>
      <c r="E1346" s="87" t="n">
        <v>2026</v>
      </c>
      <c r="F1346" s="87" t="s">
        <v>639</v>
      </c>
      <c r="G1346" s="88" t="s">
        <v>188</v>
      </c>
      <c r="H1346" s="87" t="s">
        <v>189</v>
      </c>
      <c r="I1346" s="87" t="s">
        <v>682</v>
      </c>
      <c r="J1346" s="88" t="s">
        <v>683</v>
      </c>
      <c r="K1346" s="89" t="n">
        <v>65</v>
      </c>
      <c r="L1346" s="89" t="n">
        <v>3185000</v>
      </c>
      <c r="M1346" s="89" t="n">
        <v>1288170</v>
      </c>
      <c r="N1346" s="90" t="n">
        <f aca="false">IF(A1346="제외",0,IF(OR(N(L1346)&lt;=0,N(M1346)&gt;N(L1346)),N(M1346)/가정!$B$4,N(L1346)))</f>
        <v>3185000</v>
      </c>
      <c r="O1346" s="67" t="str">
        <f aca="false">IF(A1346="제외","",IF(OR(N(L1346)&lt;=0,N(M1346)&gt;N(L1346)),"택가보정(판매금액÷공급율)",""))</f>
        <v/>
      </c>
    </row>
    <row r="1347" customFormat="false" ht="15" hidden="false" customHeight="true" outlineLevel="0" collapsed="false">
      <c r="A1347" s="67" t="str">
        <f aca="false">IF(OR(TRIM(C1347)="",SUBSTITUTE(C1347," ","")="소계"),"제외",IF(ISNUMBER(SEARCH("홍콩",C1347)),"HK",IF(ISNUMBER(SEARCH("상해",C1347)),"CN",IF(ISNUMBER(SEARCH("대만",C1347)),"TW","홀세일"))))</f>
        <v>홀세일</v>
      </c>
      <c r="B1347" s="87" t="s">
        <v>1490</v>
      </c>
      <c r="C1347" s="87" t="s">
        <v>1491</v>
      </c>
      <c r="D1347" s="88" t="s">
        <v>178</v>
      </c>
      <c r="E1347" s="87" t="n">
        <v>2026</v>
      </c>
      <c r="F1347" s="87" t="s">
        <v>639</v>
      </c>
      <c r="G1347" s="88" t="s">
        <v>188</v>
      </c>
      <c r="H1347" s="87" t="s">
        <v>189</v>
      </c>
      <c r="I1347" s="87" t="s">
        <v>1025</v>
      </c>
      <c r="J1347" s="88" t="s">
        <v>1026</v>
      </c>
      <c r="K1347" s="89" t="n">
        <v>25</v>
      </c>
      <c r="L1347" s="89" t="n">
        <v>1225000</v>
      </c>
      <c r="M1347" s="89" t="n">
        <v>495450</v>
      </c>
      <c r="N1347" s="90" t="n">
        <f aca="false">IF(A1347="제외",0,IF(OR(N(L1347)&lt;=0,N(M1347)&gt;N(L1347)),N(M1347)/가정!$B$4,N(L1347)))</f>
        <v>1225000</v>
      </c>
      <c r="O1347" s="67" t="str">
        <f aca="false">IF(A1347="제외","",IF(OR(N(L1347)&lt;=0,N(M1347)&gt;N(L1347)),"택가보정(판매금액÷공급율)",""))</f>
        <v/>
      </c>
    </row>
    <row r="1348" customFormat="false" ht="15" hidden="false" customHeight="true" outlineLevel="0" collapsed="false">
      <c r="A1348" s="67" t="str">
        <f aca="false">IF(OR(TRIM(C1348)="",SUBSTITUTE(C1348," ","")="소계"),"제외",IF(ISNUMBER(SEARCH("홍콩",C1348)),"HK",IF(ISNUMBER(SEARCH("상해",C1348)),"CN",IF(ISNUMBER(SEARCH("대만",C1348)),"TW","홀세일"))))</f>
        <v>홀세일</v>
      </c>
      <c r="B1348" s="87" t="s">
        <v>1490</v>
      </c>
      <c r="C1348" s="87" t="s">
        <v>1491</v>
      </c>
      <c r="D1348" s="88" t="s">
        <v>178</v>
      </c>
      <c r="E1348" s="87" t="n">
        <v>2026</v>
      </c>
      <c r="F1348" s="87" t="s">
        <v>639</v>
      </c>
      <c r="G1348" s="88" t="s">
        <v>188</v>
      </c>
      <c r="H1348" s="87" t="s">
        <v>189</v>
      </c>
      <c r="I1348" s="87" t="s">
        <v>684</v>
      </c>
      <c r="J1348" s="88" t="s">
        <v>685</v>
      </c>
      <c r="K1348" s="89" t="n">
        <v>70</v>
      </c>
      <c r="L1348" s="89" t="n">
        <v>4130000</v>
      </c>
      <c r="M1348" s="89" t="n">
        <v>1662570</v>
      </c>
      <c r="N1348" s="90" t="n">
        <f aca="false">IF(A1348="제외",0,IF(OR(N(L1348)&lt;=0,N(M1348)&gt;N(L1348)),N(M1348)/가정!$B$4,N(L1348)))</f>
        <v>4130000</v>
      </c>
      <c r="O1348" s="67" t="str">
        <f aca="false">IF(A1348="제외","",IF(OR(N(L1348)&lt;=0,N(M1348)&gt;N(L1348)),"택가보정(판매금액÷공급율)",""))</f>
        <v/>
      </c>
    </row>
    <row r="1349" customFormat="false" ht="15" hidden="false" customHeight="true" outlineLevel="0" collapsed="false">
      <c r="A1349" s="67" t="str">
        <f aca="false">IF(OR(TRIM(C1349)="",SUBSTITUTE(C1349," ","")="소계"),"제외",IF(ISNUMBER(SEARCH("홍콩",C1349)),"HK",IF(ISNUMBER(SEARCH("상해",C1349)),"CN",IF(ISNUMBER(SEARCH("대만",C1349)),"TW","홀세일"))))</f>
        <v>홀세일</v>
      </c>
      <c r="B1349" s="87" t="s">
        <v>1490</v>
      </c>
      <c r="C1349" s="87" t="s">
        <v>1491</v>
      </c>
      <c r="D1349" s="88" t="s">
        <v>178</v>
      </c>
      <c r="E1349" s="87" t="n">
        <v>2026</v>
      </c>
      <c r="F1349" s="87" t="s">
        <v>639</v>
      </c>
      <c r="G1349" s="88" t="s">
        <v>188</v>
      </c>
      <c r="H1349" s="87" t="s">
        <v>189</v>
      </c>
      <c r="I1349" s="87" t="s">
        <v>686</v>
      </c>
      <c r="J1349" s="88" t="s">
        <v>687</v>
      </c>
      <c r="K1349" s="89" t="n">
        <v>15</v>
      </c>
      <c r="L1349" s="89" t="n">
        <v>1185000</v>
      </c>
      <c r="M1349" s="89" t="n">
        <v>476535</v>
      </c>
      <c r="N1349" s="90" t="n">
        <f aca="false">IF(A1349="제외",0,IF(OR(N(L1349)&lt;=0,N(M1349)&gt;N(L1349)),N(M1349)/가정!$B$4,N(L1349)))</f>
        <v>1185000</v>
      </c>
      <c r="O1349" s="67" t="str">
        <f aca="false">IF(A1349="제외","",IF(OR(N(L1349)&lt;=0,N(M1349)&gt;N(L1349)),"택가보정(판매금액÷공급율)",""))</f>
        <v/>
      </c>
    </row>
    <row r="1350" customFormat="false" ht="15" hidden="false" customHeight="true" outlineLevel="0" collapsed="false">
      <c r="A1350" s="67" t="str">
        <f aca="false">IF(OR(TRIM(C1350)="",SUBSTITUTE(C1350," ","")="소계"),"제외",IF(ISNUMBER(SEARCH("홍콩",C1350)),"HK",IF(ISNUMBER(SEARCH("상해",C1350)),"CN",IF(ISNUMBER(SEARCH("대만",C1350)),"TW","홀세일"))))</f>
        <v>홀세일</v>
      </c>
      <c r="B1350" s="87" t="s">
        <v>1490</v>
      </c>
      <c r="C1350" s="87" t="s">
        <v>1491</v>
      </c>
      <c r="D1350" s="88" t="s">
        <v>178</v>
      </c>
      <c r="E1350" s="87" t="n">
        <v>2026</v>
      </c>
      <c r="F1350" s="87" t="s">
        <v>639</v>
      </c>
      <c r="G1350" s="88" t="s">
        <v>188</v>
      </c>
      <c r="H1350" s="87" t="s">
        <v>189</v>
      </c>
      <c r="I1350" s="87" t="s">
        <v>1405</v>
      </c>
      <c r="J1350" s="88" t="s">
        <v>1406</v>
      </c>
      <c r="K1350" s="89" t="n">
        <v>20</v>
      </c>
      <c r="L1350" s="89" t="n">
        <v>1580000</v>
      </c>
      <c r="M1350" s="89" t="n">
        <v>635380</v>
      </c>
      <c r="N1350" s="90" t="n">
        <f aca="false">IF(A1350="제외",0,IF(OR(N(L1350)&lt;=0,N(M1350)&gt;N(L1350)),N(M1350)/가정!$B$4,N(L1350)))</f>
        <v>1580000</v>
      </c>
      <c r="O1350" s="67" t="str">
        <f aca="false">IF(A1350="제외","",IF(OR(N(L1350)&lt;=0,N(M1350)&gt;N(L1350)),"택가보정(판매금액÷공급율)",""))</f>
        <v/>
      </c>
    </row>
    <row r="1351" customFormat="false" ht="15" hidden="false" customHeight="true" outlineLevel="0" collapsed="false">
      <c r="A1351" s="67" t="str">
        <f aca="false">IF(OR(TRIM(C1351)="",SUBSTITUTE(C1351," ","")="소계"),"제외",IF(ISNUMBER(SEARCH("홍콩",C1351)),"HK",IF(ISNUMBER(SEARCH("상해",C1351)),"CN",IF(ISNUMBER(SEARCH("대만",C1351)),"TW","홀세일"))))</f>
        <v>홀세일</v>
      </c>
      <c r="B1351" s="87" t="s">
        <v>1490</v>
      </c>
      <c r="C1351" s="87" t="s">
        <v>1491</v>
      </c>
      <c r="D1351" s="88" t="s">
        <v>178</v>
      </c>
      <c r="E1351" s="87" t="n">
        <v>2026</v>
      </c>
      <c r="F1351" s="87" t="s">
        <v>639</v>
      </c>
      <c r="G1351" s="88" t="s">
        <v>188</v>
      </c>
      <c r="H1351" s="87" t="s">
        <v>189</v>
      </c>
      <c r="I1351" s="87" t="s">
        <v>690</v>
      </c>
      <c r="J1351" s="88" t="s">
        <v>691</v>
      </c>
      <c r="K1351" s="89" t="n">
        <v>10</v>
      </c>
      <c r="L1351" s="89" t="n">
        <v>590000</v>
      </c>
      <c r="M1351" s="89" t="n">
        <v>237510</v>
      </c>
      <c r="N1351" s="90" t="n">
        <f aca="false">IF(A1351="제외",0,IF(OR(N(L1351)&lt;=0,N(M1351)&gt;N(L1351)),N(M1351)/가정!$B$4,N(L1351)))</f>
        <v>590000</v>
      </c>
      <c r="O1351" s="67" t="str">
        <f aca="false">IF(A1351="제외","",IF(OR(N(L1351)&lt;=0,N(M1351)&gt;N(L1351)),"택가보정(판매금액÷공급율)",""))</f>
        <v/>
      </c>
    </row>
    <row r="1352" customFormat="false" ht="15" hidden="false" customHeight="true" outlineLevel="0" collapsed="false">
      <c r="A1352" s="67" t="str">
        <f aca="false">IF(OR(TRIM(C1352)="",SUBSTITUTE(C1352," ","")="소계"),"제외",IF(ISNUMBER(SEARCH("홍콩",C1352)),"HK",IF(ISNUMBER(SEARCH("상해",C1352)),"CN",IF(ISNUMBER(SEARCH("대만",C1352)),"TW","홀세일"))))</f>
        <v>홀세일</v>
      </c>
      <c r="B1352" s="87" t="s">
        <v>1490</v>
      </c>
      <c r="C1352" s="87" t="s">
        <v>1491</v>
      </c>
      <c r="D1352" s="88" t="s">
        <v>178</v>
      </c>
      <c r="E1352" s="87" t="n">
        <v>2026</v>
      </c>
      <c r="F1352" s="87" t="s">
        <v>639</v>
      </c>
      <c r="G1352" s="88" t="s">
        <v>188</v>
      </c>
      <c r="H1352" s="87" t="s">
        <v>189</v>
      </c>
      <c r="I1352" s="87" t="s">
        <v>1027</v>
      </c>
      <c r="J1352" s="88" t="s">
        <v>1028</v>
      </c>
      <c r="K1352" s="89" t="n">
        <v>10</v>
      </c>
      <c r="L1352" s="89" t="n">
        <v>790000</v>
      </c>
      <c r="M1352" s="89" t="n">
        <v>317690</v>
      </c>
      <c r="N1352" s="90" t="n">
        <f aca="false">IF(A1352="제외",0,IF(OR(N(L1352)&lt;=0,N(M1352)&gt;N(L1352)),N(M1352)/가정!$B$4,N(L1352)))</f>
        <v>790000</v>
      </c>
      <c r="O1352" s="67" t="str">
        <f aca="false">IF(A1352="제외","",IF(OR(N(L1352)&lt;=0,N(M1352)&gt;N(L1352)),"택가보정(판매금액÷공급율)",""))</f>
        <v/>
      </c>
    </row>
    <row r="1353" customFormat="false" ht="15" hidden="false" customHeight="true" outlineLevel="0" collapsed="false">
      <c r="A1353" s="67" t="str">
        <f aca="false">IF(OR(TRIM(C1353)="",SUBSTITUTE(C1353," ","")="소계"),"제외",IF(ISNUMBER(SEARCH("홍콩",C1353)),"HK",IF(ISNUMBER(SEARCH("상해",C1353)),"CN",IF(ISNUMBER(SEARCH("대만",C1353)),"TW","홀세일"))))</f>
        <v>홀세일</v>
      </c>
      <c r="B1353" s="87" t="s">
        <v>1490</v>
      </c>
      <c r="C1353" s="87" t="s">
        <v>1491</v>
      </c>
      <c r="D1353" s="88" t="s">
        <v>178</v>
      </c>
      <c r="E1353" s="87" t="n">
        <v>2026</v>
      </c>
      <c r="F1353" s="87" t="s">
        <v>639</v>
      </c>
      <c r="G1353" s="88" t="s">
        <v>188</v>
      </c>
      <c r="H1353" s="87" t="s">
        <v>189</v>
      </c>
      <c r="I1353" s="87" t="s">
        <v>1409</v>
      </c>
      <c r="J1353" s="87" t="s">
        <v>1410</v>
      </c>
      <c r="K1353" s="89" t="n">
        <v>10</v>
      </c>
      <c r="L1353" s="89" t="n">
        <v>790000</v>
      </c>
      <c r="M1353" s="89" t="n">
        <v>317690</v>
      </c>
      <c r="N1353" s="90" t="n">
        <f aca="false">IF(A1353="제외",0,IF(OR(N(L1353)&lt;=0,N(M1353)&gt;N(L1353)),N(M1353)/가정!$B$4,N(L1353)))</f>
        <v>790000</v>
      </c>
      <c r="O1353" s="67" t="str">
        <f aca="false">IF(A1353="제외","",IF(OR(N(L1353)&lt;=0,N(M1353)&gt;N(L1353)),"택가보정(판매금액÷공급율)",""))</f>
        <v/>
      </c>
    </row>
    <row r="1354" customFormat="false" ht="15" hidden="false" customHeight="true" outlineLevel="0" collapsed="false">
      <c r="A1354" s="67" t="str">
        <f aca="false">IF(OR(TRIM(C1354)="",SUBSTITUTE(C1354," ","")="소계"),"제외",IF(ISNUMBER(SEARCH("홍콩",C1354)),"HK",IF(ISNUMBER(SEARCH("상해",C1354)),"CN",IF(ISNUMBER(SEARCH("대만",C1354)),"TW","홀세일"))))</f>
        <v>홀세일</v>
      </c>
      <c r="B1354" s="87" t="s">
        <v>1490</v>
      </c>
      <c r="C1354" s="87" t="s">
        <v>1491</v>
      </c>
      <c r="D1354" s="88" t="s">
        <v>178</v>
      </c>
      <c r="E1354" s="87" t="n">
        <v>2026</v>
      </c>
      <c r="F1354" s="87" t="s">
        <v>639</v>
      </c>
      <c r="G1354" s="88" t="s">
        <v>188</v>
      </c>
      <c r="H1354" s="87" t="s">
        <v>189</v>
      </c>
      <c r="I1354" s="87" t="s">
        <v>1166</v>
      </c>
      <c r="J1354" s="88" t="s">
        <v>1167</v>
      </c>
      <c r="K1354" s="89" t="n">
        <v>10</v>
      </c>
      <c r="L1354" s="89" t="n">
        <v>890000</v>
      </c>
      <c r="M1354" s="89" t="n">
        <v>358530</v>
      </c>
      <c r="N1354" s="90" t="n">
        <f aca="false">IF(A1354="제외",0,IF(OR(N(L1354)&lt;=0,N(M1354)&gt;N(L1354)),N(M1354)/가정!$B$4,N(L1354)))</f>
        <v>890000</v>
      </c>
      <c r="O1354" s="67" t="str">
        <f aca="false">IF(A1354="제외","",IF(OR(N(L1354)&lt;=0,N(M1354)&gt;N(L1354)),"택가보정(판매금액÷공급율)",""))</f>
        <v/>
      </c>
    </row>
    <row r="1355" customFormat="false" ht="15" hidden="false" customHeight="true" outlineLevel="0" collapsed="false">
      <c r="A1355" s="67" t="str">
        <f aca="false">IF(OR(TRIM(C1355)="",SUBSTITUTE(C1355," ","")="소계"),"제외",IF(ISNUMBER(SEARCH("홍콩",C1355)),"HK",IF(ISNUMBER(SEARCH("상해",C1355)),"CN",IF(ISNUMBER(SEARCH("대만",C1355)),"TW","홀세일"))))</f>
        <v>홀세일</v>
      </c>
      <c r="B1355" s="87" t="s">
        <v>1490</v>
      </c>
      <c r="C1355" s="87" t="s">
        <v>1491</v>
      </c>
      <c r="D1355" s="88" t="s">
        <v>178</v>
      </c>
      <c r="E1355" s="87" t="n">
        <v>2026</v>
      </c>
      <c r="F1355" s="87" t="s">
        <v>639</v>
      </c>
      <c r="G1355" s="88" t="s">
        <v>188</v>
      </c>
      <c r="H1355" s="87" t="s">
        <v>189</v>
      </c>
      <c r="I1355" s="87" t="s">
        <v>704</v>
      </c>
      <c r="J1355" s="88" t="s">
        <v>705</v>
      </c>
      <c r="K1355" s="89" t="n">
        <v>20</v>
      </c>
      <c r="L1355" s="89" t="n">
        <v>2580000</v>
      </c>
      <c r="M1355" s="89" t="n">
        <v>1037780</v>
      </c>
      <c r="N1355" s="90" t="n">
        <f aca="false">IF(A1355="제외",0,IF(OR(N(L1355)&lt;=0,N(M1355)&gt;N(L1355)),N(M1355)/가정!$B$4,N(L1355)))</f>
        <v>2580000</v>
      </c>
      <c r="O1355" s="67" t="str">
        <f aca="false">IF(A1355="제외","",IF(OR(N(L1355)&lt;=0,N(M1355)&gt;N(L1355)),"택가보정(판매금액÷공급율)",""))</f>
        <v/>
      </c>
    </row>
    <row r="1356" customFormat="false" ht="15" hidden="false" customHeight="true" outlineLevel="0" collapsed="false">
      <c r="A1356" s="67" t="str">
        <f aca="false">IF(OR(TRIM(C1356)="",SUBSTITUTE(C1356," ","")="소계"),"제외",IF(ISNUMBER(SEARCH("홍콩",C1356)),"HK",IF(ISNUMBER(SEARCH("상해",C1356)),"CN",IF(ISNUMBER(SEARCH("대만",C1356)),"TW","홀세일"))))</f>
        <v>홀세일</v>
      </c>
      <c r="B1356" s="87" t="s">
        <v>1490</v>
      </c>
      <c r="C1356" s="87" t="s">
        <v>1491</v>
      </c>
      <c r="D1356" s="88" t="s">
        <v>178</v>
      </c>
      <c r="E1356" s="87" t="n">
        <v>2026</v>
      </c>
      <c r="F1356" s="87" t="s">
        <v>639</v>
      </c>
      <c r="G1356" s="88" t="s">
        <v>188</v>
      </c>
      <c r="H1356" s="87" t="s">
        <v>189</v>
      </c>
      <c r="I1356" s="87" t="s">
        <v>706</v>
      </c>
      <c r="J1356" s="88" t="s">
        <v>707</v>
      </c>
      <c r="K1356" s="89" t="n">
        <v>20</v>
      </c>
      <c r="L1356" s="89" t="n">
        <v>2580000</v>
      </c>
      <c r="M1356" s="89" t="n">
        <v>1037780</v>
      </c>
      <c r="N1356" s="90" t="n">
        <f aca="false">IF(A1356="제외",0,IF(OR(N(L1356)&lt;=0,N(M1356)&gt;N(L1356)),N(M1356)/가정!$B$4,N(L1356)))</f>
        <v>2580000</v>
      </c>
      <c r="O1356" s="67" t="str">
        <f aca="false">IF(A1356="제외","",IF(OR(N(L1356)&lt;=0,N(M1356)&gt;N(L1356)),"택가보정(판매금액÷공급율)",""))</f>
        <v/>
      </c>
    </row>
    <row r="1357" customFormat="false" ht="15" hidden="false" customHeight="true" outlineLevel="0" collapsed="false">
      <c r="A1357" s="67" t="str">
        <f aca="false">IF(OR(TRIM(C1357)="",SUBSTITUTE(C1357," ","")="소계"),"제외",IF(ISNUMBER(SEARCH("홍콩",C1357)),"HK",IF(ISNUMBER(SEARCH("상해",C1357)),"CN",IF(ISNUMBER(SEARCH("대만",C1357)),"TW","홀세일"))))</f>
        <v>홀세일</v>
      </c>
      <c r="B1357" s="87" t="s">
        <v>1490</v>
      </c>
      <c r="C1357" s="87" t="s">
        <v>1491</v>
      </c>
      <c r="D1357" s="88" t="s">
        <v>723</v>
      </c>
      <c r="E1357" s="87" t="n">
        <v>2026</v>
      </c>
      <c r="F1357" s="87" t="s">
        <v>639</v>
      </c>
      <c r="G1357" s="88" t="s">
        <v>188</v>
      </c>
      <c r="H1357" s="87" t="s">
        <v>189</v>
      </c>
      <c r="I1357" s="87" t="s">
        <v>1500</v>
      </c>
      <c r="J1357" s="88" t="s">
        <v>1501</v>
      </c>
      <c r="K1357" s="89" t="n">
        <v>30</v>
      </c>
      <c r="L1357" s="89" t="n">
        <v>2670000</v>
      </c>
      <c r="M1357" s="89" t="n">
        <v>1075590</v>
      </c>
      <c r="N1357" s="90" t="n">
        <f aca="false">IF(A1357="제외",0,IF(OR(N(L1357)&lt;=0,N(M1357)&gt;N(L1357)),N(M1357)/가정!$B$4,N(L1357)))</f>
        <v>2670000</v>
      </c>
      <c r="O1357" s="67" t="str">
        <f aca="false">IF(A1357="제외","",IF(OR(N(L1357)&lt;=0,N(M1357)&gt;N(L1357)),"택가보정(판매금액÷공급율)",""))</f>
        <v/>
      </c>
    </row>
    <row r="1358" customFormat="false" ht="15" hidden="false" customHeight="true" outlineLevel="0" collapsed="false">
      <c r="A1358" s="67" t="str">
        <f aca="false">IF(OR(TRIM(C1358)="",SUBSTITUTE(C1358," ","")="소계"),"제외",IF(ISNUMBER(SEARCH("홍콩",C1358)),"HK",IF(ISNUMBER(SEARCH("상해",C1358)),"CN",IF(ISNUMBER(SEARCH("대만",C1358)),"TW","홀세일"))))</f>
        <v>제외</v>
      </c>
      <c r="B1358" s="87" t="s">
        <v>821</v>
      </c>
      <c r="C1358" s="88" t="s">
        <v>822</v>
      </c>
      <c r="D1358" s="87"/>
      <c r="E1358" s="87"/>
      <c r="F1358" s="87"/>
      <c r="G1358" s="87"/>
      <c r="H1358" s="87"/>
      <c r="I1358" s="87"/>
      <c r="J1358" s="87"/>
      <c r="K1358" s="89" t="n">
        <v>1165</v>
      </c>
      <c r="L1358" s="89" t="n">
        <v>112195000</v>
      </c>
      <c r="M1358" s="89" t="n">
        <v>45145730</v>
      </c>
      <c r="N1358" s="90" t="n">
        <f aca="false">IF(A1358="제외",0,IF(OR(N(L1358)&lt;=0,N(M1358)&gt;N(L1358)),N(M1358)/가정!$B$4,N(L1358)))</f>
        <v>0</v>
      </c>
      <c r="O1358" s="67" t="str">
        <f aca="false">IF(A1358="제외","",IF(OR(N(L1358)&lt;=0,N(M1358)&gt;N(L1358)),"택가보정(판매금액÷공급율)",""))</f>
        <v/>
      </c>
    </row>
    <row r="1359" customFormat="false" ht="15" hidden="false" customHeight="true" outlineLevel="0" collapsed="false">
      <c r="A1359" s="67" t="str">
        <f aca="false">IF(OR(TRIM(C1359)="",SUBSTITUTE(C1359," ","")="소계"),"제외",IF(ISNUMBER(SEARCH("홍콩",C1359)),"HK",IF(ISNUMBER(SEARCH("상해",C1359)),"CN",IF(ISNUMBER(SEARCH("대만",C1359)),"TW","홀세일"))))</f>
        <v>홀세일</v>
      </c>
      <c r="B1359" s="87" t="s">
        <v>1502</v>
      </c>
      <c r="C1359" s="88" t="s">
        <v>1503</v>
      </c>
      <c r="D1359" s="88" t="s">
        <v>178</v>
      </c>
      <c r="E1359" s="87" t="n">
        <v>2026</v>
      </c>
      <c r="F1359" s="87" t="s">
        <v>639</v>
      </c>
      <c r="G1359" s="88" t="s">
        <v>188</v>
      </c>
      <c r="H1359" s="88" t="s">
        <v>185</v>
      </c>
      <c r="I1359" s="87" t="s">
        <v>1504</v>
      </c>
      <c r="J1359" s="87" t="s">
        <v>1505</v>
      </c>
      <c r="K1359" s="89" t="n">
        <v>24</v>
      </c>
      <c r="L1359" s="89" t="n">
        <v>1656000</v>
      </c>
      <c r="M1359" s="89" t="n">
        <v>1311816</v>
      </c>
      <c r="N1359" s="90" t="n">
        <f aca="false">IF(A1359="제외",0,IF(OR(N(L1359)&lt;=0,N(M1359)&gt;N(L1359)),N(M1359)/가정!$B$4,N(L1359)))</f>
        <v>1656000</v>
      </c>
      <c r="O1359" s="67" t="str">
        <f aca="false">IF(A1359="제외","",IF(OR(N(L1359)&lt;=0,N(M1359)&gt;N(L1359)),"택가보정(판매금액÷공급율)",""))</f>
        <v/>
      </c>
    </row>
    <row r="1360" customFormat="false" ht="15" hidden="false" customHeight="true" outlineLevel="0" collapsed="false">
      <c r="A1360" s="67" t="str">
        <f aca="false">IF(OR(TRIM(C1360)="",SUBSTITUTE(C1360," ","")="소계"),"제외",IF(ISNUMBER(SEARCH("홍콩",C1360)),"HK",IF(ISNUMBER(SEARCH("상해",C1360)),"CN",IF(ISNUMBER(SEARCH("대만",C1360)),"TW","홀세일"))))</f>
        <v>홀세일</v>
      </c>
      <c r="B1360" s="87" t="s">
        <v>1502</v>
      </c>
      <c r="C1360" s="88" t="s">
        <v>1503</v>
      </c>
      <c r="D1360" s="88" t="s">
        <v>178</v>
      </c>
      <c r="E1360" s="87" t="n">
        <v>2026</v>
      </c>
      <c r="F1360" s="87" t="s">
        <v>639</v>
      </c>
      <c r="G1360" s="88" t="s">
        <v>188</v>
      </c>
      <c r="H1360" s="88" t="s">
        <v>185</v>
      </c>
      <c r="I1360" s="87" t="s">
        <v>1506</v>
      </c>
      <c r="J1360" s="87" t="s">
        <v>1507</v>
      </c>
      <c r="K1360" s="89" t="n">
        <v>20</v>
      </c>
      <c r="L1360" s="89" t="n">
        <v>1380000</v>
      </c>
      <c r="M1360" s="89" t="n">
        <v>1093180</v>
      </c>
      <c r="N1360" s="90" t="n">
        <f aca="false">IF(A1360="제외",0,IF(OR(N(L1360)&lt;=0,N(M1360)&gt;N(L1360)),N(M1360)/가정!$B$4,N(L1360)))</f>
        <v>1380000</v>
      </c>
      <c r="O1360" s="67" t="str">
        <f aca="false">IF(A1360="제외","",IF(OR(N(L1360)&lt;=0,N(M1360)&gt;N(L1360)),"택가보정(판매금액÷공급율)",""))</f>
        <v/>
      </c>
    </row>
    <row r="1361" customFormat="false" ht="15" hidden="false" customHeight="true" outlineLevel="0" collapsed="false">
      <c r="A1361" s="67" t="str">
        <f aca="false">IF(OR(TRIM(C1361)="",SUBSTITUTE(C1361," ","")="소계"),"제외",IF(ISNUMBER(SEARCH("홍콩",C1361)),"HK",IF(ISNUMBER(SEARCH("상해",C1361)),"CN",IF(ISNUMBER(SEARCH("대만",C1361)),"TW","홀세일"))))</f>
        <v>홀세일</v>
      </c>
      <c r="B1361" s="87" t="s">
        <v>1502</v>
      </c>
      <c r="C1361" s="88" t="s">
        <v>1503</v>
      </c>
      <c r="D1361" s="88" t="s">
        <v>178</v>
      </c>
      <c r="E1361" s="87" t="n">
        <v>2026</v>
      </c>
      <c r="F1361" s="87" t="s">
        <v>639</v>
      </c>
      <c r="G1361" s="88" t="s">
        <v>188</v>
      </c>
      <c r="H1361" s="88" t="s">
        <v>185</v>
      </c>
      <c r="I1361" s="87" t="s">
        <v>1508</v>
      </c>
      <c r="J1361" s="87" t="s">
        <v>1509</v>
      </c>
      <c r="K1361" s="89" t="n">
        <v>6</v>
      </c>
      <c r="L1361" s="89" t="n">
        <v>594000</v>
      </c>
      <c r="M1361" s="89" t="n">
        <v>470226</v>
      </c>
      <c r="N1361" s="90" t="n">
        <f aca="false">IF(A1361="제외",0,IF(OR(N(L1361)&lt;=0,N(M1361)&gt;N(L1361)),N(M1361)/가정!$B$4,N(L1361)))</f>
        <v>594000</v>
      </c>
      <c r="O1361" s="67" t="str">
        <f aca="false">IF(A1361="제외","",IF(OR(N(L1361)&lt;=0,N(M1361)&gt;N(L1361)),"택가보정(판매금액÷공급율)",""))</f>
        <v/>
      </c>
    </row>
    <row r="1362" customFormat="false" ht="15" hidden="false" customHeight="true" outlineLevel="0" collapsed="false">
      <c r="A1362" s="67" t="str">
        <f aca="false">IF(OR(TRIM(C1362)="",SUBSTITUTE(C1362," ","")="소계"),"제외",IF(ISNUMBER(SEARCH("홍콩",C1362)),"HK",IF(ISNUMBER(SEARCH("상해",C1362)),"CN",IF(ISNUMBER(SEARCH("대만",C1362)),"TW","홀세일"))))</f>
        <v>홀세일</v>
      </c>
      <c r="B1362" s="87" t="s">
        <v>1502</v>
      </c>
      <c r="C1362" s="88" t="s">
        <v>1503</v>
      </c>
      <c r="D1362" s="88" t="s">
        <v>178</v>
      </c>
      <c r="E1362" s="87" t="n">
        <v>2026</v>
      </c>
      <c r="F1362" s="87" t="s">
        <v>639</v>
      </c>
      <c r="G1362" s="88" t="s">
        <v>188</v>
      </c>
      <c r="H1362" s="88" t="s">
        <v>185</v>
      </c>
      <c r="I1362" s="87" t="s">
        <v>1510</v>
      </c>
      <c r="J1362" s="87" t="s">
        <v>1511</v>
      </c>
      <c r="K1362" s="89" t="n">
        <v>20</v>
      </c>
      <c r="L1362" s="89" t="n">
        <v>980000</v>
      </c>
      <c r="M1362" s="89" t="n">
        <v>776000</v>
      </c>
      <c r="N1362" s="90" t="n">
        <f aca="false">IF(A1362="제외",0,IF(OR(N(L1362)&lt;=0,N(M1362)&gt;N(L1362)),N(M1362)/가정!$B$4,N(L1362)))</f>
        <v>980000</v>
      </c>
      <c r="O1362" s="67" t="str">
        <f aca="false">IF(A1362="제외","",IF(OR(N(L1362)&lt;=0,N(M1362)&gt;N(L1362)),"택가보정(판매금액÷공급율)",""))</f>
        <v/>
      </c>
    </row>
    <row r="1363" customFormat="false" ht="15" hidden="false" customHeight="true" outlineLevel="0" collapsed="false">
      <c r="A1363" s="67" t="str">
        <f aca="false">IF(OR(TRIM(C1363)="",SUBSTITUTE(C1363," ","")="소계"),"제외",IF(ISNUMBER(SEARCH("홍콩",C1363)),"HK",IF(ISNUMBER(SEARCH("상해",C1363)),"CN",IF(ISNUMBER(SEARCH("대만",C1363)),"TW","홀세일"))))</f>
        <v>제외</v>
      </c>
      <c r="B1363" s="87" t="s">
        <v>821</v>
      </c>
      <c r="C1363" s="88" t="s">
        <v>822</v>
      </c>
      <c r="D1363" s="87"/>
      <c r="E1363" s="87"/>
      <c r="F1363" s="87"/>
      <c r="G1363" s="87"/>
      <c r="H1363" s="87"/>
      <c r="I1363" s="87"/>
      <c r="J1363" s="87"/>
      <c r="K1363" s="89" t="n">
        <v>70</v>
      </c>
      <c r="L1363" s="89" t="n">
        <v>4610000</v>
      </c>
      <c r="M1363" s="89" t="n">
        <v>3651222</v>
      </c>
      <c r="N1363" s="90" t="n">
        <f aca="false">IF(A1363="제외",0,IF(OR(N(L1363)&lt;=0,N(M1363)&gt;N(L1363)),N(M1363)/가정!$B$4,N(L1363)))</f>
        <v>0</v>
      </c>
      <c r="O1363" s="67" t="str">
        <f aca="false">IF(A1363="제외","",IF(OR(N(L1363)&lt;=0,N(M1363)&gt;N(L1363)),"택가보정(판매금액÷공급율)",""))</f>
        <v/>
      </c>
    </row>
    <row r="1364" customFormat="false" ht="15" hidden="false" customHeight="true" outlineLevel="0" collapsed="false">
      <c r="A1364" s="67" t="str">
        <f aca="false">IF(OR(TRIM(C1364)="",SUBSTITUTE(C1364," ","")="소계"),"제외",IF(ISNUMBER(SEARCH("홍콩",C1364)),"HK",IF(ISNUMBER(SEARCH("상해",C1364)),"CN",IF(ISNUMBER(SEARCH("대만",C1364)),"TW","홀세일"))))</f>
        <v>홀세일</v>
      </c>
      <c r="B1364" s="87" t="s">
        <v>1512</v>
      </c>
      <c r="C1364" s="88" t="s">
        <v>1513</v>
      </c>
      <c r="D1364" s="88" t="s">
        <v>178</v>
      </c>
      <c r="E1364" s="87" t="n">
        <v>2026</v>
      </c>
      <c r="F1364" s="88" t="s">
        <v>179</v>
      </c>
      <c r="G1364" s="88" t="s">
        <v>188</v>
      </c>
      <c r="H1364" s="87" t="s">
        <v>189</v>
      </c>
      <c r="I1364" s="87" t="s">
        <v>190</v>
      </c>
      <c r="J1364" s="88" t="s">
        <v>191</v>
      </c>
      <c r="K1364" s="89" t="n">
        <v>36</v>
      </c>
      <c r="L1364" s="89" t="n">
        <v>6084000</v>
      </c>
      <c r="M1364" s="89" t="n">
        <v>2683944</v>
      </c>
      <c r="N1364" s="90" t="n">
        <f aca="false">IF(A1364="제외",0,IF(OR(N(L1364)&lt;=0,N(M1364)&gt;N(L1364)),N(M1364)/가정!$B$4,N(L1364)))</f>
        <v>6084000</v>
      </c>
      <c r="O1364" s="67" t="str">
        <f aca="false">IF(A1364="제외","",IF(OR(N(L1364)&lt;=0,N(M1364)&gt;N(L1364)),"택가보정(판매금액÷공급율)",""))</f>
        <v/>
      </c>
    </row>
    <row r="1365" customFormat="false" ht="15" hidden="false" customHeight="true" outlineLevel="0" collapsed="false">
      <c r="A1365" s="67" t="str">
        <f aca="false">IF(OR(TRIM(C1365)="",SUBSTITUTE(C1365," ","")="소계"),"제외",IF(ISNUMBER(SEARCH("홍콩",C1365)),"HK",IF(ISNUMBER(SEARCH("상해",C1365)),"CN",IF(ISNUMBER(SEARCH("대만",C1365)),"TW","홀세일"))))</f>
        <v>홀세일</v>
      </c>
      <c r="B1365" s="87" t="s">
        <v>1512</v>
      </c>
      <c r="C1365" s="88" t="s">
        <v>1513</v>
      </c>
      <c r="D1365" s="88" t="s">
        <v>178</v>
      </c>
      <c r="E1365" s="87" t="n">
        <v>2026</v>
      </c>
      <c r="F1365" s="88" t="s">
        <v>179</v>
      </c>
      <c r="G1365" s="88" t="s">
        <v>188</v>
      </c>
      <c r="H1365" s="87" t="s">
        <v>189</v>
      </c>
      <c r="I1365" s="87" t="s">
        <v>200</v>
      </c>
      <c r="J1365" s="88" t="s">
        <v>201</v>
      </c>
      <c r="K1365" s="89" t="n">
        <v>36</v>
      </c>
      <c r="L1365" s="89" t="n">
        <v>6084000</v>
      </c>
      <c r="M1365" s="89" t="n">
        <v>2683944</v>
      </c>
      <c r="N1365" s="90" t="n">
        <f aca="false">IF(A1365="제외",0,IF(OR(N(L1365)&lt;=0,N(M1365)&gt;N(L1365)),N(M1365)/가정!$B$4,N(L1365)))</f>
        <v>6084000</v>
      </c>
      <c r="O1365" s="67" t="str">
        <f aca="false">IF(A1365="제외","",IF(OR(N(L1365)&lt;=0,N(M1365)&gt;N(L1365)),"택가보정(판매금액÷공급율)",""))</f>
        <v/>
      </c>
    </row>
    <row r="1366" customFormat="false" ht="15" hidden="false" customHeight="true" outlineLevel="0" collapsed="false">
      <c r="A1366" s="67" t="str">
        <f aca="false">IF(OR(TRIM(C1366)="",SUBSTITUTE(C1366," ","")="소계"),"제외",IF(ISNUMBER(SEARCH("홍콩",C1366)),"HK",IF(ISNUMBER(SEARCH("상해",C1366)),"CN",IF(ISNUMBER(SEARCH("대만",C1366)),"TW","홀세일"))))</f>
        <v>홀세일</v>
      </c>
      <c r="B1366" s="87" t="s">
        <v>1512</v>
      </c>
      <c r="C1366" s="88" t="s">
        <v>1513</v>
      </c>
      <c r="D1366" s="88" t="s">
        <v>178</v>
      </c>
      <c r="E1366" s="87" t="n">
        <v>2026</v>
      </c>
      <c r="F1366" s="88" t="s">
        <v>179</v>
      </c>
      <c r="G1366" s="88" t="s">
        <v>188</v>
      </c>
      <c r="H1366" s="87" t="s">
        <v>189</v>
      </c>
      <c r="I1366" s="87" t="s">
        <v>204</v>
      </c>
      <c r="J1366" s="88" t="s">
        <v>205</v>
      </c>
      <c r="K1366" s="89" t="n">
        <v>24</v>
      </c>
      <c r="L1366" s="89" t="n">
        <v>4536000</v>
      </c>
      <c r="M1366" s="89" t="n">
        <v>2003280</v>
      </c>
      <c r="N1366" s="90" t="n">
        <f aca="false">IF(A1366="제외",0,IF(OR(N(L1366)&lt;=0,N(M1366)&gt;N(L1366)),N(M1366)/가정!$B$4,N(L1366)))</f>
        <v>4536000</v>
      </c>
      <c r="O1366" s="67" t="str">
        <f aca="false">IF(A1366="제외","",IF(OR(N(L1366)&lt;=0,N(M1366)&gt;N(L1366)),"택가보정(판매금액÷공급율)",""))</f>
        <v/>
      </c>
    </row>
    <row r="1367" customFormat="false" ht="15" hidden="false" customHeight="true" outlineLevel="0" collapsed="false">
      <c r="A1367" s="67" t="str">
        <f aca="false">IF(OR(TRIM(C1367)="",SUBSTITUTE(C1367," ","")="소계"),"제외",IF(ISNUMBER(SEARCH("홍콩",C1367)),"HK",IF(ISNUMBER(SEARCH("상해",C1367)),"CN",IF(ISNUMBER(SEARCH("대만",C1367)),"TW","홀세일"))))</f>
        <v>홀세일</v>
      </c>
      <c r="B1367" s="87" t="s">
        <v>1512</v>
      </c>
      <c r="C1367" s="88" t="s">
        <v>1513</v>
      </c>
      <c r="D1367" s="88" t="s">
        <v>178</v>
      </c>
      <c r="E1367" s="87" t="n">
        <v>2026</v>
      </c>
      <c r="F1367" s="88" t="s">
        <v>179</v>
      </c>
      <c r="G1367" s="88" t="s">
        <v>180</v>
      </c>
      <c r="H1367" s="87" t="s">
        <v>189</v>
      </c>
      <c r="I1367" s="87" t="s">
        <v>835</v>
      </c>
      <c r="J1367" s="87" t="s">
        <v>836</v>
      </c>
      <c r="K1367" s="89" t="n">
        <v>228</v>
      </c>
      <c r="L1367" s="89" t="n">
        <v>31692000</v>
      </c>
      <c r="M1367" s="89" t="n">
        <v>12886560</v>
      </c>
      <c r="N1367" s="90" t="n">
        <f aca="false">IF(A1367="제외",0,IF(OR(N(L1367)&lt;=0,N(M1367)&gt;N(L1367)),N(M1367)/가정!$B$4,N(L1367)))</f>
        <v>31692000</v>
      </c>
      <c r="O1367" s="67" t="str">
        <f aca="false">IF(A1367="제외","",IF(OR(N(L1367)&lt;=0,N(M1367)&gt;N(L1367)),"택가보정(판매금액÷공급율)",""))</f>
        <v/>
      </c>
    </row>
    <row r="1368" customFormat="false" ht="15" hidden="false" customHeight="true" outlineLevel="0" collapsed="false">
      <c r="A1368" s="67" t="str">
        <f aca="false">IF(OR(TRIM(C1368)="",SUBSTITUTE(C1368," ","")="소계"),"제외",IF(ISNUMBER(SEARCH("홍콩",C1368)),"HK",IF(ISNUMBER(SEARCH("상해",C1368)),"CN",IF(ISNUMBER(SEARCH("대만",C1368)),"TW","홀세일"))))</f>
        <v>홀세일</v>
      </c>
      <c r="B1368" s="87" t="s">
        <v>1512</v>
      </c>
      <c r="C1368" s="88" t="s">
        <v>1513</v>
      </c>
      <c r="D1368" s="88" t="s">
        <v>178</v>
      </c>
      <c r="E1368" s="87" t="n">
        <v>2026</v>
      </c>
      <c r="F1368" s="88" t="s">
        <v>179</v>
      </c>
      <c r="G1368" s="88" t="s">
        <v>180</v>
      </c>
      <c r="H1368" s="87" t="s">
        <v>189</v>
      </c>
      <c r="I1368" s="87" t="s">
        <v>1514</v>
      </c>
      <c r="J1368" s="88" t="s">
        <v>1515</v>
      </c>
      <c r="K1368" s="89" t="n">
        <v>216</v>
      </c>
      <c r="L1368" s="89" t="n">
        <v>23544000</v>
      </c>
      <c r="M1368" s="89" t="n">
        <v>10480752</v>
      </c>
      <c r="N1368" s="90" t="n">
        <f aca="false">IF(A1368="제외",0,IF(OR(N(L1368)&lt;=0,N(M1368)&gt;N(L1368)),N(M1368)/가정!$B$4,N(L1368)))</f>
        <v>23544000</v>
      </c>
      <c r="O1368" s="67" t="str">
        <f aca="false">IF(A1368="제외","",IF(OR(N(L1368)&lt;=0,N(M1368)&gt;N(L1368)),"택가보정(판매금액÷공급율)",""))</f>
        <v/>
      </c>
    </row>
    <row r="1369" customFormat="false" ht="15" hidden="false" customHeight="true" outlineLevel="0" collapsed="false">
      <c r="A1369" s="67" t="str">
        <f aca="false">IF(OR(TRIM(C1369)="",SUBSTITUTE(C1369," ","")="소계"),"제외",IF(ISNUMBER(SEARCH("홍콩",C1369)),"HK",IF(ISNUMBER(SEARCH("상해",C1369)),"CN",IF(ISNUMBER(SEARCH("대만",C1369)),"TW","홀세일"))))</f>
        <v>홀세일</v>
      </c>
      <c r="B1369" s="87" t="s">
        <v>1512</v>
      </c>
      <c r="C1369" s="88" t="s">
        <v>1513</v>
      </c>
      <c r="D1369" s="88" t="s">
        <v>178</v>
      </c>
      <c r="E1369" s="87" t="n">
        <v>2026</v>
      </c>
      <c r="F1369" s="88" t="s">
        <v>179</v>
      </c>
      <c r="G1369" s="88" t="s">
        <v>180</v>
      </c>
      <c r="H1369" s="87" t="s">
        <v>189</v>
      </c>
      <c r="I1369" s="87" t="s">
        <v>230</v>
      </c>
      <c r="J1369" s="88" t="s">
        <v>231</v>
      </c>
      <c r="K1369" s="89" t="n">
        <v>216</v>
      </c>
      <c r="L1369" s="89" t="n">
        <v>25704000</v>
      </c>
      <c r="M1369" s="89" t="n">
        <v>10455048</v>
      </c>
      <c r="N1369" s="90" t="n">
        <f aca="false">IF(A1369="제외",0,IF(OR(N(L1369)&lt;=0,N(M1369)&gt;N(L1369)),N(M1369)/가정!$B$4,N(L1369)))</f>
        <v>25704000</v>
      </c>
      <c r="O1369" s="67" t="str">
        <f aca="false">IF(A1369="제외","",IF(OR(N(L1369)&lt;=0,N(M1369)&gt;N(L1369)),"택가보정(판매금액÷공급율)",""))</f>
        <v/>
      </c>
    </row>
    <row r="1370" customFormat="false" ht="15" hidden="false" customHeight="true" outlineLevel="0" collapsed="false">
      <c r="A1370" s="67" t="str">
        <f aca="false">IF(OR(TRIM(C1370)="",SUBSTITUTE(C1370," ","")="소계"),"제외",IF(ISNUMBER(SEARCH("홍콩",C1370)),"HK",IF(ISNUMBER(SEARCH("상해",C1370)),"CN",IF(ISNUMBER(SEARCH("대만",C1370)),"TW","홀세일"))))</f>
        <v>홀세일</v>
      </c>
      <c r="B1370" s="87" t="s">
        <v>1512</v>
      </c>
      <c r="C1370" s="88" t="s">
        <v>1513</v>
      </c>
      <c r="D1370" s="88" t="s">
        <v>178</v>
      </c>
      <c r="E1370" s="87" t="n">
        <v>2026</v>
      </c>
      <c r="F1370" s="88" t="s">
        <v>179</v>
      </c>
      <c r="G1370" s="88" t="s">
        <v>180</v>
      </c>
      <c r="H1370" s="87" t="s">
        <v>246</v>
      </c>
      <c r="I1370" s="87" t="s">
        <v>247</v>
      </c>
      <c r="J1370" s="87" t="s">
        <v>248</v>
      </c>
      <c r="K1370" s="89" t="n">
        <v>132</v>
      </c>
      <c r="L1370" s="89" t="n">
        <v>14388000</v>
      </c>
      <c r="M1370" s="89" t="n">
        <v>5853408</v>
      </c>
      <c r="N1370" s="90" t="n">
        <f aca="false">IF(A1370="제외",0,IF(OR(N(L1370)&lt;=0,N(M1370)&gt;N(L1370)),N(M1370)/가정!$B$4,N(L1370)))</f>
        <v>14388000</v>
      </c>
      <c r="O1370" s="67" t="str">
        <f aca="false">IF(A1370="제외","",IF(OR(N(L1370)&lt;=0,N(M1370)&gt;N(L1370)),"택가보정(판매금액÷공급율)",""))</f>
        <v/>
      </c>
    </row>
    <row r="1371" customFormat="false" ht="15" hidden="false" customHeight="true" outlineLevel="0" collapsed="false">
      <c r="A1371" s="67" t="str">
        <f aca="false">IF(OR(TRIM(C1371)="",SUBSTITUTE(C1371," ","")="소계"),"제외",IF(ISNUMBER(SEARCH("홍콩",C1371)),"HK",IF(ISNUMBER(SEARCH("상해",C1371)),"CN",IF(ISNUMBER(SEARCH("대만",C1371)),"TW","홀세일"))))</f>
        <v>홀세일</v>
      </c>
      <c r="B1371" s="87" t="s">
        <v>1512</v>
      </c>
      <c r="C1371" s="88" t="s">
        <v>1513</v>
      </c>
      <c r="D1371" s="88" t="s">
        <v>178</v>
      </c>
      <c r="E1371" s="87" t="n">
        <v>2026</v>
      </c>
      <c r="F1371" s="88" t="s">
        <v>277</v>
      </c>
      <c r="G1371" s="88" t="s">
        <v>188</v>
      </c>
      <c r="H1371" s="87" t="s">
        <v>189</v>
      </c>
      <c r="I1371" s="87" t="s">
        <v>1329</v>
      </c>
      <c r="J1371" s="88" t="s">
        <v>1330</v>
      </c>
      <c r="K1371" s="89" t="n">
        <v>168</v>
      </c>
      <c r="L1371" s="89" t="n">
        <v>7560000</v>
      </c>
      <c r="M1371" s="89" t="n">
        <v>3357312</v>
      </c>
      <c r="N1371" s="90" t="n">
        <f aca="false">IF(A1371="제외",0,IF(OR(N(L1371)&lt;=0,N(M1371)&gt;N(L1371)),N(M1371)/가정!$B$4,N(L1371)))</f>
        <v>7560000</v>
      </c>
      <c r="O1371" s="67" t="str">
        <f aca="false">IF(A1371="제외","",IF(OR(N(L1371)&lt;=0,N(M1371)&gt;N(L1371)),"택가보정(판매금액÷공급율)",""))</f>
        <v/>
      </c>
    </row>
    <row r="1372" customFormat="false" ht="15" hidden="false" customHeight="true" outlineLevel="0" collapsed="false">
      <c r="A1372" s="67" t="str">
        <f aca="false">IF(OR(TRIM(C1372)="",SUBSTITUTE(C1372," ","")="소계"),"제외",IF(ISNUMBER(SEARCH("홍콩",C1372)),"HK",IF(ISNUMBER(SEARCH("상해",C1372)),"CN",IF(ISNUMBER(SEARCH("대만",C1372)),"TW","홀세일"))))</f>
        <v>홀세일</v>
      </c>
      <c r="B1372" s="87" t="s">
        <v>1512</v>
      </c>
      <c r="C1372" s="88" t="s">
        <v>1513</v>
      </c>
      <c r="D1372" s="88" t="s">
        <v>178</v>
      </c>
      <c r="E1372" s="87" t="n">
        <v>2026</v>
      </c>
      <c r="F1372" s="88" t="s">
        <v>277</v>
      </c>
      <c r="G1372" s="88" t="s">
        <v>180</v>
      </c>
      <c r="H1372" s="87" t="s">
        <v>189</v>
      </c>
      <c r="I1372" s="87" t="s">
        <v>1331</v>
      </c>
      <c r="J1372" s="87" t="s">
        <v>1332</v>
      </c>
      <c r="K1372" s="89" t="n">
        <v>204</v>
      </c>
      <c r="L1372" s="89" t="n">
        <v>16116000</v>
      </c>
      <c r="M1372" s="89" t="n">
        <v>6746076</v>
      </c>
      <c r="N1372" s="90" t="n">
        <f aca="false">IF(A1372="제외",0,IF(OR(N(L1372)&lt;=0,N(M1372)&gt;N(L1372)),N(M1372)/가정!$B$4,N(L1372)))</f>
        <v>16116000</v>
      </c>
      <c r="O1372" s="67" t="str">
        <f aca="false">IF(A1372="제외","",IF(OR(N(L1372)&lt;=0,N(M1372)&gt;N(L1372)),"택가보정(판매금액÷공급율)",""))</f>
        <v/>
      </c>
    </row>
    <row r="1373" customFormat="false" ht="15" hidden="false" customHeight="true" outlineLevel="0" collapsed="false">
      <c r="A1373" s="67" t="str">
        <f aca="false">IF(OR(TRIM(C1373)="",SUBSTITUTE(C1373," ","")="소계"),"제외",IF(ISNUMBER(SEARCH("홍콩",C1373)),"HK",IF(ISNUMBER(SEARCH("상해",C1373)),"CN",IF(ISNUMBER(SEARCH("대만",C1373)),"TW","홀세일"))))</f>
        <v>홀세일</v>
      </c>
      <c r="B1373" s="87" t="s">
        <v>1512</v>
      </c>
      <c r="C1373" s="88" t="s">
        <v>1513</v>
      </c>
      <c r="D1373" s="88" t="s">
        <v>178</v>
      </c>
      <c r="E1373" s="87" t="n">
        <v>2026</v>
      </c>
      <c r="F1373" s="88" t="s">
        <v>277</v>
      </c>
      <c r="G1373" s="88" t="s">
        <v>180</v>
      </c>
      <c r="H1373" s="87" t="s">
        <v>189</v>
      </c>
      <c r="I1373" s="87" t="s">
        <v>1098</v>
      </c>
      <c r="J1373" s="87" t="s">
        <v>1099</v>
      </c>
      <c r="K1373" s="89" t="n">
        <v>216</v>
      </c>
      <c r="L1373" s="89" t="n">
        <v>47304000</v>
      </c>
      <c r="M1373" s="89" t="n">
        <v>20994984</v>
      </c>
      <c r="N1373" s="90" t="n">
        <f aca="false">IF(A1373="제외",0,IF(OR(N(L1373)&lt;=0,N(M1373)&gt;N(L1373)),N(M1373)/가정!$B$4,N(L1373)))</f>
        <v>47304000</v>
      </c>
      <c r="O1373" s="67" t="str">
        <f aca="false">IF(A1373="제외","",IF(OR(N(L1373)&lt;=0,N(M1373)&gt;N(L1373)),"택가보정(판매금액÷공급율)",""))</f>
        <v/>
      </c>
    </row>
    <row r="1374" customFormat="false" ht="15" hidden="false" customHeight="true" outlineLevel="0" collapsed="false">
      <c r="A1374" s="67" t="str">
        <f aca="false">IF(OR(TRIM(C1374)="",SUBSTITUTE(C1374," ","")="소계"),"제외",IF(ISNUMBER(SEARCH("홍콩",C1374)),"HK",IF(ISNUMBER(SEARCH("상해",C1374)),"CN",IF(ISNUMBER(SEARCH("대만",C1374)),"TW","홀세일"))))</f>
        <v>홀세일</v>
      </c>
      <c r="B1374" s="87" t="s">
        <v>1512</v>
      </c>
      <c r="C1374" s="88" t="s">
        <v>1513</v>
      </c>
      <c r="D1374" s="88" t="s">
        <v>178</v>
      </c>
      <c r="E1374" s="87" t="n">
        <v>2026</v>
      </c>
      <c r="F1374" s="88" t="s">
        <v>277</v>
      </c>
      <c r="G1374" s="88" t="s">
        <v>180</v>
      </c>
      <c r="H1374" s="87" t="s">
        <v>189</v>
      </c>
      <c r="I1374" s="87" t="s">
        <v>1333</v>
      </c>
      <c r="J1374" s="88" t="s">
        <v>1334</v>
      </c>
      <c r="K1374" s="89" t="n">
        <v>216</v>
      </c>
      <c r="L1374" s="89" t="n">
        <v>23544000</v>
      </c>
      <c r="M1374" s="89" t="n">
        <v>9846576</v>
      </c>
      <c r="N1374" s="90" t="n">
        <f aca="false">IF(A1374="제외",0,IF(OR(N(L1374)&lt;=0,N(M1374)&gt;N(L1374)),N(M1374)/가정!$B$4,N(L1374)))</f>
        <v>23544000</v>
      </c>
      <c r="O1374" s="67" t="str">
        <f aca="false">IF(A1374="제외","",IF(OR(N(L1374)&lt;=0,N(M1374)&gt;N(L1374)),"택가보정(판매금액÷공급율)",""))</f>
        <v/>
      </c>
    </row>
    <row r="1375" customFormat="false" ht="15" hidden="false" customHeight="true" outlineLevel="0" collapsed="false">
      <c r="A1375" s="67" t="str">
        <f aca="false">IF(OR(TRIM(C1375)="",SUBSTITUTE(C1375," ","")="소계"),"제외",IF(ISNUMBER(SEARCH("홍콩",C1375)),"HK",IF(ISNUMBER(SEARCH("상해",C1375)),"CN",IF(ISNUMBER(SEARCH("대만",C1375)),"TW","홀세일"))))</f>
        <v>홀세일</v>
      </c>
      <c r="B1375" s="87" t="s">
        <v>1512</v>
      </c>
      <c r="C1375" s="88" t="s">
        <v>1513</v>
      </c>
      <c r="D1375" s="88" t="s">
        <v>178</v>
      </c>
      <c r="E1375" s="87" t="n">
        <v>2026</v>
      </c>
      <c r="F1375" s="88" t="s">
        <v>277</v>
      </c>
      <c r="G1375" s="88" t="s">
        <v>180</v>
      </c>
      <c r="H1375" s="87" t="s">
        <v>189</v>
      </c>
      <c r="I1375" s="87" t="s">
        <v>298</v>
      </c>
      <c r="J1375" s="87" t="s">
        <v>299</v>
      </c>
      <c r="K1375" s="89" t="n">
        <v>432</v>
      </c>
      <c r="L1375" s="89" t="n">
        <v>29808000</v>
      </c>
      <c r="M1375" s="89" t="n">
        <v>12483504</v>
      </c>
      <c r="N1375" s="90" t="n">
        <f aca="false">IF(A1375="제외",0,IF(OR(N(L1375)&lt;=0,N(M1375)&gt;N(L1375)),N(M1375)/가정!$B$4,N(L1375)))</f>
        <v>29808000</v>
      </c>
      <c r="O1375" s="67" t="str">
        <f aca="false">IF(A1375="제외","",IF(OR(N(L1375)&lt;=0,N(M1375)&gt;N(L1375)),"택가보정(판매금액÷공급율)",""))</f>
        <v/>
      </c>
    </row>
    <row r="1376" customFormat="false" ht="15" hidden="false" customHeight="true" outlineLevel="0" collapsed="false">
      <c r="A1376" s="67" t="str">
        <f aca="false">IF(OR(TRIM(C1376)="",SUBSTITUTE(C1376," ","")="소계"),"제외",IF(ISNUMBER(SEARCH("홍콩",C1376)),"HK",IF(ISNUMBER(SEARCH("상해",C1376)),"CN",IF(ISNUMBER(SEARCH("대만",C1376)),"TW","홀세일"))))</f>
        <v>홀세일</v>
      </c>
      <c r="B1376" s="87" t="s">
        <v>1512</v>
      </c>
      <c r="C1376" s="88" t="s">
        <v>1513</v>
      </c>
      <c r="D1376" s="88" t="s">
        <v>178</v>
      </c>
      <c r="E1376" s="87" t="n">
        <v>2026</v>
      </c>
      <c r="F1376" s="88" t="s">
        <v>277</v>
      </c>
      <c r="G1376" s="88" t="s">
        <v>180</v>
      </c>
      <c r="H1376" s="87" t="s">
        <v>189</v>
      </c>
      <c r="I1376" s="87" t="s">
        <v>304</v>
      </c>
      <c r="J1376" s="88" t="s">
        <v>305</v>
      </c>
      <c r="K1376" s="89" t="n">
        <v>228</v>
      </c>
      <c r="L1376" s="89" t="n">
        <v>18012000</v>
      </c>
      <c r="M1376" s="89" t="n">
        <v>7539732</v>
      </c>
      <c r="N1376" s="90" t="n">
        <f aca="false">IF(A1376="제외",0,IF(OR(N(L1376)&lt;=0,N(M1376)&gt;N(L1376)),N(M1376)/가정!$B$4,N(L1376)))</f>
        <v>18012000</v>
      </c>
      <c r="O1376" s="67" t="str">
        <f aca="false">IF(A1376="제외","",IF(OR(N(L1376)&lt;=0,N(M1376)&gt;N(L1376)),"택가보정(판매금액÷공급율)",""))</f>
        <v/>
      </c>
    </row>
    <row r="1377" customFormat="false" ht="15" hidden="false" customHeight="true" outlineLevel="0" collapsed="false">
      <c r="A1377" s="67" t="str">
        <f aca="false">IF(OR(TRIM(C1377)="",SUBSTITUTE(C1377," ","")="소계"),"제외",IF(ISNUMBER(SEARCH("홍콩",C1377)),"HK",IF(ISNUMBER(SEARCH("상해",C1377)),"CN",IF(ISNUMBER(SEARCH("대만",C1377)),"TW","홀세일"))))</f>
        <v>홀세일</v>
      </c>
      <c r="B1377" s="87" t="s">
        <v>1512</v>
      </c>
      <c r="C1377" s="88" t="s">
        <v>1513</v>
      </c>
      <c r="D1377" s="88" t="s">
        <v>178</v>
      </c>
      <c r="E1377" s="87" t="n">
        <v>2026</v>
      </c>
      <c r="F1377" s="88" t="s">
        <v>277</v>
      </c>
      <c r="G1377" s="88" t="s">
        <v>180</v>
      </c>
      <c r="H1377" s="87" t="s">
        <v>189</v>
      </c>
      <c r="I1377" s="87" t="s">
        <v>308</v>
      </c>
      <c r="J1377" s="88" t="s">
        <v>309</v>
      </c>
      <c r="K1377" s="89" t="n">
        <v>228</v>
      </c>
      <c r="L1377" s="89" t="n">
        <v>20292000</v>
      </c>
      <c r="M1377" s="89" t="n">
        <v>8491176</v>
      </c>
      <c r="N1377" s="90" t="n">
        <f aca="false">IF(A1377="제외",0,IF(OR(N(L1377)&lt;=0,N(M1377)&gt;N(L1377)),N(M1377)/가정!$B$4,N(L1377)))</f>
        <v>20292000</v>
      </c>
      <c r="O1377" s="67" t="str">
        <f aca="false">IF(A1377="제외","",IF(OR(N(L1377)&lt;=0,N(M1377)&gt;N(L1377)),"택가보정(판매금액÷공급율)",""))</f>
        <v/>
      </c>
    </row>
    <row r="1378" customFormat="false" ht="15" hidden="false" customHeight="true" outlineLevel="0" collapsed="false">
      <c r="A1378" s="67" t="str">
        <f aca="false">IF(OR(TRIM(C1378)="",SUBSTITUTE(C1378," ","")="소계"),"제외",IF(ISNUMBER(SEARCH("홍콩",C1378)),"HK",IF(ISNUMBER(SEARCH("상해",C1378)),"CN",IF(ISNUMBER(SEARCH("대만",C1378)),"TW","홀세일"))))</f>
        <v>홀세일</v>
      </c>
      <c r="B1378" s="87" t="s">
        <v>1512</v>
      </c>
      <c r="C1378" s="88" t="s">
        <v>1513</v>
      </c>
      <c r="D1378" s="88" t="s">
        <v>178</v>
      </c>
      <c r="E1378" s="87" t="n">
        <v>2026</v>
      </c>
      <c r="F1378" s="88" t="s">
        <v>277</v>
      </c>
      <c r="G1378" s="88" t="s">
        <v>180</v>
      </c>
      <c r="H1378" s="87" t="s">
        <v>189</v>
      </c>
      <c r="I1378" s="87" t="s">
        <v>312</v>
      </c>
      <c r="J1378" s="88" t="s">
        <v>313</v>
      </c>
      <c r="K1378" s="89" t="n">
        <v>228</v>
      </c>
      <c r="L1378" s="89" t="n">
        <v>18012000</v>
      </c>
      <c r="M1378" s="89" t="n">
        <v>7334304</v>
      </c>
      <c r="N1378" s="90" t="n">
        <f aca="false">IF(A1378="제외",0,IF(OR(N(L1378)&lt;=0,N(M1378)&gt;N(L1378)),N(M1378)/가정!$B$4,N(L1378)))</f>
        <v>18012000</v>
      </c>
      <c r="O1378" s="67" t="str">
        <f aca="false">IF(A1378="제외","",IF(OR(N(L1378)&lt;=0,N(M1378)&gt;N(L1378)),"택가보정(판매금액÷공급율)",""))</f>
        <v/>
      </c>
    </row>
    <row r="1379" customFormat="false" ht="15" hidden="false" customHeight="true" outlineLevel="0" collapsed="false">
      <c r="A1379" s="67" t="str">
        <f aca="false">IF(OR(TRIM(C1379)="",SUBSTITUTE(C1379," ","")="소계"),"제외",IF(ISNUMBER(SEARCH("홍콩",C1379)),"HK",IF(ISNUMBER(SEARCH("상해",C1379)),"CN",IF(ISNUMBER(SEARCH("대만",C1379)),"TW","홀세일"))))</f>
        <v>홀세일</v>
      </c>
      <c r="B1379" s="87" t="s">
        <v>1512</v>
      </c>
      <c r="C1379" s="88" t="s">
        <v>1513</v>
      </c>
      <c r="D1379" s="88" t="s">
        <v>178</v>
      </c>
      <c r="E1379" s="87" t="n">
        <v>2026</v>
      </c>
      <c r="F1379" s="88" t="s">
        <v>277</v>
      </c>
      <c r="G1379" s="88" t="s">
        <v>180</v>
      </c>
      <c r="H1379" s="87" t="s">
        <v>189</v>
      </c>
      <c r="I1379" s="87" t="s">
        <v>322</v>
      </c>
      <c r="J1379" s="88" t="s">
        <v>323</v>
      </c>
      <c r="K1379" s="89" t="n">
        <v>228</v>
      </c>
      <c r="L1379" s="89" t="n">
        <v>24852000</v>
      </c>
      <c r="M1379" s="89" t="n">
        <v>10110432</v>
      </c>
      <c r="N1379" s="90" t="n">
        <f aca="false">IF(A1379="제외",0,IF(OR(N(L1379)&lt;=0,N(M1379)&gt;N(L1379)),N(M1379)/가정!$B$4,N(L1379)))</f>
        <v>24852000</v>
      </c>
      <c r="O1379" s="67" t="str">
        <f aca="false">IF(A1379="제외","",IF(OR(N(L1379)&lt;=0,N(M1379)&gt;N(L1379)),"택가보정(판매금액÷공급율)",""))</f>
        <v/>
      </c>
    </row>
    <row r="1380" customFormat="false" ht="15" hidden="false" customHeight="true" outlineLevel="0" collapsed="false">
      <c r="A1380" s="67" t="str">
        <f aca="false">IF(OR(TRIM(C1380)="",SUBSTITUTE(C1380," ","")="소계"),"제외",IF(ISNUMBER(SEARCH("홍콩",C1380)),"HK",IF(ISNUMBER(SEARCH("상해",C1380)),"CN",IF(ISNUMBER(SEARCH("대만",C1380)),"TW","홀세일"))))</f>
        <v>홀세일</v>
      </c>
      <c r="B1380" s="87" t="s">
        <v>1512</v>
      </c>
      <c r="C1380" s="88" t="s">
        <v>1513</v>
      </c>
      <c r="D1380" s="88" t="s">
        <v>178</v>
      </c>
      <c r="E1380" s="87" t="n">
        <v>2026</v>
      </c>
      <c r="F1380" s="88" t="s">
        <v>277</v>
      </c>
      <c r="G1380" s="88" t="s">
        <v>180</v>
      </c>
      <c r="H1380" s="87" t="s">
        <v>189</v>
      </c>
      <c r="I1380" s="87" t="s">
        <v>326</v>
      </c>
      <c r="J1380" s="88" t="s">
        <v>327</v>
      </c>
      <c r="K1380" s="89" t="n">
        <v>216</v>
      </c>
      <c r="L1380" s="89" t="n">
        <v>36504000</v>
      </c>
      <c r="M1380" s="89" t="n">
        <v>16188552</v>
      </c>
      <c r="N1380" s="90" t="n">
        <f aca="false">IF(A1380="제외",0,IF(OR(N(L1380)&lt;=0,N(M1380)&gt;N(L1380)),N(M1380)/가정!$B$4,N(L1380)))</f>
        <v>36504000</v>
      </c>
      <c r="O1380" s="67" t="str">
        <f aca="false">IF(A1380="제외","",IF(OR(N(L1380)&lt;=0,N(M1380)&gt;N(L1380)),"택가보정(판매금액÷공급율)",""))</f>
        <v/>
      </c>
    </row>
    <row r="1381" customFormat="false" ht="15" hidden="false" customHeight="true" outlineLevel="0" collapsed="false">
      <c r="A1381" s="67" t="str">
        <f aca="false">IF(OR(TRIM(C1381)="",SUBSTITUTE(C1381," ","")="소계"),"제외",IF(ISNUMBER(SEARCH("홍콩",C1381)),"HK",IF(ISNUMBER(SEARCH("상해",C1381)),"CN",IF(ISNUMBER(SEARCH("대만",C1381)),"TW","홀세일"))))</f>
        <v>홀세일</v>
      </c>
      <c r="B1381" s="87" t="s">
        <v>1512</v>
      </c>
      <c r="C1381" s="88" t="s">
        <v>1513</v>
      </c>
      <c r="D1381" s="88" t="s">
        <v>178</v>
      </c>
      <c r="E1381" s="87" t="n">
        <v>2026</v>
      </c>
      <c r="F1381" s="88" t="s">
        <v>277</v>
      </c>
      <c r="G1381" s="88" t="s">
        <v>180</v>
      </c>
      <c r="H1381" s="87" t="s">
        <v>189</v>
      </c>
      <c r="I1381" s="87" t="s">
        <v>334</v>
      </c>
      <c r="J1381" s="88" t="s">
        <v>335</v>
      </c>
      <c r="K1381" s="89" t="n">
        <v>216</v>
      </c>
      <c r="L1381" s="89" t="n">
        <v>32184000</v>
      </c>
      <c r="M1381" s="89" t="n">
        <v>13451616</v>
      </c>
      <c r="N1381" s="90" t="n">
        <f aca="false">IF(A1381="제외",0,IF(OR(N(L1381)&lt;=0,N(M1381)&gt;N(L1381)),N(M1381)/가정!$B$4,N(L1381)))</f>
        <v>32184000</v>
      </c>
      <c r="O1381" s="67" t="str">
        <f aca="false">IF(A1381="제외","",IF(OR(N(L1381)&lt;=0,N(M1381)&gt;N(L1381)),"택가보정(판매금액÷공급율)",""))</f>
        <v/>
      </c>
    </row>
    <row r="1382" customFormat="false" ht="15" hidden="false" customHeight="true" outlineLevel="0" collapsed="false">
      <c r="A1382" s="67" t="str">
        <f aca="false">IF(OR(TRIM(C1382)="",SUBSTITUTE(C1382," ","")="소계"),"제외",IF(ISNUMBER(SEARCH("홍콩",C1382)),"HK",IF(ISNUMBER(SEARCH("상해",C1382)),"CN",IF(ISNUMBER(SEARCH("대만",C1382)),"TW","홀세일"))))</f>
        <v>홀세일</v>
      </c>
      <c r="B1382" s="87" t="s">
        <v>1512</v>
      </c>
      <c r="C1382" s="88" t="s">
        <v>1513</v>
      </c>
      <c r="D1382" s="88" t="s">
        <v>178</v>
      </c>
      <c r="E1382" s="87" t="n">
        <v>2026</v>
      </c>
      <c r="F1382" s="88" t="s">
        <v>277</v>
      </c>
      <c r="G1382" s="88" t="s">
        <v>180</v>
      </c>
      <c r="H1382" s="87" t="s">
        <v>189</v>
      </c>
      <c r="I1382" s="87" t="s">
        <v>1516</v>
      </c>
      <c r="J1382" s="88" t="s">
        <v>1517</v>
      </c>
      <c r="K1382" s="89" t="n">
        <v>216</v>
      </c>
      <c r="L1382" s="89" t="n">
        <v>19224000</v>
      </c>
      <c r="M1382" s="89" t="n">
        <v>8044272</v>
      </c>
      <c r="N1382" s="90" t="n">
        <f aca="false">IF(A1382="제외",0,IF(OR(N(L1382)&lt;=0,N(M1382)&gt;N(L1382)),N(M1382)/가정!$B$4,N(L1382)))</f>
        <v>19224000</v>
      </c>
      <c r="O1382" s="67" t="str">
        <f aca="false">IF(A1382="제외","",IF(OR(N(L1382)&lt;=0,N(M1382)&gt;N(L1382)),"택가보정(판매금액÷공급율)",""))</f>
        <v/>
      </c>
    </row>
    <row r="1383" customFormat="false" ht="15" hidden="false" customHeight="true" outlineLevel="0" collapsed="false">
      <c r="A1383" s="67" t="str">
        <f aca="false">IF(OR(TRIM(C1383)="",SUBSTITUTE(C1383," ","")="소계"),"제외",IF(ISNUMBER(SEARCH("홍콩",C1383)),"HK",IF(ISNUMBER(SEARCH("상해",C1383)),"CN",IF(ISNUMBER(SEARCH("대만",C1383)),"TW","홀세일"))))</f>
        <v>홀세일</v>
      </c>
      <c r="B1383" s="87" t="s">
        <v>1512</v>
      </c>
      <c r="C1383" s="88" t="s">
        <v>1513</v>
      </c>
      <c r="D1383" s="88" t="s">
        <v>178</v>
      </c>
      <c r="E1383" s="87" t="n">
        <v>2026</v>
      </c>
      <c r="F1383" s="88" t="s">
        <v>277</v>
      </c>
      <c r="G1383" s="88" t="s">
        <v>180</v>
      </c>
      <c r="H1383" s="87" t="s">
        <v>189</v>
      </c>
      <c r="I1383" s="87" t="s">
        <v>340</v>
      </c>
      <c r="J1383" s="88" t="s">
        <v>341</v>
      </c>
      <c r="K1383" s="89" t="n">
        <v>240</v>
      </c>
      <c r="L1383" s="89" t="n">
        <v>30960000</v>
      </c>
      <c r="M1383" s="89" t="n">
        <v>12943440</v>
      </c>
      <c r="N1383" s="90" t="n">
        <f aca="false">IF(A1383="제외",0,IF(OR(N(L1383)&lt;=0,N(M1383)&gt;N(L1383)),N(M1383)/가정!$B$4,N(L1383)))</f>
        <v>30960000</v>
      </c>
      <c r="O1383" s="67" t="str">
        <f aca="false">IF(A1383="제외","",IF(OR(N(L1383)&lt;=0,N(M1383)&gt;N(L1383)),"택가보정(판매금액÷공급율)",""))</f>
        <v/>
      </c>
    </row>
    <row r="1384" customFormat="false" ht="15" hidden="false" customHeight="true" outlineLevel="0" collapsed="false">
      <c r="A1384" s="67" t="str">
        <f aca="false">IF(OR(TRIM(C1384)="",SUBSTITUTE(C1384," ","")="소계"),"제외",IF(ISNUMBER(SEARCH("홍콩",C1384)),"HK",IF(ISNUMBER(SEARCH("상해",C1384)),"CN",IF(ISNUMBER(SEARCH("대만",C1384)),"TW","홀세일"))))</f>
        <v>홀세일</v>
      </c>
      <c r="B1384" s="87" t="s">
        <v>1512</v>
      </c>
      <c r="C1384" s="88" t="s">
        <v>1513</v>
      </c>
      <c r="D1384" s="88" t="s">
        <v>178</v>
      </c>
      <c r="E1384" s="87" t="n">
        <v>2026</v>
      </c>
      <c r="F1384" s="88" t="s">
        <v>277</v>
      </c>
      <c r="G1384" s="88" t="s">
        <v>180</v>
      </c>
      <c r="H1384" s="87" t="s">
        <v>189</v>
      </c>
      <c r="I1384" s="87" t="s">
        <v>342</v>
      </c>
      <c r="J1384" s="88" t="s">
        <v>343</v>
      </c>
      <c r="K1384" s="89" t="n">
        <v>216</v>
      </c>
      <c r="L1384" s="89" t="n">
        <v>14904000</v>
      </c>
      <c r="M1384" s="89" t="n">
        <v>6071760</v>
      </c>
      <c r="N1384" s="90" t="n">
        <f aca="false">IF(A1384="제외",0,IF(OR(N(L1384)&lt;=0,N(M1384)&gt;N(L1384)),N(M1384)/가정!$B$4,N(L1384)))</f>
        <v>14904000</v>
      </c>
      <c r="O1384" s="67" t="str">
        <f aca="false">IF(A1384="제외","",IF(OR(N(L1384)&lt;=0,N(M1384)&gt;N(L1384)),"택가보정(판매금액÷공급율)",""))</f>
        <v/>
      </c>
    </row>
    <row r="1385" customFormat="false" ht="15" hidden="false" customHeight="true" outlineLevel="0" collapsed="false">
      <c r="A1385" s="67" t="str">
        <f aca="false">IF(OR(TRIM(C1385)="",SUBSTITUTE(C1385," ","")="소계"),"제외",IF(ISNUMBER(SEARCH("홍콩",C1385)),"HK",IF(ISNUMBER(SEARCH("상해",C1385)),"CN",IF(ISNUMBER(SEARCH("대만",C1385)),"TW","홀세일"))))</f>
        <v>홀세일</v>
      </c>
      <c r="B1385" s="87" t="s">
        <v>1512</v>
      </c>
      <c r="C1385" s="88" t="s">
        <v>1513</v>
      </c>
      <c r="D1385" s="88" t="s">
        <v>178</v>
      </c>
      <c r="E1385" s="87" t="n">
        <v>2026</v>
      </c>
      <c r="F1385" s="88" t="s">
        <v>277</v>
      </c>
      <c r="G1385" s="88" t="s">
        <v>180</v>
      </c>
      <c r="H1385" s="87" t="s">
        <v>189</v>
      </c>
      <c r="I1385" s="87" t="s">
        <v>364</v>
      </c>
      <c r="J1385" s="88" t="s">
        <v>365</v>
      </c>
      <c r="K1385" s="89" t="n">
        <v>216</v>
      </c>
      <c r="L1385" s="89" t="n">
        <v>14904000</v>
      </c>
      <c r="M1385" s="89" t="n">
        <v>6071760</v>
      </c>
      <c r="N1385" s="90" t="n">
        <f aca="false">IF(A1385="제외",0,IF(OR(N(L1385)&lt;=0,N(M1385)&gt;N(L1385)),N(M1385)/가정!$B$4,N(L1385)))</f>
        <v>14904000</v>
      </c>
      <c r="O1385" s="67" t="str">
        <f aca="false">IF(A1385="제외","",IF(OR(N(L1385)&lt;=0,N(M1385)&gt;N(L1385)),"택가보정(판매금액÷공급율)",""))</f>
        <v/>
      </c>
    </row>
    <row r="1386" customFormat="false" ht="15" hidden="false" customHeight="true" outlineLevel="0" collapsed="false">
      <c r="A1386" s="67" t="str">
        <f aca="false">IF(OR(TRIM(C1386)="",SUBSTITUTE(C1386," ","")="소계"),"제외",IF(ISNUMBER(SEARCH("홍콩",C1386)),"HK",IF(ISNUMBER(SEARCH("상해",C1386)),"CN",IF(ISNUMBER(SEARCH("대만",C1386)),"TW","홀세일"))))</f>
        <v>홀세일</v>
      </c>
      <c r="B1386" s="87" t="s">
        <v>1512</v>
      </c>
      <c r="C1386" s="88" t="s">
        <v>1513</v>
      </c>
      <c r="D1386" s="88" t="s">
        <v>178</v>
      </c>
      <c r="E1386" s="87" t="n">
        <v>2026</v>
      </c>
      <c r="F1386" s="88" t="s">
        <v>277</v>
      </c>
      <c r="G1386" s="88" t="s">
        <v>180</v>
      </c>
      <c r="H1386" s="87" t="s">
        <v>189</v>
      </c>
      <c r="I1386" s="87" t="s">
        <v>370</v>
      </c>
      <c r="J1386" s="88" t="s">
        <v>371</v>
      </c>
      <c r="K1386" s="89" t="n">
        <v>216</v>
      </c>
      <c r="L1386" s="89" t="n">
        <v>19224000</v>
      </c>
      <c r="M1386" s="89" t="n">
        <v>7825032</v>
      </c>
      <c r="N1386" s="90" t="n">
        <f aca="false">IF(A1386="제외",0,IF(OR(N(L1386)&lt;=0,N(M1386)&gt;N(L1386)),N(M1386)/가정!$B$4,N(L1386)))</f>
        <v>19224000</v>
      </c>
      <c r="O1386" s="67" t="str">
        <f aca="false">IF(A1386="제외","",IF(OR(N(L1386)&lt;=0,N(M1386)&gt;N(L1386)),"택가보정(판매금액÷공급율)",""))</f>
        <v/>
      </c>
    </row>
    <row r="1387" customFormat="false" ht="15" hidden="false" customHeight="true" outlineLevel="0" collapsed="false">
      <c r="A1387" s="67" t="str">
        <f aca="false">IF(OR(TRIM(C1387)="",SUBSTITUTE(C1387," ","")="소계"),"제외",IF(ISNUMBER(SEARCH("홍콩",C1387)),"HK",IF(ISNUMBER(SEARCH("상해",C1387)),"CN",IF(ISNUMBER(SEARCH("대만",C1387)),"TW","홀세일"))))</f>
        <v>홀세일</v>
      </c>
      <c r="B1387" s="87" t="s">
        <v>1512</v>
      </c>
      <c r="C1387" s="88" t="s">
        <v>1513</v>
      </c>
      <c r="D1387" s="88" t="s">
        <v>178</v>
      </c>
      <c r="E1387" s="87" t="n">
        <v>2026</v>
      </c>
      <c r="F1387" s="88" t="s">
        <v>277</v>
      </c>
      <c r="G1387" s="88" t="s">
        <v>180</v>
      </c>
      <c r="H1387" s="87" t="s">
        <v>189</v>
      </c>
      <c r="I1387" s="87" t="s">
        <v>1341</v>
      </c>
      <c r="J1387" s="88" t="s">
        <v>1342</v>
      </c>
      <c r="K1387" s="89" t="n">
        <v>216</v>
      </c>
      <c r="L1387" s="89" t="n">
        <v>12744000</v>
      </c>
      <c r="M1387" s="89" t="n">
        <v>5195016</v>
      </c>
      <c r="N1387" s="90" t="n">
        <f aca="false">IF(A1387="제외",0,IF(OR(N(L1387)&lt;=0,N(M1387)&gt;N(L1387)),N(M1387)/가정!$B$4,N(L1387)))</f>
        <v>12744000</v>
      </c>
      <c r="O1387" s="67" t="str">
        <f aca="false">IF(A1387="제외","",IF(OR(N(L1387)&lt;=0,N(M1387)&gt;N(L1387)),"택가보정(판매금액÷공급율)",""))</f>
        <v/>
      </c>
    </row>
    <row r="1388" customFormat="false" ht="15" hidden="false" customHeight="true" outlineLevel="0" collapsed="false">
      <c r="A1388" s="67" t="str">
        <f aca="false">IF(OR(TRIM(C1388)="",SUBSTITUTE(C1388," ","")="소계"),"제외",IF(ISNUMBER(SEARCH("홍콩",C1388)),"HK",IF(ISNUMBER(SEARCH("상해",C1388)),"CN",IF(ISNUMBER(SEARCH("대만",C1388)),"TW","홀세일"))))</f>
        <v>홀세일</v>
      </c>
      <c r="B1388" s="87" t="s">
        <v>1512</v>
      </c>
      <c r="C1388" s="88" t="s">
        <v>1513</v>
      </c>
      <c r="D1388" s="88" t="s">
        <v>178</v>
      </c>
      <c r="E1388" s="87" t="n">
        <v>2026</v>
      </c>
      <c r="F1388" s="88" t="s">
        <v>277</v>
      </c>
      <c r="G1388" s="88" t="s">
        <v>180</v>
      </c>
      <c r="H1388" s="88" t="s">
        <v>185</v>
      </c>
      <c r="I1388" s="87" t="s">
        <v>1518</v>
      </c>
      <c r="J1388" s="87" t="s">
        <v>1519</v>
      </c>
      <c r="K1388" s="89" t="n">
        <v>216</v>
      </c>
      <c r="L1388" s="89" t="n">
        <v>10584000</v>
      </c>
      <c r="M1388" s="89" t="n">
        <v>4318488</v>
      </c>
      <c r="N1388" s="90" t="n">
        <f aca="false">IF(A1388="제외",0,IF(OR(N(L1388)&lt;=0,N(M1388)&gt;N(L1388)),N(M1388)/가정!$B$4,N(L1388)))</f>
        <v>10584000</v>
      </c>
      <c r="O1388" s="67" t="str">
        <f aca="false">IF(A1388="제외","",IF(OR(N(L1388)&lt;=0,N(M1388)&gt;N(L1388)),"택가보정(판매금액÷공급율)",""))</f>
        <v/>
      </c>
    </row>
    <row r="1389" customFormat="false" ht="15" hidden="false" customHeight="true" outlineLevel="0" collapsed="false">
      <c r="A1389" s="67" t="str">
        <f aca="false">IF(OR(TRIM(C1389)="",SUBSTITUTE(C1389," ","")="소계"),"제외",IF(ISNUMBER(SEARCH("홍콩",C1389)),"HK",IF(ISNUMBER(SEARCH("상해",C1389)),"CN",IF(ISNUMBER(SEARCH("대만",C1389)),"TW","홀세일"))))</f>
        <v>홀세일</v>
      </c>
      <c r="B1389" s="87" t="s">
        <v>1512</v>
      </c>
      <c r="C1389" s="88" t="s">
        <v>1513</v>
      </c>
      <c r="D1389" s="88" t="s">
        <v>178</v>
      </c>
      <c r="E1389" s="87" t="n">
        <v>2026</v>
      </c>
      <c r="F1389" s="88" t="s">
        <v>277</v>
      </c>
      <c r="G1389" s="88" t="s">
        <v>180</v>
      </c>
      <c r="H1389" s="87" t="s">
        <v>246</v>
      </c>
      <c r="I1389" s="87" t="s">
        <v>1351</v>
      </c>
      <c r="J1389" s="87" t="s">
        <v>1352</v>
      </c>
      <c r="K1389" s="89" t="n">
        <v>132</v>
      </c>
      <c r="L1389" s="89" t="n">
        <v>11748000</v>
      </c>
      <c r="M1389" s="89" t="n">
        <v>4915944</v>
      </c>
      <c r="N1389" s="90" t="n">
        <f aca="false">IF(A1389="제외",0,IF(OR(N(L1389)&lt;=0,N(M1389)&gt;N(L1389)),N(M1389)/가정!$B$4,N(L1389)))</f>
        <v>11748000</v>
      </c>
      <c r="O1389" s="67" t="str">
        <f aca="false">IF(A1389="제외","",IF(OR(N(L1389)&lt;=0,N(M1389)&gt;N(L1389)),"택가보정(판매금액÷공급율)",""))</f>
        <v/>
      </c>
    </row>
    <row r="1390" customFormat="false" ht="15" hidden="false" customHeight="true" outlineLevel="0" collapsed="false">
      <c r="A1390" s="67" t="str">
        <f aca="false">IF(OR(TRIM(C1390)="",SUBSTITUTE(C1390," ","")="소계"),"제외",IF(ISNUMBER(SEARCH("홍콩",C1390)),"HK",IF(ISNUMBER(SEARCH("상해",C1390)),"CN",IF(ISNUMBER(SEARCH("대만",C1390)),"TW","홀세일"))))</f>
        <v>홀세일</v>
      </c>
      <c r="B1390" s="87" t="s">
        <v>1512</v>
      </c>
      <c r="C1390" s="88" t="s">
        <v>1513</v>
      </c>
      <c r="D1390" s="88" t="s">
        <v>178</v>
      </c>
      <c r="E1390" s="87" t="n">
        <v>2026</v>
      </c>
      <c r="F1390" s="88" t="s">
        <v>277</v>
      </c>
      <c r="G1390" s="88" t="s">
        <v>180</v>
      </c>
      <c r="H1390" s="87" t="s">
        <v>246</v>
      </c>
      <c r="I1390" s="87" t="s">
        <v>895</v>
      </c>
      <c r="J1390" s="87" t="s">
        <v>896</v>
      </c>
      <c r="K1390" s="89" t="n">
        <v>192</v>
      </c>
      <c r="L1390" s="89" t="n">
        <v>17088000</v>
      </c>
      <c r="M1390" s="89" t="n">
        <v>7150464</v>
      </c>
      <c r="N1390" s="90" t="n">
        <f aca="false">IF(A1390="제외",0,IF(OR(N(L1390)&lt;=0,N(M1390)&gt;N(L1390)),N(M1390)/가정!$B$4,N(L1390)))</f>
        <v>17088000</v>
      </c>
      <c r="O1390" s="67" t="str">
        <f aca="false">IF(A1390="제외","",IF(OR(N(L1390)&lt;=0,N(M1390)&gt;N(L1390)),"택가보정(판매금액÷공급율)",""))</f>
        <v/>
      </c>
    </row>
    <row r="1391" customFormat="false" ht="15" hidden="false" customHeight="true" outlineLevel="0" collapsed="false">
      <c r="A1391" s="67" t="str">
        <f aca="false">IF(OR(TRIM(C1391)="",SUBSTITUTE(C1391," ","")="소계"),"제외",IF(ISNUMBER(SEARCH("홍콩",C1391)),"HK",IF(ISNUMBER(SEARCH("상해",C1391)),"CN",IF(ISNUMBER(SEARCH("대만",C1391)),"TW","홀세일"))))</f>
        <v>홀세일</v>
      </c>
      <c r="B1391" s="87" t="s">
        <v>1512</v>
      </c>
      <c r="C1391" s="88" t="s">
        <v>1513</v>
      </c>
      <c r="D1391" s="88" t="s">
        <v>178</v>
      </c>
      <c r="E1391" s="87" t="n">
        <v>2026</v>
      </c>
      <c r="F1391" s="88" t="s">
        <v>277</v>
      </c>
      <c r="G1391" s="88" t="s">
        <v>180</v>
      </c>
      <c r="H1391" s="87" t="s">
        <v>246</v>
      </c>
      <c r="I1391" s="87" t="s">
        <v>400</v>
      </c>
      <c r="J1391" s="87" t="s">
        <v>401</v>
      </c>
      <c r="K1391" s="89" t="n">
        <v>204</v>
      </c>
      <c r="L1391" s="89" t="n">
        <v>34476000</v>
      </c>
      <c r="M1391" s="89" t="n">
        <v>15289188</v>
      </c>
      <c r="N1391" s="90" t="n">
        <f aca="false">IF(A1391="제외",0,IF(OR(N(L1391)&lt;=0,N(M1391)&gt;N(L1391)),N(M1391)/가정!$B$4,N(L1391)))</f>
        <v>34476000</v>
      </c>
      <c r="O1391" s="67" t="str">
        <f aca="false">IF(A1391="제외","",IF(OR(N(L1391)&lt;=0,N(M1391)&gt;N(L1391)),"택가보정(판매금액÷공급율)",""))</f>
        <v/>
      </c>
    </row>
    <row r="1392" customFormat="false" ht="15" hidden="false" customHeight="true" outlineLevel="0" collapsed="false">
      <c r="A1392" s="67" t="str">
        <f aca="false">IF(OR(TRIM(C1392)="",SUBSTITUTE(C1392," ","")="소계"),"제외",IF(ISNUMBER(SEARCH("홍콩",C1392)),"HK",IF(ISNUMBER(SEARCH("상해",C1392)),"CN",IF(ISNUMBER(SEARCH("대만",C1392)),"TW","홀세일"))))</f>
        <v>홀세일</v>
      </c>
      <c r="B1392" s="87" t="s">
        <v>1512</v>
      </c>
      <c r="C1392" s="88" t="s">
        <v>1513</v>
      </c>
      <c r="D1392" s="88" t="s">
        <v>178</v>
      </c>
      <c r="E1392" s="87" t="n">
        <v>2026</v>
      </c>
      <c r="F1392" s="88" t="s">
        <v>277</v>
      </c>
      <c r="G1392" s="88" t="s">
        <v>180</v>
      </c>
      <c r="H1392" s="87" t="s">
        <v>246</v>
      </c>
      <c r="I1392" s="87" t="s">
        <v>1361</v>
      </c>
      <c r="J1392" s="87" t="s">
        <v>1362</v>
      </c>
      <c r="K1392" s="89" t="n">
        <v>204</v>
      </c>
      <c r="L1392" s="89" t="n">
        <v>20196000</v>
      </c>
      <c r="M1392" s="89" t="n">
        <v>8448456</v>
      </c>
      <c r="N1392" s="90" t="n">
        <f aca="false">IF(A1392="제외",0,IF(OR(N(L1392)&lt;=0,N(M1392)&gt;N(L1392)),N(M1392)/가정!$B$4,N(L1392)))</f>
        <v>20196000</v>
      </c>
      <c r="O1392" s="67" t="str">
        <f aca="false">IF(A1392="제외","",IF(OR(N(L1392)&lt;=0,N(M1392)&gt;N(L1392)),"택가보정(판매금액÷공급율)",""))</f>
        <v/>
      </c>
    </row>
    <row r="1393" customFormat="false" ht="15" hidden="false" customHeight="true" outlineLevel="0" collapsed="false">
      <c r="A1393" s="67" t="str">
        <f aca="false">IF(OR(TRIM(C1393)="",SUBSTITUTE(C1393," ","")="소계"),"제외",IF(ISNUMBER(SEARCH("홍콩",C1393)),"HK",IF(ISNUMBER(SEARCH("상해",C1393)),"CN",IF(ISNUMBER(SEARCH("대만",C1393)),"TW","홀세일"))))</f>
        <v>홀세일</v>
      </c>
      <c r="B1393" s="87" t="s">
        <v>1512</v>
      </c>
      <c r="C1393" s="88" t="s">
        <v>1513</v>
      </c>
      <c r="D1393" s="88" t="s">
        <v>178</v>
      </c>
      <c r="E1393" s="87" t="n">
        <v>2026</v>
      </c>
      <c r="F1393" s="88" t="s">
        <v>277</v>
      </c>
      <c r="G1393" s="88" t="s">
        <v>180</v>
      </c>
      <c r="H1393" s="87" t="s">
        <v>246</v>
      </c>
      <c r="I1393" s="87" t="s">
        <v>412</v>
      </c>
      <c r="J1393" s="87" t="s">
        <v>413</v>
      </c>
      <c r="K1393" s="89" t="n">
        <v>204</v>
      </c>
      <c r="L1393" s="89" t="n">
        <v>22236000</v>
      </c>
      <c r="M1393" s="89" t="n">
        <v>9299544</v>
      </c>
      <c r="N1393" s="90" t="n">
        <f aca="false">IF(A1393="제외",0,IF(OR(N(L1393)&lt;=0,N(M1393)&gt;N(L1393)),N(M1393)/가정!$B$4,N(L1393)))</f>
        <v>22236000</v>
      </c>
      <c r="O1393" s="67" t="str">
        <f aca="false">IF(A1393="제외","",IF(OR(N(L1393)&lt;=0,N(M1393)&gt;N(L1393)),"택가보정(판매금액÷공급율)",""))</f>
        <v/>
      </c>
    </row>
    <row r="1394" customFormat="false" ht="15" hidden="false" customHeight="true" outlineLevel="0" collapsed="false">
      <c r="A1394" s="67" t="str">
        <f aca="false">IF(OR(TRIM(C1394)="",SUBSTITUTE(C1394," ","")="소계"),"제외",IF(ISNUMBER(SEARCH("홍콩",C1394)),"HK",IF(ISNUMBER(SEARCH("상해",C1394)),"CN",IF(ISNUMBER(SEARCH("대만",C1394)),"TW","홀세일"))))</f>
        <v>홀세일</v>
      </c>
      <c r="B1394" s="87" t="s">
        <v>1512</v>
      </c>
      <c r="C1394" s="88" t="s">
        <v>1513</v>
      </c>
      <c r="D1394" s="88" t="s">
        <v>178</v>
      </c>
      <c r="E1394" s="87" t="n">
        <v>2026</v>
      </c>
      <c r="F1394" s="87" t="s">
        <v>639</v>
      </c>
      <c r="G1394" s="88" t="s">
        <v>188</v>
      </c>
      <c r="H1394" s="87" t="s">
        <v>189</v>
      </c>
      <c r="I1394" s="87" t="s">
        <v>1158</v>
      </c>
      <c r="J1394" s="87" t="s">
        <v>1159</v>
      </c>
      <c r="K1394" s="89" t="n">
        <v>54</v>
      </c>
      <c r="L1394" s="89" t="n">
        <v>5346000</v>
      </c>
      <c r="M1394" s="89" t="n">
        <v>2365740</v>
      </c>
      <c r="N1394" s="90" t="n">
        <f aca="false">IF(A1394="제외",0,IF(OR(N(L1394)&lt;=0,N(M1394)&gt;N(L1394)),N(M1394)/가정!$B$4,N(L1394)))</f>
        <v>5346000</v>
      </c>
      <c r="O1394" s="67" t="str">
        <f aca="false">IF(A1394="제외","",IF(OR(N(L1394)&lt;=0,N(M1394)&gt;N(L1394)),"택가보정(판매금액÷공급율)",""))</f>
        <v/>
      </c>
    </row>
    <row r="1395" customFormat="false" ht="15" hidden="false" customHeight="true" outlineLevel="0" collapsed="false">
      <c r="A1395" s="67" t="str">
        <f aca="false">IF(OR(TRIM(C1395)="",SUBSTITUTE(C1395," ","")="소계"),"제외",IF(ISNUMBER(SEARCH("홍콩",C1395)),"HK",IF(ISNUMBER(SEARCH("상해",C1395)),"CN",IF(ISNUMBER(SEARCH("대만",C1395)),"TW","홀세일"))))</f>
        <v>홀세일</v>
      </c>
      <c r="B1395" s="87" t="s">
        <v>1512</v>
      </c>
      <c r="C1395" s="88" t="s">
        <v>1513</v>
      </c>
      <c r="D1395" s="88" t="s">
        <v>178</v>
      </c>
      <c r="E1395" s="87" t="n">
        <v>2026</v>
      </c>
      <c r="F1395" s="87" t="s">
        <v>639</v>
      </c>
      <c r="G1395" s="88" t="s">
        <v>188</v>
      </c>
      <c r="H1395" s="87" t="s">
        <v>189</v>
      </c>
      <c r="I1395" s="87" t="s">
        <v>650</v>
      </c>
      <c r="J1395" s="88" t="s">
        <v>651</v>
      </c>
      <c r="K1395" s="89" t="n">
        <v>48</v>
      </c>
      <c r="L1395" s="89" t="n">
        <v>6192000</v>
      </c>
      <c r="M1395" s="89" t="n">
        <v>2737440</v>
      </c>
      <c r="N1395" s="90" t="n">
        <f aca="false">IF(A1395="제외",0,IF(OR(N(L1395)&lt;=0,N(M1395)&gt;N(L1395)),N(M1395)/가정!$B$4,N(L1395)))</f>
        <v>6192000</v>
      </c>
      <c r="O1395" s="67" t="str">
        <f aca="false">IF(A1395="제외","",IF(OR(N(L1395)&lt;=0,N(M1395)&gt;N(L1395)),"택가보정(판매금액÷공급율)",""))</f>
        <v/>
      </c>
    </row>
    <row r="1396" customFormat="false" ht="15" hidden="false" customHeight="true" outlineLevel="0" collapsed="false">
      <c r="A1396" s="67" t="str">
        <f aca="false">IF(OR(TRIM(C1396)="",SUBSTITUTE(C1396," ","")="소계"),"제외",IF(ISNUMBER(SEARCH("홍콩",C1396)),"HK",IF(ISNUMBER(SEARCH("상해",C1396)),"CN",IF(ISNUMBER(SEARCH("대만",C1396)),"TW","홀세일"))))</f>
        <v>홀세일</v>
      </c>
      <c r="B1396" s="87" t="s">
        <v>1512</v>
      </c>
      <c r="C1396" s="88" t="s">
        <v>1513</v>
      </c>
      <c r="D1396" s="88" t="s">
        <v>178</v>
      </c>
      <c r="E1396" s="87" t="n">
        <v>2026</v>
      </c>
      <c r="F1396" s="87" t="s">
        <v>639</v>
      </c>
      <c r="G1396" s="88" t="s">
        <v>188</v>
      </c>
      <c r="H1396" s="87" t="s">
        <v>189</v>
      </c>
      <c r="I1396" s="87" t="s">
        <v>656</v>
      </c>
      <c r="J1396" s="88" t="s">
        <v>657</v>
      </c>
      <c r="K1396" s="89" t="n">
        <v>96</v>
      </c>
      <c r="L1396" s="89" t="n">
        <v>6624000</v>
      </c>
      <c r="M1396" s="89" t="n">
        <v>2936640</v>
      </c>
      <c r="N1396" s="90" t="n">
        <f aca="false">IF(A1396="제외",0,IF(OR(N(L1396)&lt;=0,N(M1396)&gt;N(L1396)),N(M1396)/가정!$B$4,N(L1396)))</f>
        <v>6624000</v>
      </c>
      <c r="O1396" s="67" t="str">
        <f aca="false">IF(A1396="제외","",IF(OR(N(L1396)&lt;=0,N(M1396)&gt;N(L1396)),"택가보정(판매금액÷공급율)",""))</f>
        <v/>
      </c>
    </row>
    <row r="1397" customFormat="false" ht="15" hidden="false" customHeight="true" outlineLevel="0" collapsed="false">
      <c r="A1397" s="67" t="str">
        <f aca="false">IF(OR(TRIM(C1397)="",SUBSTITUTE(C1397," ","")="소계"),"제외",IF(ISNUMBER(SEARCH("홍콩",C1397)),"HK",IF(ISNUMBER(SEARCH("상해",C1397)),"CN",IF(ISNUMBER(SEARCH("대만",C1397)),"TW","홀세일"))))</f>
        <v>홀세일</v>
      </c>
      <c r="B1397" s="87" t="s">
        <v>1512</v>
      </c>
      <c r="C1397" s="88" t="s">
        <v>1513</v>
      </c>
      <c r="D1397" s="88" t="s">
        <v>178</v>
      </c>
      <c r="E1397" s="87" t="n">
        <v>2026</v>
      </c>
      <c r="F1397" s="87" t="s">
        <v>639</v>
      </c>
      <c r="G1397" s="88" t="s">
        <v>188</v>
      </c>
      <c r="H1397" s="87" t="s">
        <v>189</v>
      </c>
      <c r="I1397" s="87" t="s">
        <v>1013</v>
      </c>
      <c r="J1397" s="88" t="s">
        <v>1014</v>
      </c>
      <c r="K1397" s="89" t="n">
        <v>48</v>
      </c>
      <c r="L1397" s="89" t="n">
        <v>4272000</v>
      </c>
      <c r="M1397" s="89" t="n">
        <v>1888896</v>
      </c>
      <c r="N1397" s="90" t="n">
        <f aca="false">IF(A1397="제외",0,IF(OR(N(L1397)&lt;=0,N(M1397)&gt;N(L1397)),N(M1397)/가정!$B$4,N(L1397)))</f>
        <v>4272000</v>
      </c>
      <c r="O1397" s="67" t="str">
        <f aca="false">IF(A1397="제외","",IF(OR(N(L1397)&lt;=0,N(M1397)&gt;N(L1397)),"택가보정(판매금액÷공급율)",""))</f>
        <v/>
      </c>
    </row>
    <row r="1398" customFormat="false" ht="15" hidden="false" customHeight="true" outlineLevel="0" collapsed="false">
      <c r="A1398" s="67" t="str">
        <f aca="false">IF(OR(TRIM(C1398)="",SUBSTITUTE(C1398," ","")="소계"),"제외",IF(ISNUMBER(SEARCH("홍콩",C1398)),"HK",IF(ISNUMBER(SEARCH("상해",C1398)),"CN",IF(ISNUMBER(SEARCH("대만",C1398)),"TW","홀세일"))))</f>
        <v>홀세일</v>
      </c>
      <c r="B1398" s="87" t="s">
        <v>1512</v>
      </c>
      <c r="C1398" s="88" t="s">
        <v>1513</v>
      </c>
      <c r="D1398" s="88" t="s">
        <v>178</v>
      </c>
      <c r="E1398" s="87" t="n">
        <v>2026</v>
      </c>
      <c r="F1398" s="87" t="s">
        <v>639</v>
      </c>
      <c r="G1398" s="88" t="s">
        <v>188</v>
      </c>
      <c r="H1398" s="87" t="s">
        <v>189</v>
      </c>
      <c r="I1398" s="87" t="s">
        <v>660</v>
      </c>
      <c r="J1398" s="88" t="s">
        <v>661</v>
      </c>
      <c r="K1398" s="89" t="n">
        <v>48</v>
      </c>
      <c r="L1398" s="89" t="n">
        <v>3792000</v>
      </c>
      <c r="M1398" s="89" t="n">
        <v>1674912</v>
      </c>
      <c r="N1398" s="90" t="n">
        <f aca="false">IF(A1398="제외",0,IF(OR(N(L1398)&lt;=0,N(M1398)&gt;N(L1398)),N(M1398)/가정!$B$4,N(L1398)))</f>
        <v>3792000</v>
      </c>
      <c r="O1398" s="67" t="str">
        <f aca="false">IF(A1398="제외","",IF(OR(N(L1398)&lt;=0,N(M1398)&gt;N(L1398)),"택가보정(판매금액÷공급율)",""))</f>
        <v/>
      </c>
    </row>
    <row r="1399" customFormat="false" ht="15" hidden="false" customHeight="true" outlineLevel="0" collapsed="false">
      <c r="A1399" s="67" t="str">
        <f aca="false">IF(OR(TRIM(C1399)="",SUBSTITUTE(C1399," ","")="소계"),"제외",IF(ISNUMBER(SEARCH("홍콩",C1399)),"HK",IF(ISNUMBER(SEARCH("상해",C1399)),"CN",IF(ISNUMBER(SEARCH("대만",C1399)),"TW","홀세일"))))</f>
        <v>홀세일</v>
      </c>
      <c r="B1399" s="87" t="s">
        <v>1512</v>
      </c>
      <c r="C1399" s="88" t="s">
        <v>1513</v>
      </c>
      <c r="D1399" s="88" t="s">
        <v>178</v>
      </c>
      <c r="E1399" s="87" t="n">
        <v>2026</v>
      </c>
      <c r="F1399" s="87" t="s">
        <v>639</v>
      </c>
      <c r="G1399" s="88" t="s">
        <v>188</v>
      </c>
      <c r="H1399" s="87" t="s">
        <v>189</v>
      </c>
      <c r="I1399" s="87" t="s">
        <v>670</v>
      </c>
      <c r="J1399" s="87" t="s">
        <v>671</v>
      </c>
      <c r="K1399" s="89" t="n">
        <v>48</v>
      </c>
      <c r="L1399" s="89" t="n">
        <v>3312000</v>
      </c>
      <c r="M1399" s="89" t="n">
        <v>1468320</v>
      </c>
      <c r="N1399" s="90" t="n">
        <f aca="false">IF(A1399="제외",0,IF(OR(N(L1399)&lt;=0,N(M1399)&gt;N(L1399)),N(M1399)/가정!$B$4,N(L1399)))</f>
        <v>3312000</v>
      </c>
      <c r="O1399" s="67" t="str">
        <f aca="false">IF(A1399="제외","",IF(OR(N(L1399)&lt;=0,N(M1399)&gt;N(L1399)),"택가보정(판매금액÷공급율)",""))</f>
        <v/>
      </c>
    </row>
    <row r="1400" customFormat="false" ht="15" hidden="false" customHeight="true" outlineLevel="0" collapsed="false">
      <c r="A1400" s="67" t="str">
        <f aca="false">IF(OR(TRIM(C1400)="",SUBSTITUTE(C1400," ","")="소계"),"제외",IF(ISNUMBER(SEARCH("홍콩",C1400)),"HK",IF(ISNUMBER(SEARCH("상해",C1400)),"CN",IF(ISNUMBER(SEARCH("대만",C1400)),"TW","홀세일"))))</f>
        <v>홀세일</v>
      </c>
      <c r="B1400" s="87" t="s">
        <v>1512</v>
      </c>
      <c r="C1400" s="88" t="s">
        <v>1513</v>
      </c>
      <c r="D1400" s="88" t="s">
        <v>178</v>
      </c>
      <c r="E1400" s="87" t="n">
        <v>2026</v>
      </c>
      <c r="F1400" s="87" t="s">
        <v>639</v>
      </c>
      <c r="G1400" s="88" t="s">
        <v>188</v>
      </c>
      <c r="H1400" s="87" t="s">
        <v>189</v>
      </c>
      <c r="I1400" s="87" t="s">
        <v>688</v>
      </c>
      <c r="J1400" s="88" t="s">
        <v>689</v>
      </c>
      <c r="K1400" s="89" t="n">
        <v>168</v>
      </c>
      <c r="L1400" s="89" t="n">
        <v>8232000</v>
      </c>
      <c r="M1400" s="89" t="n">
        <v>3667104</v>
      </c>
      <c r="N1400" s="90" t="n">
        <f aca="false">IF(A1400="제외",0,IF(OR(N(L1400)&lt;=0,N(M1400)&gt;N(L1400)),N(M1400)/가정!$B$4,N(L1400)))</f>
        <v>8232000</v>
      </c>
      <c r="O1400" s="67" t="str">
        <f aca="false">IF(A1400="제외","",IF(OR(N(L1400)&lt;=0,N(M1400)&gt;N(L1400)),"택가보정(판매금액÷공급율)",""))</f>
        <v/>
      </c>
    </row>
    <row r="1401" customFormat="false" ht="15" hidden="false" customHeight="true" outlineLevel="0" collapsed="false">
      <c r="A1401" s="67" t="str">
        <f aca="false">IF(OR(TRIM(C1401)="",SUBSTITUTE(C1401," ","")="소계"),"제외",IF(ISNUMBER(SEARCH("홍콩",C1401)),"HK",IF(ISNUMBER(SEARCH("상해",C1401)),"CN",IF(ISNUMBER(SEARCH("대만",C1401)),"TW","홀세일"))))</f>
        <v>홀세일</v>
      </c>
      <c r="B1401" s="87" t="s">
        <v>1512</v>
      </c>
      <c r="C1401" s="88" t="s">
        <v>1513</v>
      </c>
      <c r="D1401" s="88" t="s">
        <v>178</v>
      </c>
      <c r="E1401" s="87" t="n">
        <v>2026</v>
      </c>
      <c r="F1401" s="87" t="s">
        <v>639</v>
      </c>
      <c r="G1401" s="88" t="s">
        <v>188</v>
      </c>
      <c r="H1401" s="87" t="s">
        <v>189</v>
      </c>
      <c r="I1401" s="87" t="s">
        <v>1027</v>
      </c>
      <c r="J1401" s="88" t="s">
        <v>1028</v>
      </c>
      <c r="K1401" s="89" t="n">
        <v>96</v>
      </c>
      <c r="L1401" s="89" t="n">
        <v>7584000</v>
      </c>
      <c r="M1401" s="89" t="n">
        <v>3349824</v>
      </c>
      <c r="N1401" s="90" t="n">
        <f aca="false">IF(A1401="제외",0,IF(OR(N(L1401)&lt;=0,N(M1401)&gt;N(L1401)),N(M1401)/가정!$B$4,N(L1401)))</f>
        <v>7584000</v>
      </c>
      <c r="O1401" s="67" t="str">
        <f aca="false">IF(A1401="제외","",IF(OR(N(L1401)&lt;=0,N(M1401)&gt;N(L1401)),"택가보정(판매금액÷공급율)",""))</f>
        <v/>
      </c>
    </row>
    <row r="1402" customFormat="false" ht="15" hidden="false" customHeight="true" outlineLevel="0" collapsed="false">
      <c r="A1402" s="67" t="str">
        <f aca="false">IF(OR(TRIM(C1402)="",SUBSTITUTE(C1402," ","")="소계"),"제외",IF(ISNUMBER(SEARCH("홍콩",C1402)),"HK",IF(ISNUMBER(SEARCH("상해",C1402)),"CN",IF(ISNUMBER(SEARCH("대만",C1402)),"TW","홀세일"))))</f>
        <v>홀세일</v>
      </c>
      <c r="B1402" s="87" t="s">
        <v>1512</v>
      </c>
      <c r="C1402" s="88" t="s">
        <v>1513</v>
      </c>
      <c r="D1402" s="88" t="s">
        <v>178</v>
      </c>
      <c r="E1402" s="87" t="n">
        <v>2026</v>
      </c>
      <c r="F1402" s="87" t="s">
        <v>639</v>
      </c>
      <c r="G1402" s="88" t="s">
        <v>1168</v>
      </c>
      <c r="H1402" s="87" t="s">
        <v>181</v>
      </c>
      <c r="I1402" s="87" t="s">
        <v>1171</v>
      </c>
      <c r="J1402" s="88" t="s">
        <v>1172</v>
      </c>
      <c r="K1402" s="89" t="n">
        <v>300</v>
      </c>
      <c r="L1402" s="89" t="n">
        <v>13500000</v>
      </c>
      <c r="M1402" s="89" t="n">
        <v>10237800</v>
      </c>
      <c r="N1402" s="90" t="n">
        <f aca="false">IF(A1402="제외",0,IF(OR(N(L1402)&lt;=0,N(M1402)&gt;N(L1402)),N(M1402)/가정!$B$4,N(L1402)))</f>
        <v>13500000</v>
      </c>
      <c r="O1402" s="67" t="str">
        <f aca="false">IF(A1402="제외","",IF(OR(N(L1402)&lt;=0,N(M1402)&gt;N(L1402)),"택가보정(판매금액÷공급율)",""))</f>
        <v/>
      </c>
    </row>
    <row r="1403" customFormat="false" ht="15" hidden="false" customHeight="true" outlineLevel="0" collapsed="false">
      <c r="A1403" s="67" t="str">
        <f aca="false">IF(OR(TRIM(C1403)="",SUBSTITUTE(C1403," ","")="소계"),"제외",IF(ISNUMBER(SEARCH("홍콩",C1403)),"HK",IF(ISNUMBER(SEARCH("상해",C1403)),"CN",IF(ISNUMBER(SEARCH("대만",C1403)),"TW","홀세일"))))</f>
        <v>홀세일</v>
      </c>
      <c r="B1403" s="87" t="s">
        <v>1512</v>
      </c>
      <c r="C1403" s="88" t="s">
        <v>1513</v>
      </c>
      <c r="D1403" s="88" t="s">
        <v>178</v>
      </c>
      <c r="E1403" s="87" t="n">
        <v>2026</v>
      </c>
      <c r="F1403" s="87" t="s">
        <v>639</v>
      </c>
      <c r="G1403" s="88" t="s">
        <v>180</v>
      </c>
      <c r="H1403" s="87" t="s">
        <v>189</v>
      </c>
      <c r="I1403" s="87" t="s">
        <v>1417</v>
      </c>
      <c r="J1403" s="88" t="s">
        <v>1418</v>
      </c>
      <c r="K1403" s="89" t="n">
        <v>432</v>
      </c>
      <c r="L1403" s="89" t="n">
        <v>21168000</v>
      </c>
      <c r="M1403" s="89" t="n">
        <v>8636976</v>
      </c>
      <c r="N1403" s="90" t="n">
        <f aca="false">IF(A1403="제외",0,IF(OR(N(L1403)&lt;=0,N(M1403)&gt;N(L1403)),N(M1403)/가정!$B$4,N(L1403)))</f>
        <v>21168000</v>
      </c>
      <c r="O1403" s="67" t="str">
        <f aca="false">IF(A1403="제외","",IF(OR(N(L1403)&lt;=0,N(M1403)&gt;N(L1403)),"택가보정(판매금액÷공급율)",""))</f>
        <v/>
      </c>
    </row>
    <row r="1404" customFormat="false" ht="15" hidden="false" customHeight="true" outlineLevel="0" collapsed="false">
      <c r="A1404" s="67" t="str">
        <f aca="false">IF(OR(TRIM(C1404)="",SUBSTITUTE(C1404," ","")="소계"),"제외",IF(ISNUMBER(SEARCH("홍콩",C1404)),"HK",IF(ISNUMBER(SEARCH("상해",C1404)),"CN",IF(ISNUMBER(SEARCH("대만",C1404)),"TW","홀세일"))))</f>
        <v>홀세일</v>
      </c>
      <c r="B1404" s="87" t="s">
        <v>1512</v>
      </c>
      <c r="C1404" s="88" t="s">
        <v>1513</v>
      </c>
      <c r="D1404" s="88" t="s">
        <v>723</v>
      </c>
      <c r="E1404" s="87" t="n">
        <v>2026</v>
      </c>
      <c r="F1404" s="88" t="s">
        <v>179</v>
      </c>
      <c r="G1404" s="88" t="s">
        <v>180</v>
      </c>
      <c r="H1404" s="87" t="s">
        <v>732</v>
      </c>
      <c r="I1404" s="87" t="s">
        <v>1520</v>
      </c>
      <c r="J1404" s="87" t="s">
        <v>1521</v>
      </c>
      <c r="K1404" s="89" t="n">
        <v>744</v>
      </c>
      <c r="L1404" s="89" t="n">
        <v>118296000</v>
      </c>
      <c r="M1404" s="89" t="n">
        <v>44735232</v>
      </c>
      <c r="N1404" s="90" t="n">
        <f aca="false">IF(A1404="제외",0,IF(OR(N(L1404)&lt;=0,N(M1404)&gt;N(L1404)),N(M1404)/가정!$B$4,N(L1404)))</f>
        <v>118296000</v>
      </c>
      <c r="O1404" s="67" t="str">
        <f aca="false">IF(A1404="제외","",IF(OR(N(L1404)&lt;=0,N(M1404)&gt;N(L1404)),"택가보정(판매금액÷공급율)",""))</f>
        <v/>
      </c>
    </row>
    <row r="1405" customFormat="false" ht="15" hidden="false" customHeight="true" outlineLevel="0" collapsed="false">
      <c r="A1405" s="67" t="str">
        <f aca="false">IF(OR(TRIM(C1405)="",SUBSTITUTE(C1405," ","")="소계"),"제외",IF(ISNUMBER(SEARCH("홍콩",C1405)),"HK",IF(ISNUMBER(SEARCH("상해",C1405)),"CN",IF(ISNUMBER(SEARCH("대만",C1405)),"TW","홀세일"))))</f>
        <v>홀세일</v>
      </c>
      <c r="B1405" s="87" t="s">
        <v>1512</v>
      </c>
      <c r="C1405" s="88" t="s">
        <v>1513</v>
      </c>
      <c r="D1405" s="88" t="s">
        <v>723</v>
      </c>
      <c r="E1405" s="87" t="n">
        <v>2026</v>
      </c>
      <c r="F1405" s="88" t="s">
        <v>179</v>
      </c>
      <c r="G1405" s="88" t="s">
        <v>180</v>
      </c>
      <c r="H1405" s="87" t="s">
        <v>732</v>
      </c>
      <c r="I1405" s="87" t="s">
        <v>1522</v>
      </c>
      <c r="J1405" s="87" t="s">
        <v>1523</v>
      </c>
      <c r="K1405" s="89" t="n">
        <v>896</v>
      </c>
      <c r="L1405" s="89" t="n">
        <v>106624000</v>
      </c>
      <c r="M1405" s="89" t="n">
        <v>40406016</v>
      </c>
      <c r="N1405" s="90" t="n">
        <f aca="false">IF(A1405="제외",0,IF(OR(N(L1405)&lt;=0,N(M1405)&gt;N(L1405)),N(M1405)/가정!$B$4,N(L1405)))</f>
        <v>106624000</v>
      </c>
      <c r="O1405" s="67" t="str">
        <f aca="false">IF(A1405="제외","",IF(OR(N(L1405)&lt;=0,N(M1405)&gt;N(L1405)),"택가보정(판매금액÷공급율)",""))</f>
        <v/>
      </c>
    </row>
    <row r="1406" customFormat="false" ht="15" hidden="false" customHeight="true" outlineLevel="0" collapsed="false">
      <c r="A1406" s="67" t="str">
        <f aca="false">IF(OR(TRIM(C1406)="",SUBSTITUTE(C1406," ","")="소계"),"제외",IF(ISNUMBER(SEARCH("홍콩",C1406)),"HK",IF(ISNUMBER(SEARCH("상해",C1406)),"CN",IF(ISNUMBER(SEARCH("대만",C1406)),"TW","홀세일"))))</f>
        <v>홀세일</v>
      </c>
      <c r="B1406" s="87" t="s">
        <v>1512</v>
      </c>
      <c r="C1406" s="88" t="s">
        <v>1513</v>
      </c>
      <c r="D1406" s="88" t="s">
        <v>723</v>
      </c>
      <c r="E1406" s="87" t="n">
        <v>2026</v>
      </c>
      <c r="F1406" s="88" t="s">
        <v>277</v>
      </c>
      <c r="G1406" s="88" t="s">
        <v>180</v>
      </c>
      <c r="H1406" s="87" t="s">
        <v>732</v>
      </c>
      <c r="I1406" s="87" t="s">
        <v>1524</v>
      </c>
      <c r="J1406" s="87" t="s">
        <v>1525</v>
      </c>
      <c r="K1406" s="89" t="n">
        <v>706</v>
      </c>
      <c r="L1406" s="89" t="n">
        <v>62834000</v>
      </c>
      <c r="M1406" s="89" t="n">
        <v>24075306</v>
      </c>
      <c r="N1406" s="90" t="n">
        <f aca="false">IF(A1406="제외",0,IF(OR(N(L1406)&lt;=0,N(M1406)&gt;N(L1406)),N(M1406)/가정!$B$4,N(L1406)))</f>
        <v>62834000</v>
      </c>
      <c r="O1406" s="67" t="str">
        <f aca="false">IF(A1406="제외","",IF(OR(N(L1406)&lt;=0,N(M1406)&gt;N(L1406)),"택가보정(판매금액÷공급율)",""))</f>
        <v/>
      </c>
    </row>
    <row r="1407" customFormat="false" ht="15" hidden="false" customHeight="true" outlineLevel="0" collapsed="false">
      <c r="A1407" s="67" t="str">
        <f aca="false">IF(OR(TRIM(C1407)="",SUBSTITUTE(C1407," ","")="소계"),"제외",IF(ISNUMBER(SEARCH("홍콩",C1407)),"HK",IF(ISNUMBER(SEARCH("상해",C1407)),"CN",IF(ISNUMBER(SEARCH("대만",C1407)),"TW","홀세일"))))</f>
        <v>홀세일</v>
      </c>
      <c r="B1407" s="87" t="s">
        <v>1512</v>
      </c>
      <c r="C1407" s="88" t="s">
        <v>1513</v>
      </c>
      <c r="D1407" s="88" t="s">
        <v>723</v>
      </c>
      <c r="E1407" s="87" t="n">
        <v>2026</v>
      </c>
      <c r="F1407" s="88" t="s">
        <v>277</v>
      </c>
      <c r="G1407" s="88" t="s">
        <v>180</v>
      </c>
      <c r="H1407" s="87" t="s">
        <v>732</v>
      </c>
      <c r="I1407" s="87" t="s">
        <v>1526</v>
      </c>
      <c r="J1407" s="87" t="s">
        <v>1527</v>
      </c>
      <c r="K1407" s="89" t="n">
        <v>573</v>
      </c>
      <c r="L1407" s="89" t="n">
        <v>39537000</v>
      </c>
      <c r="M1407" s="89" t="n">
        <v>15073338</v>
      </c>
      <c r="N1407" s="90" t="n">
        <f aca="false">IF(A1407="제외",0,IF(OR(N(L1407)&lt;=0,N(M1407)&gt;N(L1407)),N(M1407)/가정!$B$4,N(L1407)))</f>
        <v>39537000</v>
      </c>
      <c r="O1407" s="67" t="str">
        <f aca="false">IF(A1407="제외","",IF(OR(N(L1407)&lt;=0,N(M1407)&gt;N(L1407)),"택가보정(판매금액÷공급율)",""))</f>
        <v/>
      </c>
    </row>
    <row r="1408" customFormat="false" ht="15" hidden="false" customHeight="true" outlineLevel="0" collapsed="false">
      <c r="A1408" s="67" t="str">
        <f aca="false">IF(OR(TRIM(C1408)="",SUBSTITUTE(C1408," ","")="소계"),"제외",IF(ISNUMBER(SEARCH("홍콩",C1408)),"HK",IF(ISNUMBER(SEARCH("상해",C1408)),"CN",IF(ISNUMBER(SEARCH("대만",C1408)),"TW","홀세일"))))</f>
        <v>홀세일</v>
      </c>
      <c r="B1408" s="87" t="s">
        <v>1512</v>
      </c>
      <c r="C1408" s="88" t="s">
        <v>1513</v>
      </c>
      <c r="D1408" s="88" t="s">
        <v>723</v>
      </c>
      <c r="E1408" s="87" t="n">
        <v>2026</v>
      </c>
      <c r="F1408" s="87" t="s">
        <v>639</v>
      </c>
      <c r="G1408" s="88" t="s">
        <v>1168</v>
      </c>
      <c r="H1408" s="88" t="s">
        <v>708</v>
      </c>
      <c r="I1408" s="87" t="s">
        <v>1528</v>
      </c>
      <c r="J1408" s="87" t="s">
        <v>1529</v>
      </c>
      <c r="K1408" s="89" t="n">
        <v>1000</v>
      </c>
      <c r="L1408" s="89" t="n">
        <v>29000000</v>
      </c>
      <c r="M1408" s="89" t="n">
        <v>22661000</v>
      </c>
      <c r="N1408" s="90" t="n">
        <f aca="false">IF(A1408="제외",0,IF(OR(N(L1408)&lt;=0,N(M1408)&gt;N(L1408)),N(M1408)/가정!$B$4,N(L1408)))</f>
        <v>29000000</v>
      </c>
      <c r="O1408" s="67" t="str">
        <f aca="false">IF(A1408="제외","",IF(OR(N(L1408)&lt;=0,N(M1408)&gt;N(L1408)),"택가보정(판매금액÷공급율)",""))</f>
        <v/>
      </c>
    </row>
    <row r="1409" customFormat="false" ht="15" hidden="false" customHeight="true" outlineLevel="0" collapsed="false">
      <c r="A1409" s="67" t="str">
        <f aca="false">IF(OR(TRIM(C1409)="",SUBSTITUTE(C1409," ","")="소계"),"제외",IF(ISNUMBER(SEARCH("홍콩",C1409)),"HK",IF(ISNUMBER(SEARCH("상해",C1409)),"CN",IF(ISNUMBER(SEARCH("대만",C1409)),"TW","홀세일"))))</f>
        <v>제외</v>
      </c>
      <c r="B1409" s="87" t="s">
        <v>821</v>
      </c>
      <c r="C1409" s="88" t="s">
        <v>822</v>
      </c>
      <c r="D1409" s="87"/>
      <c r="E1409" s="87"/>
      <c r="F1409" s="87"/>
      <c r="G1409" s="87"/>
      <c r="H1409" s="87"/>
      <c r="I1409" s="87"/>
      <c r="J1409" s="87"/>
      <c r="K1409" s="89" t="n">
        <v>11197</v>
      </c>
      <c r="L1409" s="89" t="n">
        <v>1050821000</v>
      </c>
      <c r="M1409" s="89" t="n">
        <v>445079108</v>
      </c>
      <c r="N1409" s="90" t="n">
        <f aca="false">IF(A1409="제외",0,IF(OR(N(L1409)&lt;=0,N(M1409)&gt;N(L1409)),N(M1409)/가정!$B$4,N(L1409)))</f>
        <v>0</v>
      </c>
      <c r="O1409" s="67" t="str">
        <f aca="false">IF(A1409="제외","",IF(OR(N(L1409)&lt;=0,N(M1409)&gt;N(L1409)),"택가보정(판매금액÷공급율)",""))</f>
        <v/>
      </c>
    </row>
    <row r="1410" customFormat="false" ht="15" hidden="false" customHeight="true" outlineLevel="0" collapsed="false">
      <c r="A1410" s="67" t="str">
        <f aca="false">IF(OR(TRIM(C1410)="",SUBSTITUTE(C1410," ","")="소계"),"제외",IF(ISNUMBER(SEARCH("홍콩",C1410)),"HK",IF(ISNUMBER(SEARCH("상해",C1410)),"CN",IF(ISNUMBER(SEARCH("대만",C1410)),"TW","홀세일"))))</f>
        <v>홀세일</v>
      </c>
      <c r="B1410" s="87" t="s">
        <v>1530</v>
      </c>
      <c r="C1410" s="87" t="s">
        <v>1531</v>
      </c>
      <c r="D1410" s="88" t="s">
        <v>178</v>
      </c>
      <c r="E1410" s="87" t="n">
        <v>2025</v>
      </c>
      <c r="F1410" s="88" t="s">
        <v>179</v>
      </c>
      <c r="G1410" s="88" t="s">
        <v>188</v>
      </c>
      <c r="H1410" s="88" t="s">
        <v>185</v>
      </c>
      <c r="I1410" s="87" t="s">
        <v>1532</v>
      </c>
      <c r="J1410" s="87" t="s">
        <v>1533</v>
      </c>
      <c r="K1410" s="89" t="n">
        <v>400</v>
      </c>
      <c r="L1410" s="89" t="n">
        <v>67600000</v>
      </c>
      <c r="M1410" s="89" t="n">
        <v>28145600</v>
      </c>
      <c r="N1410" s="90" t="n">
        <f aca="false">IF(A1410="제외",0,IF(OR(N(L1410)&lt;=0,N(M1410)&gt;N(L1410)),N(M1410)/가정!$B$4,N(L1410)))</f>
        <v>67600000</v>
      </c>
      <c r="O1410" s="67" t="str">
        <f aca="false">IF(A1410="제외","",IF(OR(N(L1410)&lt;=0,N(M1410)&gt;N(L1410)),"택가보정(판매금액÷공급율)",""))</f>
        <v/>
      </c>
    </row>
    <row r="1411" customFormat="false" ht="15" hidden="false" customHeight="true" outlineLevel="0" collapsed="false">
      <c r="A1411" s="67" t="str">
        <f aca="false">IF(OR(TRIM(C1411)="",SUBSTITUTE(C1411," ","")="소계"),"제외",IF(ISNUMBER(SEARCH("홍콩",C1411)),"HK",IF(ISNUMBER(SEARCH("상해",C1411)),"CN",IF(ISNUMBER(SEARCH("대만",C1411)),"TW","홀세일"))))</f>
        <v>홀세일</v>
      </c>
      <c r="B1411" s="87" t="s">
        <v>1530</v>
      </c>
      <c r="C1411" s="87" t="s">
        <v>1531</v>
      </c>
      <c r="D1411" s="88" t="s">
        <v>178</v>
      </c>
      <c r="E1411" s="87" t="n">
        <v>2025</v>
      </c>
      <c r="F1411" s="88" t="s">
        <v>179</v>
      </c>
      <c r="G1411" s="88" t="s">
        <v>188</v>
      </c>
      <c r="H1411" s="88" t="s">
        <v>185</v>
      </c>
      <c r="I1411" s="87" t="s">
        <v>1534</v>
      </c>
      <c r="J1411" s="87" t="s">
        <v>1535</v>
      </c>
      <c r="K1411" s="89" t="n">
        <v>400</v>
      </c>
      <c r="L1411" s="89" t="n">
        <v>67600000</v>
      </c>
      <c r="M1411" s="89" t="n">
        <v>28145600</v>
      </c>
      <c r="N1411" s="90" t="n">
        <f aca="false">IF(A1411="제외",0,IF(OR(N(L1411)&lt;=0,N(M1411)&gt;N(L1411)),N(M1411)/가정!$B$4,N(L1411)))</f>
        <v>67600000</v>
      </c>
      <c r="O1411" s="67" t="str">
        <f aca="false">IF(A1411="제외","",IF(OR(N(L1411)&lt;=0,N(M1411)&gt;N(L1411)),"택가보정(판매금액÷공급율)",""))</f>
        <v/>
      </c>
    </row>
    <row r="1412" customFormat="false" ht="15" hidden="false" customHeight="true" outlineLevel="0" collapsed="false">
      <c r="A1412" s="67" t="str">
        <f aca="false">IF(OR(TRIM(C1412)="",SUBSTITUTE(C1412," ","")="소계"),"제외",IF(ISNUMBER(SEARCH("홍콩",C1412)),"HK",IF(ISNUMBER(SEARCH("상해",C1412)),"CN",IF(ISNUMBER(SEARCH("대만",C1412)),"TW","홀세일"))))</f>
        <v>홀세일</v>
      </c>
      <c r="B1412" s="87" t="s">
        <v>1530</v>
      </c>
      <c r="C1412" s="87" t="s">
        <v>1531</v>
      </c>
      <c r="D1412" s="88" t="s">
        <v>178</v>
      </c>
      <c r="E1412" s="87" t="n">
        <v>2025</v>
      </c>
      <c r="F1412" s="88" t="s">
        <v>179</v>
      </c>
      <c r="G1412" s="88" t="s">
        <v>180</v>
      </c>
      <c r="H1412" s="87" t="s">
        <v>189</v>
      </c>
      <c r="I1412" s="87" t="s">
        <v>1536</v>
      </c>
      <c r="J1412" s="88" t="s">
        <v>1537</v>
      </c>
      <c r="K1412" s="89" t="n">
        <v>1232</v>
      </c>
      <c r="L1412" s="89" t="n">
        <v>195888000</v>
      </c>
      <c r="M1412" s="89" t="n">
        <v>76857088</v>
      </c>
      <c r="N1412" s="90" t="n">
        <f aca="false">IF(A1412="제외",0,IF(OR(N(L1412)&lt;=0,N(M1412)&gt;N(L1412)),N(M1412)/가정!$B$4,N(L1412)))</f>
        <v>195888000</v>
      </c>
      <c r="O1412" s="67" t="str">
        <f aca="false">IF(A1412="제외","",IF(OR(N(L1412)&lt;=0,N(M1412)&gt;N(L1412)),"택가보정(판매금액÷공급율)",""))</f>
        <v/>
      </c>
    </row>
    <row r="1413" customFormat="false" ht="15" hidden="false" customHeight="true" outlineLevel="0" collapsed="false">
      <c r="A1413" s="67" t="str">
        <f aca="false">IF(OR(TRIM(C1413)="",SUBSTITUTE(C1413," ","")="소계"),"제외",IF(ISNUMBER(SEARCH("홍콩",C1413)),"HK",IF(ISNUMBER(SEARCH("상해",C1413)),"CN",IF(ISNUMBER(SEARCH("대만",C1413)),"TW","홀세일"))))</f>
        <v>홀세일</v>
      </c>
      <c r="B1413" s="87" t="s">
        <v>1530</v>
      </c>
      <c r="C1413" s="87" t="s">
        <v>1531</v>
      </c>
      <c r="D1413" s="88" t="s">
        <v>178</v>
      </c>
      <c r="E1413" s="87" t="n">
        <v>2025</v>
      </c>
      <c r="F1413" s="88" t="s">
        <v>179</v>
      </c>
      <c r="G1413" s="88" t="s">
        <v>180</v>
      </c>
      <c r="H1413" s="87" t="s">
        <v>189</v>
      </c>
      <c r="I1413" s="87" t="s">
        <v>1538</v>
      </c>
      <c r="J1413" s="88" t="s">
        <v>1539</v>
      </c>
      <c r="K1413" s="89" t="n">
        <v>1324</v>
      </c>
      <c r="L1413" s="89" t="n">
        <v>104596000</v>
      </c>
      <c r="M1413" s="89" t="n">
        <v>41106228</v>
      </c>
      <c r="N1413" s="90" t="n">
        <f aca="false">IF(A1413="제외",0,IF(OR(N(L1413)&lt;=0,N(M1413)&gt;N(L1413)),N(M1413)/가정!$B$4,N(L1413)))</f>
        <v>104596000</v>
      </c>
      <c r="O1413" s="67" t="str">
        <f aca="false">IF(A1413="제외","",IF(OR(N(L1413)&lt;=0,N(M1413)&gt;N(L1413)),"택가보정(판매금액÷공급율)",""))</f>
        <v/>
      </c>
    </row>
    <row r="1414" customFormat="false" ht="15" hidden="false" customHeight="true" outlineLevel="0" collapsed="false">
      <c r="A1414" s="67" t="str">
        <f aca="false">IF(OR(TRIM(C1414)="",SUBSTITUTE(C1414," ","")="소계"),"제외",IF(ISNUMBER(SEARCH("홍콩",C1414)),"HK",IF(ISNUMBER(SEARCH("상해",C1414)),"CN",IF(ISNUMBER(SEARCH("대만",C1414)),"TW","홀세일"))))</f>
        <v>홀세일</v>
      </c>
      <c r="B1414" s="87" t="s">
        <v>1530</v>
      </c>
      <c r="C1414" s="87" t="s">
        <v>1531</v>
      </c>
      <c r="D1414" s="88" t="s">
        <v>178</v>
      </c>
      <c r="E1414" s="87" t="n">
        <v>2025</v>
      </c>
      <c r="F1414" s="88" t="s">
        <v>277</v>
      </c>
      <c r="G1414" s="88" t="s">
        <v>180</v>
      </c>
      <c r="H1414" s="88" t="s">
        <v>185</v>
      </c>
      <c r="I1414" s="87" t="s">
        <v>1540</v>
      </c>
      <c r="J1414" s="87" t="s">
        <v>1541</v>
      </c>
      <c r="K1414" s="89" t="n">
        <v>144</v>
      </c>
      <c r="L1414" s="89" t="n">
        <v>12816000</v>
      </c>
      <c r="M1414" s="89" t="n">
        <v>5034816</v>
      </c>
      <c r="N1414" s="90" t="n">
        <f aca="false">IF(A1414="제외",0,IF(OR(N(L1414)&lt;=0,N(M1414)&gt;N(L1414)),N(M1414)/가정!$B$4,N(L1414)))</f>
        <v>12816000</v>
      </c>
      <c r="O1414" s="67" t="str">
        <f aca="false">IF(A1414="제외","",IF(OR(N(L1414)&lt;=0,N(M1414)&gt;N(L1414)),"택가보정(판매금액÷공급율)",""))</f>
        <v/>
      </c>
    </row>
    <row r="1415" customFormat="false" ht="15" hidden="false" customHeight="true" outlineLevel="0" collapsed="false">
      <c r="A1415" s="67" t="str">
        <f aca="false">IF(OR(TRIM(C1415)="",SUBSTITUTE(C1415," ","")="소계"),"제외",IF(ISNUMBER(SEARCH("홍콩",C1415)),"HK",IF(ISNUMBER(SEARCH("상해",C1415)),"CN",IF(ISNUMBER(SEARCH("대만",C1415)),"TW","홀세일"))))</f>
        <v>홀세일</v>
      </c>
      <c r="B1415" s="87" t="s">
        <v>1530</v>
      </c>
      <c r="C1415" s="87" t="s">
        <v>1531</v>
      </c>
      <c r="D1415" s="88" t="s">
        <v>178</v>
      </c>
      <c r="E1415" s="87" t="n">
        <v>2025</v>
      </c>
      <c r="F1415" s="88" t="s">
        <v>277</v>
      </c>
      <c r="G1415" s="88" t="s">
        <v>180</v>
      </c>
      <c r="H1415" s="87" t="s">
        <v>189</v>
      </c>
      <c r="I1415" s="87" t="s">
        <v>1542</v>
      </c>
      <c r="J1415" s="88" t="s">
        <v>1543</v>
      </c>
      <c r="K1415" s="89" t="n">
        <v>50</v>
      </c>
      <c r="L1415" s="89" t="n">
        <v>9450000</v>
      </c>
      <c r="M1415" s="89" t="n">
        <v>5008600</v>
      </c>
      <c r="N1415" s="90" t="n">
        <f aca="false">IF(A1415="제외",0,IF(OR(N(L1415)&lt;=0,N(M1415)&gt;N(L1415)),N(M1415)/가정!$B$4,N(L1415)))</f>
        <v>9450000</v>
      </c>
      <c r="O1415" s="67" t="str">
        <f aca="false">IF(A1415="제외","",IF(OR(N(L1415)&lt;=0,N(M1415)&gt;N(L1415)),"택가보정(판매금액÷공급율)",""))</f>
        <v/>
      </c>
    </row>
    <row r="1416" customFormat="false" ht="15" hidden="false" customHeight="true" outlineLevel="0" collapsed="false">
      <c r="A1416" s="67" t="str">
        <f aca="false">IF(OR(TRIM(C1416)="",SUBSTITUTE(C1416," ","")="소계"),"제외",IF(ISNUMBER(SEARCH("홍콩",C1416)),"HK",IF(ISNUMBER(SEARCH("상해",C1416)),"CN",IF(ISNUMBER(SEARCH("대만",C1416)),"TW","홀세일"))))</f>
        <v>홀세일</v>
      </c>
      <c r="B1416" s="87" t="s">
        <v>1530</v>
      </c>
      <c r="C1416" s="87" t="s">
        <v>1531</v>
      </c>
      <c r="D1416" s="88" t="s">
        <v>178</v>
      </c>
      <c r="E1416" s="87" t="n">
        <v>2025</v>
      </c>
      <c r="F1416" s="88" t="s">
        <v>277</v>
      </c>
      <c r="G1416" s="88" t="s">
        <v>180</v>
      </c>
      <c r="H1416" s="87" t="s">
        <v>181</v>
      </c>
      <c r="I1416" s="87" t="s">
        <v>1544</v>
      </c>
      <c r="J1416" s="88" t="s">
        <v>1545</v>
      </c>
      <c r="K1416" s="89" t="n">
        <v>1521</v>
      </c>
      <c r="L1416" s="89" t="n">
        <v>89739000</v>
      </c>
      <c r="M1416" s="89" t="n">
        <v>35306973</v>
      </c>
      <c r="N1416" s="90" t="n">
        <f aca="false">IF(A1416="제외",0,IF(OR(N(L1416)&lt;=0,N(M1416)&gt;N(L1416)),N(M1416)/가정!$B$4,N(L1416)))</f>
        <v>89739000</v>
      </c>
      <c r="O1416" s="67" t="str">
        <f aca="false">IF(A1416="제외","",IF(OR(N(L1416)&lt;=0,N(M1416)&gt;N(L1416)),"택가보정(판매금액÷공급율)",""))</f>
        <v/>
      </c>
    </row>
    <row r="1417" customFormat="false" ht="15" hidden="false" customHeight="true" outlineLevel="0" collapsed="false">
      <c r="A1417" s="67" t="str">
        <f aca="false">IF(OR(TRIM(C1417)="",SUBSTITUTE(C1417," ","")="소계"),"제외",IF(ISNUMBER(SEARCH("홍콩",C1417)),"HK",IF(ISNUMBER(SEARCH("상해",C1417)),"CN",IF(ISNUMBER(SEARCH("대만",C1417)),"TW","홀세일"))))</f>
        <v>홀세일</v>
      </c>
      <c r="B1417" s="87" t="s">
        <v>1530</v>
      </c>
      <c r="C1417" s="87" t="s">
        <v>1531</v>
      </c>
      <c r="D1417" s="88" t="s">
        <v>178</v>
      </c>
      <c r="E1417" s="87" t="n">
        <v>2025</v>
      </c>
      <c r="F1417" s="88" t="s">
        <v>421</v>
      </c>
      <c r="G1417" s="88" t="s">
        <v>188</v>
      </c>
      <c r="H1417" s="88" t="s">
        <v>185</v>
      </c>
      <c r="I1417" s="87" t="s">
        <v>1546</v>
      </c>
      <c r="J1417" s="87" t="s">
        <v>1547</v>
      </c>
      <c r="K1417" s="89" t="n">
        <v>207</v>
      </c>
      <c r="L1417" s="89" t="n">
        <v>26703000</v>
      </c>
      <c r="M1417" s="89" t="n">
        <v>11141775</v>
      </c>
      <c r="N1417" s="90" t="n">
        <f aca="false">IF(A1417="제외",0,IF(OR(N(L1417)&lt;=0,N(M1417)&gt;N(L1417)),N(M1417)/가정!$B$4,N(L1417)))</f>
        <v>26703000</v>
      </c>
      <c r="O1417" s="67" t="str">
        <f aca="false">IF(A1417="제외","",IF(OR(N(L1417)&lt;=0,N(M1417)&gt;N(L1417)),"택가보정(판매금액÷공급율)",""))</f>
        <v/>
      </c>
    </row>
    <row r="1418" customFormat="false" ht="15" hidden="false" customHeight="true" outlineLevel="0" collapsed="false">
      <c r="A1418" s="67" t="str">
        <f aca="false">IF(OR(TRIM(C1418)="",SUBSTITUTE(C1418," ","")="소계"),"제외",IF(ISNUMBER(SEARCH("홍콩",C1418)),"HK",IF(ISNUMBER(SEARCH("상해",C1418)),"CN",IF(ISNUMBER(SEARCH("대만",C1418)),"TW","홀세일"))))</f>
        <v>홀세일</v>
      </c>
      <c r="B1418" s="87" t="s">
        <v>1530</v>
      </c>
      <c r="C1418" s="87" t="s">
        <v>1531</v>
      </c>
      <c r="D1418" s="88" t="s">
        <v>178</v>
      </c>
      <c r="E1418" s="87" t="n">
        <v>2025</v>
      </c>
      <c r="F1418" s="88" t="s">
        <v>421</v>
      </c>
      <c r="G1418" s="88" t="s">
        <v>188</v>
      </c>
      <c r="H1418" s="88" t="s">
        <v>185</v>
      </c>
      <c r="I1418" s="87" t="s">
        <v>1548</v>
      </c>
      <c r="J1418" s="87" t="s">
        <v>1549</v>
      </c>
      <c r="K1418" s="89" t="n">
        <v>160</v>
      </c>
      <c r="L1418" s="89" t="n">
        <v>12640000</v>
      </c>
      <c r="M1418" s="89" t="n">
        <v>5269280</v>
      </c>
      <c r="N1418" s="90" t="n">
        <f aca="false">IF(A1418="제외",0,IF(OR(N(L1418)&lt;=0,N(M1418)&gt;N(L1418)),N(M1418)/가정!$B$4,N(L1418)))</f>
        <v>12640000</v>
      </c>
      <c r="O1418" s="67" t="str">
        <f aca="false">IF(A1418="제외","",IF(OR(N(L1418)&lt;=0,N(M1418)&gt;N(L1418)),"택가보정(판매금액÷공급율)",""))</f>
        <v/>
      </c>
    </row>
    <row r="1419" customFormat="false" ht="15" hidden="false" customHeight="true" outlineLevel="0" collapsed="false">
      <c r="A1419" s="67" t="str">
        <f aca="false">IF(OR(TRIM(C1419)="",SUBSTITUTE(C1419," ","")="소계"),"제외",IF(ISNUMBER(SEARCH("홍콩",C1419)),"HK",IF(ISNUMBER(SEARCH("상해",C1419)),"CN",IF(ISNUMBER(SEARCH("대만",C1419)),"TW","홀세일"))))</f>
        <v>홀세일</v>
      </c>
      <c r="B1419" s="87" t="s">
        <v>1530</v>
      </c>
      <c r="C1419" s="87" t="s">
        <v>1531</v>
      </c>
      <c r="D1419" s="88" t="s">
        <v>178</v>
      </c>
      <c r="E1419" s="87" t="n">
        <v>2025</v>
      </c>
      <c r="F1419" s="87" t="s">
        <v>639</v>
      </c>
      <c r="G1419" s="88" t="s">
        <v>188</v>
      </c>
      <c r="H1419" s="87" t="s">
        <v>181</v>
      </c>
      <c r="I1419" s="87" t="s">
        <v>1550</v>
      </c>
      <c r="J1419" s="88" t="s">
        <v>1497</v>
      </c>
      <c r="K1419" s="89" t="n">
        <v>198</v>
      </c>
      <c r="L1419" s="89" t="n">
        <v>39402000</v>
      </c>
      <c r="M1419" s="89" t="n">
        <v>16431228</v>
      </c>
      <c r="N1419" s="90" t="n">
        <f aca="false">IF(A1419="제외",0,IF(OR(N(L1419)&lt;=0,N(M1419)&gt;N(L1419)),N(M1419)/가정!$B$4,N(L1419)))</f>
        <v>39402000</v>
      </c>
      <c r="O1419" s="67" t="str">
        <f aca="false">IF(A1419="제외","",IF(OR(N(L1419)&lt;=0,N(M1419)&gt;N(L1419)),"택가보정(판매금액÷공급율)",""))</f>
        <v/>
      </c>
    </row>
    <row r="1420" customFormat="false" ht="15" hidden="false" customHeight="true" outlineLevel="0" collapsed="false">
      <c r="A1420" s="67" t="str">
        <f aca="false">IF(OR(TRIM(C1420)="",SUBSTITUTE(C1420," ","")="소계"),"제외",IF(ISNUMBER(SEARCH("홍콩",C1420)),"HK",IF(ISNUMBER(SEARCH("상해",C1420)),"CN",IF(ISNUMBER(SEARCH("대만",C1420)),"TW","홀세일"))))</f>
        <v>홀세일</v>
      </c>
      <c r="B1420" s="87" t="s">
        <v>1530</v>
      </c>
      <c r="C1420" s="87" t="s">
        <v>1531</v>
      </c>
      <c r="D1420" s="88" t="s">
        <v>178</v>
      </c>
      <c r="E1420" s="87" t="n">
        <v>2025</v>
      </c>
      <c r="F1420" s="87" t="s">
        <v>639</v>
      </c>
      <c r="G1420" s="88" t="s">
        <v>188</v>
      </c>
      <c r="H1420" s="88" t="s">
        <v>185</v>
      </c>
      <c r="I1420" s="87" t="s">
        <v>1551</v>
      </c>
      <c r="J1420" s="87" t="s">
        <v>1552</v>
      </c>
      <c r="K1420" s="89" t="n">
        <v>71</v>
      </c>
      <c r="L1420" s="89" t="n">
        <v>11289000</v>
      </c>
      <c r="M1420" s="89" t="n">
        <v>4697076</v>
      </c>
      <c r="N1420" s="90" t="n">
        <f aca="false">IF(A1420="제외",0,IF(OR(N(L1420)&lt;=0,N(M1420)&gt;N(L1420)),N(M1420)/가정!$B$4,N(L1420)))</f>
        <v>11289000</v>
      </c>
      <c r="O1420" s="67" t="str">
        <f aca="false">IF(A1420="제외","",IF(OR(N(L1420)&lt;=0,N(M1420)&gt;N(L1420)),"택가보정(판매금액÷공급율)",""))</f>
        <v/>
      </c>
    </row>
    <row r="1421" customFormat="false" ht="15" hidden="false" customHeight="true" outlineLevel="0" collapsed="false">
      <c r="A1421" s="67" t="str">
        <f aca="false">IF(OR(TRIM(C1421)="",SUBSTITUTE(C1421," ","")="소계"),"제외",IF(ISNUMBER(SEARCH("홍콩",C1421)),"HK",IF(ISNUMBER(SEARCH("상해",C1421)),"CN",IF(ISNUMBER(SEARCH("대만",C1421)),"TW","홀세일"))))</f>
        <v>홀세일</v>
      </c>
      <c r="B1421" s="87" t="s">
        <v>1530</v>
      </c>
      <c r="C1421" s="87" t="s">
        <v>1531</v>
      </c>
      <c r="D1421" s="88" t="s">
        <v>178</v>
      </c>
      <c r="E1421" s="87" t="n">
        <v>2025</v>
      </c>
      <c r="F1421" s="87" t="s">
        <v>639</v>
      </c>
      <c r="G1421" s="88" t="s">
        <v>188</v>
      </c>
      <c r="H1421" s="88" t="s">
        <v>185</v>
      </c>
      <c r="I1421" s="87" t="s">
        <v>1553</v>
      </c>
      <c r="J1421" s="87" t="s">
        <v>1554</v>
      </c>
      <c r="K1421" s="89" t="n">
        <v>63</v>
      </c>
      <c r="L1421" s="89" t="n">
        <v>6237000</v>
      </c>
      <c r="M1421" s="89" t="n">
        <v>2604924</v>
      </c>
      <c r="N1421" s="90" t="n">
        <f aca="false">IF(A1421="제외",0,IF(OR(N(L1421)&lt;=0,N(M1421)&gt;N(L1421)),N(M1421)/가정!$B$4,N(L1421)))</f>
        <v>6237000</v>
      </c>
      <c r="O1421" s="67" t="str">
        <f aca="false">IF(A1421="제외","",IF(OR(N(L1421)&lt;=0,N(M1421)&gt;N(L1421)),"택가보정(판매금액÷공급율)",""))</f>
        <v/>
      </c>
    </row>
    <row r="1422" customFormat="false" ht="15" hidden="false" customHeight="true" outlineLevel="0" collapsed="false">
      <c r="A1422" s="67" t="str">
        <f aca="false">IF(OR(TRIM(C1422)="",SUBSTITUTE(C1422," ","")="소계"),"제외",IF(ISNUMBER(SEARCH("홍콩",C1422)),"HK",IF(ISNUMBER(SEARCH("상해",C1422)),"CN",IF(ISNUMBER(SEARCH("대만",C1422)),"TW","홀세일"))))</f>
        <v>홀세일</v>
      </c>
      <c r="B1422" s="87" t="s">
        <v>1530</v>
      </c>
      <c r="C1422" s="87" t="s">
        <v>1531</v>
      </c>
      <c r="D1422" s="88" t="s">
        <v>178</v>
      </c>
      <c r="E1422" s="87" t="n">
        <v>2025</v>
      </c>
      <c r="F1422" s="87" t="s">
        <v>639</v>
      </c>
      <c r="G1422" s="88" t="s">
        <v>188</v>
      </c>
      <c r="H1422" s="87" t="s">
        <v>189</v>
      </c>
      <c r="I1422" s="87" t="s">
        <v>1555</v>
      </c>
      <c r="J1422" s="88" t="s">
        <v>679</v>
      </c>
      <c r="K1422" s="89" t="n">
        <v>916</v>
      </c>
      <c r="L1422" s="89" t="n">
        <v>41220000</v>
      </c>
      <c r="M1422" s="89" t="n">
        <v>17275760</v>
      </c>
      <c r="N1422" s="90" t="n">
        <f aca="false">IF(A1422="제외",0,IF(OR(N(L1422)&lt;=0,N(M1422)&gt;N(L1422)),N(M1422)/가정!$B$4,N(L1422)))</f>
        <v>41220000</v>
      </c>
      <c r="O1422" s="67" t="str">
        <f aca="false">IF(A1422="제외","",IF(OR(N(L1422)&lt;=0,N(M1422)&gt;N(L1422)),"택가보정(판매금액÷공급율)",""))</f>
        <v/>
      </c>
    </row>
    <row r="1423" customFormat="false" ht="15" hidden="false" customHeight="true" outlineLevel="0" collapsed="false">
      <c r="A1423" s="67" t="str">
        <f aca="false">IF(OR(TRIM(C1423)="",SUBSTITUTE(C1423," ","")="소계"),"제외",IF(ISNUMBER(SEARCH("홍콩",C1423)),"HK",IF(ISNUMBER(SEARCH("상해",C1423)),"CN",IF(ISNUMBER(SEARCH("대만",C1423)),"TW","홀세일"))))</f>
        <v>홀세일</v>
      </c>
      <c r="B1423" s="87" t="s">
        <v>1530</v>
      </c>
      <c r="C1423" s="87" t="s">
        <v>1531</v>
      </c>
      <c r="D1423" s="88" t="s">
        <v>178</v>
      </c>
      <c r="E1423" s="87" t="n">
        <v>2025</v>
      </c>
      <c r="F1423" s="87" t="s">
        <v>639</v>
      </c>
      <c r="G1423" s="88" t="s">
        <v>188</v>
      </c>
      <c r="H1423" s="87" t="s">
        <v>189</v>
      </c>
      <c r="I1423" s="87" t="s">
        <v>1556</v>
      </c>
      <c r="J1423" s="88" t="s">
        <v>1557</v>
      </c>
      <c r="K1423" s="89" t="n">
        <v>362</v>
      </c>
      <c r="L1423" s="89" t="n">
        <v>17738000</v>
      </c>
      <c r="M1423" s="89" t="n">
        <v>7457562</v>
      </c>
      <c r="N1423" s="90" t="n">
        <f aca="false">IF(A1423="제외",0,IF(OR(N(L1423)&lt;=0,N(M1423)&gt;N(L1423)),N(M1423)/가정!$B$4,N(L1423)))</f>
        <v>17738000</v>
      </c>
      <c r="O1423" s="67" t="str">
        <f aca="false">IF(A1423="제외","",IF(OR(N(L1423)&lt;=0,N(M1423)&gt;N(L1423)),"택가보정(판매금액÷공급율)",""))</f>
        <v/>
      </c>
    </row>
    <row r="1424" customFormat="false" ht="15" hidden="false" customHeight="true" outlineLevel="0" collapsed="false">
      <c r="A1424" s="67" t="str">
        <f aca="false">IF(OR(TRIM(C1424)="",SUBSTITUTE(C1424," ","")="소계"),"제외",IF(ISNUMBER(SEARCH("홍콩",C1424)),"HK",IF(ISNUMBER(SEARCH("상해",C1424)),"CN",IF(ISNUMBER(SEARCH("대만",C1424)),"TW","홀세일"))))</f>
        <v>홀세일</v>
      </c>
      <c r="B1424" s="87" t="s">
        <v>1530</v>
      </c>
      <c r="C1424" s="87" t="s">
        <v>1531</v>
      </c>
      <c r="D1424" s="88" t="s">
        <v>178</v>
      </c>
      <c r="E1424" s="87" t="n">
        <v>2025</v>
      </c>
      <c r="F1424" s="87" t="s">
        <v>639</v>
      </c>
      <c r="G1424" s="88" t="s">
        <v>188</v>
      </c>
      <c r="H1424" s="88" t="s">
        <v>185</v>
      </c>
      <c r="I1424" s="87" t="s">
        <v>1558</v>
      </c>
      <c r="J1424" s="87" t="s">
        <v>1559</v>
      </c>
      <c r="K1424" s="89" t="n">
        <v>23</v>
      </c>
      <c r="L1424" s="89" t="n">
        <v>1035000</v>
      </c>
      <c r="M1424" s="89" t="n">
        <v>551080</v>
      </c>
      <c r="N1424" s="90" t="n">
        <f aca="false">IF(A1424="제외",0,IF(OR(N(L1424)&lt;=0,N(M1424)&gt;N(L1424)),N(M1424)/가정!$B$4,N(L1424)))</f>
        <v>1035000</v>
      </c>
      <c r="O1424" s="67" t="str">
        <f aca="false">IF(A1424="제외","",IF(OR(N(L1424)&lt;=0,N(M1424)&gt;N(L1424)),"택가보정(판매금액÷공급율)",""))</f>
        <v/>
      </c>
    </row>
    <row r="1425" customFormat="false" ht="15" hidden="false" customHeight="true" outlineLevel="0" collapsed="false">
      <c r="A1425" s="67" t="str">
        <f aca="false">IF(OR(TRIM(C1425)="",SUBSTITUTE(C1425," ","")="소계"),"제외",IF(ISNUMBER(SEARCH("홍콩",C1425)),"HK",IF(ISNUMBER(SEARCH("상해",C1425)),"CN",IF(ISNUMBER(SEARCH("대만",C1425)),"TW","홀세일"))))</f>
        <v>홀세일</v>
      </c>
      <c r="B1425" s="87" t="s">
        <v>1530</v>
      </c>
      <c r="C1425" s="87" t="s">
        <v>1531</v>
      </c>
      <c r="D1425" s="88" t="s">
        <v>178</v>
      </c>
      <c r="E1425" s="87" t="n">
        <v>2025</v>
      </c>
      <c r="F1425" s="87" t="s">
        <v>639</v>
      </c>
      <c r="G1425" s="88" t="s">
        <v>188</v>
      </c>
      <c r="H1425" s="88" t="s">
        <v>185</v>
      </c>
      <c r="I1425" s="87" t="s">
        <v>1560</v>
      </c>
      <c r="J1425" s="87" t="s">
        <v>1561</v>
      </c>
      <c r="K1425" s="89" t="n">
        <v>50</v>
      </c>
      <c r="L1425" s="89" t="n">
        <v>2450000</v>
      </c>
      <c r="M1425" s="89" t="n">
        <v>1299050</v>
      </c>
      <c r="N1425" s="90" t="n">
        <f aca="false">IF(A1425="제외",0,IF(OR(N(L1425)&lt;=0,N(M1425)&gt;N(L1425)),N(M1425)/가정!$B$4,N(L1425)))</f>
        <v>2450000</v>
      </c>
      <c r="O1425" s="67" t="str">
        <f aca="false">IF(A1425="제외","",IF(OR(N(L1425)&lt;=0,N(M1425)&gt;N(L1425)),"택가보정(판매금액÷공급율)",""))</f>
        <v/>
      </c>
    </row>
    <row r="1426" customFormat="false" ht="15" hidden="false" customHeight="true" outlineLevel="0" collapsed="false">
      <c r="A1426" s="67" t="str">
        <f aca="false">IF(OR(TRIM(C1426)="",SUBSTITUTE(C1426," ","")="소계"),"제외",IF(ISNUMBER(SEARCH("홍콩",C1426)),"HK",IF(ISNUMBER(SEARCH("상해",C1426)),"CN",IF(ISNUMBER(SEARCH("대만",C1426)),"TW","홀세일"))))</f>
        <v>홀세일</v>
      </c>
      <c r="B1426" s="87" t="s">
        <v>1530</v>
      </c>
      <c r="C1426" s="87" t="s">
        <v>1531</v>
      </c>
      <c r="D1426" s="88" t="s">
        <v>178</v>
      </c>
      <c r="E1426" s="87" t="n">
        <v>2025</v>
      </c>
      <c r="F1426" s="87" t="s">
        <v>639</v>
      </c>
      <c r="G1426" s="88" t="s">
        <v>188</v>
      </c>
      <c r="H1426" s="88" t="s">
        <v>185</v>
      </c>
      <c r="I1426" s="87" t="s">
        <v>1562</v>
      </c>
      <c r="J1426" s="87" t="s">
        <v>1563</v>
      </c>
      <c r="K1426" s="89" t="n">
        <v>78</v>
      </c>
      <c r="L1426" s="89" t="n">
        <v>6162000</v>
      </c>
      <c r="M1426" s="89" t="n">
        <v>2568774</v>
      </c>
      <c r="N1426" s="90" t="n">
        <f aca="false">IF(A1426="제외",0,IF(OR(N(L1426)&lt;=0,N(M1426)&gt;N(L1426)),N(M1426)/가정!$B$4,N(L1426)))</f>
        <v>6162000</v>
      </c>
      <c r="O1426" s="67" t="str">
        <f aca="false">IF(A1426="제외","",IF(OR(N(L1426)&lt;=0,N(M1426)&gt;N(L1426)),"택가보정(판매금액÷공급율)",""))</f>
        <v/>
      </c>
    </row>
    <row r="1427" customFormat="false" ht="15" hidden="false" customHeight="true" outlineLevel="0" collapsed="false">
      <c r="A1427" s="67" t="str">
        <f aca="false">IF(OR(TRIM(C1427)="",SUBSTITUTE(C1427," ","")="소계"),"제외",IF(ISNUMBER(SEARCH("홍콩",C1427)),"HK",IF(ISNUMBER(SEARCH("상해",C1427)),"CN",IF(ISNUMBER(SEARCH("대만",C1427)),"TW","홀세일"))))</f>
        <v>홀세일</v>
      </c>
      <c r="B1427" s="87" t="s">
        <v>1530</v>
      </c>
      <c r="C1427" s="87" t="s">
        <v>1531</v>
      </c>
      <c r="D1427" s="88" t="s">
        <v>178</v>
      </c>
      <c r="E1427" s="87" t="n">
        <v>2025</v>
      </c>
      <c r="F1427" s="87" t="s">
        <v>639</v>
      </c>
      <c r="G1427" s="88" t="s">
        <v>180</v>
      </c>
      <c r="H1427" s="88" t="s">
        <v>185</v>
      </c>
      <c r="I1427" s="87" t="s">
        <v>1564</v>
      </c>
      <c r="J1427" s="87" t="s">
        <v>1565</v>
      </c>
      <c r="K1427" s="89" t="n">
        <v>1146</v>
      </c>
      <c r="L1427" s="89" t="n">
        <v>56154000</v>
      </c>
      <c r="M1427" s="89" t="n">
        <v>22113216</v>
      </c>
      <c r="N1427" s="90" t="n">
        <f aca="false">IF(A1427="제외",0,IF(OR(N(L1427)&lt;=0,N(M1427)&gt;N(L1427)),N(M1427)/가정!$B$4,N(L1427)))</f>
        <v>56154000</v>
      </c>
      <c r="O1427" s="67" t="str">
        <f aca="false">IF(A1427="제외","",IF(OR(N(L1427)&lt;=0,N(M1427)&gt;N(L1427)),"택가보정(판매금액÷공급율)",""))</f>
        <v/>
      </c>
    </row>
    <row r="1428" customFormat="false" ht="15" hidden="false" customHeight="true" outlineLevel="0" collapsed="false">
      <c r="A1428" s="67" t="str">
        <f aca="false">IF(OR(TRIM(C1428)="",SUBSTITUTE(C1428," ","")="소계"),"제외",IF(ISNUMBER(SEARCH("홍콩",C1428)),"HK",IF(ISNUMBER(SEARCH("상해",C1428)),"CN",IF(ISNUMBER(SEARCH("대만",C1428)),"TW","홀세일"))))</f>
        <v>홀세일</v>
      </c>
      <c r="B1428" s="87" t="s">
        <v>1530</v>
      </c>
      <c r="C1428" s="87" t="s">
        <v>1531</v>
      </c>
      <c r="D1428" s="88" t="s">
        <v>178</v>
      </c>
      <c r="E1428" s="87" t="n">
        <v>2026</v>
      </c>
      <c r="F1428" s="87" t="s">
        <v>639</v>
      </c>
      <c r="G1428" s="88" t="s">
        <v>180</v>
      </c>
      <c r="H1428" s="87" t="s">
        <v>181</v>
      </c>
      <c r="I1428" s="87" t="s">
        <v>711</v>
      </c>
      <c r="J1428" s="88" t="s">
        <v>712</v>
      </c>
      <c r="K1428" s="89" t="n">
        <v>65</v>
      </c>
      <c r="L1428" s="89" t="n">
        <v>32435000</v>
      </c>
      <c r="M1428" s="89" t="n">
        <v>13494585</v>
      </c>
      <c r="N1428" s="90" t="n">
        <f aca="false">IF(A1428="제외",0,IF(OR(N(L1428)&lt;=0,N(M1428)&gt;N(L1428)),N(M1428)/가정!$B$4,N(L1428)))</f>
        <v>32435000</v>
      </c>
      <c r="O1428" s="67" t="str">
        <f aca="false">IF(A1428="제외","",IF(OR(N(L1428)&lt;=0,N(M1428)&gt;N(L1428)),"택가보정(판매금액÷공급율)",""))</f>
        <v/>
      </c>
    </row>
    <row r="1429" customFormat="false" ht="15" hidden="false" customHeight="true" outlineLevel="0" collapsed="false">
      <c r="A1429" s="67" t="str">
        <f aca="false">IF(OR(TRIM(C1429)="",SUBSTITUTE(C1429," ","")="소계"),"제외",IF(ISNUMBER(SEARCH("홍콩",C1429)),"HK",IF(ISNUMBER(SEARCH("상해",C1429)),"CN",IF(ISNUMBER(SEARCH("대만",C1429)),"TW","홀세일"))))</f>
        <v>제외</v>
      </c>
      <c r="B1429" s="87" t="s">
        <v>821</v>
      </c>
      <c r="C1429" s="88" t="s">
        <v>822</v>
      </c>
      <c r="D1429" s="87"/>
      <c r="E1429" s="87"/>
      <c r="F1429" s="87"/>
      <c r="G1429" s="87"/>
      <c r="H1429" s="87"/>
      <c r="I1429" s="87"/>
      <c r="J1429" s="87"/>
      <c r="K1429" s="89" t="n">
        <v>8410</v>
      </c>
      <c r="L1429" s="89" t="n">
        <v>801154000</v>
      </c>
      <c r="M1429" s="89" t="n">
        <v>324509215</v>
      </c>
      <c r="N1429" s="90" t="n">
        <f aca="false">IF(A1429="제외",0,IF(OR(N(L1429)&lt;=0,N(M1429)&gt;N(L1429)),N(M1429)/가정!$B$4,N(L1429)))</f>
        <v>0</v>
      </c>
      <c r="O1429" s="67" t="str">
        <f aca="false">IF(A1429="제외","",IF(OR(N(L1429)&lt;=0,N(M1429)&gt;N(L1429)),"택가보정(판매금액÷공급율)",""))</f>
        <v/>
      </c>
    </row>
    <row r="1430" customFormat="false" ht="15" hidden="false" customHeight="true" outlineLevel="0" collapsed="false">
      <c r="A1430" s="67" t="str">
        <f aca="false">IF(OR(TRIM(C1430)="",SUBSTITUTE(C1430," ","")="소계"),"제외",IF(ISNUMBER(SEARCH("홍콩",C1430)),"HK",IF(ISNUMBER(SEARCH("상해",C1430)),"CN",IF(ISNUMBER(SEARCH("대만",C1430)),"TW","홀세일"))))</f>
        <v>홀세일</v>
      </c>
      <c r="B1430" s="87" t="s">
        <v>1566</v>
      </c>
      <c r="C1430" s="88" t="s">
        <v>1567</v>
      </c>
      <c r="D1430" s="88" t="s">
        <v>178</v>
      </c>
      <c r="E1430" s="87" t="n">
        <v>2024</v>
      </c>
      <c r="F1430" s="88" t="s">
        <v>277</v>
      </c>
      <c r="G1430" s="88" t="s">
        <v>188</v>
      </c>
      <c r="H1430" s="87" t="s">
        <v>189</v>
      </c>
      <c r="I1430" s="87" t="s">
        <v>1568</v>
      </c>
      <c r="J1430" s="88" t="s">
        <v>1569</v>
      </c>
      <c r="K1430" s="89" t="n">
        <v>100</v>
      </c>
      <c r="L1430" s="89" t="n">
        <v>4900000</v>
      </c>
      <c r="M1430" s="89" t="n">
        <v>1640300</v>
      </c>
      <c r="N1430" s="90" t="n">
        <f aca="false">IF(A1430="제외",0,IF(OR(N(L1430)&lt;=0,N(M1430)&gt;N(L1430)),N(M1430)/가정!$B$4,N(L1430)))</f>
        <v>4900000</v>
      </c>
      <c r="O1430" s="67" t="str">
        <f aca="false">IF(A1430="제외","",IF(OR(N(L1430)&lt;=0,N(M1430)&gt;N(L1430)),"택가보정(판매금액÷공급율)",""))</f>
        <v/>
      </c>
    </row>
    <row r="1431" customFormat="false" ht="15" hidden="false" customHeight="true" outlineLevel="0" collapsed="false">
      <c r="A1431" s="67" t="str">
        <f aca="false">IF(OR(TRIM(C1431)="",SUBSTITUTE(C1431," ","")="소계"),"제외",IF(ISNUMBER(SEARCH("홍콩",C1431)),"HK",IF(ISNUMBER(SEARCH("상해",C1431)),"CN",IF(ISNUMBER(SEARCH("대만",C1431)),"TW","홀세일"))))</f>
        <v>홀세일</v>
      </c>
      <c r="B1431" s="87" t="s">
        <v>1566</v>
      </c>
      <c r="C1431" s="88" t="s">
        <v>1567</v>
      </c>
      <c r="D1431" s="88" t="s">
        <v>178</v>
      </c>
      <c r="E1431" s="87" t="n">
        <v>2024</v>
      </c>
      <c r="F1431" s="88" t="s">
        <v>277</v>
      </c>
      <c r="G1431" s="88" t="s">
        <v>188</v>
      </c>
      <c r="H1431" s="87" t="s">
        <v>189</v>
      </c>
      <c r="I1431" s="87" t="s">
        <v>1570</v>
      </c>
      <c r="J1431" s="88" t="s">
        <v>1571</v>
      </c>
      <c r="K1431" s="89" t="n">
        <v>42</v>
      </c>
      <c r="L1431" s="89" t="n">
        <v>1890000</v>
      </c>
      <c r="M1431" s="89" t="n">
        <v>631512</v>
      </c>
      <c r="N1431" s="90" t="n">
        <f aca="false">IF(A1431="제외",0,IF(OR(N(L1431)&lt;=0,N(M1431)&gt;N(L1431)),N(M1431)/가정!$B$4,N(L1431)))</f>
        <v>1890000</v>
      </c>
      <c r="O1431" s="67" t="str">
        <f aca="false">IF(A1431="제외","",IF(OR(N(L1431)&lt;=0,N(M1431)&gt;N(L1431)),"택가보정(판매금액÷공급율)",""))</f>
        <v/>
      </c>
    </row>
    <row r="1432" customFormat="false" ht="15" hidden="false" customHeight="true" outlineLevel="0" collapsed="false">
      <c r="A1432" s="67" t="str">
        <f aca="false">IF(OR(TRIM(C1432)="",SUBSTITUTE(C1432," ","")="소계"),"제외",IF(ISNUMBER(SEARCH("홍콩",C1432)),"HK",IF(ISNUMBER(SEARCH("상해",C1432)),"CN",IF(ISNUMBER(SEARCH("대만",C1432)),"TW","홀세일"))))</f>
        <v>홀세일</v>
      </c>
      <c r="B1432" s="87" t="s">
        <v>1566</v>
      </c>
      <c r="C1432" s="88" t="s">
        <v>1567</v>
      </c>
      <c r="D1432" s="88" t="s">
        <v>178</v>
      </c>
      <c r="E1432" s="87" t="n">
        <v>2025</v>
      </c>
      <c r="F1432" s="88" t="s">
        <v>179</v>
      </c>
      <c r="G1432" s="88" t="s">
        <v>188</v>
      </c>
      <c r="H1432" s="87" t="s">
        <v>189</v>
      </c>
      <c r="I1432" s="87" t="s">
        <v>1572</v>
      </c>
      <c r="J1432" s="88" t="s">
        <v>1573</v>
      </c>
      <c r="K1432" s="89" t="n">
        <v>17</v>
      </c>
      <c r="L1432" s="89" t="n">
        <v>2873000</v>
      </c>
      <c r="M1432" s="89" t="n">
        <v>1068926</v>
      </c>
      <c r="N1432" s="90" t="n">
        <f aca="false">IF(A1432="제외",0,IF(OR(N(L1432)&lt;=0,N(M1432)&gt;N(L1432)),N(M1432)/가정!$B$4,N(L1432)))</f>
        <v>2873000</v>
      </c>
      <c r="O1432" s="67" t="str">
        <f aca="false">IF(A1432="제외","",IF(OR(N(L1432)&lt;=0,N(M1432)&gt;N(L1432)),"택가보정(판매금액÷공급율)",""))</f>
        <v/>
      </c>
    </row>
    <row r="1433" customFormat="false" ht="15" hidden="false" customHeight="true" outlineLevel="0" collapsed="false">
      <c r="A1433" s="67" t="str">
        <f aca="false">IF(OR(TRIM(C1433)="",SUBSTITUTE(C1433," ","")="소계"),"제외",IF(ISNUMBER(SEARCH("홍콩",C1433)),"HK",IF(ISNUMBER(SEARCH("상해",C1433)),"CN",IF(ISNUMBER(SEARCH("대만",C1433)),"TW","홀세일"))))</f>
        <v>홀세일</v>
      </c>
      <c r="B1433" s="87" t="s">
        <v>1566</v>
      </c>
      <c r="C1433" s="88" t="s">
        <v>1567</v>
      </c>
      <c r="D1433" s="88" t="s">
        <v>178</v>
      </c>
      <c r="E1433" s="87" t="n">
        <v>2025</v>
      </c>
      <c r="F1433" s="88" t="s">
        <v>277</v>
      </c>
      <c r="G1433" s="88" t="s">
        <v>188</v>
      </c>
      <c r="H1433" s="87" t="s">
        <v>189</v>
      </c>
      <c r="I1433" s="87" t="s">
        <v>1574</v>
      </c>
      <c r="J1433" s="88" t="s">
        <v>1571</v>
      </c>
      <c r="K1433" s="89" t="n">
        <v>110</v>
      </c>
      <c r="L1433" s="89" t="n">
        <v>7150000</v>
      </c>
      <c r="M1433" s="89" t="n">
        <v>2656390</v>
      </c>
      <c r="N1433" s="90" t="n">
        <f aca="false">IF(A1433="제외",0,IF(OR(N(L1433)&lt;=0,N(M1433)&gt;N(L1433)),N(M1433)/가정!$B$4,N(L1433)))</f>
        <v>7150000</v>
      </c>
      <c r="O1433" s="67" t="str">
        <f aca="false">IF(A1433="제외","",IF(OR(N(L1433)&lt;=0,N(M1433)&gt;N(L1433)),"택가보정(판매금액÷공급율)",""))</f>
        <v/>
      </c>
    </row>
    <row r="1434" customFormat="false" ht="15" hidden="false" customHeight="true" outlineLevel="0" collapsed="false">
      <c r="A1434" s="67" t="str">
        <f aca="false">IF(OR(TRIM(C1434)="",SUBSTITUTE(C1434," ","")="소계"),"제외",IF(ISNUMBER(SEARCH("홍콩",C1434)),"HK",IF(ISNUMBER(SEARCH("상해",C1434)),"CN",IF(ISNUMBER(SEARCH("대만",C1434)),"TW","홀세일"))))</f>
        <v>홀세일</v>
      </c>
      <c r="B1434" s="87" t="s">
        <v>1566</v>
      </c>
      <c r="C1434" s="88" t="s">
        <v>1567</v>
      </c>
      <c r="D1434" s="88" t="s">
        <v>178</v>
      </c>
      <c r="E1434" s="87" t="n">
        <v>2025</v>
      </c>
      <c r="F1434" s="88" t="s">
        <v>277</v>
      </c>
      <c r="G1434" s="88" t="s">
        <v>188</v>
      </c>
      <c r="H1434" s="87" t="s">
        <v>189</v>
      </c>
      <c r="I1434" s="87" t="s">
        <v>1575</v>
      </c>
      <c r="J1434" s="88" t="s">
        <v>1576</v>
      </c>
      <c r="K1434" s="89" t="n">
        <v>50</v>
      </c>
      <c r="L1434" s="89" t="n">
        <v>3450000</v>
      </c>
      <c r="M1434" s="89" t="n">
        <v>1291000</v>
      </c>
      <c r="N1434" s="90" t="n">
        <f aca="false">IF(A1434="제외",0,IF(OR(N(L1434)&lt;=0,N(M1434)&gt;N(L1434)),N(M1434)/가정!$B$4,N(L1434)))</f>
        <v>3450000</v>
      </c>
      <c r="O1434" s="67" t="str">
        <f aca="false">IF(A1434="제외","",IF(OR(N(L1434)&lt;=0,N(M1434)&gt;N(L1434)),"택가보정(판매금액÷공급율)",""))</f>
        <v/>
      </c>
    </row>
    <row r="1435" customFormat="false" ht="15" hidden="false" customHeight="true" outlineLevel="0" collapsed="false">
      <c r="A1435" s="67" t="str">
        <f aca="false">IF(OR(TRIM(C1435)="",SUBSTITUTE(C1435," ","")="소계"),"제외",IF(ISNUMBER(SEARCH("홍콩",C1435)),"HK",IF(ISNUMBER(SEARCH("상해",C1435)),"CN",IF(ISNUMBER(SEARCH("대만",C1435)),"TW","홀세일"))))</f>
        <v>홀세일</v>
      </c>
      <c r="B1435" s="87" t="s">
        <v>1566</v>
      </c>
      <c r="C1435" s="88" t="s">
        <v>1567</v>
      </c>
      <c r="D1435" s="88" t="s">
        <v>178</v>
      </c>
      <c r="E1435" s="87" t="n">
        <v>2025</v>
      </c>
      <c r="F1435" s="88" t="s">
        <v>277</v>
      </c>
      <c r="G1435" s="88" t="s">
        <v>188</v>
      </c>
      <c r="H1435" s="87" t="s">
        <v>189</v>
      </c>
      <c r="I1435" s="87" t="s">
        <v>1577</v>
      </c>
      <c r="J1435" s="88" t="s">
        <v>1578</v>
      </c>
      <c r="K1435" s="89" t="n">
        <v>50</v>
      </c>
      <c r="L1435" s="89" t="n">
        <v>3950000</v>
      </c>
      <c r="M1435" s="89" t="n">
        <v>1465650</v>
      </c>
      <c r="N1435" s="90" t="n">
        <f aca="false">IF(A1435="제외",0,IF(OR(N(L1435)&lt;=0,N(M1435)&gt;N(L1435)),N(M1435)/가정!$B$4,N(L1435)))</f>
        <v>3950000</v>
      </c>
      <c r="O1435" s="67" t="str">
        <f aca="false">IF(A1435="제외","",IF(OR(N(L1435)&lt;=0,N(M1435)&gt;N(L1435)),"택가보정(판매금액÷공급율)",""))</f>
        <v/>
      </c>
    </row>
    <row r="1436" customFormat="false" ht="15" hidden="false" customHeight="true" outlineLevel="0" collapsed="false">
      <c r="A1436" s="67" t="str">
        <f aca="false">IF(OR(TRIM(C1436)="",SUBSTITUTE(C1436," ","")="소계"),"제외",IF(ISNUMBER(SEARCH("홍콩",C1436)),"HK",IF(ISNUMBER(SEARCH("상해",C1436)),"CN",IF(ISNUMBER(SEARCH("대만",C1436)),"TW","홀세일"))))</f>
        <v>홀세일</v>
      </c>
      <c r="B1436" s="87" t="s">
        <v>1566</v>
      </c>
      <c r="C1436" s="88" t="s">
        <v>1567</v>
      </c>
      <c r="D1436" s="88" t="s">
        <v>178</v>
      </c>
      <c r="E1436" s="87" t="n">
        <v>2025</v>
      </c>
      <c r="F1436" s="88" t="s">
        <v>277</v>
      </c>
      <c r="G1436" s="88" t="s">
        <v>180</v>
      </c>
      <c r="H1436" s="87" t="s">
        <v>189</v>
      </c>
      <c r="I1436" s="87" t="s">
        <v>1579</v>
      </c>
      <c r="J1436" s="87" t="s">
        <v>1580</v>
      </c>
      <c r="K1436" s="89" t="n">
        <v>91</v>
      </c>
      <c r="L1436" s="89" t="n">
        <v>16289000</v>
      </c>
      <c r="M1436" s="89" t="n">
        <v>5598011</v>
      </c>
      <c r="N1436" s="90" t="n">
        <f aca="false">IF(A1436="제외",0,IF(OR(N(L1436)&lt;=0,N(M1436)&gt;N(L1436)),N(M1436)/가정!$B$4,N(L1436)))</f>
        <v>16289000</v>
      </c>
      <c r="O1436" s="67" t="str">
        <f aca="false">IF(A1436="제외","",IF(OR(N(L1436)&lt;=0,N(M1436)&gt;N(L1436)),"택가보정(판매금액÷공급율)",""))</f>
        <v/>
      </c>
    </row>
    <row r="1437" customFormat="false" ht="15" hidden="false" customHeight="true" outlineLevel="0" collapsed="false">
      <c r="A1437" s="67" t="str">
        <f aca="false">IF(OR(TRIM(C1437)="",SUBSTITUTE(C1437," ","")="소계"),"제외",IF(ISNUMBER(SEARCH("홍콩",C1437)),"HK",IF(ISNUMBER(SEARCH("상해",C1437)),"CN",IF(ISNUMBER(SEARCH("대만",C1437)),"TW","홀세일"))))</f>
        <v>홀세일</v>
      </c>
      <c r="B1437" s="87" t="s">
        <v>1566</v>
      </c>
      <c r="C1437" s="88" t="s">
        <v>1567</v>
      </c>
      <c r="D1437" s="88" t="s">
        <v>178</v>
      </c>
      <c r="E1437" s="87" t="n">
        <v>2025</v>
      </c>
      <c r="F1437" s="88" t="s">
        <v>277</v>
      </c>
      <c r="G1437" s="88" t="s">
        <v>180</v>
      </c>
      <c r="H1437" s="87" t="s">
        <v>189</v>
      </c>
      <c r="I1437" s="87" t="s">
        <v>1581</v>
      </c>
      <c r="J1437" s="88" t="s">
        <v>1582</v>
      </c>
      <c r="K1437" s="89" t="n">
        <v>30</v>
      </c>
      <c r="L1437" s="89" t="n">
        <v>3270000</v>
      </c>
      <c r="M1437" s="89" t="n">
        <v>1143660</v>
      </c>
      <c r="N1437" s="90" t="n">
        <f aca="false">IF(A1437="제외",0,IF(OR(N(L1437)&lt;=0,N(M1437)&gt;N(L1437)),N(M1437)/가정!$B$4,N(L1437)))</f>
        <v>3270000</v>
      </c>
      <c r="O1437" s="67" t="str">
        <f aca="false">IF(A1437="제외","",IF(OR(N(L1437)&lt;=0,N(M1437)&gt;N(L1437)),"택가보정(판매금액÷공급율)",""))</f>
        <v/>
      </c>
    </row>
    <row r="1438" customFormat="false" ht="15" hidden="false" customHeight="true" outlineLevel="0" collapsed="false">
      <c r="A1438" s="67" t="str">
        <f aca="false">IF(OR(TRIM(C1438)="",SUBSTITUTE(C1438," ","")="소계"),"제외",IF(ISNUMBER(SEARCH("홍콩",C1438)),"HK",IF(ISNUMBER(SEARCH("상해",C1438)),"CN",IF(ISNUMBER(SEARCH("대만",C1438)),"TW","홀세일"))))</f>
        <v>홀세일</v>
      </c>
      <c r="B1438" s="87" t="s">
        <v>1566</v>
      </c>
      <c r="C1438" s="88" t="s">
        <v>1567</v>
      </c>
      <c r="D1438" s="88" t="s">
        <v>178</v>
      </c>
      <c r="E1438" s="87" t="n">
        <v>2025</v>
      </c>
      <c r="F1438" s="88" t="s">
        <v>277</v>
      </c>
      <c r="G1438" s="88" t="s">
        <v>180</v>
      </c>
      <c r="H1438" s="87" t="s">
        <v>189</v>
      </c>
      <c r="I1438" s="87" t="s">
        <v>1583</v>
      </c>
      <c r="J1438" s="87" t="s">
        <v>1584</v>
      </c>
      <c r="K1438" s="89" t="n">
        <v>18</v>
      </c>
      <c r="L1438" s="89" t="n">
        <v>1422000</v>
      </c>
      <c r="M1438" s="89" t="n">
        <v>500292</v>
      </c>
      <c r="N1438" s="90" t="n">
        <f aca="false">IF(A1438="제외",0,IF(OR(N(L1438)&lt;=0,N(M1438)&gt;N(L1438)),N(M1438)/가정!$B$4,N(L1438)))</f>
        <v>1422000</v>
      </c>
      <c r="O1438" s="67" t="str">
        <f aca="false">IF(A1438="제외","",IF(OR(N(L1438)&lt;=0,N(M1438)&gt;N(L1438)),"택가보정(판매금액÷공급율)",""))</f>
        <v/>
      </c>
    </row>
    <row r="1439" customFormat="false" ht="15" hidden="false" customHeight="true" outlineLevel="0" collapsed="false">
      <c r="A1439" s="67" t="str">
        <f aca="false">IF(OR(TRIM(C1439)="",SUBSTITUTE(C1439," ","")="소계"),"제외",IF(ISNUMBER(SEARCH("홍콩",C1439)),"HK",IF(ISNUMBER(SEARCH("상해",C1439)),"CN",IF(ISNUMBER(SEARCH("대만",C1439)),"TW","홀세일"))))</f>
        <v>홀세일</v>
      </c>
      <c r="B1439" s="87" t="s">
        <v>1566</v>
      </c>
      <c r="C1439" s="88" t="s">
        <v>1567</v>
      </c>
      <c r="D1439" s="88" t="s">
        <v>178</v>
      </c>
      <c r="E1439" s="87" t="n">
        <v>2025</v>
      </c>
      <c r="F1439" s="88" t="s">
        <v>277</v>
      </c>
      <c r="G1439" s="88" t="s">
        <v>180</v>
      </c>
      <c r="H1439" s="87" t="s">
        <v>189</v>
      </c>
      <c r="I1439" s="87" t="s">
        <v>1585</v>
      </c>
      <c r="J1439" s="87" t="s">
        <v>1586</v>
      </c>
      <c r="K1439" s="89" t="n">
        <v>71</v>
      </c>
      <c r="L1439" s="89" t="n">
        <v>5609000</v>
      </c>
      <c r="M1439" s="89" t="n">
        <v>1952766</v>
      </c>
      <c r="N1439" s="90" t="n">
        <f aca="false">IF(A1439="제외",0,IF(OR(N(L1439)&lt;=0,N(M1439)&gt;N(L1439)),N(M1439)/가정!$B$4,N(L1439)))</f>
        <v>5609000</v>
      </c>
      <c r="O1439" s="67" t="str">
        <f aca="false">IF(A1439="제외","",IF(OR(N(L1439)&lt;=0,N(M1439)&gt;N(L1439)),"택가보정(판매금액÷공급율)",""))</f>
        <v/>
      </c>
    </row>
    <row r="1440" customFormat="false" ht="15" hidden="false" customHeight="true" outlineLevel="0" collapsed="false">
      <c r="A1440" s="67" t="str">
        <f aca="false">IF(OR(TRIM(C1440)="",SUBSTITUTE(C1440," ","")="소계"),"제외",IF(ISNUMBER(SEARCH("홍콩",C1440)),"HK",IF(ISNUMBER(SEARCH("상해",C1440)),"CN",IF(ISNUMBER(SEARCH("대만",C1440)),"TW","홀세일"))))</f>
        <v>홀세일</v>
      </c>
      <c r="B1440" s="87" t="s">
        <v>1566</v>
      </c>
      <c r="C1440" s="88" t="s">
        <v>1567</v>
      </c>
      <c r="D1440" s="88" t="s">
        <v>178</v>
      </c>
      <c r="E1440" s="87" t="n">
        <v>2025</v>
      </c>
      <c r="F1440" s="88" t="s">
        <v>277</v>
      </c>
      <c r="G1440" s="88" t="s">
        <v>180</v>
      </c>
      <c r="H1440" s="87" t="s">
        <v>189</v>
      </c>
      <c r="I1440" s="87" t="s">
        <v>1587</v>
      </c>
      <c r="J1440" s="87" t="s">
        <v>1588</v>
      </c>
      <c r="K1440" s="89" t="n">
        <v>30</v>
      </c>
      <c r="L1440" s="89" t="n">
        <v>3870000</v>
      </c>
      <c r="M1440" s="89" t="n">
        <v>1312320</v>
      </c>
      <c r="N1440" s="90" t="n">
        <f aca="false">IF(A1440="제외",0,IF(OR(N(L1440)&lt;=0,N(M1440)&gt;N(L1440)),N(M1440)/가정!$B$4,N(L1440)))</f>
        <v>3870000</v>
      </c>
      <c r="O1440" s="67" t="str">
        <f aca="false">IF(A1440="제외","",IF(OR(N(L1440)&lt;=0,N(M1440)&gt;N(L1440)),"택가보정(판매금액÷공급율)",""))</f>
        <v/>
      </c>
    </row>
    <row r="1441" customFormat="false" ht="15" hidden="false" customHeight="true" outlineLevel="0" collapsed="false">
      <c r="A1441" s="67" t="str">
        <f aca="false">IF(OR(TRIM(C1441)="",SUBSTITUTE(C1441," ","")="소계"),"제외",IF(ISNUMBER(SEARCH("홍콩",C1441)),"HK",IF(ISNUMBER(SEARCH("상해",C1441)),"CN",IF(ISNUMBER(SEARCH("대만",C1441)),"TW","홀세일"))))</f>
        <v>홀세일</v>
      </c>
      <c r="B1441" s="87" t="s">
        <v>1566</v>
      </c>
      <c r="C1441" s="88" t="s">
        <v>1567</v>
      </c>
      <c r="D1441" s="88" t="s">
        <v>178</v>
      </c>
      <c r="E1441" s="87" t="n">
        <v>2025</v>
      </c>
      <c r="F1441" s="88" t="s">
        <v>277</v>
      </c>
      <c r="G1441" s="88" t="s">
        <v>180</v>
      </c>
      <c r="H1441" s="87" t="s">
        <v>189</v>
      </c>
      <c r="I1441" s="87" t="s">
        <v>1589</v>
      </c>
      <c r="J1441" s="88" t="s">
        <v>1590</v>
      </c>
      <c r="K1441" s="89" t="n">
        <v>120</v>
      </c>
      <c r="L1441" s="89" t="n">
        <v>10680000</v>
      </c>
      <c r="M1441" s="89" t="n">
        <v>3754440</v>
      </c>
      <c r="N1441" s="90" t="n">
        <f aca="false">IF(A1441="제외",0,IF(OR(N(L1441)&lt;=0,N(M1441)&gt;N(L1441)),N(M1441)/가정!$B$4,N(L1441)))</f>
        <v>10680000</v>
      </c>
      <c r="O1441" s="67" t="str">
        <f aca="false">IF(A1441="제외","",IF(OR(N(L1441)&lt;=0,N(M1441)&gt;N(L1441)),"택가보정(판매금액÷공급율)",""))</f>
        <v/>
      </c>
    </row>
    <row r="1442" customFormat="false" ht="15" hidden="false" customHeight="true" outlineLevel="0" collapsed="false">
      <c r="A1442" s="67" t="str">
        <f aca="false">IF(OR(TRIM(C1442)="",SUBSTITUTE(C1442," ","")="소계"),"제외",IF(ISNUMBER(SEARCH("홍콩",C1442)),"HK",IF(ISNUMBER(SEARCH("상해",C1442)),"CN",IF(ISNUMBER(SEARCH("대만",C1442)),"TW","홀세일"))))</f>
        <v>홀세일</v>
      </c>
      <c r="B1442" s="87" t="s">
        <v>1566</v>
      </c>
      <c r="C1442" s="88" t="s">
        <v>1567</v>
      </c>
      <c r="D1442" s="88" t="s">
        <v>178</v>
      </c>
      <c r="E1442" s="87" t="n">
        <v>2025</v>
      </c>
      <c r="F1442" s="88" t="s">
        <v>277</v>
      </c>
      <c r="G1442" s="88" t="s">
        <v>180</v>
      </c>
      <c r="H1442" s="87" t="s">
        <v>181</v>
      </c>
      <c r="I1442" s="87" t="s">
        <v>1591</v>
      </c>
      <c r="J1442" s="88" t="s">
        <v>1592</v>
      </c>
      <c r="K1442" s="89" t="n">
        <v>20</v>
      </c>
      <c r="L1442" s="89" t="n">
        <v>3580000</v>
      </c>
      <c r="M1442" s="89" t="n">
        <v>1327440</v>
      </c>
      <c r="N1442" s="90" t="n">
        <f aca="false">IF(A1442="제외",0,IF(OR(N(L1442)&lt;=0,N(M1442)&gt;N(L1442)),N(M1442)/가정!$B$4,N(L1442)))</f>
        <v>3580000</v>
      </c>
      <c r="O1442" s="67" t="str">
        <f aca="false">IF(A1442="제외","",IF(OR(N(L1442)&lt;=0,N(M1442)&gt;N(L1442)),"택가보정(판매금액÷공급율)",""))</f>
        <v/>
      </c>
    </row>
    <row r="1443" customFormat="false" ht="15" hidden="false" customHeight="true" outlineLevel="0" collapsed="false">
      <c r="A1443" s="67" t="str">
        <f aca="false">IF(OR(TRIM(C1443)="",SUBSTITUTE(C1443," ","")="소계"),"제외",IF(ISNUMBER(SEARCH("홍콩",C1443)),"HK",IF(ISNUMBER(SEARCH("상해",C1443)),"CN",IF(ISNUMBER(SEARCH("대만",C1443)),"TW","홀세일"))))</f>
        <v>홀세일</v>
      </c>
      <c r="B1443" s="87" t="s">
        <v>1566</v>
      </c>
      <c r="C1443" s="88" t="s">
        <v>1567</v>
      </c>
      <c r="D1443" s="88" t="s">
        <v>178</v>
      </c>
      <c r="E1443" s="87" t="n">
        <v>2025</v>
      </c>
      <c r="F1443" s="88" t="s">
        <v>277</v>
      </c>
      <c r="G1443" s="88" t="s">
        <v>180</v>
      </c>
      <c r="H1443" s="87" t="s">
        <v>189</v>
      </c>
      <c r="I1443" s="87" t="s">
        <v>1593</v>
      </c>
      <c r="J1443" s="88" t="s">
        <v>1594</v>
      </c>
      <c r="K1443" s="89" t="n">
        <v>17</v>
      </c>
      <c r="L1443" s="89" t="n">
        <v>2363000</v>
      </c>
      <c r="M1443" s="89" t="n">
        <v>877863</v>
      </c>
      <c r="N1443" s="90" t="n">
        <f aca="false">IF(A1443="제외",0,IF(OR(N(L1443)&lt;=0,N(M1443)&gt;N(L1443)),N(M1443)/가정!$B$4,N(L1443)))</f>
        <v>2363000</v>
      </c>
      <c r="O1443" s="67" t="str">
        <f aca="false">IF(A1443="제외","",IF(OR(N(L1443)&lt;=0,N(M1443)&gt;N(L1443)),"택가보정(판매금액÷공급율)",""))</f>
        <v/>
      </c>
    </row>
    <row r="1444" customFormat="false" ht="15" hidden="false" customHeight="true" outlineLevel="0" collapsed="false">
      <c r="A1444" s="67" t="str">
        <f aca="false">IF(OR(TRIM(C1444)="",SUBSTITUTE(C1444," ","")="소계"),"제외",IF(ISNUMBER(SEARCH("홍콩",C1444)),"HK",IF(ISNUMBER(SEARCH("상해",C1444)),"CN",IF(ISNUMBER(SEARCH("대만",C1444)),"TW","홀세일"))))</f>
        <v>홀세일</v>
      </c>
      <c r="B1444" s="87" t="s">
        <v>1566</v>
      </c>
      <c r="C1444" s="88" t="s">
        <v>1567</v>
      </c>
      <c r="D1444" s="88" t="s">
        <v>178</v>
      </c>
      <c r="E1444" s="87" t="n">
        <v>2025</v>
      </c>
      <c r="F1444" s="88" t="s">
        <v>277</v>
      </c>
      <c r="G1444" s="88" t="s">
        <v>180</v>
      </c>
      <c r="H1444" s="87" t="s">
        <v>189</v>
      </c>
      <c r="I1444" s="87" t="s">
        <v>1595</v>
      </c>
      <c r="J1444" s="87" t="s">
        <v>1596</v>
      </c>
      <c r="K1444" s="89" t="n">
        <v>108</v>
      </c>
      <c r="L1444" s="89" t="n">
        <v>18252000</v>
      </c>
      <c r="M1444" s="89" t="n">
        <v>6340044</v>
      </c>
      <c r="N1444" s="90" t="n">
        <f aca="false">IF(A1444="제외",0,IF(OR(N(L1444)&lt;=0,N(M1444)&gt;N(L1444)),N(M1444)/가정!$B$4,N(L1444)))</f>
        <v>18252000</v>
      </c>
      <c r="O1444" s="67" t="str">
        <f aca="false">IF(A1444="제외","",IF(OR(N(L1444)&lt;=0,N(M1444)&gt;N(L1444)),"택가보정(판매금액÷공급율)",""))</f>
        <v/>
      </c>
    </row>
    <row r="1445" customFormat="false" ht="15" hidden="false" customHeight="true" outlineLevel="0" collapsed="false">
      <c r="A1445" s="67" t="str">
        <f aca="false">IF(OR(TRIM(C1445)="",SUBSTITUTE(C1445," ","")="소계"),"제외",IF(ISNUMBER(SEARCH("홍콩",C1445)),"HK",IF(ISNUMBER(SEARCH("상해",C1445)),"CN",IF(ISNUMBER(SEARCH("대만",C1445)),"TW","홀세일"))))</f>
        <v>홀세일</v>
      </c>
      <c r="B1445" s="87" t="s">
        <v>1566</v>
      </c>
      <c r="C1445" s="88" t="s">
        <v>1567</v>
      </c>
      <c r="D1445" s="88" t="s">
        <v>178</v>
      </c>
      <c r="E1445" s="87" t="n">
        <v>2025</v>
      </c>
      <c r="F1445" s="88" t="s">
        <v>277</v>
      </c>
      <c r="G1445" s="88" t="s">
        <v>180</v>
      </c>
      <c r="H1445" s="87" t="s">
        <v>189</v>
      </c>
      <c r="I1445" s="87" t="s">
        <v>1597</v>
      </c>
      <c r="J1445" s="88" t="s">
        <v>1598</v>
      </c>
      <c r="K1445" s="89" t="n">
        <v>56</v>
      </c>
      <c r="L1445" s="89" t="n">
        <v>3304000</v>
      </c>
      <c r="M1445" s="89" t="n">
        <v>1156736</v>
      </c>
      <c r="N1445" s="90" t="n">
        <f aca="false">IF(A1445="제외",0,IF(OR(N(L1445)&lt;=0,N(M1445)&gt;N(L1445)),N(M1445)/가정!$B$4,N(L1445)))</f>
        <v>3304000</v>
      </c>
      <c r="O1445" s="67" t="str">
        <f aca="false">IF(A1445="제외","",IF(OR(N(L1445)&lt;=0,N(M1445)&gt;N(L1445)),"택가보정(판매금액÷공급율)",""))</f>
        <v/>
      </c>
    </row>
    <row r="1446" customFormat="false" ht="15" hidden="false" customHeight="true" outlineLevel="0" collapsed="false">
      <c r="A1446" s="67" t="str">
        <f aca="false">IF(OR(TRIM(C1446)="",SUBSTITUTE(C1446," ","")="소계"),"제외",IF(ISNUMBER(SEARCH("홍콩",C1446)),"HK",IF(ISNUMBER(SEARCH("상해",C1446)),"CN",IF(ISNUMBER(SEARCH("대만",C1446)),"TW","홀세일"))))</f>
        <v>홀세일</v>
      </c>
      <c r="B1446" s="87" t="s">
        <v>1566</v>
      </c>
      <c r="C1446" s="88" t="s">
        <v>1567</v>
      </c>
      <c r="D1446" s="88" t="s">
        <v>178</v>
      </c>
      <c r="E1446" s="87" t="n">
        <v>2025</v>
      </c>
      <c r="F1446" s="88" t="s">
        <v>277</v>
      </c>
      <c r="G1446" s="88" t="s">
        <v>180</v>
      </c>
      <c r="H1446" s="87" t="s">
        <v>189</v>
      </c>
      <c r="I1446" s="87" t="s">
        <v>1599</v>
      </c>
      <c r="J1446" s="88" t="s">
        <v>1600</v>
      </c>
      <c r="K1446" s="89" t="n">
        <v>94</v>
      </c>
      <c r="L1446" s="89" t="n">
        <v>8366000</v>
      </c>
      <c r="M1446" s="89" t="n">
        <v>2940978</v>
      </c>
      <c r="N1446" s="90" t="n">
        <f aca="false">IF(A1446="제외",0,IF(OR(N(L1446)&lt;=0,N(M1446)&gt;N(L1446)),N(M1446)/가정!$B$4,N(L1446)))</f>
        <v>8366000</v>
      </c>
      <c r="O1446" s="67" t="str">
        <f aca="false">IF(A1446="제외","",IF(OR(N(L1446)&lt;=0,N(M1446)&gt;N(L1446)),"택가보정(판매금액÷공급율)",""))</f>
        <v/>
      </c>
    </row>
    <row r="1447" customFormat="false" ht="15" hidden="false" customHeight="true" outlineLevel="0" collapsed="false">
      <c r="A1447" s="67" t="str">
        <f aca="false">IF(OR(TRIM(C1447)="",SUBSTITUTE(C1447," ","")="소계"),"제외",IF(ISNUMBER(SEARCH("홍콩",C1447)),"HK",IF(ISNUMBER(SEARCH("상해",C1447)),"CN",IF(ISNUMBER(SEARCH("대만",C1447)),"TW","홀세일"))))</f>
        <v>홀세일</v>
      </c>
      <c r="B1447" s="87" t="s">
        <v>1566</v>
      </c>
      <c r="C1447" s="88" t="s">
        <v>1567</v>
      </c>
      <c r="D1447" s="88" t="s">
        <v>178</v>
      </c>
      <c r="E1447" s="87" t="n">
        <v>2025</v>
      </c>
      <c r="F1447" s="88" t="s">
        <v>277</v>
      </c>
      <c r="G1447" s="88" t="s">
        <v>180</v>
      </c>
      <c r="H1447" s="87" t="s">
        <v>189</v>
      </c>
      <c r="I1447" s="87" t="s">
        <v>1601</v>
      </c>
      <c r="J1447" s="88" t="s">
        <v>1602</v>
      </c>
      <c r="K1447" s="89" t="n">
        <v>198</v>
      </c>
      <c r="L1447" s="89" t="n">
        <v>17622000</v>
      </c>
      <c r="M1447" s="89" t="n">
        <v>6194826</v>
      </c>
      <c r="N1447" s="90" t="n">
        <f aca="false">IF(A1447="제외",0,IF(OR(N(L1447)&lt;=0,N(M1447)&gt;N(L1447)),N(M1447)/가정!$B$4,N(L1447)))</f>
        <v>17622000</v>
      </c>
      <c r="O1447" s="67" t="str">
        <f aca="false">IF(A1447="제외","",IF(OR(N(L1447)&lt;=0,N(M1447)&gt;N(L1447)),"택가보정(판매금액÷공급율)",""))</f>
        <v/>
      </c>
    </row>
    <row r="1448" customFormat="false" ht="15" hidden="false" customHeight="true" outlineLevel="0" collapsed="false">
      <c r="A1448" s="67" t="str">
        <f aca="false">IF(OR(TRIM(C1448)="",SUBSTITUTE(C1448," ","")="소계"),"제외",IF(ISNUMBER(SEARCH("홍콩",C1448)),"HK",IF(ISNUMBER(SEARCH("상해",C1448)),"CN",IF(ISNUMBER(SEARCH("대만",C1448)),"TW","홀세일"))))</f>
        <v>홀세일</v>
      </c>
      <c r="B1448" s="87" t="s">
        <v>1566</v>
      </c>
      <c r="C1448" s="88" t="s">
        <v>1567</v>
      </c>
      <c r="D1448" s="88" t="s">
        <v>178</v>
      </c>
      <c r="E1448" s="87" t="n">
        <v>2025</v>
      </c>
      <c r="F1448" s="88" t="s">
        <v>277</v>
      </c>
      <c r="G1448" s="88" t="s">
        <v>418</v>
      </c>
      <c r="H1448" s="88" t="s">
        <v>185</v>
      </c>
      <c r="I1448" s="87" t="s">
        <v>1603</v>
      </c>
      <c r="J1448" s="87" t="s">
        <v>1604</v>
      </c>
      <c r="K1448" s="89" t="n">
        <v>37</v>
      </c>
      <c r="L1448" s="89" t="n">
        <v>4403000</v>
      </c>
      <c r="M1448" s="89" t="n">
        <v>1775778</v>
      </c>
      <c r="N1448" s="90" t="n">
        <f aca="false">IF(A1448="제외",0,IF(OR(N(L1448)&lt;=0,N(M1448)&gt;N(L1448)),N(M1448)/가정!$B$4,N(L1448)))</f>
        <v>4403000</v>
      </c>
      <c r="O1448" s="67" t="str">
        <f aca="false">IF(A1448="제외","",IF(OR(N(L1448)&lt;=0,N(M1448)&gt;N(L1448)),"택가보정(판매금액÷공급율)",""))</f>
        <v/>
      </c>
    </row>
    <row r="1449" customFormat="false" ht="15" hidden="false" customHeight="true" outlineLevel="0" collapsed="false">
      <c r="A1449" s="67" t="str">
        <f aca="false">IF(OR(TRIM(C1449)="",SUBSTITUTE(C1449," ","")="소계"),"제외",IF(ISNUMBER(SEARCH("홍콩",C1449)),"HK",IF(ISNUMBER(SEARCH("상해",C1449)),"CN",IF(ISNUMBER(SEARCH("대만",C1449)),"TW","홀세일"))))</f>
        <v>홀세일</v>
      </c>
      <c r="B1449" s="87" t="s">
        <v>1566</v>
      </c>
      <c r="C1449" s="88" t="s">
        <v>1567</v>
      </c>
      <c r="D1449" s="88" t="s">
        <v>178</v>
      </c>
      <c r="E1449" s="87" t="n">
        <v>2025</v>
      </c>
      <c r="F1449" s="88" t="s">
        <v>277</v>
      </c>
      <c r="G1449" s="88" t="s">
        <v>418</v>
      </c>
      <c r="H1449" s="88" t="s">
        <v>185</v>
      </c>
      <c r="I1449" s="87" t="s">
        <v>1605</v>
      </c>
      <c r="J1449" s="87" t="s">
        <v>1606</v>
      </c>
      <c r="K1449" s="89" t="n">
        <v>43</v>
      </c>
      <c r="L1449" s="89" t="n">
        <v>4687000</v>
      </c>
      <c r="M1449" s="89" t="n">
        <v>1887399</v>
      </c>
      <c r="N1449" s="90" t="n">
        <f aca="false">IF(A1449="제외",0,IF(OR(N(L1449)&lt;=0,N(M1449)&gt;N(L1449)),N(M1449)/가정!$B$4,N(L1449)))</f>
        <v>4687000</v>
      </c>
      <c r="O1449" s="67" t="str">
        <f aca="false">IF(A1449="제외","",IF(OR(N(L1449)&lt;=0,N(M1449)&gt;N(L1449)),"택가보정(판매금액÷공급율)",""))</f>
        <v/>
      </c>
    </row>
    <row r="1450" customFormat="false" ht="15" hidden="false" customHeight="true" outlineLevel="0" collapsed="false">
      <c r="A1450" s="67" t="str">
        <f aca="false">IF(OR(TRIM(C1450)="",SUBSTITUTE(C1450," ","")="소계"),"제외",IF(ISNUMBER(SEARCH("홍콩",C1450)),"HK",IF(ISNUMBER(SEARCH("상해",C1450)),"CN",IF(ISNUMBER(SEARCH("대만",C1450)),"TW","홀세일"))))</f>
        <v>홀세일</v>
      </c>
      <c r="B1450" s="87" t="s">
        <v>1566</v>
      </c>
      <c r="C1450" s="88" t="s">
        <v>1567</v>
      </c>
      <c r="D1450" s="88" t="s">
        <v>178</v>
      </c>
      <c r="E1450" s="87" t="n">
        <v>2025</v>
      </c>
      <c r="F1450" s="88" t="s">
        <v>277</v>
      </c>
      <c r="G1450" s="88" t="s">
        <v>180</v>
      </c>
      <c r="H1450" s="87" t="s">
        <v>246</v>
      </c>
      <c r="I1450" s="87" t="s">
        <v>1607</v>
      </c>
      <c r="J1450" s="87" t="s">
        <v>1608</v>
      </c>
      <c r="K1450" s="89" t="n">
        <v>23</v>
      </c>
      <c r="L1450" s="89" t="n">
        <v>2047000</v>
      </c>
      <c r="M1450" s="89" t="n">
        <v>719601</v>
      </c>
      <c r="N1450" s="90" t="n">
        <f aca="false">IF(A1450="제외",0,IF(OR(N(L1450)&lt;=0,N(M1450)&gt;N(L1450)),N(M1450)/가정!$B$4,N(L1450)))</f>
        <v>2047000</v>
      </c>
      <c r="O1450" s="67" t="str">
        <f aca="false">IF(A1450="제외","",IF(OR(N(L1450)&lt;=0,N(M1450)&gt;N(L1450)),"택가보정(판매금액÷공급율)",""))</f>
        <v/>
      </c>
    </row>
    <row r="1451" customFormat="false" ht="15" hidden="false" customHeight="true" outlineLevel="0" collapsed="false">
      <c r="A1451" s="67" t="str">
        <f aca="false">IF(OR(TRIM(C1451)="",SUBSTITUTE(C1451," ","")="소계"),"제외",IF(ISNUMBER(SEARCH("홍콩",C1451)),"HK",IF(ISNUMBER(SEARCH("상해",C1451)),"CN",IF(ISNUMBER(SEARCH("대만",C1451)),"TW","홀세일"))))</f>
        <v>홀세일</v>
      </c>
      <c r="B1451" s="87" t="s">
        <v>1566</v>
      </c>
      <c r="C1451" s="88" t="s">
        <v>1567</v>
      </c>
      <c r="D1451" s="88" t="s">
        <v>178</v>
      </c>
      <c r="E1451" s="87" t="n">
        <v>2025</v>
      </c>
      <c r="F1451" s="88" t="s">
        <v>277</v>
      </c>
      <c r="G1451" s="88" t="s">
        <v>180</v>
      </c>
      <c r="H1451" s="87" t="s">
        <v>246</v>
      </c>
      <c r="I1451" s="87" t="s">
        <v>1609</v>
      </c>
      <c r="J1451" s="87" t="s">
        <v>1610</v>
      </c>
      <c r="K1451" s="89" t="n">
        <v>35</v>
      </c>
      <c r="L1451" s="89" t="n">
        <v>3815000</v>
      </c>
      <c r="M1451" s="89" t="n">
        <v>1334270</v>
      </c>
      <c r="N1451" s="90" t="n">
        <f aca="false">IF(A1451="제외",0,IF(OR(N(L1451)&lt;=0,N(M1451)&gt;N(L1451)),N(M1451)/가정!$B$4,N(L1451)))</f>
        <v>3815000</v>
      </c>
      <c r="O1451" s="67" t="str">
        <f aca="false">IF(A1451="제외","",IF(OR(N(L1451)&lt;=0,N(M1451)&gt;N(L1451)),"택가보정(판매금액÷공급율)",""))</f>
        <v/>
      </c>
    </row>
    <row r="1452" customFormat="false" ht="15" hidden="false" customHeight="true" outlineLevel="0" collapsed="false">
      <c r="A1452" s="67" t="str">
        <f aca="false">IF(OR(TRIM(C1452)="",SUBSTITUTE(C1452," ","")="소계"),"제외",IF(ISNUMBER(SEARCH("홍콩",C1452)),"HK",IF(ISNUMBER(SEARCH("상해",C1452)),"CN",IF(ISNUMBER(SEARCH("대만",C1452)),"TW","홀세일"))))</f>
        <v>홀세일</v>
      </c>
      <c r="B1452" s="87" t="s">
        <v>1566</v>
      </c>
      <c r="C1452" s="88" t="s">
        <v>1567</v>
      </c>
      <c r="D1452" s="88" t="s">
        <v>178</v>
      </c>
      <c r="E1452" s="87" t="n">
        <v>2025</v>
      </c>
      <c r="F1452" s="88" t="s">
        <v>277</v>
      </c>
      <c r="G1452" s="88" t="s">
        <v>180</v>
      </c>
      <c r="H1452" s="87" t="s">
        <v>246</v>
      </c>
      <c r="I1452" s="87" t="s">
        <v>1611</v>
      </c>
      <c r="J1452" s="87" t="s">
        <v>1612</v>
      </c>
      <c r="K1452" s="89" t="n">
        <v>36</v>
      </c>
      <c r="L1452" s="89" t="n">
        <v>3204000</v>
      </c>
      <c r="M1452" s="89" t="n">
        <v>1126332</v>
      </c>
      <c r="N1452" s="90" t="n">
        <f aca="false">IF(A1452="제외",0,IF(OR(N(L1452)&lt;=0,N(M1452)&gt;N(L1452)),N(M1452)/가정!$B$4,N(L1452)))</f>
        <v>3204000</v>
      </c>
      <c r="O1452" s="67" t="str">
        <f aca="false">IF(A1452="제외","",IF(OR(N(L1452)&lt;=0,N(M1452)&gt;N(L1452)),"택가보정(판매금액÷공급율)",""))</f>
        <v/>
      </c>
    </row>
    <row r="1453" customFormat="false" ht="15" hidden="false" customHeight="true" outlineLevel="0" collapsed="false">
      <c r="A1453" s="67" t="str">
        <f aca="false">IF(OR(TRIM(C1453)="",SUBSTITUTE(C1453," ","")="소계"),"제외",IF(ISNUMBER(SEARCH("홍콩",C1453)),"HK",IF(ISNUMBER(SEARCH("상해",C1453)),"CN",IF(ISNUMBER(SEARCH("대만",C1453)),"TW","홀세일"))))</f>
        <v>홀세일</v>
      </c>
      <c r="B1453" s="87" t="s">
        <v>1566</v>
      </c>
      <c r="C1453" s="88" t="s">
        <v>1567</v>
      </c>
      <c r="D1453" s="88" t="s">
        <v>178</v>
      </c>
      <c r="E1453" s="87" t="n">
        <v>2025</v>
      </c>
      <c r="F1453" s="88" t="s">
        <v>277</v>
      </c>
      <c r="G1453" s="88" t="s">
        <v>180</v>
      </c>
      <c r="H1453" s="87" t="s">
        <v>246</v>
      </c>
      <c r="I1453" s="87" t="s">
        <v>1613</v>
      </c>
      <c r="J1453" s="87" t="s">
        <v>1614</v>
      </c>
      <c r="K1453" s="89" t="n">
        <v>29</v>
      </c>
      <c r="L1453" s="89" t="n">
        <v>3161000</v>
      </c>
      <c r="M1453" s="89" t="n">
        <v>1105538</v>
      </c>
      <c r="N1453" s="90" t="n">
        <f aca="false">IF(A1453="제외",0,IF(OR(N(L1453)&lt;=0,N(M1453)&gt;N(L1453)),N(M1453)/가정!$B$4,N(L1453)))</f>
        <v>3161000</v>
      </c>
      <c r="O1453" s="67" t="str">
        <f aca="false">IF(A1453="제외","",IF(OR(N(L1453)&lt;=0,N(M1453)&gt;N(L1453)),"택가보정(판매금액÷공급율)",""))</f>
        <v/>
      </c>
    </row>
    <row r="1454" customFormat="false" ht="15" hidden="false" customHeight="true" outlineLevel="0" collapsed="false">
      <c r="A1454" s="67" t="str">
        <f aca="false">IF(OR(TRIM(C1454)="",SUBSTITUTE(C1454," ","")="소계"),"제외",IF(ISNUMBER(SEARCH("홍콩",C1454)),"HK",IF(ISNUMBER(SEARCH("상해",C1454)),"CN",IF(ISNUMBER(SEARCH("대만",C1454)),"TW","홀세일"))))</f>
        <v>홀세일</v>
      </c>
      <c r="B1454" s="87" t="s">
        <v>1566</v>
      </c>
      <c r="C1454" s="88" t="s">
        <v>1567</v>
      </c>
      <c r="D1454" s="88" t="s">
        <v>178</v>
      </c>
      <c r="E1454" s="87" t="n">
        <v>2025</v>
      </c>
      <c r="F1454" s="88" t="s">
        <v>277</v>
      </c>
      <c r="G1454" s="88" t="s">
        <v>180</v>
      </c>
      <c r="H1454" s="87" t="s">
        <v>246</v>
      </c>
      <c r="I1454" s="87" t="s">
        <v>1615</v>
      </c>
      <c r="J1454" s="87" t="s">
        <v>1616</v>
      </c>
      <c r="K1454" s="89" t="n">
        <v>48</v>
      </c>
      <c r="L1454" s="89" t="n">
        <v>3792000</v>
      </c>
      <c r="M1454" s="89" t="n">
        <v>1334112</v>
      </c>
      <c r="N1454" s="90" t="n">
        <f aca="false">IF(A1454="제외",0,IF(OR(N(L1454)&lt;=0,N(M1454)&gt;N(L1454)),N(M1454)/가정!$B$4,N(L1454)))</f>
        <v>3792000</v>
      </c>
      <c r="O1454" s="67" t="str">
        <f aca="false">IF(A1454="제외","",IF(OR(N(L1454)&lt;=0,N(M1454)&gt;N(L1454)),"택가보정(판매금액÷공급율)",""))</f>
        <v/>
      </c>
    </row>
    <row r="1455" customFormat="false" ht="15" hidden="false" customHeight="true" outlineLevel="0" collapsed="false">
      <c r="A1455" s="67" t="str">
        <f aca="false">IF(OR(TRIM(C1455)="",SUBSTITUTE(C1455," ","")="소계"),"제외",IF(ISNUMBER(SEARCH("홍콩",C1455)),"HK",IF(ISNUMBER(SEARCH("상해",C1455)),"CN",IF(ISNUMBER(SEARCH("대만",C1455)),"TW","홀세일"))))</f>
        <v>홀세일</v>
      </c>
      <c r="B1455" s="87" t="s">
        <v>1566</v>
      </c>
      <c r="C1455" s="88" t="s">
        <v>1567</v>
      </c>
      <c r="D1455" s="88" t="s">
        <v>178</v>
      </c>
      <c r="E1455" s="87" t="n">
        <v>2025</v>
      </c>
      <c r="F1455" s="87" t="s">
        <v>639</v>
      </c>
      <c r="G1455" s="88" t="s">
        <v>827</v>
      </c>
      <c r="H1455" s="87" t="s">
        <v>189</v>
      </c>
      <c r="I1455" s="87" t="s">
        <v>1617</v>
      </c>
      <c r="J1455" s="88" t="s">
        <v>1618</v>
      </c>
      <c r="K1455" s="89" t="n">
        <v>15</v>
      </c>
      <c r="L1455" s="89" t="n">
        <v>3885000</v>
      </c>
      <c r="M1455" s="89" t="n">
        <v>2035410</v>
      </c>
      <c r="N1455" s="90" t="n">
        <f aca="false">IF(A1455="제외",0,IF(OR(N(L1455)&lt;=0,N(M1455)&gt;N(L1455)),N(M1455)/가정!$B$4,N(L1455)))</f>
        <v>3885000</v>
      </c>
      <c r="O1455" s="67" t="str">
        <f aca="false">IF(A1455="제외","",IF(OR(N(L1455)&lt;=0,N(M1455)&gt;N(L1455)),"택가보정(판매금액÷공급율)",""))</f>
        <v/>
      </c>
    </row>
    <row r="1456" customFormat="false" ht="15" hidden="false" customHeight="true" outlineLevel="0" collapsed="false">
      <c r="A1456" s="67" t="str">
        <f aca="false">IF(OR(TRIM(C1456)="",SUBSTITUTE(C1456," ","")="소계"),"제외",IF(ISNUMBER(SEARCH("홍콩",C1456)),"HK",IF(ISNUMBER(SEARCH("상해",C1456)),"CN",IF(ISNUMBER(SEARCH("대만",C1456)),"TW","홀세일"))))</f>
        <v>홀세일</v>
      </c>
      <c r="B1456" s="87" t="s">
        <v>1566</v>
      </c>
      <c r="C1456" s="88" t="s">
        <v>1567</v>
      </c>
      <c r="D1456" s="88" t="s">
        <v>178</v>
      </c>
      <c r="E1456" s="87" t="n">
        <v>2025</v>
      </c>
      <c r="F1456" s="87" t="s">
        <v>639</v>
      </c>
      <c r="G1456" s="88" t="s">
        <v>827</v>
      </c>
      <c r="H1456" s="87" t="s">
        <v>189</v>
      </c>
      <c r="I1456" s="87" t="s">
        <v>1619</v>
      </c>
      <c r="J1456" s="88" t="s">
        <v>1620</v>
      </c>
      <c r="K1456" s="89" t="n">
        <v>5</v>
      </c>
      <c r="L1456" s="89" t="n">
        <v>1495000</v>
      </c>
      <c r="M1456" s="89" t="n">
        <v>783620</v>
      </c>
      <c r="N1456" s="90" t="n">
        <f aca="false">IF(A1456="제외",0,IF(OR(N(L1456)&lt;=0,N(M1456)&gt;N(L1456)),N(M1456)/가정!$B$4,N(L1456)))</f>
        <v>1495000</v>
      </c>
      <c r="O1456" s="67" t="str">
        <f aca="false">IF(A1456="제외","",IF(OR(N(L1456)&lt;=0,N(M1456)&gt;N(L1456)),"택가보정(판매금액÷공급율)",""))</f>
        <v/>
      </c>
    </row>
    <row r="1457" customFormat="false" ht="15" hidden="false" customHeight="true" outlineLevel="0" collapsed="false">
      <c r="A1457" s="67" t="str">
        <f aca="false">IF(OR(TRIM(C1457)="",SUBSTITUTE(C1457," ","")="소계"),"제외",IF(ISNUMBER(SEARCH("홍콩",C1457)),"HK",IF(ISNUMBER(SEARCH("상해",C1457)),"CN",IF(ISNUMBER(SEARCH("대만",C1457)),"TW","홀세일"))))</f>
        <v>홀세일</v>
      </c>
      <c r="B1457" s="87" t="s">
        <v>1566</v>
      </c>
      <c r="C1457" s="88" t="s">
        <v>1567</v>
      </c>
      <c r="D1457" s="88" t="s">
        <v>178</v>
      </c>
      <c r="E1457" s="87" t="n">
        <v>2025</v>
      </c>
      <c r="F1457" s="87" t="s">
        <v>639</v>
      </c>
      <c r="G1457" s="88" t="s">
        <v>827</v>
      </c>
      <c r="H1457" s="88" t="s">
        <v>185</v>
      </c>
      <c r="I1457" s="87" t="s">
        <v>1621</v>
      </c>
      <c r="J1457" s="87" t="s">
        <v>1622</v>
      </c>
      <c r="K1457" s="89" t="n">
        <v>5</v>
      </c>
      <c r="L1457" s="89" t="n">
        <v>1295000</v>
      </c>
      <c r="M1457" s="89" t="n">
        <v>678470</v>
      </c>
      <c r="N1457" s="90" t="n">
        <f aca="false">IF(A1457="제외",0,IF(OR(N(L1457)&lt;=0,N(M1457)&gt;N(L1457)),N(M1457)/가정!$B$4,N(L1457)))</f>
        <v>1295000</v>
      </c>
      <c r="O1457" s="67" t="str">
        <f aca="false">IF(A1457="제외","",IF(OR(N(L1457)&lt;=0,N(M1457)&gt;N(L1457)),"택가보정(판매금액÷공급율)",""))</f>
        <v/>
      </c>
    </row>
    <row r="1458" customFormat="false" ht="15" hidden="false" customHeight="true" outlineLevel="0" collapsed="false">
      <c r="A1458" s="67" t="str">
        <f aca="false">IF(OR(TRIM(C1458)="",SUBSTITUTE(C1458," ","")="소계"),"제외",IF(ISNUMBER(SEARCH("홍콩",C1458)),"HK",IF(ISNUMBER(SEARCH("상해",C1458)),"CN",IF(ISNUMBER(SEARCH("대만",C1458)),"TW","홀세일"))))</f>
        <v>홀세일</v>
      </c>
      <c r="B1458" s="87" t="s">
        <v>1566</v>
      </c>
      <c r="C1458" s="88" t="s">
        <v>1567</v>
      </c>
      <c r="D1458" s="88" t="s">
        <v>178</v>
      </c>
      <c r="E1458" s="87" t="n">
        <v>2025</v>
      </c>
      <c r="F1458" s="87" t="s">
        <v>639</v>
      </c>
      <c r="G1458" s="88" t="s">
        <v>418</v>
      </c>
      <c r="H1458" s="88" t="s">
        <v>185</v>
      </c>
      <c r="I1458" s="87" t="s">
        <v>1623</v>
      </c>
      <c r="J1458" s="87" t="s">
        <v>1624</v>
      </c>
      <c r="K1458" s="89" t="n">
        <v>19</v>
      </c>
      <c r="L1458" s="89" t="n">
        <v>2261000</v>
      </c>
      <c r="M1458" s="89" t="n">
        <v>911886</v>
      </c>
      <c r="N1458" s="90" t="n">
        <f aca="false">IF(A1458="제외",0,IF(OR(N(L1458)&lt;=0,N(M1458)&gt;N(L1458)),N(M1458)/가정!$B$4,N(L1458)))</f>
        <v>2261000</v>
      </c>
      <c r="O1458" s="67" t="str">
        <f aca="false">IF(A1458="제외","",IF(OR(N(L1458)&lt;=0,N(M1458)&gt;N(L1458)),"택가보정(판매금액÷공급율)",""))</f>
        <v/>
      </c>
    </row>
    <row r="1459" customFormat="false" ht="15" hidden="false" customHeight="true" outlineLevel="0" collapsed="false">
      <c r="A1459" s="67" t="str">
        <f aca="false">IF(OR(TRIM(C1459)="",SUBSTITUTE(C1459," ","")="소계"),"제외",IF(ISNUMBER(SEARCH("홍콩",C1459)),"HK",IF(ISNUMBER(SEARCH("상해",C1459)),"CN",IF(ISNUMBER(SEARCH("대만",C1459)),"TW","홀세일"))))</f>
        <v>홀세일</v>
      </c>
      <c r="B1459" s="87" t="s">
        <v>1566</v>
      </c>
      <c r="C1459" s="88" t="s">
        <v>1567</v>
      </c>
      <c r="D1459" s="88" t="s">
        <v>178</v>
      </c>
      <c r="E1459" s="87" t="n">
        <v>2025</v>
      </c>
      <c r="F1459" s="87" t="s">
        <v>639</v>
      </c>
      <c r="G1459" s="88" t="s">
        <v>418</v>
      </c>
      <c r="H1459" s="88" t="s">
        <v>185</v>
      </c>
      <c r="I1459" s="87" t="s">
        <v>1625</v>
      </c>
      <c r="J1459" s="87" t="s">
        <v>1626</v>
      </c>
      <c r="K1459" s="89" t="n">
        <v>36</v>
      </c>
      <c r="L1459" s="89" t="n">
        <v>5004000</v>
      </c>
      <c r="M1459" s="89" t="n">
        <v>2017584</v>
      </c>
      <c r="N1459" s="90" t="n">
        <f aca="false">IF(A1459="제외",0,IF(OR(N(L1459)&lt;=0,N(M1459)&gt;N(L1459)),N(M1459)/가정!$B$4,N(L1459)))</f>
        <v>5004000</v>
      </c>
      <c r="O1459" s="67" t="str">
        <f aca="false">IF(A1459="제외","",IF(OR(N(L1459)&lt;=0,N(M1459)&gt;N(L1459)),"택가보정(판매금액÷공급율)",""))</f>
        <v/>
      </c>
    </row>
    <row r="1460" customFormat="false" ht="15" hidden="false" customHeight="true" outlineLevel="0" collapsed="false">
      <c r="A1460" s="67" t="str">
        <f aca="false">IF(OR(TRIM(C1460)="",SUBSTITUTE(C1460," ","")="소계"),"제외",IF(ISNUMBER(SEARCH("홍콩",C1460)),"HK",IF(ISNUMBER(SEARCH("상해",C1460)),"CN",IF(ISNUMBER(SEARCH("대만",C1460)),"TW","홀세일"))))</f>
        <v>홀세일</v>
      </c>
      <c r="B1460" s="87" t="s">
        <v>1566</v>
      </c>
      <c r="C1460" s="88" t="s">
        <v>1567</v>
      </c>
      <c r="D1460" s="88" t="s">
        <v>178</v>
      </c>
      <c r="E1460" s="87" t="n">
        <v>2025</v>
      </c>
      <c r="F1460" s="87" t="s">
        <v>639</v>
      </c>
      <c r="G1460" s="88" t="s">
        <v>418</v>
      </c>
      <c r="H1460" s="88" t="s">
        <v>185</v>
      </c>
      <c r="I1460" s="87" t="s">
        <v>1627</v>
      </c>
      <c r="J1460" s="87" t="s">
        <v>1628</v>
      </c>
      <c r="K1460" s="89" t="n">
        <v>17</v>
      </c>
      <c r="L1460" s="89" t="n">
        <v>2193000</v>
      </c>
      <c r="M1460" s="89" t="n">
        <v>883031</v>
      </c>
      <c r="N1460" s="90" t="n">
        <f aca="false">IF(A1460="제외",0,IF(OR(N(L1460)&lt;=0,N(M1460)&gt;N(L1460)),N(M1460)/가정!$B$4,N(L1460)))</f>
        <v>2193000</v>
      </c>
      <c r="O1460" s="67" t="str">
        <f aca="false">IF(A1460="제외","",IF(OR(N(L1460)&lt;=0,N(M1460)&gt;N(L1460)),"택가보정(판매금액÷공급율)",""))</f>
        <v/>
      </c>
    </row>
    <row r="1461" customFormat="false" ht="15" hidden="false" customHeight="true" outlineLevel="0" collapsed="false">
      <c r="A1461" s="67" t="str">
        <f aca="false">IF(OR(TRIM(C1461)="",SUBSTITUTE(C1461," ","")="소계"),"제외",IF(ISNUMBER(SEARCH("홍콩",C1461)),"HK",IF(ISNUMBER(SEARCH("상해",C1461)),"CN",IF(ISNUMBER(SEARCH("대만",C1461)),"TW","홀세일"))))</f>
        <v>홀세일</v>
      </c>
      <c r="B1461" s="87" t="s">
        <v>1566</v>
      </c>
      <c r="C1461" s="88" t="s">
        <v>1567</v>
      </c>
      <c r="D1461" s="88" t="s">
        <v>178</v>
      </c>
      <c r="E1461" s="87" t="n">
        <v>2025</v>
      </c>
      <c r="F1461" s="87" t="s">
        <v>639</v>
      </c>
      <c r="G1461" s="88" t="s">
        <v>418</v>
      </c>
      <c r="H1461" s="88" t="s">
        <v>185</v>
      </c>
      <c r="I1461" s="87" t="s">
        <v>1629</v>
      </c>
      <c r="J1461" s="87" t="s">
        <v>1630</v>
      </c>
      <c r="K1461" s="89" t="n">
        <v>29</v>
      </c>
      <c r="L1461" s="89" t="n">
        <v>2871000</v>
      </c>
      <c r="M1461" s="89" t="n">
        <v>1162784</v>
      </c>
      <c r="N1461" s="90" t="n">
        <f aca="false">IF(A1461="제외",0,IF(OR(N(L1461)&lt;=0,N(M1461)&gt;N(L1461)),N(M1461)/가정!$B$4,N(L1461)))</f>
        <v>2871000</v>
      </c>
      <c r="O1461" s="67" t="str">
        <f aca="false">IF(A1461="제외","",IF(OR(N(L1461)&lt;=0,N(M1461)&gt;N(L1461)),"택가보정(판매금액÷공급율)",""))</f>
        <v/>
      </c>
    </row>
    <row r="1462" customFormat="false" ht="15" hidden="false" customHeight="true" outlineLevel="0" collapsed="false">
      <c r="A1462" s="67" t="str">
        <f aca="false">IF(OR(TRIM(C1462)="",SUBSTITUTE(C1462," ","")="소계"),"제외",IF(ISNUMBER(SEARCH("홍콩",C1462)),"HK",IF(ISNUMBER(SEARCH("상해",C1462)),"CN",IF(ISNUMBER(SEARCH("대만",C1462)),"TW","홀세일"))))</f>
        <v>홀세일</v>
      </c>
      <c r="B1462" s="87" t="s">
        <v>1566</v>
      </c>
      <c r="C1462" s="88" t="s">
        <v>1567</v>
      </c>
      <c r="D1462" s="88" t="s">
        <v>178</v>
      </c>
      <c r="E1462" s="87" t="n">
        <v>2026</v>
      </c>
      <c r="F1462" s="88" t="s">
        <v>179</v>
      </c>
      <c r="G1462" s="88" t="s">
        <v>188</v>
      </c>
      <c r="H1462" s="87" t="s">
        <v>189</v>
      </c>
      <c r="I1462" s="87" t="s">
        <v>190</v>
      </c>
      <c r="J1462" s="88" t="s">
        <v>191</v>
      </c>
      <c r="K1462" s="89" t="n">
        <v>30</v>
      </c>
      <c r="L1462" s="89" t="n">
        <v>5070000</v>
      </c>
      <c r="M1462" s="89" t="n">
        <v>2067660</v>
      </c>
      <c r="N1462" s="90" t="n">
        <f aca="false">IF(A1462="제외",0,IF(OR(N(L1462)&lt;=0,N(M1462)&gt;N(L1462)),N(M1462)/가정!$B$4,N(L1462)))</f>
        <v>5070000</v>
      </c>
      <c r="O1462" s="67" t="str">
        <f aca="false">IF(A1462="제외","",IF(OR(N(L1462)&lt;=0,N(M1462)&gt;N(L1462)),"택가보정(판매금액÷공급율)",""))</f>
        <v/>
      </c>
    </row>
    <row r="1463" customFormat="false" ht="15" hidden="false" customHeight="true" outlineLevel="0" collapsed="false">
      <c r="A1463" s="67" t="str">
        <f aca="false">IF(OR(TRIM(C1463)="",SUBSTITUTE(C1463," ","")="소계"),"제외",IF(ISNUMBER(SEARCH("홍콩",C1463)),"HK",IF(ISNUMBER(SEARCH("상해",C1463)),"CN",IF(ISNUMBER(SEARCH("대만",C1463)),"TW","홀세일"))))</f>
        <v>홀세일</v>
      </c>
      <c r="B1463" s="87" t="s">
        <v>1566</v>
      </c>
      <c r="C1463" s="88" t="s">
        <v>1567</v>
      </c>
      <c r="D1463" s="88" t="s">
        <v>178</v>
      </c>
      <c r="E1463" s="87" t="n">
        <v>2026</v>
      </c>
      <c r="F1463" s="88" t="s">
        <v>179</v>
      </c>
      <c r="G1463" s="88" t="s">
        <v>188</v>
      </c>
      <c r="H1463" s="87" t="s">
        <v>189</v>
      </c>
      <c r="I1463" s="87" t="s">
        <v>200</v>
      </c>
      <c r="J1463" s="88" t="s">
        <v>201</v>
      </c>
      <c r="K1463" s="89" t="n">
        <v>30</v>
      </c>
      <c r="L1463" s="89" t="n">
        <v>5070000</v>
      </c>
      <c r="M1463" s="89" t="n">
        <v>2067660</v>
      </c>
      <c r="N1463" s="90" t="n">
        <f aca="false">IF(A1463="제외",0,IF(OR(N(L1463)&lt;=0,N(M1463)&gt;N(L1463)),N(M1463)/가정!$B$4,N(L1463)))</f>
        <v>5070000</v>
      </c>
      <c r="O1463" s="67" t="str">
        <f aca="false">IF(A1463="제외","",IF(OR(N(L1463)&lt;=0,N(M1463)&gt;N(L1463)),"택가보정(판매금액÷공급율)",""))</f>
        <v/>
      </c>
    </row>
    <row r="1464" customFormat="false" ht="15" hidden="false" customHeight="true" outlineLevel="0" collapsed="false">
      <c r="A1464" s="67" t="str">
        <f aca="false">IF(OR(TRIM(C1464)="",SUBSTITUTE(C1464," ","")="소계"),"제외",IF(ISNUMBER(SEARCH("홍콩",C1464)),"HK",IF(ISNUMBER(SEARCH("상해",C1464)),"CN",IF(ISNUMBER(SEARCH("대만",C1464)),"TW","홀세일"))))</f>
        <v>홀세일</v>
      </c>
      <c r="B1464" s="87" t="s">
        <v>1566</v>
      </c>
      <c r="C1464" s="88" t="s">
        <v>1567</v>
      </c>
      <c r="D1464" s="88" t="s">
        <v>178</v>
      </c>
      <c r="E1464" s="87" t="n">
        <v>2026</v>
      </c>
      <c r="F1464" s="88" t="s">
        <v>179</v>
      </c>
      <c r="G1464" s="88" t="s">
        <v>180</v>
      </c>
      <c r="H1464" s="87" t="s">
        <v>181</v>
      </c>
      <c r="I1464" s="87" t="s">
        <v>1631</v>
      </c>
      <c r="J1464" s="88" t="s">
        <v>1632</v>
      </c>
      <c r="K1464" s="89" t="n">
        <v>26</v>
      </c>
      <c r="L1464" s="89" t="n">
        <v>3614000</v>
      </c>
      <c r="M1464" s="89" t="n">
        <v>1330784</v>
      </c>
      <c r="N1464" s="90" t="n">
        <f aca="false">IF(A1464="제외",0,IF(OR(N(L1464)&lt;=0,N(M1464)&gt;N(L1464)),N(M1464)/가정!$B$4,N(L1464)))</f>
        <v>3614000</v>
      </c>
      <c r="O1464" s="67" t="str">
        <f aca="false">IF(A1464="제외","",IF(OR(N(L1464)&lt;=0,N(M1464)&gt;N(L1464)),"택가보정(판매금액÷공급율)",""))</f>
        <v/>
      </c>
    </row>
    <row r="1465" customFormat="false" ht="15" hidden="false" customHeight="true" outlineLevel="0" collapsed="false">
      <c r="A1465" s="67" t="str">
        <f aca="false">IF(OR(TRIM(C1465)="",SUBSTITUTE(C1465," ","")="소계"),"제외",IF(ISNUMBER(SEARCH("홍콩",C1465)),"HK",IF(ISNUMBER(SEARCH("상해",C1465)),"CN",IF(ISNUMBER(SEARCH("대만",C1465)),"TW","홀세일"))))</f>
        <v>홀세일</v>
      </c>
      <c r="B1465" s="87" t="s">
        <v>1566</v>
      </c>
      <c r="C1465" s="88" t="s">
        <v>1567</v>
      </c>
      <c r="D1465" s="88" t="s">
        <v>178</v>
      </c>
      <c r="E1465" s="87" t="n">
        <v>2026</v>
      </c>
      <c r="F1465" s="88" t="s">
        <v>179</v>
      </c>
      <c r="G1465" s="88" t="s">
        <v>180</v>
      </c>
      <c r="H1465" s="87" t="s">
        <v>189</v>
      </c>
      <c r="I1465" s="87" t="s">
        <v>224</v>
      </c>
      <c r="J1465" s="88" t="s">
        <v>225</v>
      </c>
      <c r="K1465" s="89" t="n">
        <v>33</v>
      </c>
      <c r="L1465" s="89" t="n">
        <v>5907000</v>
      </c>
      <c r="M1465" s="89" t="n">
        <v>2305545</v>
      </c>
      <c r="N1465" s="90" t="n">
        <f aca="false">IF(A1465="제외",0,IF(OR(N(L1465)&lt;=0,N(M1465)&gt;N(L1465)),N(M1465)/가정!$B$4,N(L1465)))</f>
        <v>5907000</v>
      </c>
      <c r="O1465" s="67" t="str">
        <f aca="false">IF(A1465="제외","",IF(OR(N(L1465)&lt;=0,N(M1465)&gt;N(L1465)),"택가보정(판매금액÷공급율)",""))</f>
        <v/>
      </c>
    </row>
    <row r="1466" customFormat="false" ht="15" hidden="false" customHeight="true" outlineLevel="0" collapsed="false">
      <c r="A1466" s="67" t="str">
        <f aca="false">IF(OR(TRIM(C1466)="",SUBSTITUTE(C1466," ","")="소계"),"제외",IF(ISNUMBER(SEARCH("홍콩",C1466)),"HK",IF(ISNUMBER(SEARCH("상해",C1466)),"CN",IF(ISNUMBER(SEARCH("대만",C1466)),"TW","홀세일"))))</f>
        <v>홀세일</v>
      </c>
      <c r="B1466" s="87" t="s">
        <v>1566</v>
      </c>
      <c r="C1466" s="88" t="s">
        <v>1567</v>
      </c>
      <c r="D1466" s="88" t="s">
        <v>178</v>
      </c>
      <c r="E1466" s="87" t="n">
        <v>2026</v>
      </c>
      <c r="F1466" s="88" t="s">
        <v>179</v>
      </c>
      <c r="G1466" s="88" t="s">
        <v>180</v>
      </c>
      <c r="H1466" s="87" t="s">
        <v>189</v>
      </c>
      <c r="I1466" s="87" t="s">
        <v>1452</v>
      </c>
      <c r="J1466" s="88" t="s">
        <v>1453</v>
      </c>
      <c r="K1466" s="89" t="n">
        <v>11</v>
      </c>
      <c r="L1466" s="89" t="n">
        <v>1749000</v>
      </c>
      <c r="M1466" s="89" t="n">
        <v>683309</v>
      </c>
      <c r="N1466" s="90" t="n">
        <f aca="false">IF(A1466="제외",0,IF(OR(N(L1466)&lt;=0,N(M1466)&gt;N(L1466)),N(M1466)/가정!$B$4,N(L1466)))</f>
        <v>1749000</v>
      </c>
      <c r="O1466" s="67" t="str">
        <f aca="false">IF(A1466="제외","",IF(OR(N(L1466)&lt;=0,N(M1466)&gt;N(L1466)),"택가보정(판매금액÷공급율)",""))</f>
        <v/>
      </c>
    </row>
    <row r="1467" customFormat="false" ht="15" hidden="false" customHeight="true" outlineLevel="0" collapsed="false">
      <c r="A1467" s="67" t="str">
        <f aca="false">IF(OR(TRIM(C1467)="",SUBSTITUTE(C1467," ","")="소계"),"제외",IF(ISNUMBER(SEARCH("홍콩",C1467)),"HK",IF(ISNUMBER(SEARCH("상해",C1467)),"CN",IF(ISNUMBER(SEARCH("대만",C1467)),"TW","홀세일"))))</f>
        <v>홀세일</v>
      </c>
      <c r="B1467" s="87" t="s">
        <v>1566</v>
      </c>
      <c r="C1467" s="88" t="s">
        <v>1567</v>
      </c>
      <c r="D1467" s="88" t="s">
        <v>178</v>
      </c>
      <c r="E1467" s="87" t="n">
        <v>2026</v>
      </c>
      <c r="F1467" s="88" t="s">
        <v>179</v>
      </c>
      <c r="G1467" s="88" t="s">
        <v>180</v>
      </c>
      <c r="H1467" s="87" t="s">
        <v>181</v>
      </c>
      <c r="I1467" s="87" t="s">
        <v>855</v>
      </c>
      <c r="J1467" s="88" t="s">
        <v>856</v>
      </c>
      <c r="K1467" s="89" t="n">
        <v>28</v>
      </c>
      <c r="L1467" s="89" t="n">
        <v>5012000</v>
      </c>
      <c r="M1467" s="89" t="n">
        <v>1845648</v>
      </c>
      <c r="N1467" s="90" t="n">
        <f aca="false">IF(A1467="제외",0,IF(OR(N(L1467)&lt;=0,N(M1467)&gt;N(L1467)),N(M1467)/가정!$B$4,N(L1467)))</f>
        <v>5012000</v>
      </c>
      <c r="O1467" s="67" t="str">
        <f aca="false">IF(A1467="제외","",IF(OR(N(L1467)&lt;=0,N(M1467)&gt;N(L1467)),"택가보정(판매금액÷공급율)",""))</f>
        <v/>
      </c>
    </row>
    <row r="1468" customFormat="false" ht="15" hidden="false" customHeight="true" outlineLevel="0" collapsed="false">
      <c r="A1468" s="67" t="str">
        <f aca="false">IF(OR(TRIM(C1468)="",SUBSTITUTE(C1468," ","")="소계"),"제외",IF(ISNUMBER(SEARCH("홍콩",C1468)),"HK",IF(ISNUMBER(SEARCH("상해",C1468)),"CN",IF(ISNUMBER(SEARCH("대만",C1468)),"TW","홀세일"))))</f>
        <v>홀세일</v>
      </c>
      <c r="B1468" s="87" t="s">
        <v>1566</v>
      </c>
      <c r="C1468" s="88" t="s">
        <v>1567</v>
      </c>
      <c r="D1468" s="88" t="s">
        <v>178</v>
      </c>
      <c r="E1468" s="87" t="n">
        <v>2026</v>
      </c>
      <c r="F1468" s="88" t="s">
        <v>179</v>
      </c>
      <c r="G1468" s="88" t="s">
        <v>180</v>
      </c>
      <c r="H1468" s="87" t="s">
        <v>246</v>
      </c>
      <c r="I1468" s="87" t="s">
        <v>261</v>
      </c>
      <c r="J1468" s="87" t="s">
        <v>262</v>
      </c>
      <c r="K1468" s="89" t="n">
        <v>2</v>
      </c>
      <c r="L1468" s="89" t="n">
        <v>398000</v>
      </c>
      <c r="M1468" s="89" t="n">
        <v>155526</v>
      </c>
      <c r="N1468" s="90" t="n">
        <f aca="false">IF(A1468="제외",0,IF(OR(N(L1468)&lt;=0,N(M1468)&gt;N(L1468)),N(M1468)/가정!$B$4,N(L1468)))</f>
        <v>398000</v>
      </c>
      <c r="O1468" s="67" t="str">
        <f aca="false">IF(A1468="제외","",IF(OR(N(L1468)&lt;=0,N(M1468)&gt;N(L1468)),"택가보정(판매금액÷공급율)",""))</f>
        <v/>
      </c>
    </row>
    <row r="1469" customFormat="false" ht="15" hidden="false" customHeight="true" outlineLevel="0" collapsed="false">
      <c r="A1469" s="67" t="str">
        <f aca="false">IF(OR(TRIM(C1469)="",SUBSTITUTE(C1469," ","")="소계"),"제외",IF(ISNUMBER(SEARCH("홍콩",C1469)),"HK",IF(ISNUMBER(SEARCH("상해",C1469)),"CN",IF(ISNUMBER(SEARCH("대만",C1469)),"TW","홀세일"))))</f>
        <v>홀세일</v>
      </c>
      <c r="B1469" s="87" t="s">
        <v>1566</v>
      </c>
      <c r="C1469" s="88" t="s">
        <v>1567</v>
      </c>
      <c r="D1469" s="88" t="s">
        <v>178</v>
      </c>
      <c r="E1469" s="87" t="n">
        <v>2026</v>
      </c>
      <c r="F1469" s="88" t="s">
        <v>179</v>
      </c>
      <c r="G1469" s="88" t="s">
        <v>180</v>
      </c>
      <c r="H1469" s="87" t="s">
        <v>246</v>
      </c>
      <c r="I1469" s="87" t="s">
        <v>263</v>
      </c>
      <c r="J1469" s="87" t="s">
        <v>264</v>
      </c>
      <c r="K1469" s="89" t="n">
        <v>6</v>
      </c>
      <c r="L1469" s="89" t="n">
        <v>894000</v>
      </c>
      <c r="M1469" s="89" t="n">
        <v>328974</v>
      </c>
      <c r="N1469" s="90" t="n">
        <f aca="false">IF(A1469="제외",0,IF(OR(N(L1469)&lt;=0,N(M1469)&gt;N(L1469)),N(M1469)/가정!$B$4,N(L1469)))</f>
        <v>894000</v>
      </c>
      <c r="O1469" s="67" t="str">
        <f aca="false">IF(A1469="제외","",IF(OR(N(L1469)&lt;=0,N(M1469)&gt;N(L1469)),"택가보정(판매금액÷공급율)",""))</f>
        <v/>
      </c>
    </row>
    <row r="1470" customFormat="false" ht="15" hidden="false" customHeight="true" outlineLevel="0" collapsed="false">
      <c r="A1470" s="67" t="str">
        <f aca="false">IF(OR(TRIM(C1470)="",SUBSTITUTE(C1470," ","")="소계"),"제외",IF(ISNUMBER(SEARCH("홍콩",C1470)),"HK",IF(ISNUMBER(SEARCH("상해",C1470)),"CN",IF(ISNUMBER(SEARCH("대만",C1470)),"TW","홀세일"))))</f>
        <v>홀세일</v>
      </c>
      <c r="B1470" s="87" t="s">
        <v>1566</v>
      </c>
      <c r="C1470" s="88" t="s">
        <v>1567</v>
      </c>
      <c r="D1470" s="88" t="s">
        <v>178</v>
      </c>
      <c r="E1470" s="87" t="n">
        <v>2026</v>
      </c>
      <c r="F1470" s="88" t="s">
        <v>277</v>
      </c>
      <c r="G1470" s="88" t="s">
        <v>188</v>
      </c>
      <c r="H1470" s="87" t="s">
        <v>189</v>
      </c>
      <c r="I1470" s="87" t="s">
        <v>1329</v>
      </c>
      <c r="J1470" s="88" t="s">
        <v>1330</v>
      </c>
      <c r="K1470" s="89" t="n">
        <v>400</v>
      </c>
      <c r="L1470" s="89" t="n">
        <v>18000000</v>
      </c>
      <c r="M1470" s="89" t="n">
        <v>7368000</v>
      </c>
      <c r="N1470" s="90" t="n">
        <f aca="false">IF(A1470="제외",0,IF(OR(N(L1470)&lt;=0,N(M1470)&gt;N(L1470)),N(M1470)/가정!$B$4,N(L1470)))</f>
        <v>18000000</v>
      </c>
      <c r="O1470" s="67" t="str">
        <f aca="false">IF(A1470="제외","",IF(OR(N(L1470)&lt;=0,N(M1470)&gt;N(L1470)),"택가보정(판매금액÷공급율)",""))</f>
        <v/>
      </c>
    </row>
    <row r="1471" customFormat="false" ht="15" hidden="false" customHeight="true" outlineLevel="0" collapsed="false">
      <c r="A1471" s="67" t="str">
        <f aca="false">IF(OR(TRIM(C1471)="",SUBSTITUTE(C1471," ","")="소계"),"제외",IF(ISNUMBER(SEARCH("홍콩",C1471)),"HK",IF(ISNUMBER(SEARCH("상해",C1471)),"CN",IF(ISNUMBER(SEARCH("대만",C1471)),"TW","홀세일"))))</f>
        <v>홀세일</v>
      </c>
      <c r="B1471" s="87" t="s">
        <v>1566</v>
      </c>
      <c r="C1471" s="88" t="s">
        <v>1567</v>
      </c>
      <c r="D1471" s="88" t="s">
        <v>178</v>
      </c>
      <c r="E1471" s="87" t="n">
        <v>2026</v>
      </c>
      <c r="F1471" s="88" t="s">
        <v>277</v>
      </c>
      <c r="G1471" s="88" t="s">
        <v>180</v>
      </c>
      <c r="H1471" s="87" t="s">
        <v>189</v>
      </c>
      <c r="I1471" s="87" t="s">
        <v>352</v>
      </c>
      <c r="J1471" s="88" t="s">
        <v>353</v>
      </c>
      <c r="K1471" s="89" t="n">
        <v>131</v>
      </c>
      <c r="L1471" s="89" t="n">
        <v>7729000</v>
      </c>
      <c r="M1471" s="89" t="n">
        <v>2845189</v>
      </c>
      <c r="N1471" s="90" t="n">
        <f aca="false">IF(A1471="제외",0,IF(OR(N(L1471)&lt;=0,N(M1471)&gt;N(L1471)),N(M1471)/가정!$B$4,N(L1471)))</f>
        <v>7729000</v>
      </c>
      <c r="O1471" s="67" t="str">
        <f aca="false">IF(A1471="제외","",IF(OR(N(L1471)&lt;=0,N(M1471)&gt;N(L1471)),"택가보정(판매금액÷공급율)",""))</f>
        <v/>
      </c>
    </row>
    <row r="1472" customFormat="false" ht="15" hidden="false" customHeight="true" outlineLevel="0" collapsed="false">
      <c r="A1472" s="67" t="str">
        <f aca="false">IF(OR(TRIM(C1472)="",SUBSTITUTE(C1472," ","")="소계"),"제외",IF(ISNUMBER(SEARCH("홍콩",C1472)),"HK",IF(ISNUMBER(SEARCH("상해",C1472)),"CN",IF(ISNUMBER(SEARCH("대만",C1472)),"TW","홀세일"))))</f>
        <v>홀세일</v>
      </c>
      <c r="B1472" s="87" t="s">
        <v>1566</v>
      </c>
      <c r="C1472" s="88" t="s">
        <v>1567</v>
      </c>
      <c r="D1472" s="88" t="s">
        <v>178</v>
      </c>
      <c r="E1472" s="87" t="n">
        <v>2026</v>
      </c>
      <c r="F1472" s="88" t="s">
        <v>421</v>
      </c>
      <c r="G1472" s="88" t="s">
        <v>188</v>
      </c>
      <c r="H1472" s="87" t="s">
        <v>189</v>
      </c>
      <c r="I1472" s="87" t="s">
        <v>923</v>
      </c>
      <c r="J1472" s="87" t="s">
        <v>924</v>
      </c>
      <c r="K1472" s="89" t="n">
        <v>350</v>
      </c>
      <c r="L1472" s="89" t="n">
        <v>38150000</v>
      </c>
      <c r="M1472" s="89" t="n">
        <v>12980450</v>
      </c>
      <c r="N1472" s="90" t="n">
        <f aca="false">IF(A1472="제외",0,IF(OR(N(L1472)&lt;=0,N(M1472)&gt;N(L1472)),N(M1472)/가정!$B$4,N(L1472)))</f>
        <v>38150000</v>
      </c>
      <c r="O1472" s="67" t="str">
        <f aca="false">IF(A1472="제외","",IF(OR(N(L1472)&lt;=0,N(M1472)&gt;N(L1472)),"택가보정(판매금액÷공급율)",""))</f>
        <v/>
      </c>
    </row>
    <row r="1473" customFormat="false" ht="15" hidden="false" customHeight="true" outlineLevel="0" collapsed="false">
      <c r="A1473" s="67" t="str">
        <f aca="false">IF(OR(TRIM(C1473)="",SUBSTITUTE(C1473," ","")="소계"),"제외",IF(ISNUMBER(SEARCH("홍콩",C1473)),"HK",IF(ISNUMBER(SEARCH("상해",C1473)),"CN",IF(ISNUMBER(SEARCH("대만",C1473)),"TW","홀세일"))))</f>
        <v>홀세일</v>
      </c>
      <c r="B1473" s="87" t="s">
        <v>1566</v>
      </c>
      <c r="C1473" s="88" t="s">
        <v>1567</v>
      </c>
      <c r="D1473" s="88" t="s">
        <v>178</v>
      </c>
      <c r="E1473" s="87" t="n">
        <v>2026</v>
      </c>
      <c r="F1473" s="88" t="s">
        <v>421</v>
      </c>
      <c r="G1473" s="88" t="s">
        <v>188</v>
      </c>
      <c r="H1473" s="87" t="s">
        <v>189</v>
      </c>
      <c r="I1473" s="87" t="s">
        <v>430</v>
      </c>
      <c r="J1473" s="87" t="s">
        <v>431</v>
      </c>
      <c r="K1473" s="89" t="n">
        <v>500</v>
      </c>
      <c r="L1473" s="89" t="n">
        <v>49500000</v>
      </c>
      <c r="M1473" s="89" t="n">
        <v>16845500</v>
      </c>
      <c r="N1473" s="90" t="n">
        <f aca="false">IF(A1473="제외",0,IF(OR(N(L1473)&lt;=0,N(M1473)&gt;N(L1473)),N(M1473)/가정!$B$4,N(L1473)))</f>
        <v>49500000</v>
      </c>
      <c r="O1473" s="67" t="str">
        <f aca="false">IF(A1473="제외","",IF(OR(N(L1473)&lt;=0,N(M1473)&gt;N(L1473)),"택가보정(판매금액÷공급율)",""))</f>
        <v/>
      </c>
    </row>
    <row r="1474" customFormat="false" ht="15" hidden="false" customHeight="true" outlineLevel="0" collapsed="false">
      <c r="A1474" s="67" t="str">
        <f aca="false">IF(OR(TRIM(C1474)="",SUBSTITUTE(C1474," ","")="소계"),"제외",IF(ISNUMBER(SEARCH("홍콩",C1474)),"HK",IF(ISNUMBER(SEARCH("상해",C1474)),"CN",IF(ISNUMBER(SEARCH("대만",C1474)),"TW","홀세일"))))</f>
        <v>홀세일</v>
      </c>
      <c r="B1474" s="87" t="s">
        <v>1566</v>
      </c>
      <c r="C1474" s="88" t="s">
        <v>1567</v>
      </c>
      <c r="D1474" s="88" t="s">
        <v>178</v>
      </c>
      <c r="E1474" s="87" t="n">
        <v>2026</v>
      </c>
      <c r="F1474" s="88" t="s">
        <v>421</v>
      </c>
      <c r="G1474" s="88" t="s">
        <v>188</v>
      </c>
      <c r="H1474" s="87" t="s">
        <v>189</v>
      </c>
      <c r="I1474" s="87" t="s">
        <v>432</v>
      </c>
      <c r="J1474" s="87" t="s">
        <v>433</v>
      </c>
      <c r="K1474" s="89" t="n">
        <v>30</v>
      </c>
      <c r="L1474" s="89" t="n">
        <v>2070000</v>
      </c>
      <c r="M1474" s="89" t="n">
        <v>705060</v>
      </c>
      <c r="N1474" s="90" t="n">
        <f aca="false">IF(A1474="제외",0,IF(OR(N(L1474)&lt;=0,N(M1474)&gt;N(L1474)),N(M1474)/가정!$B$4,N(L1474)))</f>
        <v>2070000</v>
      </c>
      <c r="O1474" s="67" t="str">
        <f aca="false">IF(A1474="제외","",IF(OR(N(L1474)&lt;=0,N(M1474)&gt;N(L1474)),"택가보정(판매금액÷공급율)",""))</f>
        <v/>
      </c>
    </row>
    <row r="1475" customFormat="false" ht="15" hidden="false" customHeight="true" outlineLevel="0" collapsed="false">
      <c r="A1475" s="67" t="str">
        <f aca="false">IF(OR(TRIM(C1475)="",SUBSTITUTE(C1475," ","")="소계"),"제외",IF(ISNUMBER(SEARCH("홍콩",C1475)),"HK",IF(ISNUMBER(SEARCH("상해",C1475)),"CN",IF(ISNUMBER(SEARCH("대만",C1475)),"TW","홀세일"))))</f>
        <v>홀세일</v>
      </c>
      <c r="B1475" s="87" t="s">
        <v>1566</v>
      </c>
      <c r="C1475" s="88" t="s">
        <v>1567</v>
      </c>
      <c r="D1475" s="88" t="s">
        <v>178</v>
      </c>
      <c r="E1475" s="87" t="n">
        <v>2026</v>
      </c>
      <c r="F1475" s="88" t="s">
        <v>421</v>
      </c>
      <c r="G1475" s="88" t="s">
        <v>188</v>
      </c>
      <c r="H1475" s="87" t="s">
        <v>189</v>
      </c>
      <c r="I1475" s="87" t="s">
        <v>434</v>
      </c>
      <c r="J1475" s="87" t="s">
        <v>435</v>
      </c>
      <c r="K1475" s="89" t="n">
        <v>1000</v>
      </c>
      <c r="L1475" s="89" t="n">
        <v>89000000</v>
      </c>
      <c r="M1475" s="89" t="n">
        <v>30295000</v>
      </c>
      <c r="N1475" s="90" t="n">
        <f aca="false">IF(A1475="제외",0,IF(OR(N(L1475)&lt;=0,N(M1475)&gt;N(L1475)),N(M1475)/가정!$B$4,N(L1475)))</f>
        <v>89000000</v>
      </c>
      <c r="O1475" s="67" t="str">
        <f aca="false">IF(A1475="제외","",IF(OR(N(L1475)&lt;=0,N(M1475)&gt;N(L1475)),"택가보정(판매금액÷공급율)",""))</f>
        <v/>
      </c>
    </row>
    <row r="1476" customFormat="false" ht="15" hidden="false" customHeight="true" outlineLevel="0" collapsed="false">
      <c r="A1476" s="67" t="str">
        <f aca="false">IF(OR(TRIM(C1476)="",SUBSTITUTE(C1476," ","")="소계"),"제외",IF(ISNUMBER(SEARCH("홍콩",C1476)),"HK",IF(ISNUMBER(SEARCH("상해",C1476)),"CN",IF(ISNUMBER(SEARCH("대만",C1476)),"TW","홀세일"))))</f>
        <v>홀세일</v>
      </c>
      <c r="B1476" s="87" t="s">
        <v>1566</v>
      </c>
      <c r="C1476" s="88" t="s">
        <v>1567</v>
      </c>
      <c r="D1476" s="88" t="s">
        <v>178</v>
      </c>
      <c r="E1476" s="87" t="n">
        <v>2026</v>
      </c>
      <c r="F1476" s="88" t="s">
        <v>421</v>
      </c>
      <c r="G1476" s="88" t="s">
        <v>188</v>
      </c>
      <c r="H1476" s="87" t="s">
        <v>189</v>
      </c>
      <c r="I1476" s="87" t="s">
        <v>436</v>
      </c>
      <c r="J1476" s="87" t="s">
        <v>437</v>
      </c>
      <c r="K1476" s="89" t="n">
        <v>300</v>
      </c>
      <c r="L1476" s="89" t="n">
        <v>23700000</v>
      </c>
      <c r="M1476" s="89" t="n">
        <v>8069400</v>
      </c>
      <c r="N1476" s="90" t="n">
        <f aca="false">IF(A1476="제외",0,IF(OR(N(L1476)&lt;=0,N(M1476)&gt;N(L1476)),N(M1476)/가정!$B$4,N(L1476)))</f>
        <v>23700000</v>
      </c>
      <c r="O1476" s="67" t="str">
        <f aca="false">IF(A1476="제외","",IF(OR(N(L1476)&lt;=0,N(M1476)&gt;N(L1476)),"택가보정(판매금액÷공급율)",""))</f>
        <v/>
      </c>
    </row>
    <row r="1477" customFormat="false" ht="15" hidden="false" customHeight="true" outlineLevel="0" collapsed="false">
      <c r="A1477" s="67" t="str">
        <f aca="false">IF(OR(TRIM(C1477)="",SUBSTITUTE(C1477," ","")="소계"),"제외",IF(ISNUMBER(SEARCH("홍콩",C1477)),"HK",IF(ISNUMBER(SEARCH("상해",C1477)),"CN",IF(ISNUMBER(SEARCH("대만",C1477)),"TW","홀세일"))))</f>
        <v>홀세일</v>
      </c>
      <c r="B1477" s="87" t="s">
        <v>1566</v>
      </c>
      <c r="C1477" s="88" t="s">
        <v>1567</v>
      </c>
      <c r="D1477" s="88" t="s">
        <v>178</v>
      </c>
      <c r="E1477" s="87" t="n">
        <v>2026</v>
      </c>
      <c r="F1477" s="88" t="s">
        <v>421</v>
      </c>
      <c r="G1477" s="88" t="s">
        <v>188</v>
      </c>
      <c r="H1477" s="87" t="s">
        <v>189</v>
      </c>
      <c r="I1477" s="87" t="s">
        <v>931</v>
      </c>
      <c r="J1477" s="87" t="s">
        <v>932</v>
      </c>
      <c r="K1477" s="89" t="n">
        <v>110</v>
      </c>
      <c r="L1477" s="89" t="n">
        <v>8690000</v>
      </c>
      <c r="M1477" s="89" t="n">
        <v>2958780</v>
      </c>
      <c r="N1477" s="90" t="n">
        <f aca="false">IF(A1477="제외",0,IF(OR(N(L1477)&lt;=0,N(M1477)&gt;N(L1477)),N(M1477)/가정!$B$4,N(L1477)))</f>
        <v>8690000</v>
      </c>
      <c r="O1477" s="67" t="str">
        <f aca="false">IF(A1477="제외","",IF(OR(N(L1477)&lt;=0,N(M1477)&gt;N(L1477)),"택가보정(판매금액÷공급율)",""))</f>
        <v/>
      </c>
    </row>
    <row r="1478" customFormat="false" ht="15" hidden="false" customHeight="true" outlineLevel="0" collapsed="false">
      <c r="A1478" s="67" t="str">
        <f aca="false">IF(OR(TRIM(C1478)="",SUBSTITUTE(C1478," ","")="소계"),"제외",IF(ISNUMBER(SEARCH("홍콩",C1478)),"HK",IF(ISNUMBER(SEARCH("상해",C1478)),"CN",IF(ISNUMBER(SEARCH("대만",C1478)),"TW","홀세일"))))</f>
        <v>홀세일</v>
      </c>
      <c r="B1478" s="87" t="s">
        <v>1566</v>
      </c>
      <c r="C1478" s="88" t="s">
        <v>1567</v>
      </c>
      <c r="D1478" s="88" t="s">
        <v>178</v>
      </c>
      <c r="E1478" s="87" t="n">
        <v>2026</v>
      </c>
      <c r="F1478" s="88" t="s">
        <v>421</v>
      </c>
      <c r="G1478" s="88" t="s">
        <v>180</v>
      </c>
      <c r="H1478" s="87" t="s">
        <v>189</v>
      </c>
      <c r="I1478" s="87" t="s">
        <v>472</v>
      </c>
      <c r="J1478" s="88" t="s">
        <v>473</v>
      </c>
      <c r="K1478" s="89" t="n">
        <v>35</v>
      </c>
      <c r="L1478" s="89" t="n">
        <v>5215000</v>
      </c>
      <c r="M1478" s="89" t="n">
        <v>1699740</v>
      </c>
      <c r="N1478" s="90" t="n">
        <f aca="false">IF(A1478="제외",0,IF(OR(N(L1478)&lt;=0,N(M1478)&gt;N(L1478)),N(M1478)/가정!$B$4,N(L1478)))</f>
        <v>5215000</v>
      </c>
      <c r="O1478" s="67" t="str">
        <f aca="false">IF(A1478="제외","",IF(OR(N(L1478)&lt;=0,N(M1478)&gt;N(L1478)),"택가보정(판매금액÷공급율)",""))</f>
        <v/>
      </c>
    </row>
    <row r="1479" customFormat="false" ht="15" hidden="false" customHeight="true" outlineLevel="0" collapsed="false">
      <c r="A1479" s="67" t="str">
        <f aca="false">IF(OR(TRIM(C1479)="",SUBSTITUTE(C1479," ","")="소계"),"제외",IF(ISNUMBER(SEARCH("홍콩",C1479)),"HK",IF(ISNUMBER(SEARCH("상해",C1479)),"CN",IF(ISNUMBER(SEARCH("대만",C1479)),"TW","홀세일"))))</f>
        <v>홀세일</v>
      </c>
      <c r="B1479" s="87" t="s">
        <v>1566</v>
      </c>
      <c r="C1479" s="88" t="s">
        <v>1567</v>
      </c>
      <c r="D1479" s="88" t="s">
        <v>178</v>
      </c>
      <c r="E1479" s="87" t="n">
        <v>2026</v>
      </c>
      <c r="F1479" s="88" t="s">
        <v>421</v>
      </c>
      <c r="G1479" s="88" t="s">
        <v>180</v>
      </c>
      <c r="H1479" s="87" t="s">
        <v>181</v>
      </c>
      <c r="I1479" s="87" t="s">
        <v>476</v>
      </c>
      <c r="J1479" s="88" t="s">
        <v>477</v>
      </c>
      <c r="K1479" s="89" t="n">
        <v>45</v>
      </c>
      <c r="L1479" s="89" t="n">
        <v>6255000</v>
      </c>
      <c r="M1479" s="89" t="n">
        <v>2035980</v>
      </c>
      <c r="N1479" s="90" t="n">
        <f aca="false">IF(A1479="제외",0,IF(OR(N(L1479)&lt;=0,N(M1479)&gt;N(L1479)),N(M1479)/가정!$B$4,N(L1479)))</f>
        <v>6255000</v>
      </c>
      <c r="O1479" s="67" t="str">
        <f aca="false">IF(A1479="제외","",IF(OR(N(L1479)&lt;=0,N(M1479)&gt;N(L1479)),"택가보정(판매금액÷공급율)",""))</f>
        <v/>
      </c>
    </row>
    <row r="1480" customFormat="false" ht="15" hidden="false" customHeight="true" outlineLevel="0" collapsed="false">
      <c r="A1480" s="67" t="str">
        <f aca="false">IF(OR(TRIM(C1480)="",SUBSTITUTE(C1480," ","")="소계"),"제외",IF(ISNUMBER(SEARCH("홍콩",C1480)),"HK",IF(ISNUMBER(SEARCH("상해",C1480)),"CN",IF(ISNUMBER(SEARCH("대만",C1480)),"TW","홀세일"))))</f>
        <v>홀세일</v>
      </c>
      <c r="B1480" s="87" t="s">
        <v>1566</v>
      </c>
      <c r="C1480" s="88" t="s">
        <v>1567</v>
      </c>
      <c r="D1480" s="88" t="s">
        <v>178</v>
      </c>
      <c r="E1480" s="87" t="n">
        <v>2026</v>
      </c>
      <c r="F1480" s="88" t="s">
        <v>421</v>
      </c>
      <c r="G1480" s="88" t="s">
        <v>180</v>
      </c>
      <c r="H1480" s="87" t="s">
        <v>189</v>
      </c>
      <c r="I1480" s="87" t="s">
        <v>478</v>
      </c>
      <c r="J1480" s="88" t="s">
        <v>479</v>
      </c>
      <c r="K1480" s="89" t="n">
        <v>35</v>
      </c>
      <c r="L1480" s="89" t="n">
        <v>9065000</v>
      </c>
      <c r="M1480" s="89" t="n">
        <v>2411605</v>
      </c>
      <c r="N1480" s="90" t="n">
        <f aca="false">IF(A1480="제외",0,IF(OR(N(L1480)&lt;=0,N(M1480)&gt;N(L1480)),N(M1480)/가정!$B$4,N(L1480)))</f>
        <v>9065000</v>
      </c>
      <c r="O1480" s="67" t="str">
        <f aca="false">IF(A1480="제외","",IF(OR(N(L1480)&lt;=0,N(M1480)&gt;N(L1480)),"택가보정(판매금액÷공급율)",""))</f>
        <v/>
      </c>
    </row>
    <row r="1481" customFormat="false" ht="15" hidden="false" customHeight="true" outlineLevel="0" collapsed="false">
      <c r="A1481" s="67" t="str">
        <f aca="false">IF(OR(TRIM(C1481)="",SUBSTITUTE(C1481," ","")="소계"),"제외",IF(ISNUMBER(SEARCH("홍콩",C1481)),"HK",IF(ISNUMBER(SEARCH("상해",C1481)),"CN",IF(ISNUMBER(SEARCH("대만",C1481)),"TW","홀세일"))))</f>
        <v>홀세일</v>
      </c>
      <c r="B1481" s="87" t="s">
        <v>1566</v>
      </c>
      <c r="C1481" s="88" t="s">
        <v>1567</v>
      </c>
      <c r="D1481" s="88" t="s">
        <v>178</v>
      </c>
      <c r="E1481" s="87" t="n">
        <v>2026</v>
      </c>
      <c r="F1481" s="88" t="s">
        <v>421</v>
      </c>
      <c r="G1481" s="88" t="s">
        <v>180</v>
      </c>
      <c r="H1481" s="87" t="s">
        <v>189</v>
      </c>
      <c r="I1481" s="87" t="s">
        <v>1633</v>
      </c>
      <c r="J1481" s="88" t="s">
        <v>1634</v>
      </c>
      <c r="K1481" s="89" t="n">
        <v>30</v>
      </c>
      <c r="L1481" s="89" t="n">
        <v>7470000</v>
      </c>
      <c r="M1481" s="89" t="n">
        <v>2590110</v>
      </c>
      <c r="N1481" s="90" t="n">
        <f aca="false">IF(A1481="제외",0,IF(OR(N(L1481)&lt;=0,N(M1481)&gt;N(L1481)),N(M1481)/가정!$B$4,N(L1481)))</f>
        <v>7470000</v>
      </c>
      <c r="O1481" s="67" t="str">
        <f aca="false">IF(A1481="제외","",IF(OR(N(L1481)&lt;=0,N(M1481)&gt;N(L1481)),"택가보정(판매금액÷공급율)",""))</f>
        <v/>
      </c>
    </row>
    <row r="1482" customFormat="false" ht="15" hidden="false" customHeight="true" outlineLevel="0" collapsed="false">
      <c r="A1482" s="67" t="str">
        <f aca="false">IF(OR(TRIM(C1482)="",SUBSTITUTE(C1482," ","")="소계"),"제외",IF(ISNUMBER(SEARCH("홍콩",C1482)),"HK",IF(ISNUMBER(SEARCH("상해",C1482)),"CN",IF(ISNUMBER(SEARCH("대만",C1482)),"TW","홀세일"))))</f>
        <v>홀세일</v>
      </c>
      <c r="B1482" s="87" t="s">
        <v>1566</v>
      </c>
      <c r="C1482" s="88" t="s">
        <v>1567</v>
      </c>
      <c r="D1482" s="88" t="s">
        <v>178</v>
      </c>
      <c r="E1482" s="87" t="n">
        <v>2026</v>
      </c>
      <c r="F1482" s="88" t="s">
        <v>421</v>
      </c>
      <c r="G1482" s="88" t="s">
        <v>180</v>
      </c>
      <c r="H1482" s="87" t="s">
        <v>189</v>
      </c>
      <c r="I1482" s="87" t="s">
        <v>500</v>
      </c>
      <c r="J1482" s="88" t="s">
        <v>501</v>
      </c>
      <c r="K1482" s="89" t="n">
        <v>175</v>
      </c>
      <c r="L1482" s="89" t="n">
        <v>13825000</v>
      </c>
      <c r="M1482" s="89" t="n">
        <v>3875200</v>
      </c>
      <c r="N1482" s="90" t="n">
        <f aca="false">IF(A1482="제외",0,IF(OR(N(L1482)&lt;=0,N(M1482)&gt;N(L1482)),N(M1482)/가정!$B$4,N(L1482)))</f>
        <v>13825000</v>
      </c>
      <c r="O1482" s="67" t="str">
        <f aca="false">IF(A1482="제외","",IF(OR(N(L1482)&lt;=0,N(M1482)&gt;N(L1482)),"택가보정(판매금액÷공급율)",""))</f>
        <v/>
      </c>
    </row>
    <row r="1483" customFormat="false" ht="15" hidden="false" customHeight="true" outlineLevel="0" collapsed="false">
      <c r="A1483" s="67" t="str">
        <f aca="false">IF(OR(TRIM(C1483)="",SUBSTITUTE(C1483," ","")="소계"),"제외",IF(ISNUMBER(SEARCH("홍콩",C1483)),"HK",IF(ISNUMBER(SEARCH("상해",C1483)),"CN",IF(ISNUMBER(SEARCH("대만",C1483)),"TW","홀세일"))))</f>
        <v>홀세일</v>
      </c>
      <c r="B1483" s="87" t="s">
        <v>1566</v>
      </c>
      <c r="C1483" s="88" t="s">
        <v>1567</v>
      </c>
      <c r="D1483" s="88" t="s">
        <v>178</v>
      </c>
      <c r="E1483" s="87" t="n">
        <v>2026</v>
      </c>
      <c r="F1483" s="88" t="s">
        <v>421</v>
      </c>
      <c r="G1483" s="88" t="s">
        <v>180</v>
      </c>
      <c r="H1483" s="87" t="s">
        <v>181</v>
      </c>
      <c r="I1483" s="87" t="s">
        <v>508</v>
      </c>
      <c r="J1483" s="88" t="s">
        <v>509</v>
      </c>
      <c r="K1483" s="89" t="n">
        <v>220</v>
      </c>
      <c r="L1483" s="89" t="n">
        <v>15180000</v>
      </c>
      <c r="M1483" s="89" t="n">
        <v>4848360</v>
      </c>
      <c r="N1483" s="90" t="n">
        <f aca="false">IF(A1483="제외",0,IF(OR(N(L1483)&lt;=0,N(M1483)&gt;N(L1483)),N(M1483)/가정!$B$4,N(L1483)))</f>
        <v>15180000</v>
      </c>
      <c r="O1483" s="67" t="str">
        <f aca="false">IF(A1483="제외","",IF(OR(N(L1483)&lt;=0,N(M1483)&gt;N(L1483)),"택가보정(판매금액÷공급율)",""))</f>
        <v/>
      </c>
    </row>
    <row r="1484" customFormat="false" ht="15" hidden="false" customHeight="true" outlineLevel="0" collapsed="false">
      <c r="A1484" s="67" t="str">
        <f aca="false">IF(OR(TRIM(C1484)="",SUBSTITUTE(C1484," ","")="소계"),"제외",IF(ISNUMBER(SEARCH("홍콩",C1484)),"HK",IF(ISNUMBER(SEARCH("상해",C1484)),"CN",IF(ISNUMBER(SEARCH("대만",C1484)),"TW","홀세일"))))</f>
        <v>홀세일</v>
      </c>
      <c r="B1484" s="87" t="s">
        <v>1566</v>
      </c>
      <c r="C1484" s="88" t="s">
        <v>1567</v>
      </c>
      <c r="D1484" s="88" t="s">
        <v>178</v>
      </c>
      <c r="E1484" s="87" t="n">
        <v>2026</v>
      </c>
      <c r="F1484" s="88" t="s">
        <v>421</v>
      </c>
      <c r="G1484" s="88" t="s">
        <v>180</v>
      </c>
      <c r="H1484" s="87" t="s">
        <v>246</v>
      </c>
      <c r="I1484" s="87" t="s">
        <v>530</v>
      </c>
      <c r="J1484" s="87" t="s">
        <v>531</v>
      </c>
      <c r="K1484" s="89" t="n">
        <v>105</v>
      </c>
      <c r="L1484" s="89" t="n">
        <v>7245000</v>
      </c>
      <c r="M1484" s="89" t="n">
        <v>1973265</v>
      </c>
      <c r="N1484" s="90" t="n">
        <f aca="false">IF(A1484="제외",0,IF(OR(N(L1484)&lt;=0,N(M1484)&gt;N(L1484)),N(M1484)/가정!$B$4,N(L1484)))</f>
        <v>7245000</v>
      </c>
      <c r="O1484" s="67" t="str">
        <f aca="false">IF(A1484="제외","",IF(OR(N(L1484)&lt;=0,N(M1484)&gt;N(L1484)),"택가보정(판매금액÷공급율)",""))</f>
        <v/>
      </c>
    </row>
    <row r="1485" customFormat="false" ht="15" hidden="false" customHeight="true" outlineLevel="0" collapsed="false">
      <c r="A1485" s="67" t="str">
        <f aca="false">IF(OR(TRIM(C1485)="",SUBSTITUTE(C1485," ","")="소계"),"제외",IF(ISNUMBER(SEARCH("홍콩",C1485)),"HK",IF(ISNUMBER(SEARCH("상해",C1485)),"CN",IF(ISNUMBER(SEARCH("대만",C1485)),"TW","홀세일"))))</f>
        <v>홀세일</v>
      </c>
      <c r="B1485" s="87" t="s">
        <v>1566</v>
      </c>
      <c r="C1485" s="88" t="s">
        <v>1567</v>
      </c>
      <c r="D1485" s="88" t="s">
        <v>178</v>
      </c>
      <c r="E1485" s="87" t="n">
        <v>2026</v>
      </c>
      <c r="F1485" s="88" t="s">
        <v>532</v>
      </c>
      <c r="G1485" s="88" t="s">
        <v>180</v>
      </c>
      <c r="H1485" s="87" t="s">
        <v>246</v>
      </c>
      <c r="I1485" s="87" t="s">
        <v>635</v>
      </c>
      <c r="J1485" s="87" t="s">
        <v>636</v>
      </c>
      <c r="K1485" s="89" t="n">
        <v>45</v>
      </c>
      <c r="L1485" s="89" t="n">
        <v>8955000</v>
      </c>
      <c r="M1485" s="89" t="n">
        <v>2835540</v>
      </c>
      <c r="N1485" s="90" t="n">
        <f aca="false">IF(A1485="제외",0,IF(OR(N(L1485)&lt;=0,N(M1485)&gt;N(L1485)),N(M1485)/가정!$B$4,N(L1485)))</f>
        <v>8955000</v>
      </c>
      <c r="O1485" s="67" t="str">
        <f aca="false">IF(A1485="제외","",IF(OR(N(L1485)&lt;=0,N(M1485)&gt;N(L1485)),"택가보정(판매금액÷공급율)",""))</f>
        <v/>
      </c>
    </row>
    <row r="1486" customFormat="false" ht="15" hidden="false" customHeight="true" outlineLevel="0" collapsed="false">
      <c r="A1486" s="67" t="str">
        <f aca="false">IF(OR(TRIM(C1486)="",SUBSTITUTE(C1486," ","")="소계"),"제외",IF(ISNUMBER(SEARCH("홍콩",C1486)),"HK",IF(ISNUMBER(SEARCH("상해",C1486)),"CN",IF(ISNUMBER(SEARCH("대만",C1486)),"TW","홀세일"))))</f>
        <v>홀세일</v>
      </c>
      <c r="B1486" s="87" t="s">
        <v>1566</v>
      </c>
      <c r="C1486" s="88" t="s">
        <v>1567</v>
      </c>
      <c r="D1486" s="88" t="s">
        <v>178</v>
      </c>
      <c r="E1486" s="87" t="n">
        <v>2026</v>
      </c>
      <c r="F1486" s="87" t="s">
        <v>639</v>
      </c>
      <c r="G1486" s="88" t="s">
        <v>188</v>
      </c>
      <c r="H1486" s="87" t="s">
        <v>181</v>
      </c>
      <c r="I1486" s="87" t="s">
        <v>674</v>
      </c>
      <c r="J1486" s="87" t="s">
        <v>675</v>
      </c>
      <c r="K1486" s="89" t="n">
        <v>300</v>
      </c>
      <c r="L1486" s="89" t="n">
        <v>23700000</v>
      </c>
      <c r="M1486" s="89" t="n">
        <v>8558700</v>
      </c>
      <c r="N1486" s="90" t="n">
        <f aca="false">IF(A1486="제외",0,IF(OR(N(L1486)&lt;=0,N(M1486)&gt;N(L1486)),N(M1486)/가정!$B$4,N(L1486)))</f>
        <v>23700000</v>
      </c>
      <c r="O1486" s="67" t="str">
        <f aca="false">IF(A1486="제외","",IF(OR(N(L1486)&lt;=0,N(M1486)&gt;N(L1486)),"택가보정(판매금액÷공급율)",""))</f>
        <v/>
      </c>
    </row>
    <row r="1487" customFormat="false" ht="15" hidden="false" customHeight="true" outlineLevel="0" collapsed="false">
      <c r="A1487" s="67" t="str">
        <f aca="false">IF(OR(TRIM(C1487)="",SUBSTITUTE(C1487," ","")="소계"),"제외",IF(ISNUMBER(SEARCH("홍콩",C1487)),"HK",IF(ISNUMBER(SEARCH("상해",C1487)),"CN",IF(ISNUMBER(SEARCH("대만",C1487)),"TW","홀세일"))))</f>
        <v>홀세일</v>
      </c>
      <c r="B1487" s="87" t="s">
        <v>1566</v>
      </c>
      <c r="C1487" s="88" t="s">
        <v>1567</v>
      </c>
      <c r="D1487" s="88" t="s">
        <v>178</v>
      </c>
      <c r="E1487" s="87" t="n">
        <v>2026</v>
      </c>
      <c r="F1487" s="87" t="s">
        <v>639</v>
      </c>
      <c r="G1487" s="88" t="s">
        <v>188</v>
      </c>
      <c r="H1487" s="87" t="s">
        <v>189</v>
      </c>
      <c r="I1487" s="87" t="s">
        <v>678</v>
      </c>
      <c r="J1487" s="88" t="s">
        <v>679</v>
      </c>
      <c r="K1487" s="89" t="n">
        <v>350</v>
      </c>
      <c r="L1487" s="89" t="n">
        <v>13650000</v>
      </c>
      <c r="M1487" s="89" t="n">
        <v>5671400</v>
      </c>
      <c r="N1487" s="90" t="n">
        <f aca="false">IF(A1487="제외",0,IF(OR(N(L1487)&lt;=0,N(M1487)&gt;N(L1487)),N(M1487)/가정!$B$4,N(L1487)))</f>
        <v>13650000</v>
      </c>
      <c r="O1487" s="67" t="str">
        <f aca="false">IF(A1487="제외","",IF(OR(N(L1487)&lt;=0,N(M1487)&gt;N(L1487)),"택가보정(판매금액÷공급율)",""))</f>
        <v/>
      </c>
    </row>
    <row r="1488" customFormat="false" ht="15" hidden="false" customHeight="true" outlineLevel="0" collapsed="false">
      <c r="A1488" s="67" t="str">
        <f aca="false">IF(OR(TRIM(C1488)="",SUBSTITUTE(C1488," ","")="소계"),"제외",IF(ISNUMBER(SEARCH("홍콩",C1488)),"HK",IF(ISNUMBER(SEARCH("상해",C1488)),"CN",IF(ISNUMBER(SEARCH("대만",C1488)),"TW","홀세일"))))</f>
        <v>홀세일</v>
      </c>
      <c r="B1488" s="87" t="s">
        <v>1566</v>
      </c>
      <c r="C1488" s="88" t="s">
        <v>1567</v>
      </c>
      <c r="D1488" s="88" t="s">
        <v>178</v>
      </c>
      <c r="E1488" s="87" t="n">
        <v>2026</v>
      </c>
      <c r="F1488" s="87" t="s">
        <v>639</v>
      </c>
      <c r="G1488" s="88" t="s">
        <v>188</v>
      </c>
      <c r="H1488" s="87" t="s">
        <v>189</v>
      </c>
      <c r="I1488" s="87" t="s">
        <v>1409</v>
      </c>
      <c r="J1488" s="87" t="s">
        <v>1410</v>
      </c>
      <c r="K1488" s="89" t="n">
        <v>200</v>
      </c>
      <c r="L1488" s="89" t="n">
        <v>15800000</v>
      </c>
      <c r="M1488" s="89" t="n">
        <v>6447000</v>
      </c>
      <c r="N1488" s="90" t="n">
        <f aca="false">IF(A1488="제외",0,IF(OR(N(L1488)&lt;=0,N(M1488)&gt;N(L1488)),N(M1488)/가정!$B$4,N(L1488)))</f>
        <v>15800000</v>
      </c>
      <c r="O1488" s="67" t="str">
        <f aca="false">IF(A1488="제외","",IF(OR(N(L1488)&lt;=0,N(M1488)&gt;N(L1488)),"택가보정(판매금액÷공급율)",""))</f>
        <v/>
      </c>
    </row>
    <row r="1489" customFormat="false" ht="15" hidden="false" customHeight="true" outlineLevel="0" collapsed="false">
      <c r="A1489" s="67" t="str">
        <f aca="false">IF(OR(TRIM(C1489)="",SUBSTITUTE(C1489," ","")="소계"),"제외",IF(ISNUMBER(SEARCH("홍콩",C1489)),"HK",IF(ISNUMBER(SEARCH("상해",C1489)),"CN",IF(ISNUMBER(SEARCH("대만",C1489)),"TW","홀세일"))))</f>
        <v>홀세일</v>
      </c>
      <c r="B1489" s="87" t="s">
        <v>1566</v>
      </c>
      <c r="C1489" s="88" t="s">
        <v>1567</v>
      </c>
      <c r="D1489" s="88" t="s">
        <v>178</v>
      </c>
      <c r="E1489" s="87" t="n">
        <v>2026</v>
      </c>
      <c r="F1489" s="87" t="s">
        <v>639</v>
      </c>
      <c r="G1489" s="88" t="s">
        <v>188</v>
      </c>
      <c r="H1489" s="87" t="s">
        <v>189</v>
      </c>
      <c r="I1489" s="87" t="s">
        <v>694</v>
      </c>
      <c r="J1489" s="88" t="s">
        <v>695</v>
      </c>
      <c r="K1489" s="89" t="n">
        <v>200</v>
      </c>
      <c r="L1489" s="89" t="n">
        <v>4200000</v>
      </c>
      <c r="M1489" s="89" t="n">
        <v>1719200</v>
      </c>
      <c r="N1489" s="90" t="n">
        <f aca="false">IF(A1489="제외",0,IF(OR(N(L1489)&lt;=0,N(M1489)&gt;N(L1489)),N(M1489)/가정!$B$4,N(L1489)))</f>
        <v>4200000</v>
      </c>
      <c r="O1489" s="67" t="str">
        <f aca="false">IF(A1489="제외","",IF(OR(N(L1489)&lt;=0,N(M1489)&gt;N(L1489)),"택가보정(판매금액÷공급율)",""))</f>
        <v/>
      </c>
    </row>
    <row r="1490" customFormat="false" ht="15" hidden="false" customHeight="true" outlineLevel="0" collapsed="false">
      <c r="A1490" s="67" t="str">
        <f aca="false">IF(OR(TRIM(C1490)="",SUBSTITUTE(C1490," ","")="소계"),"제외",IF(ISNUMBER(SEARCH("홍콩",C1490)),"HK",IF(ISNUMBER(SEARCH("상해",C1490)),"CN",IF(ISNUMBER(SEARCH("대만",C1490)),"TW","홀세일"))))</f>
        <v>홀세일</v>
      </c>
      <c r="B1490" s="87" t="s">
        <v>1566</v>
      </c>
      <c r="C1490" s="88" t="s">
        <v>1567</v>
      </c>
      <c r="D1490" s="88" t="s">
        <v>178</v>
      </c>
      <c r="E1490" s="87" t="n">
        <v>2026</v>
      </c>
      <c r="F1490" s="87" t="s">
        <v>639</v>
      </c>
      <c r="G1490" s="88" t="s">
        <v>188</v>
      </c>
      <c r="H1490" s="87" t="s">
        <v>189</v>
      </c>
      <c r="I1490" s="87" t="s">
        <v>702</v>
      </c>
      <c r="J1490" s="88" t="s">
        <v>703</v>
      </c>
      <c r="K1490" s="89" t="n">
        <v>200</v>
      </c>
      <c r="L1490" s="89" t="n">
        <v>2180000</v>
      </c>
      <c r="M1490" s="89" t="n">
        <v>890400</v>
      </c>
      <c r="N1490" s="90" t="n">
        <f aca="false">IF(A1490="제외",0,IF(OR(N(L1490)&lt;=0,N(M1490)&gt;N(L1490)),N(M1490)/가정!$B$4,N(L1490)))</f>
        <v>2180000</v>
      </c>
      <c r="O1490" s="67" t="str">
        <f aca="false">IF(A1490="제외","",IF(OR(N(L1490)&lt;=0,N(M1490)&gt;N(L1490)),"택가보정(판매금액÷공급율)",""))</f>
        <v/>
      </c>
    </row>
    <row r="1491" customFormat="false" ht="15" hidden="false" customHeight="true" outlineLevel="0" collapsed="false">
      <c r="A1491" s="67" t="str">
        <f aca="false">IF(OR(TRIM(C1491)="",SUBSTITUTE(C1491," ","")="소계"),"제외",IF(ISNUMBER(SEARCH("홍콩",C1491)),"HK",IF(ISNUMBER(SEARCH("상해",C1491)),"CN",IF(ISNUMBER(SEARCH("대만",C1491)),"TW","홀세일"))))</f>
        <v>홀세일</v>
      </c>
      <c r="B1491" s="87" t="s">
        <v>1566</v>
      </c>
      <c r="C1491" s="88" t="s">
        <v>1567</v>
      </c>
      <c r="D1491" s="88" t="s">
        <v>178</v>
      </c>
      <c r="E1491" s="87" t="n">
        <v>2026</v>
      </c>
      <c r="F1491" s="87" t="s">
        <v>639</v>
      </c>
      <c r="G1491" s="88" t="s">
        <v>188</v>
      </c>
      <c r="H1491" s="87" t="s">
        <v>189</v>
      </c>
      <c r="I1491" s="87" t="s">
        <v>704</v>
      </c>
      <c r="J1491" s="88" t="s">
        <v>705</v>
      </c>
      <c r="K1491" s="89" t="n">
        <v>300</v>
      </c>
      <c r="L1491" s="89" t="n">
        <v>38700000</v>
      </c>
      <c r="M1491" s="89" t="n">
        <v>13979100</v>
      </c>
      <c r="N1491" s="90" t="n">
        <f aca="false">IF(A1491="제외",0,IF(OR(N(L1491)&lt;=0,N(M1491)&gt;N(L1491)),N(M1491)/가정!$B$4,N(L1491)))</f>
        <v>38700000</v>
      </c>
      <c r="O1491" s="67" t="str">
        <f aca="false">IF(A1491="제외","",IF(OR(N(L1491)&lt;=0,N(M1491)&gt;N(L1491)),"택가보정(판매금액÷공급율)",""))</f>
        <v/>
      </c>
    </row>
    <row r="1492" customFormat="false" ht="15" hidden="false" customHeight="true" outlineLevel="0" collapsed="false">
      <c r="A1492" s="67" t="str">
        <f aca="false">IF(OR(TRIM(C1492)="",SUBSTITUTE(C1492," ","")="소계"),"제외",IF(ISNUMBER(SEARCH("홍콩",C1492)),"HK",IF(ISNUMBER(SEARCH("상해",C1492)),"CN",IF(ISNUMBER(SEARCH("대만",C1492)),"TW","홀세일"))))</f>
        <v>홀세일</v>
      </c>
      <c r="B1492" s="87" t="s">
        <v>1566</v>
      </c>
      <c r="C1492" s="88" t="s">
        <v>1567</v>
      </c>
      <c r="D1492" s="88" t="s">
        <v>178</v>
      </c>
      <c r="E1492" s="87" t="n">
        <v>2026</v>
      </c>
      <c r="F1492" s="87" t="s">
        <v>639</v>
      </c>
      <c r="G1492" s="88" t="s">
        <v>188</v>
      </c>
      <c r="H1492" s="87" t="s">
        <v>189</v>
      </c>
      <c r="I1492" s="87" t="s">
        <v>706</v>
      </c>
      <c r="J1492" s="88" t="s">
        <v>707</v>
      </c>
      <c r="K1492" s="89" t="n">
        <v>350</v>
      </c>
      <c r="L1492" s="89" t="n">
        <v>45150000</v>
      </c>
      <c r="M1492" s="89" t="n">
        <v>16308950</v>
      </c>
      <c r="N1492" s="90" t="n">
        <f aca="false">IF(A1492="제외",0,IF(OR(N(L1492)&lt;=0,N(M1492)&gt;N(L1492)),N(M1492)/가정!$B$4,N(L1492)))</f>
        <v>45150000</v>
      </c>
      <c r="O1492" s="67" t="str">
        <f aca="false">IF(A1492="제외","",IF(OR(N(L1492)&lt;=0,N(M1492)&gt;N(L1492)),"택가보정(판매금액÷공급율)",""))</f>
        <v/>
      </c>
    </row>
    <row r="1493" customFormat="false" ht="15" hidden="false" customHeight="true" outlineLevel="0" collapsed="false">
      <c r="A1493" s="67" t="str">
        <f aca="false">IF(OR(TRIM(C1493)="",SUBSTITUTE(C1493," ","")="소계"),"제외",IF(ISNUMBER(SEARCH("홍콩",C1493)),"HK",IF(ISNUMBER(SEARCH("상해",C1493)),"CN",IF(ISNUMBER(SEARCH("대만",C1493)),"TW","홀세일"))))</f>
        <v>홀세일</v>
      </c>
      <c r="B1493" s="87" t="s">
        <v>1566</v>
      </c>
      <c r="C1493" s="88" t="s">
        <v>1567</v>
      </c>
      <c r="D1493" s="88" t="s">
        <v>178</v>
      </c>
      <c r="E1493" s="87" t="n">
        <v>2026</v>
      </c>
      <c r="F1493" s="87" t="s">
        <v>639</v>
      </c>
      <c r="G1493" s="88" t="s">
        <v>827</v>
      </c>
      <c r="H1493" s="87" t="s">
        <v>189</v>
      </c>
      <c r="I1493" s="87" t="s">
        <v>1175</v>
      </c>
      <c r="J1493" s="88" t="s">
        <v>1176</v>
      </c>
      <c r="K1493" s="89" t="n">
        <v>5</v>
      </c>
      <c r="L1493" s="89" t="n">
        <v>1225000</v>
      </c>
      <c r="M1493" s="89" t="n">
        <v>641630</v>
      </c>
      <c r="N1493" s="90" t="n">
        <f aca="false">IF(A1493="제외",0,IF(OR(N(L1493)&lt;=0,N(M1493)&gt;N(L1493)),N(M1493)/가정!$B$4,N(L1493)))</f>
        <v>1225000</v>
      </c>
      <c r="O1493" s="67" t="str">
        <f aca="false">IF(A1493="제외","",IF(OR(N(L1493)&lt;=0,N(M1493)&gt;N(L1493)),"택가보정(판매금액÷공급율)",""))</f>
        <v/>
      </c>
    </row>
    <row r="1494" customFormat="false" ht="15" hidden="false" customHeight="true" outlineLevel="0" collapsed="false">
      <c r="A1494" s="67" t="str">
        <f aca="false">IF(OR(TRIM(C1494)="",SUBSTITUTE(C1494," ","")="소계"),"제외",IF(ISNUMBER(SEARCH("홍콩",C1494)),"HK",IF(ISNUMBER(SEARCH("상해",C1494)),"CN",IF(ISNUMBER(SEARCH("대만",C1494)),"TW","홀세일"))))</f>
        <v>홀세일</v>
      </c>
      <c r="B1494" s="87" t="s">
        <v>1566</v>
      </c>
      <c r="C1494" s="88" t="s">
        <v>1567</v>
      </c>
      <c r="D1494" s="88" t="s">
        <v>723</v>
      </c>
      <c r="E1494" s="87" t="n">
        <v>2026</v>
      </c>
      <c r="F1494" s="88" t="s">
        <v>277</v>
      </c>
      <c r="G1494" s="88" t="s">
        <v>180</v>
      </c>
      <c r="H1494" s="87" t="s">
        <v>732</v>
      </c>
      <c r="I1494" s="87" t="s">
        <v>733</v>
      </c>
      <c r="J1494" s="88" t="s">
        <v>734</v>
      </c>
      <c r="K1494" s="89" t="n">
        <v>1994</v>
      </c>
      <c r="L1494" s="89" t="n">
        <v>63808000</v>
      </c>
      <c r="M1494" s="89" t="n">
        <v>24282932</v>
      </c>
      <c r="N1494" s="90" t="n">
        <f aca="false">IF(A1494="제외",0,IF(OR(N(L1494)&lt;=0,N(M1494)&gt;N(L1494)),N(M1494)/가정!$B$4,N(L1494)))</f>
        <v>63808000</v>
      </c>
      <c r="O1494" s="67" t="str">
        <f aca="false">IF(A1494="제외","",IF(OR(N(L1494)&lt;=0,N(M1494)&gt;N(L1494)),"택가보정(판매금액÷공급율)",""))</f>
        <v/>
      </c>
    </row>
    <row r="1495" customFormat="false" ht="15" hidden="false" customHeight="true" outlineLevel="0" collapsed="false">
      <c r="A1495" s="67" t="str">
        <f aca="false">IF(OR(TRIM(C1495)="",SUBSTITUTE(C1495," ","")="소계"),"제외",IF(ISNUMBER(SEARCH("홍콩",C1495)),"HK",IF(ISNUMBER(SEARCH("상해",C1495)),"CN",IF(ISNUMBER(SEARCH("대만",C1495)),"TW","홀세일"))))</f>
        <v>홀세일</v>
      </c>
      <c r="B1495" s="87" t="s">
        <v>1566</v>
      </c>
      <c r="C1495" s="88" t="s">
        <v>1567</v>
      </c>
      <c r="D1495" s="88" t="s">
        <v>723</v>
      </c>
      <c r="E1495" s="87" t="n">
        <v>2026</v>
      </c>
      <c r="F1495" s="88" t="s">
        <v>277</v>
      </c>
      <c r="G1495" s="88" t="s">
        <v>180</v>
      </c>
      <c r="H1495" s="87" t="s">
        <v>732</v>
      </c>
      <c r="I1495" s="87" t="s">
        <v>1635</v>
      </c>
      <c r="J1495" s="88" t="s">
        <v>1636</v>
      </c>
      <c r="K1495" s="89" t="n">
        <v>988</v>
      </c>
      <c r="L1495" s="89" t="n">
        <v>33592000</v>
      </c>
      <c r="M1495" s="89" t="n">
        <v>12774840</v>
      </c>
      <c r="N1495" s="90" t="n">
        <f aca="false">IF(A1495="제외",0,IF(OR(N(L1495)&lt;=0,N(M1495)&gt;N(L1495)),N(M1495)/가정!$B$4,N(L1495)))</f>
        <v>33592000</v>
      </c>
      <c r="O1495" s="67" t="str">
        <f aca="false">IF(A1495="제외","",IF(OR(N(L1495)&lt;=0,N(M1495)&gt;N(L1495)),"택가보정(판매금액÷공급율)",""))</f>
        <v/>
      </c>
    </row>
    <row r="1496" customFormat="false" ht="15" hidden="false" customHeight="true" outlineLevel="0" collapsed="false">
      <c r="A1496" s="67" t="str">
        <f aca="false">IF(OR(TRIM(C1496)="",SUBSTITUTE(C1496," ","")="소계"),"제외",IF(ISNUMBER(SEARCH("홍콩",C1496)),"HK",IF(ISNUMBER(SEARCH("상해",C1496)),"CN",IF(ISNUMBER(SEARCH("대만",C1496)),"TW","홀세일"))))</f>
        <v>홀세일</v>
      </c>
      <c r="B1496" s="87" t="s">
        <v>1566</v>
      </c>
      <c r="C1496" s="88" t="s">
        <v>1567</v>
      </c>
      <c r="D1496" s="88" t="s">
        <v>723</v>
      </c>
      <c r="E1496" s="87" t="n">
        <v>2026</v>
      </c>
      <c r="F1496" s="88" t="s">
        <v>277</v>
      </c>
      <c r="G1496" s="88" t="s">
        <v>180</v>
      </c>
      <c r="H1496" s="87" t="s">
        <v>732</v>
      </c>
      <c r="I1496" s="87" t="s">
        <v>1421</v>
      </c>
      <c r="J1496" s="88" t="s">
        <v>1422</v>
      </c>
      <c r="K1496" s="89" t="n">
        <v>2943</v>
      </c>
      <c r="L1496" s="89" t="n">
        <v>105948000</v>
      </c>
      <c r="M1496" s="89" t="n">
        <v>40266126</v>
      </c>
      <c r="N1496" s="90" t="n">
        <f aca="false">IF(A1496="제외",0,IF(OR(N(L1496)&lt;=0,N(M1496)&gt;N(L1496)),N(M1496)/가정!$B$4,N(L1496)))</f>
        <v>105948000</v>
      </c>
      <c r="O1496" s="67" t="str">
        <f aca="false">IF(A1496="제외","",IF(OR(N(L1496)&lt;=0,N(M1496)&gt;N(L1496)),"택가보정(판매금액÷공급율)",""))</f>
        <v/>
      </c>
    </row>
    <row r="1497" customFormat="false" ht="15" hidden="false" customHeight="true" outlineLevel="0" collapsed="false">
      <c r="A1497" s="67" t="str">
        <f aca="false">IF(OR(TRIM(C1497)="",SUBSTITUTE(C1497," ","")="소계"),"제외",IF(ISNUMBER(SEARCH("홍콩",C1497)),"HK",IF(ISNUMBER(SEARCH("상해",C1497)),"CN",IF(ISNUMBER(SEARCH("대만",C1497)),"TW","홀세일"))))</f>
        <v>홀세일</v>
      </c>
      <c r="B1497" s="87" t="s">
        <v>1566</v>
      </c>
      <c r="C1497" s="88" t="s">
        <v>1567</v>
      </c>
      <c r="D1497" s="88" t="s">
        <v>723</v>
      </c>
      <c r="E1497" s="87" t="n">
        <v>2026</v>
      </c>
      <c r="F1497" s="88" t="s">
        <v>277</v>
      </c>
      <c r="G1497" s="88" t="s">
        <v>180</v>
      </c>
      <c r="H1497" s="87" t="s">
        <v>732</v>
      </c>
      <c r="I1497" s="87" t="s">
        <v>1423</v>
      </c>
      <c r="J1497" s="88" t="s">
        <v>1424</v>
      </c>
      <c r="K1497" s="89" t="n">
        <v>2974</v>
      </c>
      <c r="L1497" s="89" t="n">
        <v>107064000</v>
      </c>
      <c r="M1497" s="89" t="n">
        <v>40690268</v>
      </c>
      <c r="N1497" s="90" t="n">
        <f aca="false">IF(A1497="제외",0,IF(OR(N(L1497)&lt;=0,N(M1497)&gt;N(L1497)),N(M1497)/가정!$B$4,N(L1497)))</f>
        <v>107064000</v>
      </c>
      <c r="O1497" s="67" t="str">
        <f aca="false">IF(A1497="제외","",IF(OR(N(L1497)&lt;=0,N(M1497)&gt;N(L1497)),"택가보정(판매금액÷공급율)",""))</f>
        <v/>
      </c>
    </row>
    <row r="1498" customFormat="false" ht="15" hidden="false" customHeight="true" outlineLevel="0" collapsed="false">
      <c r="A1498" s="67" t="str">
        <f aca="false">IF(OR(TRIM(C1498)="",SUBSTITUTE(C1498," ","")="소계"),"제외",IF(ISNUMBER(SEARCH("홍콩",C1498)),"HK",IF(ISNUMBER(SEARCH("상해",C1498)),"CN",IF(ISNUMBER(SEARCH("대만",C1498)),"TW","홀세일"))))</f>
        <v>홀세일</v>
      </c>
      <c r="B1498" s="87" t="s">
        <v>1566</v>
      </c>
      <c r="C1498" s="88" t="s">
        <v>1567</v>
      </c>
      <c r="D1498" s="88" t="s">
        <v>723</v>
      </c>
      <c r="E1498" s="87" t="n">
        <v>2026</v>
      </c>
      <c r="F1498" s="88" t="s">
        <v>277</v>
      </c>
      <c r="G1498" s="88" t="s">
        <v>180</v>
      </c>
      <c r="H1498" s="87" t="s">
        <v>732</v>
      </c>
      <c r="I1498" s="87" t="s">
        <v>1425</v>
      </c>
      <c r="J1498" s="88" t="s">
        <v>1426</v>
      </c>
      <c r="K1498" s="89" t="n">
        <v>2967</v>
      </c>
      <c r="L1498" s="89" t="n">
        <v>106812000</v>
      </c>
      <c r="M1498" s="89" t="n">
        <v>40594494</v>
      </c>
      <c r="N1498" s="90" t="n">
        <f aca="false">IF(A1498="제외",0,IF(OR(N(L1498)&lt;=0,N(M1498)&gt;N(L1498)),N(M1498)/가정!$B$4,N(L1498)))</f>
        <v>106812000</v>
      </c>
      <c r="O1498" s="67" t="str">
        <f aca="false">IF(A1498="제외","",IF(OR(N(L1498)&lt;=0,N(M1498)&gt;N(L1498)),"택가보정(판매금액÷공급율)",""))</f>
        <v/>
      </c>
    </row>
    <row r="1499" customFormat="false" ht="15" hidden="false" customHeight="true" outlineLevel="0" collapsed="false">
      <c r="A1499" s="67" t="str">
        <f aca="false">IF(OR(TRIM(C1499)="",SUBSTITUTE(C1499," ","")="소계"),"제외",IF(ISNUMBER(SEARCH("홍콩",C1499)),"HK",IF(ISNUMBER(SEARCH("상해",C1499)),"CN",IF(ISNUMBER(SEARCH("대만",C1499)),"TW","홀세일"))))</f>
        <v>홀세일</v>
      </c>
      <c r="B1499" s="87" t="s">
        <v>1566</v>
      </c>
      <c r="C1499" s="88" t="s">
        <v>1567</v>
      </c>
      <c r="D1499" s="88" t="s">
        <v>723</v>
      </c>
      <c r="E1499" s="87" t="n">
        <v>2026</v>
      </c>
      <c r="F1499" s="88" t="s">
        <v>277</v>
      </c>
      <c r="G1499" s="88" t="s">
        <v>180</v>
      </c>
      <c r="H1499" s="87" t="s">
        <v>732</v>
      </c>
      <c r="I1499" s="87" t="s">
        <v>763</v>
      </c>
      <c r="J1499" s="88" t="s">
        <v>764</v>
      </c>
      <c r="K1499" s="89" t="n">
        <v>1922</v>
      </c>
      <c r="L1499" s="89" t="n">
        <v>65348000</v>
      </c>
      <c r="M1499" s="89" t="n">
        <v>24851460</v>
      </c>
      <c r="N1499" s="90" t="n">
        <f aca="false">IF(A1499="제외",0,IF(OR(N(L1499)&lt;=0,N(M1499)&gt;N(L1499)),N(M1499)/가정!$B$4,N(L1499)))</f>
        <v>65348000</v>
      </c>
      <c r="O1499" s="67" t="str">
        <f aca="false">IF(A1499="제외","",IF(OR(N(L1499)&lt;=0,N(M1499)&gt;N(L1499)),"택가보정(판매금액÷공급율)",""))</f>
        <v/>
      </c>
    </row>
    <row r="1500" customFormat="false" ht="15" hidden="false" customHeight="true" outlineLevel="0" collapsed="false">
      <c r="A1500" s="67" t="str">
        <f aca="false">IF(OR(TRIM(C1500)="",SUBSTITUTE(C1500," ","")="소계"),"제외",IF(ISNUMBER(SEARCH("홍콩",C1500)),"HK",IF(ISNUMBER(SEARCH("상해",C1500)),"CN",IF(ISNUMBER(SEARCH("대만",C1500)),"TW","홀세일"))))</f>
        <v>홀세일</v>
      </c>
      <c r="B1500" s="87" t="s">
        <v>1566</v>
      </c>
      <c r="C1500" s="88" t="s">
        <v>1567</v>
      </c>
      <c r="D1500" s="88" t="s">
        <v>723</v>
      </c>
      <c r="E1500" s="87" t="n">
        <v>2027</v>
      </c>
      <c r="F1500" s="88" t="s">
        <v>277</v>
      </c>
      <c r="G1500" s="88" t="s">
        <v>180</v>
      </c>
      <c r="H1500" s="87" t="s">
        <v>189</v>
      </c>
      <c r="I1500" s="87" t="s">
        <v>1637</v>
      </c>
      <c r="J1500" s="88" t="s">
        <v>1638</v>
      </c>
      <c r="K1500" s="89" t="n">
        <v>190</v>
      </c>
      <c r="L1500" s="89" t="n">
        <v>9310000</v>
      </c>
      <c r="M1500" s="89" t="n">
        <v>3322910</v>
      </c>
      <c r="N1500" s="90" t="n">
        <f aca="false">IF(A1500="제외",0,IF(OR(N(L1500)&lt;=0,N(M1500)&gt;N(L1500)),N(M1500)/가정!$B$4,N(L1500)))</f>
        <v>9310000</v>
      </c>
      <c r="O1500" s="67" t="str">
        <f aca="false">IF(A1500="제외","",IF(OR(N(L1500)&lt;=0,N(M1500)&gt;N(L1500)),"택가보정(판매금액÷공급율)",""))</f>
        <v/>
      </c>
    </row>
    <row r="1501" customFormat="false" ht="15" hidden="false" customHeight="true" outlineLevel="0" collapsed="false">
      <c r="A1501" s="67" t="str">
        <f aca="false">IF(OR(TRIM(C1501)="",SUBSTITUTE(C1501," ","")="소계"),"제외",IF(ISNUMBER(SEARCH("홍콩",C1501)),"HK",IF(ISNUMBER(SEARCH("상해",C1501)),"CN",IF(ISNUMBER(SEARCH("대만",C1501)),"TW","홀세일"))))</f>
        <v>홀세일</v>
      </c>
      <c r="B1501" s="87" t="s">
        <v>1566</v>
      </c>
      <c r="C1501" s="88" t="s">
        <v>1567</v>
      </c>
      <c r="D1501" s="88" t="s">
        <v>723</v>
      </c>
      <c r="E1501" s="87" t="n">
        <v>2027</v>
      </c>
      <c r="F1501" s="88" t="s">
        <v>277</v>
      </c>
      <c r="G1501" s="88" t="s">
        <v>180</v>
      </c>
      <c r="H1501" s="87" t="s">
        <v>189</v>
      </c>
      <c r="I1501" s="87" t="s">
        <v>1639</v>
      </c>
      <c r="J1501" s="88" t="s">
        <v>1640</v>
      </c>
      <c r="K1501" s="89" t="n">
        <v>380</v>
      </c>
      <c r="L1501" s="89" t="n">
        <v>18620000</v>
      </c>
      <c r="M1501" s="89" t="n">
        <v>6645820</v>
      </c>
      <c r="N1501" s="90" t="n">
        <f aca="false">IF(A1501="제외",0,IF(OR(N(L1501)&lt;=0,N(M1501)&gt;N(L1501)),N(M1501)/가정!$B$4,N(L1501)))</f>
        <v>18620000</v>
      </c>
      <c r="O1501" s="67" t="str">
        <f aca="false">IF(A1501="제외","",IF(OR(N(L1501)&lt;=0,N(M1501)&gt;N(L1501)),"택가보정(판매금액÷공급율)",""))</f>
        <v/>
      </c>
    </row>
    <row r="1502" customFormat="false" ht="15" hidden="false" customHeight="true" outlineLevel="0" collapsed="false">
      <c r="A1502" s="67" t="str">
        <f aca="false">IF(OR(TRIM(C1502)="",SUBSTITUTE(C1502," ","")="소계"),"제외",IF(ISNUMBER(SEARCH("홍콩",C1502)),"HK",IF(ISNUMBER(SEARCH("상해",C1502)),"CN",IF(ISNUMBER(SEARCH("대만",C1502)),"TW","홀세일"))))</f>
        <v>홀세일</v>
      </c>
      <c r="B1502" s="87" t="s">
        <v>1566</v>
      </c>
      <c r="C1502" s="88" t="s">
        <v>1567</v>
      </c>
      <c r="D1502" s="88" t="s">
        <v>723</v>
      </c>
      <c r="E1502" s="87" t="n">
        <v>2027</v>
      </c>
      <c r="F1502" s="88" t="s">
        <v>277</v>
      </c>
      <c r="G1502" s="88" t="s">
        <v>180</v>
      </c>
      <c r="H1502" s="87" t="s">
        <v>189</v>
      </c>
      <c r="I1502" s="87" t="s">
        <v>1641</v>
      </c>
      <c r="J1502" s="88" t="s">
        <v>1642</v>
      </c>
      <c r="K1502" s="89" t="n">
        <v>190</v>
      </c>
      <c r="L1502" s="89" t="n">
        <v>9310000</v>
      </c>
      <c r="M1502" s="89" t="n">
        <v>3322910</v>
      </c>
      <c r="N1502" s="90" t="n">
        <f aca="false">IF(A1502="제외",0,IF(OR(N(L1502)&lt;=0,N(M1502)&gt;N(L1502)),N(M1502)/가정!$B$4,N(L1502)))</f>
        <v>9310000</v>
      </c>
      <c r="O1502" s="67" t="str">
        <f aca="false">IF(A1502="제외","",IF(OR(N(L1502)&lt;=0,N(M1502)&gt;N(L1502)),"택가보정(판매금액÷공급율)",""))</f>
        <v/>
      </c>
    </row>
    <row r="1503" customFormat="false" ht="15" hidden="false" customHeight="true" outlineLevel="0" collapsed="false">
      <c r="A1503" s="67" t="str">
        <f aca="false">IF(OR(TRIM(C1503)="",SUBSTITUTE(C1503," ","")="소계"),"제외",IF(ISNUMBER(SEARCH("홍콩",C1503)),"HK",IF(ISNUMBER(SEARCH("상해",C1503)),"CN",IF(ISNUMBER(SEARCH("대만",C1503)),"TW","홀세일"))))</f>
        <v>홀세일</v>
      </c>
      <c r="B1503" s="87" t="s">
        <v>1566</v>
      </c>
      <c r="C1503" s="88" t="s">
        <v>1567</v>
      </c>
      <c r="D1503" s="88" t="s">
        <v>723</v>
      </c>
      <c r="E1503" s="87" t="n">
        <v>2027</v>
      </c>
      <c r="F1503" s="88" t="s">
        <v>277</v>
      </c>
      <c r="G1503" s="88" t="s">
        <v>180</v>
      </c>
      <c r="H1503" s="87" t="s">
        <v>189</v>
      </c>
      <c r="I1503" s="87" t="s">
        <v>1643</v>
      </c>
      <c r="J1503" s="88" t="s">
        <v>1644</v>
      </c>
      <c r="K1503" s="89" t="n">
        <v>190</v>
      </c>
      <c r="L1503" s="89" t="n">
        <v>9310000</v>
      </c>
      <c r="M1503" s="89" t="n">
        <v>3322910</v>
      </c>
      <c r="N1503" s="90" t="n">
        <f aca="false">IF(A1503="제외",0,IF(OR(N(L1503)&lt;=0,N(M1503)&gt;N(L1503)),N(M1503)/가정!$B$4,N(L1503)))</f>
        <v>9310000</v>
      </c>
      <c r="O1503" s="67" t="str">
        <f aca="false">IF(A1503="제외","",IF(OR(N(L1503)&lt;=0,N(M1503)&gt;N(L1503)),"택가보정(판매금액÷공급율)",""))</f>
        <v/>
      </c>
    </row>
    <row r="1504" customFormat="false" ht="15" hidden="false" customHeight="true" outlineLevel="0" collapsed="false">
      <c r="A1504" s="67" t="str">
        <f aca="false">IF(OR(TRIM(C1504)="",SUBSTITUTE(C1504," ","")="소계"),"제외",IF(ISNUMBER(SEARCH("홍콩",C1504)),"HK",IF(ISNUMBER(SEARCH("상해",C1504)),"CN",IF(ISNUMBER(SEARCH("대만",C1504)),"TW","홀세일"))))</f>
        <v>홀세일</v>
      </c>
      <c r="B1504" s="87" t="s">
        <v>1566</v>
      </c>
      <c r="C1504" s="88" t="s">
        <v>1567</v>
      </c>
      <c r="D1504" s="88" t="s">
        <v>723</v>
      </c>
      <c r="E1504" s="87" t="n">
        <v>2027</v>
      </c>
      <c r="F1504" s="88" t="s">
        <v>277</v>
      </c>
      <c r="G1504" s="88" t="s">
        <v>180</v>
      </c>
      <c r="H1504" s="87" t="s">
        <v>189</v>
      </c>
      <c r="I1504" s="87" t="s">
        <v>1645</v>
      </c>
      <c r="J1504" s="88" t="s">
        <v>1646</v>
      </c>
      <c r="K1504" s="89" t="n">
        <v>190</v>
      </c>
      <c r="L1504" s="89" t="n">
        <v>9310000</v>
      </c>
      <c r="M1504" s="89" t="n">
        <v>3322910</v>
      </c>
      <c r="N1504" s="90" t="n">
        <f aca="false">IF(A1504="제외",0,IF(OR(N(L1504)&lt;=0,N(M1504)&gt;N(L1504)),N(M1504)/가정!$B$4,N(L1504)))</f>
        <v>9310000</v>
      </c>
      <c r="O1504" s="67" t="str">
        <f aca="false">IF(A1504="제외","",IF(OR(N(L1504)&lt;=0,N(M1504)&gt;N(L1504)),"택가보정(판매금액÷공급율)",""))</f>
        <v/>
      </c>
    </row>
    <row r="1505" customFormat="false" ht="15" hidden="false" customHeight="true" outlineLevel="0" collapsed="false">
      <c r="A1505" s="67" t="str">
        <f aca="false">IF(OR(TRIM(C1505)="",SUBSTITUTE(C1505," ","")="소계"),"제외",IF(ISNUMBER(SEARCH("홍콩",C1505)),"HK",IF(ISNUMBER(SEARCH("상해",C1505)),"CN",IF(ISNUMBER(SEARCH("대만",C1505)),"TW","홀세일"))))</f>
        <v>홀세일</v>
      </c>
      <c r="B1505" s="87" t="s">
        <v>1566</v>
      </c>
      <c r="C1505" s="88" t="s">
        <v>1567</v>
      </c>
      <c r="D1505" s="88" t="s">
        <v>723</v>
      </c>
      <c r="E1505" s="87" t="n">
        <v>2027</v>
      </c>
      <c r="F1505" s="87" t="s">
        <v>639</v>
      </c>
      <c r="G1505" s="88" t="s">
        <v>1168</v>
      </c>
      <c r="H1505" s="88" t="s">
        <v>708</v>
      </c>
      <c r="I1505" s="87" t="s">
        <v>1647</v>
      </c>
      <c r="J1505" s="88" t="s">
        <v>1648</v>
      </c>
      <c r="K1505" s="89" t="n">
        <v>500</v>
      </c>
      <c r="L1505" s="89" t="n">
        <v>19500000</v>
      </c>
      <c r="M1505" s="89" t="n">
        <v>12648000</v>
      </c>
      <c r="N1505" s="90" t="n">
        <f aca="false">IF(A1505="제외",0,IF(OR(N(L1505)&lt;=0,N(M1505)&gt;N(L1505)),N(M1505)/가정!$B$4,N(L1505)))</f>
        <v>19500000</v>
      </c>
      <c r="O1505" s="67" t="str">
        <f aca="false">IF(A1505="제외","",IF(OR(N(L1505)&lt;=0,N(M1505)&gt;N(L1505)),"택가보정(판매금액÷공급율)",""))</f>
        <v/>
      </c>
    </row>
    <row r="1506" customFormat="false" ht="15" hidden="false" customHeight="true" outlineLevel="0" collapsed="false">
      <c r="A1506" s="67" t="str">
        <f aca="false">IF(OR(TRIM(C1506)="",SUBSTITUTE(C1506," ","")="소계"),"제외",IF(ISNUMBER(SEARCH("홍콩",C1506)),"HK",IF(ISNUMBER(SEARCH("상해",C1506)),"CN",IF(ISNUMBER(SEARCH("대만",C1506)),"TW","홀세일"))))</f>
        <v>홀세일</v>
      </c>
      <c r="B1506" s="87" t="s">
        <v>1566</v>
      </c>
      <c r="C1506" s="88" t="s">
        <v>1567</v>
      </c>
      <c r="D1506" s="88" t="s">
        <v>723</v>
      </c>
      <c r="E1506" s="87" t="n">
        <v>2027</v>
      </c>
      <c r="F1506" s="87" t="s">
        <v>639</v>
      </c>
      <c r="G1506" s="88" t="s">
        <v>1168</v>
      </c>
      <c r="H1506" s="88" t="s">
        <v>708</v>
      </c>
      <c r="I1506" s="87" t="s">
        <v>1649</v>
      </c>
      <c r="J1506" s="88" t="s">
        <v>1650</v>
      </c>
      <c r="K1506" s="89" t="n">
        <v>250</v>
      </c>
      <c r="L1506" s="89" t="n">
        <v>9750000</v>
      </c>
      <c r="M1506" s="89" t="n">
        <v>6324000</v>
      </c>
      <c r="N1506" s="90" t="n">
        <f aca="false">IF(A1506="제외",0,IF(OR(N(L1506)&lt;=0,N(M1506)&gt;N(L1506)),N(M1506)/가정!$B$4,N(L1506)))</f>
        <v>9750000</v>
      </c>
      <c r="O1506" s="67" t="str">
        <f aca="false">IF(A1506="제외","",IF(OR(N(L1506)&lt;=0,N(M1506)&gt;N(L1506)),"택가보정(판매금액÷공급율)",""))</f>
        <v/>
      </c>
    </row>
    <row r="1507" customFormat="false" ht="15" hidden="false" customHeight="true" outlineLevel="0" collapsed="false">
      <c r="A1507" s="67" t="str">
        <f aca="false">IF(OR(TRIM(C1507)="",SUBSTITUTE(C1507," ","")="소계"),"제외",IF(ISNUMBER(SEARCH("홍콩",C1507)),"HK",IF(ISNUMBER(SEARCH("상해",C1507)),"CN",IF(ISNUMBER(SEARCH("대만",C1507)),"TW","홀세일"))))</f>
        <v>제외</v>
      </c>
      <c r="B1507" s="87" t="s">
        <v>821</v>
      </c>
      <c r="C1507" s="88" t="s">
        <v>822</v>
      </c>
      <c r="D1507" s="87"/>
      <c r="E1507" s="87"/>
      <c r="F1507" s="87"/>
      <c r="G1507" s="87"/>
      <c r="H1507" s="87"/>
      <c r="I1507" s="87"/>
      <c r="J1507" s="87"/>
      <c r="K1507" s="89" t="n">
        <v>22859</v>
      </c>
      <c r="L1507" s="89" t="n">
        <v>1213003000</v>
      </c>
      <c r="M1507" s="89" t="n">
        <v>451317214</v>
      </c>
      <c r="N1507" s="90" t="n">
        <f aca="false">IF(A1507="제외",0,IF(OR(N(L1507)&lt;=0,N(M1507)&gt;N(L1507)),N(M1507)/가정!$B$4,N(L1507)))</f>
        <v>0</v>
      </c>
      <c r="O1507" s="67" t="str">
        <f aca="false">IF(A1507="제외","",IF(OR(N(L1507)&lt;=0,N(M1507)&gt;N(L1507)),"택가보정(판매금액÷공급율)",""))</f>
        <v/>
      </c>
    </row>
    <row r="1508" customFormat="false" ht="15" hidden="false" customHeight="true" outlineLevel="0" collapsed="false">
      <c r="A1508" s="67" t="str">
        <f aca="false">IF(OR(TRIM(C1508)="",SUBSTITUTE(C1508," ","")="소계"),"제외",IF(ISNUMBER(SEARCH("홍콩",C1508)),"HK",IF(ISNUMBER(SEARCH("상해",C1508)),"CN",IF(ISNUMBER(SEARCH("대만",C1508)),"TW","홀세일"))))</f>
        <v>홀세일</v>
      </c>
      <c r="B1508" s="87" t="s">
        <v>1651</v>
      </c>
      <c r="C1508" s="88" t="s">
        <v>178</v>
      </c>
      <c r="D1508" s="88" t="s">
        <v>178</v>
      </c>
      <c r="E1508" s="87" t="n">
        <v>2025</v>
      </c>
      <c r="F1508" s="88" t="s">
        <v>179</v>
      </c>
      <c r="G1508" s="88" t="s">
        <v>188</v>
      </c>
      <c r="H1508" s="88" t="s">
        <v>185</v>
      </c>
      <c r="I1508" s="87" t="s">
        <v>1532</v>
      </c>
      <c r="J1508" s="87" t="s">
        <v>1533</v>
      </c>
      <c r="K1508" s="89" t="n">
        <v>50</v>
      </c>
      <c r="L1508" s="89" t="n">
        <v>8450000</v>
      </c>
      <c r="M1508" s="89" t="n">
        <v>4222800</v>
      </c>
      <c r="N1508" s="90" t="n">
        <f aca="false">IF(A1508="제외",0,IF(OR(N(L1508)&lt;=0,N(M1508)&gt;N(L1508)),N(M1508)/가정!$B$4,N(L1508)))</f>
        <v>8450000</v>
      </c>
      <c r="O1508" s="67" t="str">
        <f aca="false">IF(A1508="제외","",IF(OR(N(L1508)&lt;=0,N(M1508)&gt;N(L1508)),"택가보정(판매금액÷공급율)",""))</f>
        <v/>
      </c>
    </row>
    <row r="1509" customFormat="false" ht="15" hidden="false" customHeight="true" outlineLevel="0" collapsed="false">
      <c r="A1509" s="67" t="str">
        <f aca="false">IF(OR(TRIM(C1509)="",SUBSTITUTE(C1509," ","")="소계"),"제외",IF(ISNUMBER(SEARCH("홍콩",C1509)),"HK",IF(ISNUMBER(SEARCH("상해",C1509)),"CN",IF(ISNUMBER(SEARCH("대만",C1509)),"TW","홀세일"))))</f>
        <v>홀세일</v>
      </c>
      <c r="B1509" s="87" t="s">
        <v>1651</v>
      </c>
      <c r="C1509" s="88" t="s">
        <v>178</v>
      </c>
      <c r="D1509" s="88" t="s">
        <v>178</v>
      </c>
      <c r="E1509" s="87" t="n">
        <v>2025</v>
      </c>
      <c r="F1509" s="88" t="s">
        <v>179</v>
      </c>
      <c r="G1509" s="88" t="s">
        <v>188</v>
      </c>
      <c r="H1509" s="88" t="s">
        <v>185</v>
      </c>
      <c r="I1509" s="87" t="s">
        <v>1296</v>
      </c>
      <c r="J1509" s="87" t="s">
        <v>1297</v>
      </c>
      <c r="K1509" s="89" t="n">
        <v>90</v>
      </c>
      <c r="L1509" s="89" t="n">
        <v>15210000</v>
      </c>
      <c r="M1509" s="89" t="n">
        <v>7601040</v>
      </c>
      <c r="N1509" s="90" t="n">
        <f aca="false">IF(A1509="제외",0,IF(OR(N(L1509)&lt;=0,N(M1509)&gt;N(L1509)),N(M1509)/가정!$B$4,N(L1509)))</f>
        <v>15210000</v>
      </c>
      <c r="O1509" s="67" t="str">
        <f aca="false">IF(A1509="제외","",IF(OR(N(L1509)&lt;=0,N(M1509)&gt;N(L1509)),"택가보정(판매금액÷공급율)",""))</f>
        <v/>
      </c>
    </row>
    <row r="1510" customFormat="false" ht="15" hidden="false" customHeight="true" outlineLevel="0" collapsed="false">
      <c r="A1510" s="67" t="str">
        <f aca="false">IF(OR(TRIM(C1510)="",SUBSTITUTE(C1510," ","")="소계"),"제외",IF(ISNUMBER(SEARCH("홍콩",C1510)),"HK",IF(ISNUMBER(SEARCH("상해",C1510)),"CN",IF(ISNUMBER(SEARCH("대만",C1510)),"TW","홀세일"))))</f>
        <v>홀세일</v>
      </c>
      <c r="B1510" s="87" t="s">
        <v>1651</v>
      </c>
      <c r="C1510" s="88" t="s">
        <v>178</v>
      </c>
      <c r="D1510" s="88" t="s">
        <v>178</v>
      </c>
      <c r="E1510" s="87" t="n">
        <v>2025</v>
      </c>
      <c r="F1510" s="88" t="s">
        <v>179</v>
      </c>
      <c r="G1510" s="88" t="s">
        <v>188</v>
      </c>
      <c r="H1510" s="88" t="s">
        <v>185</v>
      </c>
      <c r="I1510" s="87" t="s">
        <v>1652</v>
      </c>
      <c r="J1510" s="87" t="s">
        <v>1653</v>
      </c>
      <c r="K1510" s="89" t="n">
        <v>50</v>
      </c>
      <c r="L1510" s="89" t="n">
        <v>8450000</v>
      </c>
      <c r="M1510" s="89" t="n">
        <v>4222800</v>
      </c>
      <c r="N1510" s="90" t="n">
        <f aca="false">IF(A1510="제외",0,IF(OR(N(L1510)&lt;=0,N(M1510)&gt;N(L1510)),N(M1510)/가정!$B$4,N(L1510)))</f>
        <v>8450000</v>
      </c>
      <c r="O1510" s="67" t="str">
        <f aca="false">IF(A1510="제외","",IF(OR(N(L1510)&lt;=0,N(M1510)&gt;N(L1510)),"택가보정(판매금액÷공급율)",""))</f>
        <v/>
      </c>
    </row>
    <row r="1511" customFormat="false" ht="15" hidden="false" customHeight="true" outlineLevel="0" collapsed="false">
      <c r="A1511" s="67" t="str">
        <f aca="false">IF(OR(TRIM(C1511)="",SUBSTITUTE(C1511," ","")="소계"),"제외",IF(ISNUMBER(SEARCH("홍콩",C1511)),"HK",IF(ISNUMBER(SEARCH("상해",C1511)),"CN",IF(ISNUMBER(SEARCH("대만",C1511)),"TW","홀세일"))))</f>
        <v>홀세일</v>
      </c>
      <c r="B1511" s="87" t="s">
        <v>1651</v>
      </c>
      <c r="C1511" s="88" t="s">
        <v>178</v>
      </c>
      <c r="D1511" s="88" t="s">
        <v>178</v>
      </c>
      <c r="E1511" s="87" t="n">
        <v>2025</v>
      </c>
      <c r="F1511" s="88" t="s">
        <v>421</v>
      </c>
      <c r="G1511" s="88" t="s">
        <v>180</v>
      </c>
      <c r="H1511" s="87" t="s">
        <v>189</v>
      </c>
      <c r="I1511" s="87" t="s">
        <v>1654</v>
      </c>
      <c r="J1511" s="87" t="s">
        <v>1655</v>
      </c>
      <c r="K1511" s="89" t="n">
        <v>32</v>
      </c>
      <c r="L1511" s="89" t="n">
        <v>7648000</v>
      </c>
      <c r="M1511" s="89" t="n">
        <v>4227008</v>
      </c>
      <c r="N1511" s="90" t="n">
        <f aca="false">IF(A1511="제외",0,IF(OR(N(L1511)&lt;=0,N(M1511)&gt;N(L1511)),N(M1511)/가정!$B$4,N(L1511)))</f>
        <v>7648000</v>
      </c>
      <c r="O1511" s="67" t="str">
        <f aca="false">IF(A1511="제외","",IF(OR(N(L1511)&lt;=0,N(M1511)&gt;N(L1511)),"택가보정(판매금액÷공급율)",""))</f>
        <v/>
      </c>
    </row>
    <row r="1512" customFormat="false" ht="15" hidden="false" customHeight="true" outlineLevel="0" collapsed="false">
      <c r="A1512" s="67" t="str">
        <f aca="false">IF(OR(TRIM(C1512)="",SUBSTITUTE(C1512," ","")="소계"),"제외",IF(ISNUMBER(SEARCH("홍콩",C1512)),"HK",IF(ISNUMBER(SEARCH("상해",C1512)),"CN",IF(ISNUMBER(SEARCH("대만",C1512)),"TW","홀세일"))))</f>
        <v>홀세일</v>
      </c>
      <c r="B1512" s="87" t="s">
        <v>1651</v>
      </c>
      <c r="C1512" s="88" t="s">
        <v>178</v>
      </c>
      <c r="D1512" s="88" t="s">
        <v>178</v>
      </c>
      <c r="E1512" s="87" t="n">
        <v>2025</v>
      </c>
      <c r="F1512" s="88" t="s">
        <v>421</v>
      </c>
      <c r="G1512" s="88" t="s">
        <v>180</v>
      </c>
      <c r="H1512" s="87" t="s">
        <v>189</v>
      </c>
      <c r="I1512" s="87" t="s">
        <v>1656</v>
      </c>
      <c r="J1512" s="88" t="s">
        <v>1657</v>
      </c>
      <c r="K1512" s="89" t="n">
        <v>30</v>
      </c>
      <c r="L1512" s="89" t="n">
        <v>5970000</v>
      </c>
      <c r="M1512" s="89" t="n">
        <v>3303090</v>
      </c>
      <c r="N1512" s="90" t="n">
        <f aca="false">IF(A1512="제외",0,IF(OR(N(L1512)&lt;=0,N(M1512)&gt;N(L1512)),N(M1512)/가정!$B$4,N(L1512)))</f>
        <v>5970000</v>
      </c>
      <c r="O1512" s="67" t="str">
        <f aca="false">IF(A1512="제외","",IF(OR(N(L1512)&lt;=0,N(M1512)&gt;N(L1512)),"택가보정(판매금액÷공급율)",""))</f>
        <v/>
      </c>
    </row>
    <row r="1513" customFormat="false" ht="15" hidden="false" customHeight="true" outlineLevel="0" collapsed="false">
      <c r="A1513" s="67" t="str">
        <f aca="false">IF(OR(TRIM(C1513)="",SUBSTITUTE(C1513," ","")="소계"),"제외",IF(ISNUMBER(SEARCH("홍콩",C1513)),"HK",IF(ISNUMBER(SEARCH("상해",C1513)),"CN",IF(ISNUMBER(SEARCH("대만",C1513)),"TW","홀세일"))))</f>
        <v>홀세일</v>
      </c>
      <c r="B1513" s="87" t="s">
        <v>1651</v>
      </c>
      <c r="C1513" s="88" t="s">
        <v>178</v>
      </c>
      <c r="D1513" s="88" t="s">
        <v>178</v>
      </c>
      <c r="E1513" s="87" t="n">
        <v>2025</v>
      </c>
      <c r="F1513" s="87" t="s">
        <v>639</v>
      </c>
      <c r="G1513" s="88" t="s">
        <v>188</v>
      </c>
      <c r="H1513" s="88" t="s">
        <v>185</v>
      </c>
      <c r="I1513" s="87" t="s">
        <v>1658</v>
      </c>
      <c r="J1513" s="87" t="s">
        <v>1659</v>
      </c>
      <c r="K1513" s="89" t="n">
        <v>50</v>
      </c>
      <c r="L1513" s="89" t="n">
        <v>5450000</v>
      </c>
      <c r="M1513" s="89" t="n">
        <v>2720000</v>
      </c>
      <c r="N1513" s="90" t="n">
        <f aca="false">IF(A1513="제외",0,IF(OR(N(L1513)&lt;=0,N(M1513)&gt;N(L1513)),N(M1513)/가정!$B$4,N(L1513)))</f>
        <v>5450000</v>
      </c>
      <c r="O1513" s="67" t="str">
        <f aca="false">IF(A1513="제외","",IF(OR(N(L1513)&lt;=0,N(M1513)&gt;N(L1513)),"택가보정(판매금액÷공급율)",""))</f>
        <v/>
      </c>
    </row>
    <row r="1514" customFormat="false" ht="15" hidden="false" customHeight="true" outlineLevel="0" collapsed="false">
      <c r="A1514" s="67" t="str">
        <f aca="false">IF(OR(TRIM(C1514)="",SUBSTITUTE(C1514," ","")="소계"),"제외",IF(ISNUMBER(SEARCH("홍콩",C1514)),"HK",IF(ISNUMBER(SEARCH("상해",C1514)),"CN",IF(ISNUMBER(SEARCH("대만",C1514)),"TW","홀세일"))))</f>
        <v>홀세일</v>
      </c>
      <c r="B1514" s="87" t="s">
        <v>1651</v>
      </c>
      <c r="C1514" s="88" t="s">
        <v>178</v>
      </c>
      <c r="D1514" s="88" t="s">
        <v>178</v>
      </c>
      <c r="E1514" s="87" t="n">
        <v>2025</v>
      </c>
      <c r="F1514" s="87" t="s">
        <v>639</v>
      </c>
      <c r="G1514" s="88" t="s">
        <v>188</v>
      </c>
      <c r="H1514" s="88" t="s">
        <v>185</v>
      </c>
      <c r="I1514" s="87" t="s">
        <v>1660</v>
      </c>
      <c r="J1514" s="87" t="s">
        <v>1661</v>
      </c>
      <c r="K1514" s="89" t="n">
        <v>50</v>
      </c>
      <c r="L1514" s="89" t="n">
        <v>3950000</v>
      </c>
      <c r="M1514" s="89" t="n">
        <v>1972000</v>
      </c>
      <c r="N1514" s="90" t="n">
        <f aca="false">IF(A1514="제외",0,IF(OR(N(L1514)&lt;=0,N(M1514)&gt;N(L1514)),N(M1514)/가정!$B$4,N(L1514)))</f>
        <v>3950000</v>
      </c>
      <c r="O1514" s="67" t="str">
        <f aca="false">IF(A1514="제외","",IF(OR(N(L1514)&lt;=0,N(M1514)&gt;N(L1514)),"택가보정(판매금액÷공급율)",""))</f>
        <v/>
      </c>
    </row>
    <row r="1515" customFormat="false" ht="15" hidden="false" customHeight="true" outlineLevel="0" collapsed="false">
      <c r="A1515" s="67" t="str">
        <f aca="false">IF(OR(TRIM(C1515)="",SUBSTITUTE(C1515," ","")="소계"),"제외",IF(ISNUMBER(SEARCH("홍콩",C1515)),"HK",IF(ISNUMBER(SEARCH("상해",C1515)),"CN",IF(ISNUMBER(SEARCH("대만",C1515)),"TW","홀세일"))))</f>
        <v>홀세일</v>
      </c>
      <c r="B1515" s="87" t="s">
        <v>1651</v>
      </c>
      <c r="C1515" s="88" t="s">
        <v>178</v>
      </c>
      <c r="D1515" s="88" t="s">
        <v>178</v>
      </c>
      <c r="E1515" s="87" t="n">
        <v>2025</v>
      </c>
      <c r="F1515" s="87" t="s">
        <v>639</v>
      </c>
      <c r="G1515" s="88" t="s">
        <v>827</v>
      </c>
      <c r="H1515" s="88" t="s">
        <v>185</v>
      </c>
      <c r="I1515" s="87" t="s">
        <v>1662</v>
      </c>
      <c r="J1515" s="87" t="s">
        <v>1663</v>
      </c>
      <c r="K1515" s="89" t="n">
        <v>8</v>
      </c>
      <c r="L1515" s="89" t="n">
        <v>1752000</v>
      </c>
      <c r="M1515" s="89" t="n">
        <v>848120</v>
      </c>
      <c r="N1515" s="90" t="n">
        <f aca="false">IF(A1515="제외",0,IF(OR(N(L1515)&lt;=0,N(M1515)&gt;N(L1515)),N(M1515)/가정!$B$4,N(L1515)))</f>
        <v>1752000</v>
      </c>
      <c r="O1515" s="67" t="str">
        <f aca="false">IF(A1515="제외","",IF(OR(N(L1515)&lt;=0,N(M1515)&gt;N(L1515)),"택가보정(판매금액÷공급율)",""))</f>
        <v/>
      </c>
    </row>
    <row r="1516" customFormat="false" ht="15" hidden="false" customHeight="true" outlineLevel="0" collapsed="false">
      <c r="A1516" s="67" t="str">
        <f aca="false">IF(OR(TRIM(C1516)="",SUBSTITUTE(C1516," ","")="소계"),"제외",IF(ISNUMBER(SEARCH("홍콩",C1516)),"HK",IF(ISNUMBER(SEARCH("상해",C1516)),"CN",IF(ISNUMBER(SEARCH("대만",C1516)),"TW","홀세일"))))</f>
        <v>홀세일</v>
      </c>
      <c r="B1516" s="87" t="s">
        <v>1651</v>
      </c>
      <c r="C1516" s="88" t="s">
        <v>178</v>
      </c>
      <c r="D1516" s="88" t="s">
        <v>178</v>
      </c>
      <c r="E1516" s="87" t="n">
        <v>2026</v>
      </c>
      <c r="F1516" s="88" t="s">
        <v>179</v>
      </c>
      <c r="G1516" s="88" t="s">
        <v>188</v>
      </c>
      <c r="H1516" s="87" t="s">
        <v>189</v>
      </c>
      <c r="I1516" s="87" t="s">
        <v>190</v>
      </c>
      <c r="J1516" s="88" t="s">
        <v>191</v>
      </c>
      <c r="K1516" s="89" t="n">
        <v>40</v>
      </c>
      <c r="L1516" s="89" t="n">
        <v>6760000</v>
      </c>
      <c r="M1516" s="89" t="n">
        <v>3378240</v>
      </c>
      <c r="N1516" s="90" t="n">
        <f aca="false">IF(A1516="제외",0,IF(OR(N(L1516)&lt;=0,N(M1516)&gt;N(L1516)),N(M1516)/가정!$B$4,N(L1516)))</f>
        <v>6760000</v>
      </c>
      <c r="O1516" s="67" t="str">
        <f aca="false">IF(A1516="제외","",IF(OR(N(L1516)&lt;=0,N(M1516)&gt;N(L1516)),"택가보정(판매금액÷공급율)",""))</f>
        <v/>
      </c>
    </row>
    <row r="1517" customFormat="false" ht="15" hidden="false" customHeight="true" outlineLevel="0" collapsed="false">
      <c r="A1517" s="67" t="str">
        <f aca="false">IF(OR(TRIM(C1517)="",SUBSTITUTE(C1517," ","")="소계"),"제외",IF(ISNUMBER(SEARCH("홍콩",C1517)),"HK",IF(ISNUMBER(SEARCH("상해",C1517)),"CN",IF(ISNUMBER(SEARCH("대만",C1517)),"TW","홀세일"))))</f>
        <v>홀세일</v>
      </c>
      <c r="B1517" s="87" t="s">
        <v>1651</v>
      </c>
      <c r="C1517" s="88" t="s">
        <v>178</v>
      </c>
      <c r="D1517" s="88" t="s">
        <v>178</v>
      </c>
      <c r="E1517" s="87" t="n">
        <v>2026</v>
      </c>
      <c r="F1517" s="88" t="s">
        <v>179</v>
      </c>
      <c r="G1517" s="88" t="s">
        <v>188</v>
      </c>
      <c r="H1517" s="87" t="s">
        <v>189</v>
      </c>
      <c r="I1517" s="87" t="s">
        <v>204</v>
      </c>
      <c r="J1517" s="88" t="s">
        <v>205</v>
      </c>
      <c r="K1517" s="89" t="n">
        <v>24</v>
      </c>
      <c r="L1517" s="89" t="n">
        <v>4536000</v>
      </c>
      <c r="M1517" s="89" t="n">
        <v>2508720</v>
      </c>
      <c r="N1517" s="90" t="n">
        <f aca="false">IF(A1517="제외",0,IF(OR(N(L1517)&lt;=0,N(M1517)&gt;N(L1517)),N(M1517)/가정!$B$4,N(L1517)))</f>
        <v>4536000</v>
      </c>
      <c r="O1517" s="67" t="str">
        <f aca="false">IF(A1517="제외","",IF(OR(N(L1517)&lt;=0,N(M1517)&gt;N(L1517)),"택가보정(판매금액÷공급율)",""))</f>
        <v/>
      </c>
    </row>
    <row r="1518" customFormat="false" ht="15" hidden="false" customHeight="true" outlineLevel="0" collapsed="false">
      <c r="A1518" s="67" t="str">
        <f aca="false">IF(OR(TRIM(C1518)="",SUBSTITUTE(C1518," ","")="소계"),"제외",IF(ISNUMBER(SEARCH("홍콩",C1518)),"HK",IF(ISNUMBER(SEARCH("상해",C1518)),"CN",IF(ISNUMBER(SEARCH("대만",C1518)),"TW","홀세일"))))</f>
        <v>홀세일</v>
      </c>
      <c r="B1518" s="87" t="s">
        <v>1651</v>
      </c>
      <c r="C1518" s="88" t="s">
        <v>178</v>
      </c>
      <c r="D1518" s="88" t="s">
        <v>178</v>
      </c>
      <c r="E1518" s="87" t="n">
        <v>2026</v>
      </c>
      <c r="F1518" s="88" t="s">
        <v>179</v>
      </c>
      <c r="G1518" s="88" t="s">
        <v>180</v>
      </c>
      <c r="H1518" s="87" t="s">
        <v>189</v>
      </c>
      <c r="I1518" s="87" t="s">
        <v>1312</v>
      </c>
      <c r="J1518" s="87" t="s">
        <v>1313</v>
      </c>
      <c r="K1518" s="89" t="n">
        <v>18</v>
      </c>
      <c r="L1518" s="89" t="n">
        <v>5382000</v>
      </c>
      <c r="M1518" s="89" t="n">
        <v>2974140</v>
      </c>
      <c r="N1518" s="90" t="n">
        <f aca="false">IF(A1518="제외",0,IF(OR(N(L1518)&lt;=0,N(M1518)&gt;N(L1518)),N(M1518)/가정!$B$4,N(L1518)))</f>
        <v>5382000</v>
      </c>
      <c r="O1518" s="67" t="str">
        <f aca="false">IF(A1518="제외","",IF(OR(N(L1518)&lt;=0,N(M1518)&gt;N(L1518)),"택가보정(판매금액÷공급율)",""))</f>
        <v/>
      </c>
    </row>
    <row r="1519" customFormat="false" ht="15" hidden="false" customHeight="true" outlineLevel="0" collapsed="false">
      <c r="A1519" s="67" t="str">
        <f aca="false">IF(OR(TRIM(C1519)="",SUBSTITUTE(C1519," ","")="소계"),"제외",IF(ISNUMBER(SEARCH("홍콩",C1519)),"HK",IF(ISNUMBER(SEARCH("상해",C1519)),"CN",IF(ISNUMBER(SEARCH("대만",C1519)),"TW","홀세일"))))</f>
        <v>홀세일</v>
      </c>
      <c r="B1519" s="87" t="s">
        <v>1651</v>
      </c>
      <c r="C1519" s="88" t="s">
        <v>178</v>
      </c>
      <c r="D1519" s="88" t="s">
        <v>178</v>
      </c>
      <c r="E1519" s="87" t="n">
        <v>2026</v>
      </c>
      <c r="F1519" s="88" t="s">
        <v>179</v>
      </c>
      <c r="G1519" s="88" t="s">
        <v>180</v>
      </c>
      <c r="H1519" s="87" t="s">
        <v>181</v>
      </c>
      <c r="I1519" s="87" t="s">
        <v>1092</v>
      </c>
      <c r="J1519" s="88" t="s">
        <v>1093</v>
      </c>
      <c r="K1519" s="89" t="n">
        <v>21</v>
      </c>
      <c r="L1519" s="89" t="n">
        <v>1659000</v>
      </c>
      <c r="M1519" s="89" t="n">
        <v>917280</v>
      </c>
      <c r="N1519" s="90" t="n">
        <f aca="false">IF(A1519="제외",0,IF(OR(N(L1519)&lt;=0,N(M1519)&gt;N(L1519)),N(M1519)/가정!$B$4,N(L1519)))</f>
        <v>1659000</v>
      </c>
      <c r="O1519" s="67" t="str">
        <f aca="false">IF(A1519="제외","",IF(OR(N(L1519)&lt;=0,N(M1519)&gt;N(L1519)),"택가보정(판매금액÷공급율)",""))</f>
        <v/>
      </c>
    </row>
    <row r="1520" customFormat="false" ht="15" hidden="false" customHeight="true" outlineLevel="0" collapsed="false">
      <c r="A1520" s="67" t="str">
        <f aca="false">IF(OR(TRIM(C1520)="",SUBSTITUTE(C1520," ","")="소계"),"제외",IF(ISNUMBER(SEARCH("홍콩",C1520)),"HK",IF(ISNUMBER(SEARCH("상해",C1520)),"CN",IF(ISNUMBER(SEARCH("대만",C1520)),"TW","홀세일"))))</f>
        <v>홀세일</v>
      </c>
      <c r="B1520" s="87" t="s">
        <v>1651</v>
      </c>
      <c r="C1520" s="88" t="s">
        <v>178</v>
      </c>
      <c r="D1520" s="88" t="s">
        <v>178</v>
      </c>
      <c r="E1520" s="87" t="n">
        <v>2026</v>
      </c>
      <c r="F1520" s="88" t="s">
        <v>179</v>
      </c>
      <c r="G1520" s="88" t="s">
        <v>180</v>
      </c>
      <c r="H1520" s="87" t="s">
        <v>189</v>
      </c>
      <c r="I1520" s="87" t="s">
        <v>244</v>
      </c>
      <c r="J1520" s="88" t="s">
        <v>245</v>
      </c>
      <c r="K1520" s="89" t="n">
        <v>10</v>
      </c>
      <c r="L1520" s="89" t="n">
        <v>590000</v>
      </c>
      <c r="M1520" s="89" t="n">
        <v>326850</v>
      </c>
      <c r="N1520" s="90" t="n">
        <f aca="false">IF(A1520="제외",0,IF(OR(N(L1520)&lt;=0,N(M1520)&gt;N(L1520)),N(M1520)/가정!$B$4,N(L1520)))</f>
        <v>590000</v>
      </c>
      <c r="O1520" s="67" t="str">
        <f aca="false">IF(A1520="제외","",IF(OR(N(L1520)&lt;=0,N(M1520)&gt;N(L1520)),"택가보정(판매금액÷공급율)",""))</f>
        <v/>
      </c>
    </row>
    <row r="1521" customFormat="false" ht="15" hidden="false" customHeight="true" outlineLevel="0" collapsed="false">
      <c r="A1521" s="67" t="str">
        <f aca="false">IF(OR(TRIM(C1521)="",SUBSTITUTE(C1521," ","")="소계"),"제외",IF(ISNUMBER(SEARCH("홍콩",C1521)),"HK",IF(ISNUMBER(SEARCH("상해",C1521)),"CN",IF(ISNUMBER(SEARCH("대만",C1521)),"TW","홀세일"))))</f>
        <v>홀세일</v>
      </c>
      <c r="B1521" s="87" t="s">
        <v>1651</v>
      </c>
      <c r="C1521" s="88" t="s">
        <v>178</v>
      </c>
      <c r="D1521" s="88" t="s">
        <v>178</v>
      </c>
      <c r="E1521" s="87" t="n">
        <v>2026</v>
      </c>
      <c r="F1521" s="88" t="s">
        <v>179</v>
      </c>
      <c r="G1521" s="88" t="s">
        <v>180</v>
      </c>
      <c r="H1521" s="87" t="s">
        <v>181</v>
      </c>
      <c r="I1521" s="87" t="s">
        <v>1323</v>
      </c>
      <c r="J1521" s="88" t="s">
        <v>1324</v>
      </c>
      <c r="K1521" s="89" t="n">
        <v>12</v>
      </c>
      <c r="L1521" s="89" t="n">
        <v>828000</v>
      </c>
      <c r="M1521" s="89" t="n">
        <v>459084</v>
      </c>
      <c r="N1521" s="90" t="n">
        <f aca="false">IF(A1521="제외",0,IF(OR(N(L1521)&lt;=0,N(M1521)&gt;N(L1521)),N(M1521)/가정!$B$4,N(L1521)))</f>
        <v>828000</v>
      </c>
      <c r="O1521" s="67" t="str">
        <f aca="false">IF(A1521="제외","",IF(OR(N(L1521)&lt;=0,N(M1521)&gt;N(L1521)),"택가보정(판매금액÷공급율)",""))</f>
        <v/>
      </c>
    </row>
    <row r="1522" customFormat="false" ht="15" hidden="false" customHeight="true" outlineLevel="0" collapsed="false">
      <c r="A1522" s="67" t="str">
        <f aca="false">IF(OR(TRIM(C1522)="",SUBSTITUTE(C1522," ","")="소계"),"제외",IF(ISNUMBER(SEARCH("홍콩",C1522)),"HK",IF(ISNUMBER(SEARCH("상해",C1522)),"CN",IF(ISNUMBER(SEARCH("대만",C1522)),"TW","홀세일"))))</f>
        <v>홀세일</v>
      </c>
      <c r="B1522" s="87" t="s">
        <v>1651</v>
      </c>
      <c r="C1522" s="88" t="s">
        <v>178</v>
      </c>
      <c r="D1522" s="88" t="s">
        <v>178</v>
      </c>
      <c r="E1522" s="87" t="n">
        <v>2026</v>
      </c>
      <c r="F1522" s="88" t="s">
        <v>179</v>
      </c>
      <c r="G1522" s="88" t="s">
        <v>180</v>
      </c>
      <c r="H1522" s="87" t="s">
        <v>181</v>
      </c>
      <c r="I1522" s="87" t="s">
        <v>1325</v>
      </c>
      <c r="J1522" s="88" t="s">
        <v>1326</v>
      </c>
      <c r="K1522" s="89" t="n">
        <v>56</v>
      </c>
      <c r="L1522" s="89" t="n">
        <v>2744000</v>
      </c>
      <c r="M1522" s="89" t="n">
        <v>1518272</v>
      </c>
      <c r="N1522" s="90" t="n">
        <f aca="false">IF(A1522="제외",0,IF(OR(N(L1522)&lt;=0,N(M1522)&gt;N(L1522)),N(M1522)/가정!$B$4,N(L1522)))</f>
        <v>2744000</v>
      </c>
      <c r="O1522" s="67" t="str">
        <f aca="false">IF(A1522="제외","",IF(OR(N(L1522)&lt;=0,N(M1522)&gt;N(L1522)),"택가보정(판매금액÷공급율)",""))</f>
        <v/>
      </c>
    </row>
    <row r="1523" customFormat="false" ht="15" hidden="false" customHeight="true" outlineLevel="0" collapsed="false">
      <c r="A1523" s="67" t="str">
        <f aca="false">IF(OR(TRIM(C1523)="",SUBSTITUTE(C1523," ","")="소계"),"제외",IF(ISNUMBER(SEARCH("홍콩",C1523)),"HK",IF(ISNUMBER(SEARCH("상해",C1523)),"CN",IF(ISNUMBER(SEARCH("대만",C1523)),"TW","홀세일"))))</f>
        <v>홀세일</v>
      </c>
      <c r="B1523" s="87" t="s">
        <v>1651</v>
      </c>
      <c r="C1523" s="88" t="s">
        <v>178</v>
      </c>
      <c r="D1523" s="88" t="s">
        <v>178</v>
      </c>
      <c r="E1523" s="87" t="n">
        <v>2026</v>
      </c>
      <c r="F1523" s="88" t="s">
        <v>277</v>
      </c>
      <c r="G1523" s="88" t="s">
        <v>180</v>
      </c>
      <c r="H1523" s="87" t="s">
        <v>189</v>
      </c>
      <c r="I1523" s="87" t="s">
        <v>1664</v>
      </c>
      <c r="J1523" s="88" t="s">
        <v>1665</v>
      </c>
      <c r="K1523" s="89" t="n">
        <v>50</v>
      </c>
      <c r="L1523" s="89" t="n">
        <v>8950000</v>
      </c>
      <c r="M1523" s="89" t="n">
        <v>4947850</v>
      </c>
      <c r="N1523" s="90" t="n">
        <f aca="false">IF(A1523="제외",0,IF(OR(N(L1523)&lt;=0,N(M1523)&gt;N(L1523)),N(M1523)/가정!$B$4,N(L1523)))</f>
        <v>8950000</v>
      </c>
      <c r="O1523" s="67" t="str">
        <f aca="false">IF(A1523="제외","",IF(OR(N(L1523)&lt;=0,N(M1523)&gt;N(L1523)),"택가보정(판매금액÷공급율)",""))</f>
        <v/>
      </c>
    </row>
    <row r="1524" customFormat="false" ht="15" hidden="false" customHeight="true" outlineLevel="0" collapsed="false">
      <c r="A1524" s="67" t="str">
        <f aca="false">IF(OR(TRIM(C1524)="",SUBSTITUTE(C1524," ","")="소계"),"제외",IF(ISNUMBER(SEARCH("홍콩",C1524)),"HK",IF(ISNUMBER(SEARCH("상해",C1524)),"CN",IF(ISNUMBER(SEARCH("대만",C1524)),"TW","홀세일"))))</f>
        <v>홀세일</v>
      </c>
      <c r="B1524" s="87" t="s">
        <v>1651</v>
      </c>
      <c r="C1524" s="88" t="s">
        <v>178</v>
      </c>
      <c r="D1524" s="88" t="s">
        <v>178</v>
      </c>
      <c r="E1524" s="87" t="n">
        <v>2026</v>
      </c>
      <c r="F1524" s="88" t="s">
        <v>277</v>
      </c>
      <c r="G1524" s="88" t="s">
        <v>180</v>
      </c>
      <c r="H1524" s="87" t="s">
        <v>189</v>
      </c>
      <c r="I1524" s="87" t="s">
        <v>298</v>
      </c>
      <c r="J1524" s="87" t="s">
        <v>299</v>
      </c>
      <c r="K1524" s="89" t="n">
        <v>108</v>
      </c>
      <c r="L1524" s="89" t="n">
        <v>7452000</v>
      </c>
      <c r="M1524" s="89" t="n">
        <v>4131756</v>
      </c>
      <c r="N1524" s="90" t="n">
        <f aca="false">IF(A1524="제외",0,IF(OR(N(L1524)&lt;=0,N(M1524)&gt;N(L1524)),N(M1524)/가정!$B$4,N(L1524)))</f>
        <v>7452000</v>
      </c>
      <c r="O1524" s="67" t="str">
        <f aca="false">IF(A1524="제외","",IF(OR(N(L1524)&lt;=0,N(M1524)&gt;N(L1524)),"택가보정(판매금액÷공급율)",""))</f>
        <v/>
      </c>
    </row>
    <row r="1525" customFormat="false" ht="15" hidden="false" customHeight="true" outlineLevel="0" collapsed="false">
      <c r="A1525" s="67" t="str">
        <f aca="false">IF(OR(TRIM(C1525)="",SUBSTITUTE(C1525," ","")="소계"),"제외",IF(ISNUMBER(SEARCH("홍콩",C1525)),"HK",IF(ISNUMBER(SEARCH("상해",C1525)),"CN",IF(ISNUMBER(SEARCH("대만",C1525)),"TW","홀세일"))))</f>
        <v>홀세일</v>
      </c>
      <c r="B1525" s="87" t="s">
        <v>1651</v>
      </c>
      <c r="C1525" s="88" t="s">
        <v>178</v>
      </c>
      <c r="D1525" s="88" t="s">
        <v>178</v>
      </c>
      <c r="E1525" s="87" t="n">
        <v>2026</v>
      </c>
      <c r="F1525" s="88" t="s">
        <v>277</v>
      </c>
      <c r="G1525" s="88" t="s">
        <v>180</v>
      </c>
      <c r="H1525" s="87" t="s">
        <v>189</v>
      </c>
      <c r="I1525" s="87" t="s">
        <v>326</v>
      </c>
      <c r="J1525" s="88" t="s">
        <v>327</v>
      </c>
      <c r="K1525" s="89" t="n">
        <v>6</v>
      </c>
      <c r="L1525" s="89" t="n">
        <v>1014000</v>
      </c>
      <c r="M1525" s="89" t="n">
        <v>561210</v>
      </c>
      <c r="N1525" s="90" t="n">
        <f aca="false">IF(A1525="제외",0,IF(OR(N(L1525)&lt;=0,N(M1525)&gt;N(L1525)),N(M1525)/가정!$B$4,N(L1525)))</f>
        <v>1014000</v>
      </c>
      <c r="O1525" s="67" t="str">
        <f aca="false">IF(A1525="제외","",IF(OR(N(L1525)&lt;=0,N(M1525)&gt;N(L1525)),"택가보정(판매금액÷공급율)",""))</f>
        <v/>
      </c>
    </row>
    <row r="1526" customFormat="false" ht="15" hidden="false" customHeight="true" outlineLevel="0" collapsed="false">
      <c r="A1526" s="67" t="str">
        <f aca="false">IF(OR(TRIM(C1526)="",SUBSTITUTE(C1526," ","")="소계"),"제외",IF(ISNUMBER(SEARCH("홍콩",C1526)),"HK",IF(ISNUMBER(SEARCH("상해",C1526)),"CN",IF(ISNUMBER(SEARCH("대만",C1526)),"TW","홀세일"))))</f>
        <v>홀세일</v>
      </c>
      <c r="B1526" s="87" t="s">
        <v>1651</v>
      </c>
      <c r="C1526" s="88" t="s">
        <v>178</v>
      </c>
      <c r="D1526" s="88" t="s">
        <v>178</v>
      </c>
      <c r="E1526" s="87" t="n">
        <v>2026</v>
      </c>
      <c r="F1526" s="88" t="s">
        <v>277</v>
      </c>
      <c r="G1526" s="88" t="s">
        <v>180</v>
      </c>
      <c r="H1526" s="87" t="s">
        <v>189</v>
      </c>
      <c r="I1526" s="87" t="s">
        <v>328</v>
      </c>
      <c r="J1526" s="88" t="s">
        <v>329</v>
      </c>
      <c r="K1526" s="89" t="n">
        <v>6</v>
      </c>
      <c r="L1526" s="89" t="n">
        <v>954000</v>
      </c>
      <c r="M1526" s="89" t="n">
        <v>527772</v>
      </c>
      <c r="N1526" s="90" t="n">
        <f aca="false">IF(A1526="제외",0,IF(OR(N(L1526)&lt;=0,N(M1526)&gt;N(L1526)),N(M1526)/가정!$B$4,N(L1526)))</f>
        <v>954000</v>
      </c>
      <c r="O1526" s="67" t="str">
        <f aca="false">IF(A1526="제외","",IF(OR(N(L1526)&lt;=0,N(M1526)&gt;N(L1526)),"택가보정(판매금액÷공급율)",""))</f>
        <v/>
      </c>
    </row>
    <row r="1527" customFormat="false" ht="15" hidden="false" customHeight="true" outlineLevel="0" collapsed="false">
      <c r="A1527" s="67" t="str">
        <f aca="false">IF(OR(TRIM(C1527)="",SUBSTITUTE(C1527," ","")="소계"),"제외",IF(ISNUMBER(SEARCH("홍콩",C1527)),"HK",IF(ISNUMBER(SEARCH("상해",C1527)),"CN",IF(ISNUMBER(SEARCH("대만",C1527)),"TW","홀세일"))))</f>
        <v>홀세일</v>
      </c>
      <c r="B1527" s="87" t="s">
        <v>1651</v>
      </c>
      <c r="C1527" s="88" t="s">
        <v>178</v>
      </c>
      <c r="D1527" s="88" t="s">
        <v>178</v>
      </c>
      <c r="E1527" s="87" t="n">
        <v>2026</v>
      </c>
      <c r="F1527" s="87" t="s">
        <v>639</v>
      </c>
      <c r="G1527" s="88" t="s">
        <v>188</v>
      </c>
      <c r="H1527" s="87" t="s">
        <v>181</v>
      </c>
      <c r="I1527" s="87" t="s">
        <v>1496</v>
      </c>
      <c r="J1527" s="88" t="s">
        <v>1497</v>
      </c>
      <c r="K1527" s="89" t="n">
        <v>55</v>
      </c>
      <c r="L1527" s="89" t="n">
        <v>10945000</v>
      </c>
      <c r="M1527" s="89" t="n">
        <v>5223440</v>
      </c>
      <c r="N1527" s="90" t="n">
        <f aca="false">IF(A1527="제외",0,IF(OR(N(L1527)&lt;=0,N(M1527)&gt;N(L1527)),N(M1527)/가정!$B$4,N(L1527)))</f>
        <v>10945000</v>
      </c>
      <c r="O1527" s="67" t="str">
        <f aca="false">IF(A1527="제외","",IF(OR(N(L1527)&lt;=0,N(M1527)&gt;N(L1527)),"택가보정(판매금액÷공급율)",""))</f>
        <v/>
      </c>
    </row>
    <row r="1528" customFormat="false" ht="15" hidden="false" customHeight="true" outlineLevel="0" collapsed="false">
      <c r="A1528" s="67" t="str">
        <f aca="false">IF(OR(TRIM(C1528)="",SUBSTITUTE(C1528," ","")="소계"),"제외",IF(ISNUMBER(SEARCH("홍콩",C1528)),"HK",IF(ISNUMBER(SEARCH("상해",C1528)),"CN",IF(ISNUMBER(SEARCH("대만",C1528)),"TW","홀세일"))))</f>
        <v>홀세일</v>
      </c>
      <c r="B1528" s="87" t="s">
        <v>1651</v>
      </c>
      <c r="C1528" s="88" t="s">
        <v>178</v>
      </c>
      <c r="D1528" s="88" t="s">
        <v>178</v>
      </c>
      <c r="E1528" s="87" t="n">
        <v>2026</v>
      </c>
      <c r="F1528" s="87" t="s">
        <v>639</v>
      </c>
      <c r="G1528" s="88" t="s">
        <v>188</v>
      </c>
      <c r="H1528" s="87" t="s">
        <v>181</v>
      </c>
      <c r="I1528" s="87" t="s">
        <v>648</v>
      </c>
      <c r="J1528" s="88" t="s">
        <v>649</v>
      </c>
      <c r="K1528" s="89" t="n">
        <v>17</v>
      </c>
      <c r="L1528" s="89" t="n">
        <v>2533000</v>
      </c>
      <c r="M1528" s="89" t="n">
        <v>1400613</v>
      </c>
      <c r="N1528" s="90" t="n">
        <f aca="false">IF(A1528="제외",0,IF(OR(N(L1528)&lt;=0,N(M1528)&gt;N(L1528)),N(M1528)/가정!$B$4,N(L1528)))</f>
        <v>2533000</v>
      </c>
      <c r="O1528" s="67" t="str">
        <f aca="false">IF(A1528="제외","",IF(OR(N(L1528)&lt;=0,N(M1528)&gt;N(L1528)),"택가보정(판매금액÷공급율)",""))</f>
        <v/>
      </c>
    </row>
    <row r="1529" customFormat="false" ht="15" hidden="false" customHeight="true" outlineLevel="0" collapsed="false">
      <c r="A1529" s="67" t="str">
        <f aca="false">IF(OR(TRIM(C1529)="",SUBSTITUTE(C1529," ","")="소계"),"제외",IF(ISNUMBER(SEARCH("홍콩",C1529)),"HK",IF(ISNUMBER(SEARCH("상해",C1529)),"CN",IF(ISNUMBER(SEARCH("대만",C1529)),"TW","홀세일"))))</f>
        <v>홀세일</v>
      </c>
      <c r="B1529" s="87" t="s">
        <v>1651</v>
      </c>
      <c r="C1529" s="88" t="s">
        <v>178</v>
      </c>
      <c r="D1529" s="88" t="s">
        <v>178</v>
      </c>
      <c r="E1529" s="87" t="n">
        <v>2026</v>
      </c>
      <c r="F1529" s="87" t="s">
        <v>639</v>
      </c>
      <c r="G1529" s="88" t="s">
        <v>188</v>
      </c>
      <c r="H1529" s="87" t="s">
        <v>189</v>
      </c>
      <c r="I1529" s="87" t="s">
        <v>654</v>
      </c>
      <c r="J1529" s="88" t="s">
        <v>655</v>
      </c>
      <c r="K1529" s="89" t="n">
        <v>90</v>
      </c>
      <c r="L1529" s="89" t="n">
        <v>5310000</v>
      </c>
      <c r="M1529" s="89" t="n">
        <v>2656080</v>
      </c>
      <c r="N1529" s="90" t="n">
        <f aca="false">IF(A1529="제외",0,IF(OR(N(L1529)&lt;=0,N(M1529)&gt;N(L1529)),N(M1529)/가정!$B$4,N(L1529)))</f>
        <v>5310000</v>
      </c>
      <c r="O1529" s="67" t="str">
        <f aca="false">IF(A1529="제외","",IF(OR(N(L1529)&lt;=0,N(M1529)&gt;N(L1529)),"택가보정(판매금액÷공급율)",""))</f>
        <v/>
      </c>
    </row>
    <row r="1530" customFormat="false" ht="15" hidden="false" customHeight="true" outlineLevel="0" collapsed="false">
      <c r="A1530" s="67" t="str">
        <f aca="false">IF(OR(TRIM(C1530)="",SUBSTITUTE(C1530," ","")="소계"),"제외",IF(ISNUMBER(SEARCH("홍콩",C1530)),"HK",IF(ISNUMBER(SEARCH("상해",C1530)),"CN",IF(ISNUMBER(SEARCH("대만",C1530)),"TW","홀세일"))))</f>
        <v>홀세일</v>
      </c>
      <c r="B1530" s="87" t="s">
        <v>1651</v>
      </c>
      <c r="C1530" s="88" t="s">
        <v>178</v>
      </c>
      <c r="D1530" s="88" t="s">
        <v>178</v>
      </c>
      <c r="E1530" s="87" t="n">
        <v>2026</v>
      </c>
      <c r="F1530" s="87" t="s">
        <v>639</v>
      </c>
      <c r="G1530" s="88" t="s">
        <v>188</v>
      </c>
      <c r="H1530" s="87" t="s">
        <v>189</v>
      </c>
      <c r="I1530" s="87" t="s">
        <v>1013</v>
      </c>
      <c r="J1530" s="88" t="s">
        <v>1014</v>
      </c>
      <c r="K1530" s="89" t="n">
        <v>16</v>
      </c>
      <c r="L1530" s="89" t="n">
        <v>1424000</v>
      </c>
      <c r="M1530" s="89" t="n">
        <v>788048</v>
      </c>
      <c r="N1530" s="90" t="n">
        <f aca="false">IF(A1530="제외",0,IF(OR(N(L1530)&lt;=0,N(M1530)&gt;N(L1530)),N(M1530)/가정!$B$4,N(L1530)))</f>
        <v>1424000</v>
      </c>
      <c r="O1530" s="67" t="str">
        <f aca="false">IF(A1530="제외","",IF(OR(N(L1530)&lt;=0,N(M1530)&gt;N(L1530)),"택가보정(판매금액÷공급율)",""))</f>
        <v/>
      </c>
    </row>
    <row r="1531" customFormat="false" ht="15" hidden="false" customHeight="true" outlineLevel="0" collapsed="false">
      <c r="A1531" s="67" t="str">
        <f aca="false">IF(OR(TRIM(C1531)="",SUBSTITUTE(C1531," ","")="소계"),"제외",IF(ISNUMBER(SEARCH("홍콩",C1531)),"HK",IF(ISNUMBER(SEARCH("상해",C1531)),"CN",IF(ISNUMBER(SEARCH("대만",C1531)),"TW","홀세일"))))</f>
        <v>홀세일</v>
      </c>
      <c r="B1531" s="87" t="s">
        <v>1651</v>
      </c>
      <c r="C1531" s="88" t="s">
        <v>178</v>
      </c>
      <c r="D1531" s="88" t="s">
        <v>178</v>
      </c>
      <c r="E1531" s="87" t="n">
        <v>2026</v>
      </c>
      <c r="F1531" s="87" t="s">
        <v>639</v>
      </c>
      <c r="G1531" s="88" t="s">
        <v>188</v>
      </c>
      <c r="H1531" s="87" t="s">
        <v>189</v>
      </c>
      <c r="I1531" s="87" t="s">
        <v>666</v>
      </c>
      <c r="J1531" s="88" t="s">
        <v>667</v>
      </c>
      <c r="K1531" s="89" t="n">
        <v>30</v>
      </c>
      <c r="L1531" s="89" t="n">
        <v>2370000</v>
      </c>
      <c r="M1531" s="89" t="n">
        <v>1310400</v>
      </c>
      <c r="N1531" s="90" t="n">
        <f aca="false">IF(A1531="제외",0,IF(OR(N(L1531)&lt;=0,N(M1531)&gt;N(L1531)),N(M1531)/가정!$B$4,N(L1531)))</f>
        <v>2370000</v>
      </c>
      <c r="O1531" s="67" t="str">
        <f aca="false">IF(A1531="제외","",IF(OR(N(L1531)&lt;=0,N(M1531)&gt;N(L1531)),"택가보정(판매금액÷공급율)",""))</f>
        <v/>
      </c>
    </row>
    <row r="1532" customFormat="false" ht="15" hidden="false" customHeight="true" outlineLevel="0" collapsed="false">
      <c r="A1532" s="67" t="str">
        <f aca="false">IF(OR(TRIM(C1532)="",SUBSTITUTE(C1532," ","")="소계"),"제외",IF(ISNUMBER(SEARCH("홍콩",C1532)),"HK",IF(ISNUMBER(SEARCH("상해",C1532)),"CN",IF(ISNUMBER(SEARCH("대만",C1532)),"TW","홀세일"))))</f>
        <v>홀세일</v>
      </c>
      <c r="B1532" s="87" t="s">
        <v>1651</v>
      </c>
      <c r="C1532" s="88" t="s">
        <v>178</v>
      </c>
      <c r="D1532" s="88" t="s">
        <v>178</v>
      </c>
      <c r="E1532" s="87" t="n">
        <v>2026</v>
      </c>
      <c r="F1532" s="87" t="s">
        <v>639</v>
      </c>
      <c r="G1532" s="88" t="s">
        <v>188</v>
      </c>
      <c r="H1532" s="87" t="s">
        <v>181</v>
      </c>
      <c r="I1532" s="87" t="s">
        <v>1403</v>
      </c>
      <c r="J1532" s="88" t="s">
        <v>1404</v>
      </c>
      <c r="K1532" s="89" t="n">
        <v>10</v>
      </c>
      <c r="L1532" s="89" t="n">
        <v>890000</v>
      </c>
      <c r="M1532" s="89" t="n">
        <v>335320</v>
      </c>
      <c r="N1532" s="90" t="n">
        <f aca="false">IF(A1532="제외",0,IF(OR(N(L1532)&lt;=0,N(M1532)&gt;N(L1532)),N(M1532)/가정!$B$4,N(L1532)))</f>
        <v>890000</v>
      </c>
      <c r="O1532" s="67" t="str">
        <f aca="false">IF(A1532="제외","",IF(OR(N(L1532)&lt;=0,N(M1532)&gt;N(L1532)),"택가보정(판매금액÷공급율)",""))</f>
        <v/>
      </c>
    </row>
    <row r="1533" customFormat="false" ht="15" hidden="false" customHeight="true" outlineLevel="0" collapsed="false">
      <c r="A1533" s="67" t="str">
        <f aca="false">IF(OR(TRIM(C1533)="",SUBSTITUTE(C1533," ","")="소계"),"제외",IF(ISNUMBER(SEARCH("홍콩",C1533)),"HK",IF(ISNUMBER(SEARCH("상해",C1533)),"CN",IF(ISNUMBER(SEARCH("대만",C1533)),"TW","홀세일"))))</f>
        <v>홀세일</v>
      </c>
      <c r="B1533" s="87" t="s">
        <v>1651</v>
      </c>
      <c r="C1533" s="88" t="s">
        <v>178</v>
      </c>
      <c r="D1533" s="88" t="s">
        <v>178</v>
      </c>
      <c r="E1533" s="87" t="n">
        <v>2026</v>
      </c>
      <c r="F1533" s="87" t="s">
        <v>639</v>
      </c>
      <c r="G1533" s="88" t="s">
        <v>188</v>
      </c>
      <c r="H1533" s="87" t="s">
        <v>189</v>
      </c>
      <c r="I1533" s="87" t="s">
        <v>678</v>
      </c>
      <c r="J1533" s="88" t="s">
        <v>679</v>
      </c>
      <c r="K1533" s="89" t="n">
        <v>150</v>
      </c>
      <c r="L1533" s="89" t="n">
        <v>5850000</v>
      </c>
      <c r="M1533" s="89" t="n">
        <v>3019050</v>
      </c>
      <c r="N1533" s="90" t="n">
        <f aca="false">IF(A1533="제외",0,IF(OR(N(L1533)&lt;=0,N(M1533)&gt;N(L1533)),N(M1533)/가정!$B$4,N(L1533)))</f>
        <v>5850000</v>
      </c>
      <c r="O1533" s="67" t="str">
        <f aca="false">IF(A1533="제외","",IF(OR(N(L1533)&lt;=0,N(M1533)&gt;N(L1533)),"택가보정(판매금액÷공급율)",""))</f>
        <v/>
      </c>
    </row>
    <row r="1534" customFormat="false" ht="15" hidden="false" customHeight="true" outlineLevel="0" collapsed="false">
      <c r="A1534" s="67" t="str">
        <f aca="false">IF(OR(TRIM(C1534)="",SUBSTITUTE(C1534," ","")="소계"),"제외",IF(ISNUMBER(SEARCH("홍콩",C1534)),"HK",IF(ISNUMBER(SEARCH("상해",C1534)),"CN",IF(ISNUMBER(SEARCH("대만",C1534)),"TW","홀세일"))))</f>
        <v>홀세일</v>
      </c>
      <c r="B1534" s="87" t="s">
        <v>1651</v>
      </c>
      <c r="C1534" s="88" t="s">
        <v>178</v>
      </c>
      <c r="D1534" s="88" t="s">
        <v>178</v>
      </c>
      <c r="E1534" s="87" t="n">
        <v>2026</v>
      </c>
      <c r="F1534" s="87" t="s">
        <v>639</v>
      </c>
      <c r="G1534" s="88" t="s">
        <v>188</v>
      </c>
      <c r="H1534" s="87" t="s">
        <v>189</v>
      </c>
      <c r="I1534" s="87" t="s">
        <v>680</v>
      </c>
      <c r="J1534" s="88" t="s">
        <v>681</v>
      </c>
      <c r="K1534" s="89" t="n">
        <v>138</v>
      </c>
      <c r="L1534" s="89" t="n">
        <v>5382000</v>
      </c>
      <c r="M1534" s="89" t="n">
        <v>2661882</v>
      </c>
      <c r="N1534" s="90" t="n">
        <f aca="false">IF(A1534="제외",0,IF(OR(N(L1534)&lt;=0,N(M1534)&gt;N(L1534)),N(M1534)/가정!$B$4,N(L1534)))</f>
        <v>5382000</v>
      </c>
      <c r="O1534" s="67" t="str">
        <f aca="false">IF(A1534="제외","",IF(OR(N(L1534)&lt;=0,N(M1534)&gt;N(L1534)),"택가보정(판매금액÷공급율)",""))</f>
        <v/>
      </c>
    </row>
    <row r="1535" customFormat="false" ht="15" hidden="false" customHeight="true" outlineLevel="0" collapsed="false">
      <c r="A1535" s="67" t="str">
        <f aca="false">IF(OR(TRIM(C1535)="",SUBSTITUTE(C1535," ","")="소계"),"제외",IF(ISNUMBER(SEARCH("홍콩",C1535)),"HK",IF(ISNUMBER(SEARCH("상해",C1535)),"CN",IF(ISNUMBER(SEARCH("대만",C1535)),"TW","홀세일"))))</f>
        <v>홀세일</v>
      </c>
      <c r="B1535" s="87" t="s">
        <v>1651</v>
      </c>
      <c r="C1535" s="88" t="s">
        <v>178</v>
      </c>
      <c r="D1535" s="88" t="s">
        <v>178</v>
      </c>
      <c r="E1535" s="87" t="n">
        <v>2026</v>
      </c>
      <c r="F1535" s="87" t="s">
        <v>639</v>
      </c>
      <c r="G1535" s="88" t="s">
        <v>188</v>
      </c>
      <c r="H1535" s="87" t="s">
        <v>189</v>
      </c>
      <c r="I1535" s="87" t="s">
        <v>682</v>
      </c>
      <c r="J1535" s="88" t="s">
        <v>683</v>
      </c>
      <c r="K1535" s="89" t="n">
        <v>90</v>
      </c>
      <c r="L1535" s="89" t="n">
        <v>4410000</v>
      </c>
      <c r="M1535" s="89" t="n">
        <v>2142900</v>
      </c>
      <c r="N1535" s="90" t="n">
        <f aca="false">IF(A1535="제외",0,IF(OR(N(L1535)&lt;=0,N(M1535)&gt;N(L1535)),N(M1535)/가정!$B$4,N(L1535)))</f>
        <v>4410000</v>
      </c>
      <c r="O1535" s="67" t="str">
        <f aca="false">IF(A1535="제외","",IF(OR(N(L1535)&lt;=0,N(M1535)&gt;N(L1535)),"택가보정(판매금액÷공급율)",""))</f>
        <v/>
      </c>
    </row>
    <row r="1536" customFormat="false" ht="15" hidden="false" customHeight="true" outlineLevel="0" collapsed="false">
      <c r="A1536" s="67" t="str">
        <f aca="false">IF(OR(TRIM(C1536)="",SUBSTITUTE(C1536," ","")="소계"),"제외",IF(ISNUMBER(SEARCH("홍콩",C1536)),"HK",IF(ISNUMBER(SEARCH("상해",C1536)),"CN",IF(ISNUMBER(SEARCH("대만",C1536)),"TW","홀세일"))))</f>
        <v>홀세일</v>
      </c>
      <c r="B1536" s="87" t="s">
        <v>1651</v>
      </c>
      <c r="C1536" s="88" t="s">
        <v>178</v>
      </c>
      <c r="D1536" s="88" t="s">
        <v>178</v>
      </c>
      <c r="E1536" s="87" t="n">
        <v>2026</v>
      </c>
      <c r="F1536" s="87" t="s">
        <v>639</v>
      </c>
      <c r="G1536" s="88" t="s">
        <v>188</v>
      </c>
      <c r="H1536" s="87" t="s">
        <v>189</v>
      </c>
      <c r="I1536" s="87" t="s">
        <v>1025</v>
      </c>
      <c r="J1536" s="88" t="s">
        <v>1026</v>
      </c>
      <c r="K1536" s="89" t="n">
        <v>10</v>
      </c>
      <c r="L1536" s="89" t="n">
        <v>490000</v>
      </c>
      <c r="M1536" s="89" t="n">
        <v>184500</v>
      </c>
      <c r="N1536" s="90" t="n">
        <f aca="false">IF(A1536="제외",0,IF(OR(N(L1536)&lt;=0,N(M1536)&gt;N(L1536)),N(M1536)/가정!$B$4,N(L1536)))</f>
        <v>490000</v>
      </c>
      <c r="O1536" s="67" t="str">
        <f aca="false">IF(A1536="제외","",IF(OR(N(L1536)&lt;=0,N(M1536)&gt;N(L1536)),"택가보정(판매금액÷공급율)",""))</f>
        <v/>
      </c>
    </row>
    <row r="1537" customFormat="false" ht="15" hidden="false" customHeight="true" outlineLevel="0" collapsed="false">
      <c r="A1537" s="67" t="str">
        <f aca="false">IF(OR(TRIM(C1537)="",SUBSTITUTE(C1537," ","")="소계"),"제외",IF(ISNUMBER(SEARCH("홍콩",C1537)),"HK",IF(ISNUMBER(SEARCH("상해",C1537)),"CN",IF(ISNUMBER(SEARCH("대만",C1537)),"TW","홀세일"))))</f>
        <v>홀세일</v>
      </c>
      <c r="B1537" s="87" t="s">
        <v>1651</v>
      </c>
      <c r="C1537" s="88" t="s">
        <v>178</v>
      </c>
      <c r="D1537" s="88" t="s">
        <v>178</v>
      </c>
      <c r="E1537" s="87" t="n">
        <v>2026</v>
      </c>
      <c r="F1537" s="87" t="s">
        <v>639</v>
      </c>
      <c r="G1537" s="88" t="s">
        <v>188</v>
      </c>
      <c r="H1537" s="87" t="s">
        <v>189</v>
      </c>
      <c r="I1537" s="87" t="s">
        <v>684</v>
      </c>
      <c r="J1537" s="88" t="s">
        <v>685</v>
      </c>
      <c r="K1537" s="89" t="n">
        <v>95</v>
      </c>
      <c r="L1537" s="89" t="n">
        <v>5605000</v>
      </c>
      <c r="M1537" s="89" t="n">
        <v>2803640</v>
      </c>
      <c r="N1537" s="90" t="n">
        <f aca="false">IF(A1537="제외",0,IF(OR(N(L1537)&lt;=0,N(M1537)&gt;N(L1537)),N(M1537)/가정!$B$4,N(L1537)))</f>
        <v>5605000</v>
      </c>
      <c r="O1537" s="67" t="str">
        <f aca="false">IF(A1537="제외","",IF(OR(N(L1537)&lt;=0,N(M1537)&gt;N(L1537)),"택가보정(판매금액÷공급율)",""))</f>
        <v/>
      </c>
    </row>
    <row r="1538" customFormat="false" ht="15" hidden="false" customHeight="true" outlineLevel="0" collapsed="false">
      <c r="A1538" s="67" t="str">
        <f aca="false">IF(OR(TRIM(C1538)="",SUBSTITUTE(C1538," ","")="소계"),"제외",IF(ISNUMBER(SEARCH("홍콩",C1538)),"HK",IF(ISNUMBER(SEARCH("상해",C1538)),"CN",IF(ISNUMBER(SEARCH("대만",C1538)),"TW","홀세일"))))</f>
        <v>홀세일</v>
      </c>
      <c r="B1538" s="87" t="s">
        <v>1651</v>
      </c>
      <c r="C1538" s="88" t="s">
        <v>178</v>
      </c>
      <c r="D1538" s="88" t="s">
        <v>178</v>
      </c>
      <c r="E1538" s="87" t="n">
        <v>2026</v>
      </c>
      <c r="F1538" s="87" t="s">
        <v>639</v>
      </c>
      <c r="G1538" s="88" t="s">
        <v>188</v>
      </c>
      <c r="H1538" s="87" t="s">
        <v>189</v>
      </c>
      <c r="I1538" s="87" t="s">
        <v>686</v>
      </c>
      <c r="J1538" s="88" t="s">
        <v>687</v>
      </c>
      <c r="K1538" s="89" t="n">
        <v>109</v>
      </c>
      <c r="L1538" s="89" t="n">
        <v>8611000</v>
      </c>
      <c r="M1538" s="89" t="n">
        <v>4761120</v>
      </c>
      <c r="N1538" s="90" t="n">
        <f aca="false">IF(A1538="제외",0,IF(OR(N(L1538)&lt;=0,N(M1538)&gt;N(L1538)),N(M1538)/가정!$B$4,N(L1538)))</f>
        <v>8611000</v>
      </c>
      <c r="O1538" s="67" t="str">
        <f aca="false">IF(A1538="제외","",IF(OR(N(L1538)&lt;=0,N(M1538)&gt;N(L1538)),"택가보정(판매금액÷공급율)",""))</f>
        <v/>
      </c>
    </row>
    <row r="1539" customFormat="false" ht="15" hidden="false" customHeight="true" outlineLevel="0" collapsed="false">
      <c r="A1539" s="67" t="str">
        <f aca="false">IF(OR(TRIM(C1539)="",SUBSTITUTE(C1539," ","")="소계"),"제외",IF(ISNUMBER(SEARCH("홍콩",C1539)),"HK",IF(ISNUMBER(SEARCH("상해",C1539)),"CN",IF(ISNUMBER(SEARCH("대만",C1539)),"TW","홀세일"))))</f>
        <v>홀세일</v>
      </c>
      <c r="B1539" s="87" t="s">
        <v>1651</v>
      </c>
      <c r="C1539" s="88" t="s">
        <v>178</v>
      </c>
      <c r="D1539" s="88" t="s">
        <v>178</v>
      </c>
      <c r="E1539" s="87" t="n">
        <v>2026</v>
      </c>
      <c r="F1539" s="87" t="s">
        <v>639</v>
      </c>
      <c r="G1539" s="88" t="s">
        <v>188</v>
      </c>
      <c r="H1539" s="87" t="s">
        <v>189</v>
      </c>
      <c r="I1539" s="87" t="s">
        <v>688</v>
      </c>
      <c r="J1539" s="88" t="s">
        <v>689</v>
      </c>
      <c r="K1539" s="89" t="n">
        <v>130</v>
      </c>
      <c r="L1539" s="89" t="n">
        <v>6370000</v>
      </c>
      <c r="M1539" s="89" t="n">
        <v>3182400</v>
      </c>
      <c r="N1539" s="90" t="n">
        <f aca="false">IF(A1539="제외",0,IF(OR(N(L1539)&lt;=0,N(M1539)&gt;N(L1539)),N(M1539)/가정!$B$4,N(L1539)))</f>
        <v>6370000</v>
      </c>
      <c r="O1539" s="67" t="str">
        <f aca="false">IF(A1539="제외","",IF(OR(N(L1539)&lt;=0,N(M1539)&gt;N(L1539)),"택가보정(판매금액÷공급율)",""))</f>
        <v/>
      </c>
    </row>
    <row r="1540" customFormat="false" ht="15" hidden="false" customHeight="true" outlineLevel="0" collapsed="false">
      <c r="A1540" s="67" t="str">
        <f aca="false">IF(OR(TRIM(C1540)="",SUBSTITUTE(C1540," ","")="소계"),"제외",IF(ISNUMBER(SEARCH("홍콩",C1540)),"HK",IF(ISNUMBER(SEARCH("상해",C1540)),"CN",IF(ISNUMBER(SEARCH("대만",C1540)),"TW","홀세일"))))</f>
        <v>홀세일</v>
      </c>
      <c r="B1540" s="87" t="s">
        <v>1651</v>
      </c>
      <c r="C1540" s="88" t="s">
        <v>178</v>
      </c>
      <c r="D1540" s="88" t="s">
        <v>178</v>
      </c>
      <c r="E1540" s="87" t="n">
        <v>2026</v>
      </c>
      <c r="F1540" s="87" t="s">
        <v>639</v>
      </c>
      <c r="G1540" s="88" t="s">
        <v>188</v>
      </c>
      <c r="H1540" s="87" t="s">
        <v>189</v>
      </c>
      <c r="I1540" s="87" t="s">
        <v>1166</v>
      </c>
      <c r="J1540" s="88" t="s">
        <v>1167</v>
      </c>
      <c r="K1540" s="89" t="n">
        <v>89</v>
      </c>
      <c r="L1540" s="89" t="n">
        <v>7921000</v>
      </c>
      <c r="M1540" s="89" t="n">
        <v>4383517</v>
      </c>
      <c r="N1540" s="90" t="n">
        <f aca="false">IF(A1540="제외",0,IF(OR(N(L1540)&lt;=0,N(M1540)&gt;N(L1540)),N(M1540)/가정!$B$4,N(L1540)))</f>
        <v>7921000</v>
      </c>
      <c r="O1540" s="67" t="str">
        <f aca="false">IF(A1540="제외","",IF(OR(N(L1540)&lt;=0,N(M1540)&gt;N(L1540)),"택가보정(판매금액÷공급율)",""))</f>
        <v/>
      </c>
    </row>
    <row r="1541" customFormat="false" ht="15" hidden="false" customHeight="true" outlineLevel="0" collapsed="false">
      <c r="A1541" s="67" t="str">
        <f aca="false">IF(OR(TRIM(C1541)="",SUBSTITUTE(C1541," ","")="소계"),"제외",IF(ISNUMBER(SEARCH("홍콩",C1541)),"HK",IF(ISNUMBER(SEARCH("상해",C1541)),"CN",IF(ISNUMBER(SEARCH("대만",C1541)),"TW","홀세일"))))</f>
        <v>홀세일</v>
      </c>
      <c r="B1541" s="87" t="s">
        <v>1651</v>
      </c>
      <c r="C1541" s="88" t="s">
        <v>178</v>
      </c>
      <c r="D1541" s="88" t="s">
        <v>178</v>
      </c>
      <c r="E1541" s="87" t="n">
        <v>2026</v>
      </c>
      <c r="F1541" s="87" t="s">
        <v>639</v>
      </c>
      <c r="G1541" s="88" t="s">
        <v>188</v>
      </c>
      <c r="H1541" s="87" t="s">
        <v>189</v>
      </c>
      <c r="I1541" s="87" t="s">
        <v>1666</v>
      </c>
      <c r="J1541" s="88" t="s">
        <v>1667</v>
      </c>
      <c r="K1541" s="89" t="n">
        <v>100</v>
      </c>
      <c r="L1541" s="89" t="n">
        <v>4900000</v>
      </c>
      <c r="M1541" s="89" t="n">
        <v>2448000</v>
      </c>
      <c r="N1541" s="90" t="n">
        <f aca="false">IF(A1541="제외",0,IF(OR(N(L1541)&lt;=0,N(M1541)&gt;N(L1541)),N(M1541)/가정!$B$4,N(L1541)))</f>
        <v>4900000</v>
      </c>
      <c r="O1541" s="67" t="str">
        <f aca="false">IF(A1541="제외","",IF(OR(N(L1541)&lt;=0,N(M1541)&gt;N(L1541)),"택가보정(판매금액÷공급율)",""))</f>
        <v/>
      </c>
    </row>
    <row r="1542" customFormat="false" ht="15" hidden="false" customHeight="true" outlineLevel="0" collapsed="false">
      <c r="A1542" s="67" t="str">
        <f aca="false">IF(OR(TRIM(C1542)="",SUBSTITUTE(C1542," ","")="소계"),"제외",IF(ISNUMBER(SEARCH("홍콩",C1542)),"HK",IF(ISNUMBER(SEARCH("상해",C1542)),"CN",IF(ISNUMBER(SEARCH("대만",C1542)),"TW","홀세일"))))</f>
        <v>홀세일</v>
      </c>
      <c r="B1542" s="87" t="s">
        <v>1651</v>
      </c>
      <c r="C1542" s="88" t="s">
        <v>178</v>
      </c>
      <c r="D1542" s="88" t="s">
        <v>178</v>
      </c>
      <c r="E1542" s="87" t="n">
        <v>2026</v>
      </c>
      <c r="F1542" s="87" t="s">
        <v>639</v>
      </c>
      <c r="G1542" s="88" t="s">
        <v>188</v>
      </c>
      <c r="H1542" s="87" t="s">
        <v>189</v>
      </c>
      <c r="I1542" s="87" t="s">
        <v>1411</v>
      </c>
      <c r="J1542" s="88" t="s">
        <v>1412</v>
      </c>
      <c r="K1542" s="89" t="n">
        <v>60</v>
      </c>
      <c r="L1542" s="89" t="n">
        <v>3540000</v>
      </c>
      <c r="M1542" s="89" t="n">
        <v>1961100</v>
      </c>
      <c r="N1542" s="90" t="n">
        <f aca="false">IF(A1542="제외",0,IF(OR(N(L1542)&lt;=0,N(M1542)&gt;N(L1542)),N(M1542)/가정!$B$4,N(L1542)))</f>
        <v>3540000</v>
      </c>
      <c r="O1542" s="67" t="str">
        <f aca="false">IF(A1542="제외","",IF(OR(N(L1542)&lt;=0,N(M1542)&gt;N(L1542)),"택가보정(판매금액÷공급율)",""))</f>
        <v/>
      </c>
    </row>
    <row r="1543" customFormat="false" ht="15" hidden="false" customHeight="true" outlineLevel="0" collapsed="false">
      <c r="A1543" s="67" t="str">
        <f aca="false">IF(OR(TRIM(C1543)="",SUBSTITUTE(C1543," ","")="소계"),"제외",IF(ISNUMBER(SEARCH("홍콩",C1543)),"HK",IF(ISNUMBER(SEARCH("상해",C1543)),"CN",IF(ISNUMBER(SEARCH("대만",C1543)),"TW","홀세일"))))</f>
        <v>홀세일</v>
      </c>
      <c r="B1543" s="87" t="s">
        <v>1651</v>
      </c>
      <c r="C1543" s="88" t="s">
        <v>178</v>
      </c>
      <c r="D1543" s="88" t="s">
        <v>178</v>
      </c>
      <c r="E1543" s="87" t="n">
        <v>2026</v>
      </c>
      <c r="F1543" s="87" t="s">
        <v>639</v>
      </c>
      <c r="G1543" s="88" t="s">
        <v>188</v>
      </c>
      <c r="H1543" s="87" t="s">
        <v>189</v>
      </c>
      <c r="I1543" s="87" t="s">
        <v>692</v>
      </c>
      <c r="J1543" s="88" t="s">
        <v>693</v>
      </c>
      <c r="K1543" s="89" t="n">
        <v>12</v>
      </c>
      <c r="L1543" s="89" t="n">
        <v>948000</v>
      </c>
      <c r="M1543" s="89" t="n">
        <v>524160</v>
      </c>
      <c r="N1543" s="90" t="n">
        <f aca="false">IF(A1543="제외",0,IF(OR(N(L1543)&lt;=0,N(M1543)&gt;N(L1543)),N(M1543)/가정!$B$4,N(L1543)))</f>
        <v>948000</v>
      </c>
      <c r="O1543" s="67" t="str">
        <f aca="false">IF(A1543="제외","",IF(OR(N(L1543)&lt;=0,N(M1543)&gt;N(L1543)),"택가보정(판매금액÷공급율)",""))</f>
        <v/>
      </c>
    </row>
    <row r="1544" customFormat="false" ht="15" hidden="false" customHeight="true" outlineLevel="0" collapsed="false">
      <c r="A1544" s="67" t="str">
        <f aca="false">IF(OR(TRIM(C1544)="",SUBSTITUTE(C1544," ","")="소계"),"제외",IF(ISNUMBER(SEARCH("홍콩",C1544)),"HK",IF(ISNUMBER(SEARCH("상해",C1544)),"CN",IF(ISNUMBER(SEARCH("대만",C1544)),"TW","홀세일"))))</f>
        <v>홀세일</v>
      </c>
      <c r="B1544" s="87" t="s">
        <v>1651</v>
      </c>
      <c r="C1544" s="88" t="s">
        <v>178</v>
      </c>
      <c r="D1544" s="88" t="s">
        <v>178</v>
      </c>
      <c r="E1544" s="87" t="n">
        <v>2026</v>
      </c>
      <c r="F1544" s="87" t="s">
        <v>639</v>
      </c>
      <c r="G1544" s="88" t="s">
        <v>188</v>
      </c>
      <c r="H1544" s="87" t="s">
        <v>189</v>
      </c>
      <c r="I1544" s="87" t="s">
        <v>1668</v>
      </c>
      <c r="J1544" s="88" t="s">
        <v>1669</v>
      </c>
      <c r="K1544" s="89" t="n">
        <v>50</v>
      </c>
      <c r="L1544" s="89" t="n">
        <v>3450000</v>
      </c>
      <c r="M1544" s="89" t="n">
        <v>1727200</v>
      </c>
      <c r="N1544" s="90" t="n">
        <f aca="false">IF(A1544="제외",0,IF(OR(N(L1544)&lt;=0,N(M1544)&gt;N(L1544)),N(M1544)/가정!$B$4,N(L1544)))</f>
        <v>3450000</v>
      </c>
      <c r="O1544" s="67" t="str">
        <f aca="false">IF(A1544="제외","",IF(OR(N(L1544)&lt;=0,N(M1544)&gt;N(L1544)),"택가보정(판매금액÷공급율)",""))</f>
        <v/>
      </c>
    </row>
    <row r="1545" customFormat="false" ht="15" hidden="false" customHeight="true" outlineLevel="0" collapsed="false">
      <c r="A1545" s="67" t="str">
        <f aca="false">IF(OR(TRIM(C1545)="",SUBSTITUTE(C1545," ","")="소계"),"제외",IF(ISNUMBER(SEARCH("홍콩",C1545)),"HK",IF(ISNUMBER(SEARCH("상해",C1545)),"CN",IF(ISNUMBER(SEARCH("대만",C1545)),"TW","홀세일"))))</f>
        <v>홀세일</v>
      </c>
      <c r="B1545" s="87" t="s">
        <v>1651</v>
      </c>
      <c r="C1545" s="88" t="s">
        <v>178</v>
      </c>
      <c r="D1545" s="88" t="s">
        <v>178</v>
      </c>
      <c r="E1545" s="87" t="n">
        <v>2026</v>
      </c>
      <c r="F1545" s="87" t="s">
        <v>639</v>
      </c>
      <c r="G1545" s="88" t="s">
        <v>180</v>
      </c>
      <c r="H1545" s="87" t="s">
        <v>181</v>
      </c>
      <c r="I1545" s="87" t="s">
        <v>711</v>
      </c>
      <c r="J1545" s="88" t="s">
        <v>712</v>
      </c>
      <c r="K1545" s="89" t="n">
        <v>21</v>
      </c>
      <c r="L1545" s="89" t="n">
        <v>10479000</v>
      </c>
      <c r="M1545" s="89" t="n">
        <v>4612545</v>
      </c>
      <c r="N1545" s="90" t="n">
        <f aca="false">IF(A1545="제외",0,IF(OR(N(L1545)&lt;=0,N(M1545)&gt;N(L1545)),N(M1545)/가정!$B$4,N(L1545)))</f>
        <v>10479000</v>
      </c>
      <c r="O1545" s="67" t="str">
        <f aca="false">IF(A1545="제외","",IF(OR(N(L1545)&lt;=0,N(M1545)&gt;N(L1545)),"택가보정(판매금액÷공급율)",""))</f>
        <v/>
      </c>
    </row>
    <row r="1546" customFormat="false" ht="15" hidden="false" customHeight="true" outlineLevel="0" collapsed="false">
      <c r="A1546" s="67" t="str">
        <f aca="false">IF(OR(TRIM(C1546)="",SUBSTITUTE(C1546," ","")="소계"),"제외",IF(ISNUMBER(SEARCH("홍콩",C1546)),"HK",IF(ISNUMBER(SEARCH("상해",C1546)),"CN",IF(ISNUMBER(SEARCH("대만",C1546)),"TW","홀세일"))))</f>
        <v>홀세일</v>
      </c>
      <c r="B1546" s="87" t="s">
        <v>1651</v>
      </c>
      <c r="C1546" s="88" t="s">
        <v>178</v>
      </c>
      <c r="D1546" s="88" t="s">
        <v>178</v>
      </c>
      <c r="E1546" s="87" t="n">
        <v>2026</v>
      </c>
      <c r="F1546" s="87" t="s">
        <v>639</v>
      </c>
      <c r="G1546" s="88" t="s">
        <v>180</v>
      </c>
      <c r="H1546" s="87" t="s">
        <v>246</v>
      </c>
      <c r="I1546" s="87" t="s">
        <v>721</v>
      </c>
      <c r="J1546" s="87" t="s">
        <v>722</v>
      </c>
      <c r="K1546" s="89" t="n">
        <v>14</v>
      </c>
      <c r="L1546" s="89" t="n">
        <v>5586000</v>
      </c>
      <c r="M1546" s="89" t="n">
        <v>3075030</v>
      </c>
      <c r="N1546" s="90" t="n">
        <f aca="false">IF(A1546="제외",0,IF(OR(N(L1546)&lt;=0,N(M1546)&gt;N(L1546)),N(M1546)/가정!$B$4,N(L1546)))</f>
        <v>5586000</v>
      </c>
      <c r="O1546" s="67" t="str">
        <f aca="false">IF(A1546="제외","",IF(OR(N(L1546)&lt;=0,N(M1546)&gt;N(L1546)),"택가보정(판매금액÷공급율)",""))</f>
        <v/>
      </c>
    </row>
    <row r="1547" customFormat="false" ht="15" hidden="false" customHeight="true" outlineLevel="0" collapsed="false">
      <c r="A1547" s="67" t="str">
        <f aca="false">IF(OR(TRIM(C1547)="",SUBSTITUTE(C1547," ","")="소계"),"제외",IF(ISNUMBER(SEARCH("홍콩",C1547)),"HK",IF(ISNUMBER(SEARCH("상해",C1547)),"CN",IF(ISNUMBER(SEARCH("대만",C1547)),"TW","홀세일"))))</f>
        <v>제외</v>
      </c>
      <c r="B1547" s="87" t="s">
        <v>821</v>
      </c>
      <c r="C1547" s="88" t="s">
        <v>822</v>
      </c>
      <c r="D1547" s="87"/>
      <c r="E1547" s="87"/>
      <c r="F1547" s="87"/>
      <c r="G1547" s="87"/>
      <c r="H1547" s="87"/>
      <c r="I1547" s="87"/>
      <c r="J1547" s="87"/>
      <c r="K1547" s="89" t="n">
        <v>1997</v>
      </c>
      <c r="L1547" s="89" t="n">
        <v>194763000</v>
      </c>
      <c r="M1547" s="89" t="n">
        <v>100568977</v>
      </c>
      <c r="N1547" s="90" t="n">
        <f aca="false">IF(A1547="제외",0,IF(OR(N(L1547)&lt;=0,N(M1547)&gt;N(L1547)),N(M1547)/가정!$B$4,N(L1547)))</f>
        <v>0</v>
      </c>
      <c r="O1547" s="67" t="str">
        <f aca="false">IF(A1547="제외","",IF(OR(N(L1547)&lt;=0,N(M1547)&gt;N(L1547)),"택가보정(판매금액÷공급율)",""))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9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7.9609375" defaultRowHeight="15" zeroHeight="false" outlineLevelRow="0" outlineLevelCol="0"/>
  <cols>
    <col collapsed="false" customWidth="true" hidden="false" outlineLevel="0" max="2" min="1" style="34" width="7.34"/>
    <col collapsed="false" customWidth="true" hidden="false" outlineLevel="0" max="3" min="3" style="34" width="14.68"/>
    <col collapsed="false" customWidth="true" hidden="false" outlineLevel="0" max="4" min="4" style="34" width="9.17"/>
    <col collapsed="false" customWidth="true" hidden="false" outlineLevel="0" max="5" min="5" style="34" width="11.92"/>
    <col collapsed="false" customWidth="true" hidden="false" outlineLevel="0" max="6" min="6" style="34" width="12.84"/>
    <col collapsed="false" customWidth="true" hidden="false" outlineLevel="0" max="7" min="7" style="34" width="7.34"/>
    <col collapsed="false" customWidth="true" hidden="false" outlineLevel="0" max="8" min="8" style="34" width="12.84"/>
    <col collapsed="false" customWidth="true" hidden="false" outlineLevel="0" max="9" min="9" style="34" width="11.01"/>
    <col collapsed="false" customWidth="true" hidden="false" outlineLevel="0" max="12" min="10" style="34" width="11.92"/>
    <col collapsed="false" customWidth="true" hidden="false" outlineLevel="0" max="15" min="13" style="34" width="14.68"/>
    <col collapsed="false" customWidth="true" hidden="false" outlineLevel="0" max="16" min="16" style="34" width="27.52"/>
  </cols>
  <sheetData>
    <row r="1" customFormat="false" ht="31.5" hidden="false" customHeight="true" outlineLevel="0" collapsed="false">
      <c r="A1" s="92" t="s">
        <v>1670</v>
      </c>
      <c r="B1" s="92" t="s">
        <v>3</v>
      </c>
      <c r="C1" s="92" t="s">
        <v>1671</v>
      </c>
      <c r="D1" s="92" t="s">
        <v>1672</v>
      </c>
      <c r="E1" s="92" t="s">
        <v>1673</v>
      </c>
      <c r="F1" s="92" t="s">
        <v>1674</v>
      </c>
      <c r="G1" s="92" t="s">
        <v>1675</v>
      </c>
      <c r="H1" s="92" t="s">
        <v>1676</v>
      </c>
      <c r="I1" s="92" t="s">
        <v>1677</v>
      </c>
      <c r="J1" s="92" t="s">
        <v>1678</v>
      </c>
      <c r="K1" s="92" t="s">
        <v>1679</v>
      </c>
      <c r="L1" s="92" t="s">
        <v>1680</v>
      </c>
      <c r="M1" s="92" t="s">
        <v>1681</v>
      </c>
      <c r="N1" s="92" t="s">
        <v>1682</v>
      </c>
      <c r="O1" s="93" t="s">
        <v>1683</v>
      </c>
      <c r="P1" s="92" t="s">
        <v>174</v>
      </c>
    </row>
    <row r="2" customFormat="false" ht="15" hidden="false" customHeight="true" outlineLevel="0" collapsed="false">
      <c r="A2" s="94" t="s">
        <v>1684</v>
      </c>
      <c r="B2" s="34" t="str">
        <f aca="false">IF(A2="100","HK",IF(A2="200","CN",IF(A2="300","TW","홀세일")))</f>
        <v>HK</v>
      </c>
      <c r="C2" s="94" t="s">
        <v>190</v>
      </c>
      <c r="D2" s="95" t="n">
        <v>240</v>
      </c>
      <c r="E2" s="95" t="n">
        <v>169000</v>
      </c>
      <c r="F2" s="95" t="n">
        <v>39504</v>
      </c>
      <c r="G2" s="34" t="n">
        <v>3.64</v>
      </c>
      <c r="H2" s="34" t="n">
        <v>44.9</v>
      </c>
      <c r="J2" s="95" t="n">
        <f aca="false">IF(N(E2)&gt;0,E2,IF(N(F2)&gt;0,F2*가정!$B$5,0))</f>
        <v>169000</v>
      </c>
      <c r="K2" s="95" t="n">
        <f aca="false">IF(N(F2)&gt;0,F2,IF(N(E2)&gt;0,E2/가정!$B$5,0))</f>
        <v>39504</v>
      </c>
      <c r="L2" s="95" t="n">
        <f aca="false">IF(B2="CN",IF(N(I2)&gt;0,I2*가정!$B$3,K2*(1+가정!$B$6)),IF(N(H2)&gt;0,H2*가정!$B$3,J2*가정!$B$4))</f>
        <v>61188.822</v>
      </c>
      <c r="M2" s="95" t="n">
        <f aca="false">D2*J2</f>
        <v>40560000</v>
      </c>
      <c r="N2" s="95" t="n">
        <f aca="false">D2*K2</f>
        <v>9480960</v>
      </c>
      <c r="O2" s="95" t="n">
        <f aca="false">D2*L2</f>
        <v>14685317.28</v>
      </c>
      <c r="P2" s="34" t="str">
        <f aca="false">TRIM(IF(N(E2)&lt;=0,"택가보정 ","")&amp;IF(N(F2)&lt;=0,"원가보정 ","")&amp;IF(AND(B2&lt;&gt;"CN",N(H2)&lt;=0),"공급가보정 ","")&amp;IF(AND(B2="CN",N(I2)&lt;=0),"중국공급가=원가+마진 ",""))</f>
        <v/>
      </c>
    </row>
    <row r="3" customFormat="false" ht="15.75" hidden="false" customHeight="true" outlineLevel="0" collapsed="false">
      <c r="A3" s="94" t="s">
        <v>1685</v>
      </c>
      <c r="B3" s="34" t="str">
        <f aca="false">IF(A3="100","HK",IF(A3="200","CN",IF(A3="300","TW","홀세일")))</f>
        <v>CN</v>
      </c>
      <c r="C3" s="94" t="s">
        <v>190</v>
      </c>
      <c r="D3" s="95" t="n">
        <v>1336</v>
      </c>
      <c r="E3" s="95" t="n">
        <v>169000</v>
      </c>
      <c r="F3" s="95" t="n">
        <v>39504</v>
      </c>
      <c r="G3" s="34" t="n">
        <v>3.64</v>
      </c>
      <c r="H3" s="34" t="n">
        <v>44.9</v>
      </c>
      <c r="J3" s="95" t="n">
        <f aca="false">IF(N(E3)&gt;0,E3,IF(N(F3)&gt;0,F3*가정!$B$5,0))</f>
        <v>169000</v>
      </c>
      <c r="K3" s="95" t="n">
        <f aca="false">IF(N(F3)&gt;0,F3,IF(N(E3)&gt;0,E3/가정!$B$5,0))</f>
        <v>39504</v>
      </c>
      <c r="L3" s="95" t="n">
        <f aca="false">IF(B3="CN",IF(N(I3)&gt;0,I3*가정!$B$3,K3*(1+가정!$B$6)),IF(N(H3)&gt;0,H3*가정!$B$3,J3*가정!$B$4))</f>
        <v>41479.2</v>
      </c>
      <c r="M3" s="95" t="n">
        <f aca="false">D3*J3</f>
        <v>225784000</v>
      </c>
      <c r="N3" s="95" t="n">
        <f aca="false">D3*K3</f>
        <v>52777344</v>
      </c>
      <c r="O3" s="95" t="n">
        <f aca="false">D3*L3</f>
        <v>55416211.2</v>
      </c>
      <c r="P3" s="34" t="str">
        <f aca="false">TRIM(IF(N(E3)&lt;=0,"택가보정 ","")&amp;IF(N(F3)&lt;=0,"원가보정 ","")&amp;IF(AND(B3&lt;&gt;"CN",N(H3)&lt;=0),"공급가보정 ","")&amp;IF(AND(B3="CN",N(I3)&lt;=0),"중국공급가=원가+마진 ",""))</f>
        <v>중국공급가=원가+마진</v>
      </c>
    </row>
    <row r="4" customFormat="false" ht="15" hidden="false" customHeight="true" outlineLevel="0" collapsed="false">
      <c r="A4" s="94" t="s">
        <v>1686</v>
      </c>
      <c r="B4" s="34" t="str">
        <f aca="false">IF(A4="100","HK",IF(A4="200","CN",IF(A4="300","TW","홀세일")))</f>
        <v>TW</v>
      </c>
      <c r="C4" s="94" t="s">
        <v>190</v>
      </c>
      <c r="D4" s="95" t="n">
        <v>150</v>
      </c>
      <c r="E4" s="95" t="n">
        <v>169000</v>
      </c>
      <c r="F4" s="95" t="n">
        <v>39504</v>
      </c>
      <c r="G4" s="34" t="n">
        <v>3.64</v>
      </c>
      <c r="H4" s="34" t="n">
        <v>44.9</v>
      </c>
      <c r="J4" s="95" t="n">
        <f aca="false">IF(N(E4)&gt;0,E4,IF(N(F4)&gt;0,F4*가정!$B$5,0))</f>
        <v>169000</v>
      </c>
      <c r="K4" s="95" t="n">
        <f aca="false">IF(N(F4)&gt;0,F4,IF(N(E4)&gt;0,E4/가정!$B$5,0))</f>
        <v>39504</v>
      </c>
      <c r="L4" s="95" t="n">
        <f aca="false">IF(B4="CN",IF(N(I4)&gt;0,I4*가정!$B$3,K4*(1+가정!$B$6)),IF(N(H4)&gt;0,H4*가정!$B$3,J4*가정!$B$4))</f>
        <v>61188.822</v>
      </c>
      <c r="M4" s="95" t="n">
        <f aca="false">D4*J4</f>
        <v>25350000</v>
      </c>
      <c r="N4" s="95" t="n">
        <f aca="false">D4*K4</f>
        <v>5925600</v>
      </c>
      <c r="O4" s="95" t="n">
        <f aca="false">D4*L4</f>
        <v>9178323.3</v>
      </c>
      <c r="P4" s="34" t="str">
        <f aca="false">TRIM(IF(N(E4)&lt;=0,"택가보정 ","")&amp;IF(N(F4)&lt;=0,"원가보정 ","")&amp;IF(AND(B4&lt;&gt;"CN",N(H4)&lt;=0),"공급가보정 ","")&amp;IF(AND(B4="CN",N(I4)&lt;=0),"중국공급가=원가+마진 ",""))</f>
        <v/>
      </c>
    </row>
    <row r="5" customFormat="false" ht="15" hidden="false" customHeight="true" outlineLevel="0" collapsed="false">
      <c r="A5" s="94" t="s">
        <v>1687</v>
      </c>
      <c r="B5" s="34" t="str">
        <f aca="false">IF(A5="100","HK",IF(A5="200","CN",IF(A5="300","TW","홀세일")))</f>
        <v>홀세일</v>
      </c>
      <c r="C5" s="94" t="s">
        <v>190</v>
      </c>
      <c r="D5" s="95" t="n">
        <v>25</v>
      </c>
      <c r="E5" s="95" t="n">
        <v>169000</v>
      </c>
      <c r="F5" s="95" t="n">
        <v>39504</v>
      </c>
      <c r="G5" s="34" t="n">
        <v>3.64</v>
      </c>
      <c r="H5" s="34" t="n">
        <v>44.9</v>
      </c>
      <c r="J5" s="95" t="n">
        <f aca="false">IF(N(E5)&gt;0,E5,IF(N(F5)&gt;0,F5*가정!$B$5,0))</f>
        <v>169000</v>
      </c>
      <c r="K5" s="95" t="n">
        <f aca="false">IF(N(F5)&gt;0,F5,IF(N(E5)&gt;0,E5/가정!$B$5,0))</f>
        <v>39504</v>
      </c>
      <c r="L5" s="95" t="n">
        <f aca="false">IF(B5="CN",IF(N(I5)&gt;0,I5*가정!$B$3,K5*(1+가정!$B$6)),IF(N(H5)&gt;0,H5*가정!$B$3,J5*가정!$B$4))</f>
        <v>61188.822</v>
      </c>
      <c r="M5" s="95" t="n">
        <f aca="false">D5*J5</f>
        <v>4225000</v>
      </c>
      <c r="N5" s="95" t="n">
        <f aca="false">D5*K5</f>
        <v>987600</v>
      </c>
      <c r="O5" s="95" t="n">
        <f aca="false">D5*L5</f>
        <v>1529720.55</v>
      </c>
      <c r="P5" s="34" t="str">
        <f aca="false">TRIM(IF(N(E5)&lt;=0,"택가보정 ","")&amp;IF(N(F5)&lt;=0,"원가보정 ","")&amp;IF(AND(B5&lt;&gt;"CN",N(H5)&lt;=0),"공급가보정 ","")&amp;IF(AND(B5="CN",N(I5)&lt;=0),"중국공급가=원가+마진 ",""))</f>
        <v/>
      </c>
    </row>
    <row r="6" customFormat="false" ht="15" hidden="false" customHeight="true" outlineLevel="0" collapsed="false">
      <c r="A6" s="94" t="s">
        <v>1688</v>
      </c>
      <c r="B6" s="34" t="str">
        <f aca="false">IF(A6="100","HK",IF(A6="200","CN",IF(A6="300","TW","홀세일")))</f>
        <v>홀세일</v>
      </c>
      <c r="C6" s="94" t="s">
        <v>190</v>
      </c>
      <c r="D6" s="95" t="n">
        <v>50</v>
      </c>
      <c r="E6" s="95" t="n">
        <v>169000</v>
      </c>
      <c r="F6" s="95" t="n">
        <v>39504</v>
      </c>
      <c r="G6" s="34" t="n">
        <v>3.64</v>
      </c>
      <c r="H6" s="34" t="n">
        <v>44.9</v>
      </c>
      <c r="J6" s="95" t="n">
        <f aca="false">IF(N(E6)&gt;0,E6,IF(N(F6)&gt;0,F6*가정!$B$5,0))</f>
        <v>169000</v>
      </c>
      <c r="K6" s="95" t="n">
        <f aca="false">IF(N(F6)&gt;0,F6,IF(N(E6)&gt;0,E6/가정!$B$5,0))</f>
        <v>39504</v>
      </c>
      <c r="L6" s="95" t="n">
        <f aca="false">IF(B6="CN",IF(N(I6)&gt;0,I6*가정!$B$3,K6*(1+가정!$B$6)),IF(N(H6)&gt;0,H6*가정!$B$3,J6*가정!$B$4))</f>
        <v>61188.822</v>
      </c>
      <c r="M6" s="95" t="n">
        <f aca="false">D6*J6</f>
        <v>8450000</v>
      </c>
      <c r="N6" s="95" t="n">
        <f aca="false">D6*K6</f>
        <v>1975200</v>
      </c>
      <c r="O6" s="95" t="n">
        <f aca="false">D6*L6</f>
        <v>3059441.1</v>
      </c>
      <c r="P6" s="34" t="str">
        <f aca="false">TRIM(IF(N(E6)&lt;=0,"택가보정 ","")&amp;IF(N(F6)&lt;=0,"원가보정 ","")&amp;IF(AND(B6&lt;&gt;"CN",N(H6)&lt;=0),"공급가보정 ","")&amp;IF(AND(B6="CN",N(I6)&lt;=0),"중국공급가=원가+마진 ",""))</f>
        <v/>
      </c>
    </row>
    <row r="7" customFormat="false" ht="15" hidden="false" customHeight="true" outlineLevel="0" collapsed="false">
      <c r="A7" s="94" t="s">
        <v>1689</v>
      </c>
      <c r="B7" s="34" t="str">
        <f aca="false">IF(A7="100","HK",IF(A7="200","CN",IF(A7="300","TW","홀세일")))</f>
        <v>홀세일</v>
      </c>
      <c r="C7" s="94" t="s">
        <v>190</v>
      </c>
      <c r="D7" s="95" t="n">
        <v>30</v>
      </c>
      <c r="E7" s="95" t="n">
        <v>169000</v>
      </c>
      <c r="F7" s="95" t="n">
        <v>39504</v>
      </c>
      <c r="G7" s="34" t="n">
        <v>3.64</v>
      </c>
      <c r="H7" s="34" t="n">
        <v>44.9</v>
      </c>
      <c r="J7" s="95" t="n">
        <f aca="false">IF(N(E7)&gt;0,E7,IF(N(F7)&gt;0,F7*가정!$B$5,0))</f>
        <v>169000</v>
      </c>
      <c r="K7" s="95" t="n">
        <f aca="false">IF(N(F7)&gt;0,F7,IF(N(E7)&gt;0,E7/가정!$B$5,0))</f>
        <v>39504</v>
      </c>
      <c r="L7" s="95" t="n">
        <f aca="false">IF(B7="CN",IF(N(I7)&gt;0,I7*가정!$B$3,K7*(1+가정!$B$6)),IF(N(H7)&gt;0,H7*가정!$B$3,J7*가정!$B$4))</f>
        <v>61188.822</v>
      </c>
      <c r="M7" s="95" t="n">
        <f aca="false">D7*J7</f>
        <v>5070000</v>
      </c>
      <c r="N7" s="95" t="n">
        <f aca="false">D7*K7</f>
        <v>1185120</v>
      </c>
      <c r="O7" s="95" t="n">
        <f aca="false">D7*L7</f>
        <v>1835664.66</v>
      </c>
      <c r="P7" s="34" t="str">
        <f aca="false">TRIM(IF(N(E7)&lt;=0,"택가보정 ","")&amp;IF(N(F7)&lt;=0,"원가보정 ","")&amp;IF(AND(B7&lt;&gt;"CN",N(H7)&lt;=0),"공급가보정 ","")&amp;IF(AND(B7="CN",N(I7)&lt;=0),"중국공급가=원가+마진 ",""))</f>
        <v/>
      </c>
    </row>
    <row r="8" customFormat="false" ht="15" hidden="false" customHeight="true" outlineLevel="0" collapsed="false">
      <c r="A8" s="94" t="s">
        <v>1690</v>
      </c>
      <c r="B8" s="34" t="str">
        <f aca="false">IF(A8="100","HK",IF(A8="200","CN",IF(A8="300","TW","홀세일")))</f>
        <v>홀세일</v>
      </c>
      <c r="C8" s="94" t="s">
        <v>190</v>
      </c>
      <c r="D8" s="95" t="n">
        <v>36</v>
      </c>
      <c r="E8" s="95" t="n">
        <v>169000</v>
      </c>
      <c r="F8" s="95" t="n">
        <v>39504</v>
      </c>
      <c r="G8" s="34" t="n">
        <v>3.64</v>
      </c>
      <c r="H8" s="34" t="n">
        <v>44.9</v>
      </c>
      <c r="J8" s="95" t="n">
        <f aca="false">IF(N(E8)&gt;0,E8,IF(N(F8)&gt;0,F8*가정!$B$5,0))</f>
        <v>169000</v>
      </c>
      <c r="K8" s="95" t="n">
        <f aca="false">IF(N(F8)&gt;0,F8,IF(N(E8)&gt;0,E8/가정!$B$5,0))</f>
        <v>39504</v>
      </c>
      <c r="L8" s="95" t="n">
        <f aca="false">IF(B8="CN",IF(N(I8)&gt;0,I8*가정!$B$3,K8*(1+가정!$B$6)),IF(N(H8)&gt;0,H8*가정!$B$3,J8*가정!$B$4))</f>
        <v>61188.822</v>
      </c>
      <c r="M8" s="95" t="n">
        <f aca="false">D8*J8</f>
        <v>6084000</v>
      </c>
      <c r="N8" s="95" t="n">
        <f aca="false">D8*K8</f>
        <v>1422144</v>
      </c>
      <c r="O8" s="95" t="n">
        <f aca="false">D8*L8</f>
        <v>2202797.592</v>
      </c>
      <c r="P8" s="34" t="str">
        <f aca="false">TRIM(IF(N(E8)&lt;=0,"택가보정 ","")&amp;IF(N(F8)&lt;=0,"원가보정 ","")&amp;IF(AND(B8&lt;&gt;"CN",N(H8)&lt;=0),"공급가보정 ","")&amp;IF(AND(B8="CN",N(I8)&lt;=0),"중국공급가=원가+마진 ",""))</f>
        <v/>
      </c>
    </row>
    <row r="9" customFormat="false" ht="15" hidden="false" customHeight="true" outlineLevel="0" collapsed="false">
      <c r="A9" s="94" t="s">
        <v>1691</v>
      </c>
      <c r="B9" s="34" t="str">
        <f aca="false">IF(A9="100","HK",IF(A9="200","CN",IF(A9="300","TW","홀세일")))</f>
        <v>홀세일</v>
      </c>
      <c r="C9" s="94" t="s">
        <v>190</v>
      </c>
      <c r="D9" s="95" t="n">
        <v>30</v>
      </c>
      <c r="E9" s="95" t="n">
        <v>169000</v>
      </c>
      <c r="F9" s="95" t="n">
        <v>39504</v>
      </c>
      <c r="G9" s="34" t="n">
        <v>3.64</v>
      </c>
      <c r="H9" s="34" t="n">
        <v>44.9</v>
      </c>
      <c r="J9" s="95" t="n">
        <f aca="false">IF(N(E9)&gt;0,E9,IF(N(F9)&gt;0,F9*가정!$B$5,0))</f>
        <v>169000</v>
      </c>
      <c r="K9" s="95" t="n">
        <f aca="false">IF(N(F9)&gt;0,F9,IF(N(E9)&gt;0,E9/가정!$B$5,0))</f>
        <v>39504</v>
      </c>
      <c r="L9" s="95" t="n">
        <f aca="false">IF(B9="CN",IF(N(I9)&gt;0,I9*가정!$B$3,K9*(1+가정!$B$6)),IF(N(H9)&gt;0,H9*가정!$B$3,J9*가정!$B$4))</f>
        <v>61188.822</v>
      </c>
      <c r="M9" s="95" t="n">
        <f aca="false">D9*J9</f>
        <v>5070000</v>
      </c>
      <c r="N9" s="95" t="n">
        <f aca="false">D9*K9</f>
        <v>1185120</v>
      </c>
      <c r="O9" s="95" t="n">
        <f aca="false">D9*L9</f>
        <v>1835664.66</v>
      </c>
      <c r="P9" s="34" t="str">
        <f aca="false">TRIM(IF(N(E9)&lt;=0,"택가보정 ","")&amp;IF(N(F9)&lt;=0,"원가보정 ","")&amp;IF(AND(B9&lt;&gt;"CN",N(H9)&lt;=0),"공급가보정 ","")&amp;IF(AND(B9="CN",N(I9)&lt;=0),"중국공급가=원가+마진 ",""))</f>
        <v/>
      </c>
    </row>
    <row r="10" customFormat="false" ht="15" hidden="false" customHeight="true" outlineLevel="0" collapsed="false">
      <c r="A10" s="94" t="s">
        <v>1684</v>
      </c>
      <c r="B10" s="34" t="str">
        <f aca="false">IF(A10="100","HK",IF(A10="200","CN",IF(A10="300","TW","홀세일")))</f>
        <v>HK</v>
      </c>
      <c r="C10" s="94" t="s">
        <v>192</v>
      </c>
      <c r="D10" s="95" t="n">
        <v>160</v>
      </c>
      <c r="E10" s="95" t="n">
        <v>179000</v>
      </c>
      <c r="F10" s="95" t="n">
        <v>42278</v>
      </c>
      <c r="G10" s="34" t="n">
        <v>3.6</v>
      </c>
      <c r="H10" s="34" t="n">
        <v>47.6</v>
      </c>
      <c r="J10" s="95" t="n">
        <f aca="false">IF(N(E10)&gt;0,E10,IF(N(F10)&gt;0,F10*가정!$B$5,0))</f>
        <v>179000</v>
      </c>
      <c r="K10" s="95" t="n">
        <f aca="false">IF(N(F10)&gt;0,F10,IF(N(E10)&gt;0,E10/가정!$B$5,0))</f>
        <v>42278</v>
      </c>
      <c r="L10" s="95" t="n">
        <f aca="false">IF(B10="CN",IF(N(I10)&gt;0,I10*가정!$B$3,K10*(1+가정!$B$6)),IF(N(H10)&gt;0,H10*가정!$B$3,J10*가정!$B$4))</f>
        <v>64868.328</v>
      </c>
      <c r="M10" s="95" t="n">
        <f aca="false">D10*J10</f>
        <v>28640000</v>
      </c>
      <c r="N10" s="95" t="n">
        <f aca="false">D10*K10</f>
        <v>6764480</v>
      </c>
      <c r="O10" s="95" t="n">
        <f aca="false">D10*L10</f>
        <v>10378932.48</v>
      </c>
      <c r="P10" s="34" t="str">
        <f aca="false">TRIM(IF(N(E10)&lt;=0,"택가보정 ","")&amp;IF(N(F10)&lt;=0,"원가보정 ","")&amp;IF(AND(B10&lt;&gt;"CN",N(H10)&lt;=0),"공급가보정 ","")&amp;IF(AND(B10="CN",N(I10)&lt;=0),"중국공급가=원가+마진 ",""))</f>
        <v/>
      </c>
    </row>
    <row r="11" customFormat="false" ht="15" hidden="false" customHeight="true" outlineLevel="0" collapsed="false">
      <c r="A11" s="94" t="s">
        <v>1686</v>
      </c>
      <c r="B11" s="34" t="str">
        <f aca="false">IF(A11="100","HK",IF(A11="200","CN",IF(A11="300","TW","홀세일")))</f>
        <v>TW</v>
      </c>
      <c r="C11" s="94" t="s">
        <v>192</v>
      </c>
      <c r="D11" s="95" t="n">
        <v>250</v>
      </c>
      <c r="E11" s="95" t="n">
        <v>179000</v>
      </c>
      <c r="F11" s="95" t="n">
        <v>42278</v>
      </c>
      <c r="G11" s="34" t="n">
        <v>3.6</v>
      </c>
      <c r="H11" s="34" t="n">
        <v>47.6</v>
      </c>
      <c r="J11" s="95" t="n">
        <f aca="false">IF(N(E11)&gt;0,E11,IF(N(F11)&gt;0,F11*가정!$B$5,0))</f>
        <v>179000</v>
      </c>
      <c r="K11" s="95" t="n">
        <f aca="false">IF(N(F11)&gt;0,F11,IF(N(E11)&gt;0,E11/가정!$B$5,0))</f>
        <v>42278</v>
      </c>
      <c r="L11" s="95" t="n">
        <f aca="false">IF(B11="CN",IF(N(I11)&gt;0,I11*가정!$B$3,K11*(1+가정!$B$6)),IF(N(H11)&gt;0,H11*가정!$B$3,J11*가정!$B$4))</f>
        <v>64868.328</v>
      </c>
      <c r="M11" s="95" t="n">
        <f aca="false">D11*J11</f>
        <v>44750000</v>
      </c>
      <c r="N11" s="95" t="n">
        <f aca="false">D11*K11</f>
        <v>10569500</v>
      </c>
      <c r="O11" s="95" t="n">
        <f aca="false">D11*L11</f>
        <v>16217082</v>
      </c>
      <c r="P11" s="34" t="str">
        <f aca="false">TRIM(IF(N(E11)&lt;=0,"택가보정 ","")&amp;IF(N(F11)&lt;=0,"원가보정 ","")&amp;IF(AND(B11&lt;&gt;"CN",N(H11)&lt;=0),"공급가보정 ","")&amp;IF(AND(B11="CN",N(I11)&lt;=0),"중국공급가=원가+마진 ",""))</f>
        <v/>
      </c>
    </row>
    <row r="12" customFormat="false" ht="15" hidden="false" customHeight="true" outlineLevel="0" collapsed="false">
      <c r="A12" s="94" t="s">
        <v>1688</v>
      </c>
      <c r="B12" s="34" t="str">
        <f aca="false">IF(A12="100","HK",IF(A12="200","CN",IF(A12="300","TW","홀세일")))</f>
        <v>홀세일</v>
      </c>
      <c r="C12" s="94" t="s">
        <v>192</v>
      </c>
      <c r="D12" s="95" t="n">
        <v>50</v>
      </c>
      <c r="E12" s="95" t="n">
        <v>179000</v>
      </c>
      <c r="F12" s="95" t="n">
        <v>42278</v>
      </c>
      <c r="G12" s="34" t="n">
        <v>3.6</v>
      </c>
      <c r="H12" s="34" t="n">
        <v>47.6</v>
      </c>
      <c r="J12" s="95" t="n">
        <f aca="false">IF(N(E12)&gt;0,E12,IF(N(F12)&gt;0,F12*가정!$B$5,0))</f>
        <v>179000</v>
      </c>
      <c r="K12" s="95" t="n">
        <f aca="false">IF(N(F12)&gt;0,F12,IF(N(E12)&gt;0,E12/가정!$B$5,0))</f>
        <v>42278</v>
      </c>
      <c r="L12" s="95" t="n">
        <f aca="false">IF(B12="CN",IF(N(I12)&gt;0,I12*가정!$B$3,K12*(1+가정!$B$6)),IF(N(H12)&gt;0,H12*가정!$B$3,J12*가정!$B$4))</f>
        <v>64868.328</v>
      </c>
      <c r="M12" s="95" t="n">
        <f aca="false">D12*J12</f>
        <v>8950000</v>
      </c>
      <c r="N12" s="95" t="n">
        <f aca="false">D12*K12</f>
        <v>2113900</v>
      </c>
      <c r="O12" s="95" t="n">
        <f aca="false">D12*L12</f>
        <v>3243416.4</v>
      </c>
      <c r="P12" s="34" t="str">
        <f aca="false">TRIM(IF(N(E12)&lt;=0,"택가보정 ","")&amp;IF(N(F12)&lt;=0,"원가보정 ","")&amp;IF(AND(B12&lt;&gt;"CN",N(H12)&lt;=0),"공급가보정 ","")&amp;IF(AND(B12="CN",N(I12)&lt;=0),"중국공급가=원가+마진 ",""))</f>
        <v/>
      </c>
    </row>
    <row r="13" customFormat="false" ht="15" hidden="false" customHeight="true" outlineLevel="0" collapsed="false">
      <c r="A13" s="94" t="s">
        <v>1689</v>
      </c>
      <c r="B13" s="34" t="str">
        <f aca="false">IF(A13="100","HK",IF(A13="200","CN",IF(A13="300","TW","홀세일")))</f>
        <v>홀세일</v>
      </c>
      <c r="C13" s="94" t="s">
        <v>192</v>
      </c>
      <c r="D13" s="95" t="n">
        <v>40</v>
      </c>
      <c r="E13" s="95" t="n">
        <v>179000</v>
      </c>
      <c r="F13" s="95" t="n">
        <v>42278</v>
      </c>
      <c r="G13" s="34" t="n">
        <v>3.6</v>
      </c>
      <c r="H13" s="34" t="n">
        <v>47.6</v>
      </c>
      <c r="J13" s="95" t="n">
        <f aca="false">IF(N(E13)&gt;0,E13,IF(N(F13)&gt;0,F13*가정!$B$5,0))</f>
        <v>179000</v>
      </c>
      <c r="K13" s="95" t="n">
        <f aca="false">IF(N(F13)&gt;0,F13,IF(N(E13)&gt;0,E13/가정!$B$5,0))</f>
        <v>42278</v>
      </c>
      <c r="L13" s="95" t="n">
        <f aca="false">IF(B13="CN",IF(N(I13)&gt;0,I13*가정!$B$3,K13*(1+가정!$B$6)),IF(N(H13)&gt;0,H13*가정!$B$3,J13*가정!$B$4))</f>
        <v>64868.328</v>
      </c>
      <c r="M13" s="95" t="n">
        <f aca="false">D13*J13</f>
        <v>7160000</v>
      </c>
      <c r="N13" s="95" t="n">
        <f aca="false">D13*K13</f>
        <v>1691120</v>
      </c>
      <c r="O13" s="95" t="n">
        <f aca="false">D13*L13</f>
        <v>2594733.12</v>
      </c>
      <c r="P13" s="34" t="str">
        <f aca="false">TRIM(IF(N(E13)&lt;=0,"택가보정 ","")&amp;IF(N(F13)&lt;=0,"원가보정 ","")&amp;IF(AND(B13&lt;&gt;"CN",N(H13)&lt;=0),"공급가보정 ","")&amp;IF(AND(B13="CN",N(I13)&lt;=0),"중국공급가=원가+마진 ",""))</f>
        <v/>
      </c>
    </row>
    <row r="14" customFormat="false" ht="15" hidden="false" customHeight="true" outlineLevel="0" collapsed="false">
      <c r="A14" s="94" t="s">
        <v>1684</v>
      </c>
      <c r="B14" s="34" t="str">
        <f aca="false">IF(A14="100","HK",IF(A14="200","CN",IF(A14="300","TW","홀세일")))</f>
        <v>HK</v>
      </c>
      <c r="C14" s="94" t="s">
        <v>194</v>
      </c>
      <c r="D14" s="95" t="n">
        <v>140</v>
      </c>
      <c r="E14" s="95" t="n">
        <v>169000</v>
      </c>
      <c r="F14" s="95" t="n">
        <v>40300</v>
      </c>
      <c r="G14" s="34" t="n">
        <v>3.61</v>
      </c>
      <c r="H14" s="34" t="n">
        <v>44.9</v>
      </c>
      <c r="J14" s="95" t="n">
        <f aca="false">IF(N(E14)&gt;0,E14,IF(N(F14)&gt;0,F14*가정!$B$5,0))</f>
        <v>169000</v>
      </c>
      <c r="K14" s="95" t="n">
        <f aca="false">IF(N(F14)&gt;0,F14,IF(N(E14)&gt;0,E14/가정!$B$5,0))</f>
        <v>40300</v>
      </c>
      <c r="L14" s="95" t="n">
        <f aca="false">IF(B14="CN",IF(N(I14)&gt;0,I14*가정!$B$3,K14*(1+가정!$B$6)),IF(N(H14)&gt;0,H14*가정!$B$3,J14*가정!$B$4))</f>
        <v>61188.822</v>
      </c>
      <c r="M14" s="95" t="n">
        <f aca="false">D14*J14</f>
        <v>23660000</v>
      </c>
      <c r="N14" s="95" t="n">
        <f aca="false">D14*K14</f>
        <v>5642000</v>
      </c>
      <c r="O14" s="95" t="n">
        <f aca="false">D14*L14</f>
        <v>8566435.08</v>
      </c>
      <c r="P14" s="34" t="str">
        <f aca="false">TRIM(IF(N(E14)&lt;=0,"택가보정 ","")&amp;IF(N(F14)&lt;=0,"원가보정 ","")&amp;IF(AND(B14&lt;&gt;"CN",N(H14)&lt;=0),"공급가보정 ","")&amp;IF(AND(B14="CN",N(I14)&lt;=0),"중국공급가=원가+마진 ",""))</f>
        <v/>
      </c>
    </row>
    <row r="15" customFormat="false" ht="15" hidden="false" customHeight="true" outlineLevel="0" collapsed="false">
      <c r="A15" s="94" t="s">
        <v>1686</v>
      </c>
      <c r="B15" s="34" t="str">
        <f aca="false">IF(A15="100","HK",IF(A15="200","CN",IF(A15="300","TW","홀세일")))</f>
        <v>TW</v>
      </c>
      <c r="C15" s="94" t="s">
        <v>194</v>
      </c>
      <c r="D15" s="95" t="n">
        <v>130</v>
      </c>
      <c r="E15" s="95" t="n">
        <v>169000</v>
      </c>
      <c r="F15" s="95" t="n">
        <v>40300</v>
      </c>
      <c r="G15" s="34" t="n">
        <v>3.61</v>
      </c>
      <c r="H15" s="34" t="n">
        <v>44.9</v>
      </c>
      <c r="J15" s="95" t="n">
        <f aca="false">IF(N(E15)&gt;0,E15,IF(N(F15)&gt;0,F15*가정!$B$5,0))</f>
        <v>169000</v>
      </c>
      <c r="K15" s="95" t="n">
        <f aca="false">IF(N(F15)&gt;0,F15,IF(N(E15)&gt;0,E15/가정!$B$5,0))</f>
        <v>40300</v>
      </c>
      <c r="L15" s="95" t="n">
        <f aca="false">IF(B15="CN",IF(N(I15)&gt;0,I15*가정!$B$3,K15*(1+가정!$B$6)),IF(N(H15)&gt;0,H15*가정!$B$3,J15*가정!$B$4))</f>
        <v>61188.822</v>
      </c>
      <c r="M15" s="95" t="n">
        <f aca="false">D15*J15</f>
        <v>21970000</v>
      </c>
      <c r="N15" s="95" t="n">
        <f aca="false">D15*K15</f>
        <v>5239000</v>
      </c>
      <c r="O15" s="95" t="n">
        <f aca="false">D15*L15</f>
        <v>7954546.86</v>
      </c>
      <c r="P15" s="34" t="str">
        <f aca="false">TRIM(IF(N(E15)&lt;=0,"택가보정 ","")&amp;IF(N(F15)&lt;=0,"원가보정 ","")&amp;IF(AND(B15&lt;&gt;"CN",N(H15)&lt;=0),"공급가보정 ","")&amp;IF(AND(B15="CN",N(I15)&lt;=0),"중국공급가=원가+마진 ",""))</f>
        <v/>
      </c>
    </row>
    <row r="16" customFormat="false" ht="15" hidden="false" customHeight="true" outlineLevel="0" collapsed="false">
      <c r="A16" s="94" t="s">
        <v>1688</v>
      </c>
      <c r="B16" s="34" t="str">
        <f aca="false">IF(A16="100","HK",IF(A16="200","CN",IF(A16="300","TW","홀세일")))</f>
        <v>홀세일</v>
      </c>
      <c r="C16" s="94" t="s">
        <v>194</v>
      </c>
      <c r="D16" s="95" t="n">
        <v>30</v>
      </c>
      <c r="E16" s="95" t="n">
        <v>169000</v>
      </c>
      <c r="F16" s="95" t="n">
        <v>40300</v>
      </c>
      <c r="G16" s="34" t="n">
        <v>3.61</v>
      </c>
      <c r="H16" s="34" t="n">
        <v>44.9</v>
      </c>
      <c r="J16" s="95" t="n">
        <f aca="false">IF(N(E16)&gt;0,E16,IF(N(F16)&gt;0,F16*가정!$B$5,0))</f>
        <v>169000</v>
      </c>
      <c r="K16" s="95" t="n">
        <f aca="false">IF(N(F16)&gt;0,F16,IF(N(E16)&gt;0,E16/가정!$B$5,0))</f>
        <v>40300</v>
      </c>
      <c r="L16" s="95" t="n">
        <f aca="false">IF(B16="CN",IF(N(I16)&gt;0,I16*가정!$B$3,K16*(1+가정!$B$6)),IF(N(H16)&gt;0,H16*가정!$B$3,J16*가정!$B$4))</f>
        <v>61188.822</v>
      </c>
      <c r="M16" s="95" t="n">
        <f aca="false">D16*J16</f>
        <v>5070000</v>
      </c>
      <c r="N16" s="95" t="n">
        <f aca="false">D16*K16</f>
        <v>1209000</v>
      </c>
      <c r="O16" s="95" t="n">
        <f aca="false">D16*L16</f>
        <v>1835664.66</v>
      </c>
      <c r="P16" s="34" t="str">
        <f aca="false">TRIM(IF(N(E16)&lt;=0,"택가보정 ","")&amp;IF(N(F16)&lt;=0,"원가보정 ","")&amp;IF(AND(B16&lt;&gt;"CN",N(H16)&lt;=0),"공급가보정 ","")&amp;IF(AND(B16="CN",N(I16)&lt;=0),"중국공급가=원가+마진 ",""))</f>
        <v/>
      </c>
    </row>
    <row r="17" customFormat="false" ht="15" hidden="false" customHeight="true" outlineLevel="0" collapsed="false">
      <c r="A17" s="94" t="s">
        <v>1692</v>
      </c>
      <c r="B17" s="34" t="str">
        <f aca="false">IF(A17="100","HK",IF(A17="200","CN",IF(A17="300","TW","홀세일")))</f>
        <v>홀세일</v>
      </c>
      <c r="C17" s="94" t="s">
        <v>194</v>
      </c>
      <c r="D17" s="95" t="n">
        <v>41</v>
      </c>
      <c r="E17" s="95" t="n">
        <v>169000</v>
      </c>
      <c r="F17" s="95" t="n">
        <v>40300</v>
      </c>
      <c r="G17" s="34" t="n">
        <v>3.61</v>
      </c>
      <c r="H17" s="34" t="n">
        <v>44.9</v>
      </c>
      <c r="J17" s="95" t="n">
        <f aca="false">IF(N(E17)&gt;0,E17,IF(N(F17)&gt;0,F17*가정!$B$5,0))</f>
        <v>169000</v>
      </c>
      <c r="K17" s="95" t="n">
        <f aca="false">IF(N(F17)&gt;0,F17,IF(N(E17)&gt;0,E17/가정!$B$5,0))</f>
        <v>40300</v>
      </c>
      <c r="L17" s="95" t="n">
        <f aca="false">IF(B17="CN",IF(N(I17)&gt;0,I17*가정!$B$3,K17*(1+가정!$B$6)),IF(N(H17)&gt;0,H17*가정!$B$3,J17*가정!$B$4))</f>
        <v>61188.822</v>
      </c>
      <c r="M17" s="95" t="n">
        <f aca="false">D17*J17</f>
        <v>6929000</v>
      </c>
      <c r="N17" s="95" t="n">
        <f aca="false">D17*K17</f>
        <v>1652300</v>
      </c>
      <c r="O17" s="95" t="n">
        <f aca="false">D17*L17</f>
        <v>2508741.702</v>
      </c>
      <c r="P17" s="34" t="str">
        <f aca="false">TRIM(IF(N(E17)&lt;=0,"택가보정 ","")&amp;IF(N(F17)&lt;=0,"원가보정 ","")&amp;IF(AND(B17&lt;&gt;"CN",N(H17)&lt;=0),"공급가보정 ","")&amp;IF(AND(B17="CN",N(I17)&lt;=0),"중국공급가=원가+마진 ",""))</f>
        <v/>
      </c>
    </row>
    <row r="18" customFormat="false" ht="15.75" hidden="false" customHeight="true" outlineLevel="0" collapsed="false">
      <c r="A18" s="94" t="s">
        <v>1685</v>
      </c>
      <c r="B18" s="34" t="str">
        <f aca="false">IF(A18="100","HK",IF(A18="200","CN",IF(A18="300","TW","홀세일")))</f>
        <v>CN</v>
      </c>
      <c r="C18" s="94" t="s">
        <v>196</v>
      </c>
      <c r="D18" s="95" t="n">
        <v>232</v>
      </c>
      <c r="E18" s="95" t="n">
        <v>149000</v>
      </c>
      <c r="F18" s="95" t="n">
        <v>37107</v>
      </c>
      <c r="G18" s="34" t="n">
        <v>3.42</v>
      </c>
      <c r="H18" s="34" t="n">
        <v>39.6</v>
      </c>
      <c r="J18" s="95" t="n">
        <f aca="false">IF(N(E18)&gt;0,E18,IF(N(F18)&gt;0,F18*가정!$B$5,0))</f>
        <v>149000</v>
      </c>
      <c r="K18" s="95" t="n">
        <f aca="false">IF(N(F18)&gt;0,F18,IF(N(E18)&gt;0,E18/가정!$B$5,0))</f>
        <v>37107</v>
      </c>
      <c r="L18" s="95" t="n">
        <f aca="false">IF(B18="CN",IF(N(I18)&gt;0,I18*가정!$B$3,K18*(1+가정!$B$6)),IF(N(H18)&gt;0,H18*가정!$B$3,J18*가정!$B$4))</f>
        <v>38962.35</v>
      </c>
      <c r="M18" s="95" t="n">
        <f aca="false">D18*J18</f>
        <v>34568000</v>
      </c>
      <c r="N18" s="95" t="n">
        <f aca="false">D18*K18</f>
        <v>8608824</v>
      </c>
      <c r="O18" s="95" t="n">
        <f aca="false">D18*L18</f>
        <v>9039265.2</v>
      </c>
      <c r="P18" s="34" t="str">
        <f aca="false">TRIM(IF(N(E18)&lt;=0,"택가보정 ","")&amp;IF(N(F18)&lt;=0,"원가보정 ","")&amp;IF(AND(B18&lt;&gt;"CN",N(H18)&lt;=0),"공급가보정 ","")&amp;IF(AND(B18="CN",N(I18)&lt;=0),"중국공급가=원가+마진 ",""))</f>
        <v>중국공급가=원가+마진</v>
      </c>
    </row>
    <row r="19" customFormat="false" ht="15" hidden="false" customHeight="true" outlineLevel="0" collapsed="false">
      <c r="A19" s="94" t="s">
        <v>1686</v>
      </c>
      <c r="B19" s="34" t="str">
        <f aca="false">IF(A19="100","HK",IF(A19="200","CN",IF(A19="300","TW","홀세일")))</f>
        <v>TW</v>
      </c>
      <c r="C19" s="94" t="s">
        <v>196</v>
      </c>
      <c r="D19" s="95" t="n">
        <v>180</v>
      </c>
      <c r="E19" s="95" t="n">
        <v>149000</v>
      </c>
      <c r="F19" s="95" t="n">
        <v>37107</v>
      </c>
      <c r="G19" s="34" t="n">
        <v>3.42</v>
      </c>
      <c r="H19" s="34" t="n">
        <v>39.6</v>
      </c>
      <c r="J19" s="95" t="n">
        <f aca="false">IF(N(E19)&gt;0,E19,IF(N(F19)&gt;0,F19*가정!$B$5,0))</f>
        <v>149000</v>
      </c>
      <c r="K19" s="95" t="n">
        <f aca="false">IF(N(F19)&gt;0,F19,IF(N(E19)&gt;0,E19/가정!$B$5,0))</f>
        <v>37107</v>
      </c>
      <c r="L19" s="95" t="n">
        <f aca="false">IF(B19="CN",IF(N(I19)&gt;0,I19*가정!$B$3,K19*(1+가정!$B$6)),IF(N(H19)&gt;0,H19*가정!$B$3,J19*가정!$B$4))</f>
        <v>53966.088</v>
      </c>
      <c r="M19" s="95" t="n">
        <f aca="false">D19*J19</f>
        <v>26820000</v>
      </c>
      <c r="N19" s="95" t="n">
        <f aca="false">D19*K19</f>
        <v>6679260</v>
      </c>
      <c r="O19" s="95" t="n">
        <f aca="false">D19*L19</f>
        <v>9713895.84</v>
      </c>
      <c r="P19" s="34" t="str">
        <f aca="false">TRIM(IF(N(E19)&lt;=0,"택가보정 ","")&amp;IF(N(F19)&lt;=0,"원가보정 ","")&amp;IF(AND(B19&lt;&gt;"CN",N(H19)&lt;=0),"공급가보정 ","")&amp;IF(AND(B19="CN",N(I19)&lt;=0),"중국공급가=원가+마진 ",""))</f>
        <v/>
      </c>
    </row>
    <row r="20" customFormat="false" ht="15" hidden="false" customHeight="true" outlineLevel="0" collapsed="false">
      <c r="A20" s="94" t="s">
        <v>1688</v>
      </c>
      <c r="B20" s="34" t="str">
        <f aca="false">IF(A20="100","HK",IF(A20="200","CN",IF(A20="300","TW","홀세일")))</f>
        <v>홀세일</v>
      </c>
      <c r="C20" s="94" t="s">
        <v>196</v>
      </c>
      <c r="D20" s="95" t="n">
        <v>15</v>
      </c>
      <c r="E20" s="95" t="n">
        <v>149000</v>
      </c>
      <c r="F20" s="95" t="n">
        <v>37107</v>
      </c>
      <c r="G20" s="34" t="n">
        <v>3.42</v>
      </c>
      <c r="H20" s="34" t="n">
        <v>39.6</v>
      </c>
      <c r="J20" s="95" t="n">
        <f aca="false">IF(N(E20)&gt;0,E20,IF(N(F20)&gt;0,F20*가정!$B$5,0))</f>
        <v>149000</v>
      </c>
      <c r="K20" s="95" t="n">
        <f aca="false">IF(N(F20)&gt;0,F20,IF(N(E20)&gt;0,E20/가정!$B$5,0))</f>
        <v>37107</v>
      </c>
      <c r="L20" s="95" t="n">
        <f aca="false">IF(B20="CN",IF(N(I20)&gt;0,I20*가정!$B$3,K20*(1+가정!$B$6)),IF(N(H20)&gt;0,H20*가정!$B$3,J20*가정!$B$4))</f>
        <v>53966.088</v>
      </c>
      <c r="M20" s="95" t="n">
        <f aca="false">D20*J20</f>
        <v>2235000</v>
      </c>
      <c r="N20" s="95" t="n">
        <f aca="false">D20*K20</f>
        <v>556605</v>
      </c>
      <c r="O20" s="95" t="n">
        <f aca="false">D20*L20</f>
        <v>809491.32</v>
      </c>
      <c r="P20" s="34" t="str">
        <f aca="false">TRIM(IF(N(E20)&lt;=0,"택가보정 ","")&amp;IF(N(F20)&lt;=0,"원가보정 ","")&amp;IF(AND(B20&lt;&gt;"CN",N(H20)&lt;=0),"공급가보정 ","")&amp;IF(AND(B20="CN",N(I20)&lt;=0),"중국공급가=원가+마진 ",""))</f>
        <v/>
      </c>
    </row>
    <row r="21" customFormat="false" ht="15" hidden="false" customHeight="true" outlineLevel="0" collapsed="false">
      <c r="A21" s="94" t="s">
        <v>1689</v>
      </c>
      <c r="B21" s="34" t="str">
        <f aca="false">IF(A21="100","HK",IF(A21="200","CN",IF(A21="300","TW","홀세일")))</f>
        <v>홀세일</v>
      </c>
      <c r="C21" s="94" t="s">
        <v>196</v>
      </c>
      <c r="D21" s="95" t="n">
        <v>20</v>
      </c>
      <c r="E21" s="95" t="n">
        <v>149000</v>
      </c>
      <c r="F21" s="95" t="n">
        <v>37107</v>
      </c>
      <c r="G21" s="34" t="n">
        <v>3.42</v>
      </c>
      <c r="H21" s="34" t="n">
        <v>39.6</v>
      </c>
      <c r="J21" s="95" t="n">
        <f aca="false">IF(N(E21)&gt;0,E21,IF(N(F21)&gt;0,F21*가정!$B$5,0))</f>
        <v>149000</v>
      </c>
      <c r="K21" s="95" t="n">
        <f aca="false">IF(N(F21)&gt;0,F21,IF(N(E21)&gt;0,E21/가정!$B$5,0))</f>
        <v>37107</v>
      </c>
      <c r="L21" s="95" t="n">
        <f aca="false">IF(B21="CN",IF(N(I21)&gt;0,I21*가정!$B$3,K21*(1+가정!$B$6)),IF(N(H21)&gt;0,H21*가정!$B$3,J21*가정!$B$4))</f>
        <v>53966.088</v>
      </c>
      <c r="M21" s="95" t="n">
        <f aca="false">D21*J21</f>
        <v>2980000</v>
      </c>
      <c r="N21" s="95" t="n">
        <f aca="false">D21*K21</f>
        <v>742140</v>
      </c>
      <c r="O21" s="95" t="n">
        <f aca="false">D21*L21</f>
        <v>1079321.76</v>
      </c>
      <c r="P21" s="34" t="str">
        <f aca="false">TRIM(IF(N(E21)&lt;=0,"택가보정 ","")&amp;IF(N(F21)&lt;=0,"원가보정 ","")&amp;IF(AND(B21&lt;&gt;"CN",N(H21)&lt;=0),"공급가보정 ","")&amp;IF(AND(B21="CN",N(I21)&lt;=0),"중국공급가=원가+마진 ",""))</f>
        <v/>
      </c>
    </row>
    <row r="22" customFormat="false" ht="15" hidden="false" customHeight="true" outlineLevel="0" collapsed="false">
      <c r="A22" s="94" t="s">
        <v>1684</v>
      </c>
      <c r="B22" s="34" t="str">
        <f aca="false">IF(A22="100","HK",IF(A22="200","CN",IF(A22="300","TW","홀세일")))</f>
        <v>HK</v>
      </c>
      <c r="C22" s="94" t="s">
        <v>198</v>
      </c>
      <c r="D22" s="95" t="n">
        <v>180</v>
      </c>
      <c r="E22" s="95" t="n">
        <v>149000</v>
      </c>
      <c r="F22" s="95" t="n">
        <v>35201</v>
      </c>
      <c r="G22" s="34" t="n">
        <v>3.61</v>
      </c>
      <c r="H22" s="34" t="n">
        <v>39.6</v>
      </c>
      <c r="J22" s="95" t="n">
        <f aca="false">IF(N(E22)&gt;0,E22,IF(N(F22)&gt;0,F22*가정!$B$5,0))</f>
        <v>149000</v>
      </c>
      <c r="K22" s="95" t="n">
        <f aca="false">IF(N(F22)&gt;0,F22,IF(N(E22)&gt;0,E22/가정!$B$5,0))</f>
        <v>35201</v>
      </c>
      <c r="L22" s="95" t="n">
        <f aca="false">IF(B22="CN",IF(N(I22)&gt;0,I22*가정!$B$3,K22*(1+가정!$B$6)),IF(N(H22)&gt;0,H22*가정!$B$3,J22*가정!$B$4))</f>
        <v>53966.088</v>
      </c>
      <c r="M22" s="95" t="n">
        <f aca="false">D22*J22</f>
        <v>26820000</v>
      </c>
      <c r="N22" s="95" t="n">
        <f aca="false">D22*K22</f>
        <v>6336180</v>
      </c>
      <c r="O22" s="95" t="n">
        <f aca="false">D22*L22</f>
        <v>9713895.84</v>
      </c>
      <c r="P22" s="34" t="str">
        <f aca="false">TRIM(IF(N(E22)&lt;=0,"택가보정 ","")&amp;IF(N(F22)&lt;=0,"원가보정 ","")&amp;IF(AND(B22&lt;&gt;"CN",N(H22)&lt;=0),"공급가보정 ","")&amp;IF(AND(B22="CN",N(I22)&lt;=0),"중국공급가=원가+마진 ",""))</f>
        <v/>
      </c>
    </row>
    <row r="23" customFormat="false" ht="15.75" hidden="false" customHeight="true" outlineLevel="0" collapsed="false">
      <c r="A23" s="94" t="s">
        <v>1685</v>
      </c>
      <c r="B23" s="34" t="str">
        <f aca="false">IF(A23="100","HK",IF(A23="200","CN",IF(A23="300","TW","홀세일")))</f>
        <v>CN</v>
      </c>
      <c r="C23" s="94" t="s">
        <v>198</v>
      </c>
      <c r="D23" s="95" t="n">
        <v>112</v>
      </c>
      <c r="E23" s="95" t="n">
        <v>149000</v>
      </c>
      <c r="F23" s="95" t="n">
        <v>35201</v>
      </c>
      <c r="G23" s="34" t="n">
        <v>3.61</v>
      </c>
      <c r="H23" s="34" t="n">
        <v>39.6</v>
      </c>
      <c r="J23" s="95" t="n">
        <f aca="false">IF(N(E23)&gt;0,E23,IF(N(F23)&gt;0,F23*가정!$B$5,0))</f>
        <v>149000</v>
      </c>
      <c r="K23" s="95" t="n">
        <f aca="false">IF(N(F23)&gt;0,F23,IF(N(E23)&gt;0,E23/가정!$B$5,0))</f>
        <v>35201</v>
      </c>
      <c r="L23" s="95" t="n">
        <f aca="false">IF(B23="CN",IF(N(I23)&gt;0,I23*가정!$B$3,K23*(1+가정!$B$6)),IF(N(H23)&gt;0,H23*가정!$B$3,J23*가정!$B$4))</f>
        <v>36961.05</v>
      </c>
      <c r="M23" s="95" t="n">
        <f aca="false">D23*J23</f>
        <v>16688000</v>
      </c>
      <c r="N23" s="95" t="n">
        <f aca="false">D23*K23</f>
        <v>3942512</v>
      </c>
      <c r="O23" s="95" t="n">
        <f aca="false">D23*L23</f>
        <v>4139637.6</v>
      </c>
      <c r="P23" s="34" t="str">
        <f aca="false">TRIM(IF(N(E23)&lt;=0,"택가보정 ","")&amp;IF(N(F23)&lt;=0,"원가보정 ","")&amp;IF(AND(B23&lt;&gt;"CN",N(H23)&lt;=0),"공급가보정 ","")&amp;IF(AND(B23="CN",N(I23)&lt;=0),"중국공급가=원가+마진 ",""))</f>
        <v>중국공급가=원가+마진</v>
      </c>
    </row>
    <row r="24" customFormat="false" ht="15" hidden="false" customHeight="true" outlineLevel="0" collapsed="false">
      <c r="A24" s="94" t="s">
        <v>1686</v>
      </c>
      <c r="B24" s="34" t="str">
        <f aca="false">IF(A24="100","HK",IF(A24="200","CN",IF(A24="300","TW","홀세일")))</f>
        <v>TW</v>
      </c>
      <c r="C24" s="94" t="s">
        <v>198</v>
      </c>
      <c r="D24" s="95" t="n">
        <v>80</v>
      </c>
      <c r="E24" s="95" t="n">
        <v>149000</v>
      </c>
      <c r="F24" s="95" t="n">
        <v>35201</v>
      </c>
      <c r="G24" s="34" t="n">
        <v>3.61</v>
      </c>
      <c r="H24" s="34" t="n">
        <v>39.6</v>
      </c>
      <c r="J24" s="95" t="n">
        <f aca="false">IF(N(E24)&gt;0,E24,IF(N(F24)&gt;0,F24*가정!$B$5,0))</f>
        <v>149000</v>
      </c>
      <c r="K24" s="95" t="n">
        <f aca="false">IF(N(F24)&gt;0,F24,IF(N(E24)&gt;0,E24/가정!$B$5,0))</f>
        <v>35201</v>
      </c>
      <c r="L24" s="95" t="n">
        <f aca="false">IF(B24="CN",IF(N(I24)&gt;0,I24*가정!$B$3,K24*(1+가정!$B$6)),IF(N(H24)&gt;0,H24*가정!$B$3,J24*가정!$B$4))</f>
        <v>53966.088</v>
      </c>
      <c r="M24" s="95" t="n">
        <f aca="false">D24*J24</f>
        <v>11920000</v>
      </c>
      <c r="N24" s="95" t="n">
        <f aca="false">D24*K24</f>
        <v>2816080</v>
      </c>
      <c r="O24" s="95" t="n">
        <f aca="false">D24*L24</f>
        <v>4317287.04</v>
      </c>
      <c r="P24" s="34" t="str">
        <f aca="false">TRIM(IF(N(E24)&lt;=0,"택가보정 ","")&amp;IF(N(F24)&lt;=0,"원가보정 ","")&amp;IF(AND(B24&lt;&gt;"CN",N(H24)&lt;=0),"공급가보정 ","")&amp;IF(AND(B24="CN",N(I24)&lt;=0),"중국공급가=원가+마진 ",""))</f>
        <v/>
      </c>
    </row>
    <row r="25" customFormat="false" ht="15" hidden="false" customHeight="true" outlineLevel="0" collapsed="false">
      <c r="A25" s="94" t="s">
        <v>1687</v>
      </c>
      <c r="B25" s="34" t="str">
        <f aca="false">IF(A25="100","HK",IF(A25="200","CN",IF(A25="300","TW","홀세일")))</f>
        <v>홀세일</v>
      </c>
      <c r="C25" s="94" t="s">
        <v>198</v>
      </c>
      <c r="D25" s="95" t="n">
        <v>25</v>
      </c>
      <c r="E25" s="95" t="n">
        <v>149000</v>
      </c>
      <c r="F25" s="95" t="n">
        <v>35201</v>
      </c>
      <c r="G25" s="34" t="n">
        <v>3.61</v>
      </c>
      <c r="H25" s="34" t="n">
        <v>39.6</v>
      </c>
      <c r="J25" s="95" t="n">
        <f aca="false">IF(N(E25)&gt;0,E25,IF(N(F25)&gt;0,F25*가정!$B$5,0))</f>
        <v>149000</v>
      </c>
      <c r="K25" s="95" t="n">
        <f aca="false">IF(N(F25)&gt;0,F25,IF(N(E25)&gt;0,E25/가정!$B$5,0))</f>
        <v>35201</v>
      </c>
      <c r="L25" s="95" t="n">
        <f aca="false">IF(B25="CN",IF(N(I25)&gt;0,I25*가정!$B$3,K25*(1+가정!$B$6)),IF(N(H25)&gt;0,H25*가정!$B$3,J25*가정!$B$4))</f>
        <v>53966.088</v>
      </c>
      <c r="M25" s="95" t="n">
        <f aca="false">D25*J25</f>
        <v>3725000</v>
      </c>
      <c r="N25" s="95" t="n">
        <f aca="false">D25*K25</f>
        <v>880025</v>
      </c>
      <c r="O25" s="95" t="n">
        <f aca="false">D25*L25</f>
        <v>1349152.2</v>
      </c>
      <c r="P25" s="34" t="str">
        <f aca="false">TRIM(IF(N(E25)&lt;=0,"택가보정 ","")&amp;IF(N(F25)&lt;=0,"원가보정 ","")&amp;IF(AND(B25&lt;&gt;"CN",N(H25)&lt;=0),"공급가보정 ","")&amp;IF(AND(B25="CN",N(I25)&lt;=0),"중국공급가=원가+마진 ",""))</f>
        <v/>
      </c>
    </row>
    <row r="26" customFormat="false" ht="15" hidden="false" customHeight="true" outlineLevel="0" collapsed="false">
      <c r="A26" s="94" t="s">
        <v>1688</v>
      </c>
      <c r="B26" s="34" t="str">
        <f aca="false">IF(A26="100","HK",IF(A26="200","CN",IF(A26="300","TW","홀세일")))</f>
        <v>홀세일</v>
      </c>
      <c r="C26" s="94" t="s">
        <v>198</v>
      </c>
      <c r="D26" s="95" t="n">
        <v>20</v>
      </c>
      <c r="E26" s="95" t="n">
        <v>149000</v>
      </c>
      <c r="F26" s="95" t="n">
        <v>35201</v>
      </c>
      <c r="G26" s="34" t="n">
        <v>3.61</v>
      </c>
      <c r="H26" s="34" t="n">
        <v>39.6</v>
      </c>
      <c r="J26" s="95" t="n">
        <f aca="false">IF(N(E26)&gt;0,E26,IF(N(F26)&gt;0,F26*가정!$B$5,0))</f>
        <v>149000</v>
      </c>
      <c r="K26" s="95" t="n">
        <f aca="false">IF(N(F26)&gt;0,F26,IF(N(E26)&gt;0,E26/가정!$B$5,0))</f>
        <v>35201</v>
      </c>
      <c r="L26" s="95" t="n">
        <f aca="false">IF(B26="CN",IF(N(I26)&gt;0,I26*가정!$B$3,K26*(1+가정!$B$6)),IF(N(H26)&gt;0,H26*가정!$B$3,J26*가정!$B$4))</f>
        <v>53966.088</v>
      </c>
      <c r="M26" s="95" t="n">
        <f aca="false">D26*J26</f>
        <v>2980000</v>
      </c>
      <c r="N26" s="95" t="n">
        <f aca="false">D26*K26</f>
        <v>704020</v>
      </c>
      <c r="O26" s="95" t="n">
        <f aca="false">D26*L26</f>
        <v>1079321.76</v>
      </c>
      <c r="P26" s="34" t="str">
        <f aca="false">TRIM(IF(N(E26)&lt;=0,"택가보정 ","")&amp;IF(N(F26)&lt;=0,"원가보정 ","")&amp;IF(AND(B26&lt;&gt;"CN",N(H26)&lt;=0),"공급가보정 ","")&amp;IF(AND(B26="CN",N(I26)&lt;=0),"중국공급가=원가+마진 ",""))</f>
        <v/>
      </c>
    </row>
    <row r="27" customFormat="false" ht="15" hidden="false" customHeight="true" outlineLevel="0" collapsed="false">
      <c r="A27" s="94" t="s">
        <v>1692</v>
      </c>
      <c r="B27" s="34" t="str">
        <f aca="false">IF(A27="100","HK",IF(A27="200","CN",IF(A27="300","TW","홀세일")))</f>
        <v>홀세일</v>
      </c>
      <c r="C27" s="94" t="s">
        <v>198</v>
      </c>
      <c r="D27" s="95" t="n">
        <v>61</v>
      </c>
      <c r="E27" s="95" t="n">
        <v>149000</v>
      </c>
      <c r="F27" s="95" t="n">
        <v>35201</v>
      </c>
      <c r="G27" s="34" t="n">
        <v>3.61</v>
      </c>
      <c r="H27" s="34" t="n">
        <v>39.6</v>
      </c>
      <c r="J27" s="95" t="n">
        <f aca="false">IF(N(E27)&gt;0,E27,IF(N(F27)&gt;0,F27*가정!$B$5,0))</f>
        <v>149000</v>
      </c>
      <c r="K27" s="95" t="n">
        <f aca="false">IF(N(F27)&gt;0,F27,IF(N(E27)&gt;0,E27/가정!$B$5,0))</f>
        <v>35201</v>
      </c>
      <c r="L27" s="95" t="n">
        <f aca="false">IF(B27="CN",IF(N(I27)&gt;0,I27*가정!$B$3,K27*(1+가정!$B$6)),IF(N(H27)&gt;0,H27*가정!$B$3,J27*가정!$B$4))</f>
        <v>53966.088</v>
      </c>
      <c r="M27" s="95" t="n">
        <f aca="false">D27*J27</f>
        <v>9089000</v>
      </c>
      <c r="N27" s="95" t="n">
        <f aca="false">D27*K27</f>
        <v>2147261</v>
      </c>
      <c r="O27" s="95" t="n">
        <f aca="false">D27*L27</f>
        <v>3291931.368</v>
      </c>
      <c r="P27" s="34" t="str">
        <f aca="false">TRIM(IF(N(E27)&lt;=0,"택가보정 ","")&amp;IF(N(F27)&lt;=0,"원가보정 ","")&amp;IF(AND(B27&lt;&gt;"CN",N(H27)&lt;=0),"공급가보정 ","")&amp;IF(AND(B27="CN",N(I27)&lt;=0),"중국공급가=원가+마진 ",""))</f>
        <v/>
      </c>
    </row>
    <row r="28" customFormat="false" ht="15" hidden="false" customHeight="true" outlineLevel="0" collapsed="false">
      <c r="A28" s="94" t="s">
        <v>1684</v>
      </c>
      <c r="B28" s="34" t="str">
        <f aca="false">IF(A28="100","HK",IF(A28="200","CN",IF(A28="300","TW","홀세일")))</f>
        <v>HK</v>
      </c>
      <c r="C28" s="94" t="s">
        <v>200</v>
      </c>
      <c r="D28" s="95" t="n">
        <v>200</v>
      </c>
      <c r="E28" s="95" t="n">
        <v>169000</v>
      </c>
      <c r="F28" s="95" t="n">
        <v>41159</v>
      </c>
      <c r="G28" s="34" t="n">
        <v>3.5</v>
      </c>
      <c r="H28" s="34" t="n">
        <v>44.9</v>
      </c>
      <c r="J28" s="95" t="n">
        <f aca="false">IF(N(E28)&gt;0,E28,IF(N(F28)&gt;0,F28*가정!$B$5,0))</f>
        <v>169000</v>
      </c>
      <c r="K28" s="95" t="n">
        <f aca="false">IF(N(F28)&gt;0,F28,IF(N(E28)&gt;0,E28/가정!$B$5,0))</f>
        <v>41159</v>
      </c>
      <c r="L28" s="95" t="n">
        <f aca="false">IF(B28="CN",IF(N(I28)&gt;0,I28*가정!$B$3,K28*(1+가정!$B$6)),IF(N(H28)&gt;0,H28*가정!$B$3,J28*가정!$B$4))</f>
        <v>61188.822</v>
      </c>
      <c r="M28" s="95" t="n">
        <f aca="false">D28*J28</f>
        <v>33800000</v>
      </c>
      <c r="N28" s="95" t="n">
        <f aca="false">D28*K28</f>
        <v>8231800</v>
      </c>
      <c r="O28" s="95" t="n">
        <f aca="false">D28*L28</f>
        <v>12237764.4</v>
      </c>
      <c r="P28" s="34" t="str">
        <f aca="false">TRIM(IF(N(E28)&lt;=0,"택가보정 ","")&amp;IF(N(F28)&lt;=0,"원가보정 ","")&amp;IF(AND(B28&lt;&gt;"CN",N(H28)&lt;=0),"공급가보정 ","")&amp;IF(AND(B28="CN",N(I28)&lt;=0),"중국공급가=원가+마진 ",""))</f>
        <v/>
      </c>
    </row>
    <row r="29" customFormat="false" ht="15" hidden="false" customHeight="true" outlineLevel="0" collapsed="false">
      <c r="A29" s="94" t="s">
        <v>1686</v>
      </c>
      <c r="B29" s="34" t="str">
        <f aca="false">IF(A29="100","HK",IF(A29="200","CN",IF(A29="300","TW","홀세일")))</f>
        <v>TW</v>
      </c>
      <c r="C29" s="94" t="s">
        <v>200</v>
      </c>
      <c r="D29" s="95" t="n">
        <v>150</v>
      </c>
      <c r="E29" s="95" t="n">
        <v>169000</v>
      </c>
      <c r="F29" s="95" t="n">
        <v>41159</v>
      </c>
      <c r="G29" s="34" t="n">
        <v>3.5</v>
      </c>
      <c r="H29" s="34" t="n">
        <v>44.9</v>
      </c>
      <c r="J29" s="95" t="n">
        <f aca="false">IF(N(E29)&gt;0,E29,IF(N(F29)&gt;0,F29*가정!$B$5,0))</f>
        <v>169000</v>
      </c>
      <c r="K29" s="95" t="n">
        <f aca="false">IF(N(F29)&gt;0,F29,IF(N(E29)&gt;0,E29/가정!$B$5,0))</f>
        <v>41159</v>
      </c>
      <c r="L29" s="95" t="n">
        <f aca="false">IF(B29="CN",IF(N(I29)&gt;0,I29*가정!$B$3,K29*(1+가정!$B$6)),IF(N(H29)&gt;0,H29*가정!$B$3,J29*가정!$B$4))</f>
        <v>61188.822</v>
      </c>
      <c r="M29" s="95" t="n">
        <f aca="false">D29*J29</f>
        <v>25350000</v>
      </c>
      <c r="N29" s="95" t="n">
        <f aca="false">D29*K29</f>
        <v>6173850</v>
      </c>
      <c r="O29" s="95" t="n">
        <f aca="false">D29*L29</f>
        <v>9178323.3</v>
      </c>
      <c r="P29" s="34" t="str">
        <f aca="false">TRIM(IF(N(E29)&lt;=0,"택가보정 ","")&amp;IF(N(F29)&lt;=0,"원가보정 ","")&amp;IF(AND(B29&lt;&gt;"CN",N(H29)&lt;=0),"공급가보정 ","")&amp;IF(AND(B29="CN",N(I29)&lt;=0),"중국공급가=원가+마진 ",""))</f>
        <v/>
      </c>
    </row>
    <row r="30" customFormat="false" ht="15" hidden="false" customHeight="true" outlineLevel="0" collapsed="false">
      <c r="A30" s="94" t="s">
        <v>1688</v>
      </c>
      <c r="B30" s="34" t="str">
        <f aca="false">IF(A30="100","HK",IF(A30="200","CN",IF(A30="300","TW","홀세일")))</f>
        <v>홀세일</v>
      </c>
      <c r="C30" s="94" t="s">
        <v>200</v>
      </c>
      <c r="D30" s="95" t="n">
        <v>30</v>
      </c>
      <c r="E30" s="95" t="n">
        <v>169000</v>
      </c>
      <c r="F30" s="95" t="n">
        <v>41159</v>
      </c>
      <c r="G30" s="34" t="n">
        <v>3.5</v>
      </c>
      <c r="H30" s="34" t="n">
        <v>44.9</v>
      </c>
      <c r="J30" s="95" t="n">
        <f aca="false">IF(N(E30)&gt;0,E30,IF(N(F30)&gt;0,F30*가정!$B$5,0))</f>
        <v>169000</v>
      </c>
      <c r="K30" s="95" t="n">
        <f aca="false">IF(N(F30)&gt;0,F30,IF(N(E30)&gt;0,E30/가정!$B$5,0))</f>
        <v>41159</v>
      </c>
      <c r="L30" s="95" t="n">
        <f aca="false">IF(B30="CN",IF(N(I30)&gt;0,I30*가정!$B$3,K30*(1+가정!$B$6)),IF(N(H30)&gt;0,H30*가정!$B$3,J30*가정!$B$4))</f>
        <v>61188.822</v>
      </c>
      <c r="M30" s="95" t="n">
        <f aca="false">D30*J30</f>
        <v>5070000</v>
      </c>
      <c r="N30" s="95" t="n">
        <f aca="false">D30*K30</f>
        <v>1234770</v>
      </c>
      <c r="O30" s="95" t="n">
        <f aca="false">D30*L30</f>
        <v>1835664.66</v>
      </c>
      <c r="P30" s="34" t="str">
        <f aca="false">TRIM(IF(N(E30)&lt;=0,"택가보정 ","")&amp;IF(N(F30)&lt;=0,"원가보정 ","")&amp;IF(AND(B30&lt;&gt;"CN",N(H30)&lt;=0),"공급가보정 ","")&amp;IF(AND(B30="CN",N(I30)&lt;=0),"중국공급가=원가+마진 ",""))</f>
        <v/>
      </c>
    </row>
    <row r="31" customFormat="false" ht="15" hidden="false" customHeight="true" outlineLevel="0" collapsed="false">
      <c r="A31" s="94" t="s">
        <v>1692</v>
      </c>
      <c r="B31" s="34" t="str">
        <f aca="false">IF(A31="100","HK",IF(A31="200","CN",IF(A31="300","TW","홀세일")))</f>
        <v>홀세일</v>
      </c>
      <c r="C31" s="94" t="s">
        <v>200</v>
      </c>
      <c r="D31" s="95" t="n">
        <v>162</v>
      </c>
      <c r="E31" s="95" t="n">
        <v>169000</v>
      </c>
      <c r="F31" s="95" t="n">
        <v>41159</v>
      </c>
      <c r="G31" s="34" t="n">
        <v>3.5</v>
      </c>
      <c r="H31" s="34" t="n">
        <v>44.9</v>
      </c>
      <c r="J31" s="95" t="n">
        <f aca="false">IF(N(E31)&gt;0,E31,IF(N(F31)&gt;0,F31*가정!$B$5,0))</f>
        <v>169000</v>
      </c>
      <c r="K31" s="95" t="n">
        <f aca="false">IF(N(F31)&gt;0,F31,IF(N(E31)&gt;0,E31/가정!$B$5,0))</f>
        <v>41159</v>
      </c>
      <c r="L31" s="95" t="n">
        <f aca="false">IF(B31="CN",IF(N(I31)&gt;0,I31*가정!$B$3,K31*(1+가정!$B$6)),IF(N(H31)&gt;0,H31*가정!$B$3,J31*가정!$B$4))</f>
        <v>61188.822</v>
      </c>
      <c r="M31" s="95" t="n">
        <f aca="false">D31*J31</f>
        <v>27378000</v>
      </c>
      <c r="N31" s="95" t="n">
        <f aca="false">D31*K31</f>
        <v>6667758</v>
      </c>
      <c r="O31" s="95" t="n">
        <f aca="false">D31*L31</f>
        <v>9912589.164</v>
      </c>
      <c r="P31" s="34" t="str">
        <f aca="false">TRIM(IF(N(E31)&lt;=0,"택가보정 ","")&amp;IF(N(F31)&lt;=0,"원가보정 ","")&amp;IF(AND(B31&lt;&gt;"CN",N(H31)&lt;=0),"공급가보정 ","")&amp;IF(AND(B31="CN",N(I31)&lt;=0),"중국공급가=원가+마진 ",""))</f>
        <v/>
      </c>
    </row>
    <row r="32" customFormat="false" ht="15" hidden="false" customHeight="true" outlineLevel="0" collapsed="false">
      <c r="A32" s="94" t="s">
        <v>1689</v>
      </c>
      <c r="B32" s="34" t="str">
        <f aca="false">IF(A32="100","HK",IF(A32="200","CN",IF(A32="300","TW","홀세일")))</f>
        <v>홀세일</v>
      </c>
      <c r="C32" s="94" t="s">
        <v>200</v>
      </c>
      <c r="D32" s="95" t="n">
        <v>25</v>
      </c>
      <c r="E32" s="95" t="n">
        <v>169000</v>
      </c>
      <c r="F32" s="95" t="n">
        <v>41159</v>
      </c>
      <c r="G32" s="34" t="n">
        <v>3.5</v>
      </c>
      <c r="H32" s="34" t="n">
        <v>44.9</v>
      </c>
      <c r="J32" s="95" t="n">
        <f aca="false">IF(N(E32)&gt;0,E32,IF(N(F32)&gt;0,F32*가정!$B$5,0))</f>
        <v>169000</v>
      </c>
      <c r="K32" s="95" t="n">
        <f aca="false">IF(N(F32)&gt;0,F32,IF(N(E32)&gt;0,E32/가정!$B$5,0))</f>
        <v>41159</v>
      </c>
      <c r="L32" s="95" t="n">
        <f aca="false">IF(B32="CN",IF(N(I32)&gt;0,I32*가정!$B$3,K32*(1+가정!$B$6)),IF(N(H32)&gt;0,H32*가정!$B$3,J32*가정!$B$4))</f>
        <v>61188.822</v>
      </c>
      <c r="M32" s="95" t="n">
        <f aca="false">D32*J32</f>
        <v>4225000</v>
      </c>
      <c r="N32" s="95" t="n">
        <f aca="false">D32*K32</f>
        <v>1028975</v>
      </c>
      <c r="O32" s="95" t="n">
        <f aca="false">D32*L32</f>
        <v>1529720.55</v>
      </c>
      <c r="P32" s="34" t="str">
        <f aca="false">TRIM(IF(N(E32)&lt;=0,"택가보정 ","")&amp;IF(N(F32)&lt;=0,"원가보정 ","")&amp;IF(AND(B32&lt;&gt;"CN",N(H32)&lt;=0),"공급가보정 ","")&amp;IF(AND(B32="CN",N(I32)&lt;=0),"중국공급가=원가+마진 ",""))</f>
        <v/>
      </c>
    </row>
    <row r="33" customFormat="false" ht="15" hidden="false" customHeight="true" outlineLevel="0" collapsed="false">
      <c r="A33" s="94" t="s">
        <v>1690</v>
      </c>
      <c r="B33" s="34" t="str">
        <f aca="false">IF(A33="100","HK",IF(A33="200","CN",IF(A33="300","TW","홀세일")))</f>
        <v>홀세일</v>
      </c>
      <c r="C33" s="94" t="s">
        <v>200</v>
      </c>
      <c r="D33" s="95" t="n">
        <v>36</v>
      </c>
      <c r="E33" s="95" t="n">
        <v>169000</v>
      </c>
      <c r="F33" s="95" t="n">
        <v>41159</v>
      </c>
      <c r="G33" s="34" t="n">
        <v>3.5</v>
      </c>
      <c r="H33" s="34" t="n">
        <v>44.9</v>
      </c>
      <c r="J33" s="95" t="n">
        <f aca="false">IF(N(E33)&gt;0,E33,IF(N(F33)&gt;0,F33*가정!$B$5,0))</f>
        <v>169000</v>
      </c>
      <c r="K33" s="95" t="n">
        <f aca="false">IF(N(F33)&gt;0,F33,IF(N(E33)&gt;0,E33/가정!$B$5,0))</f>
        <v>41159</v>
      </c>
      <c r="L33" s="95" t="n">
        <f aca="false">IF(B33="CN",IF(N(I33)&gt;0,I33*가정!$B$3,K33*(1+가정!$B$6)),IF(N(H33)&gt;0,H33*가정!$B$3,J33*가정!$B$4))</f>
        <v>61188.822</v>
      </c>
      <c r="M33" s="95" t="n">
        <f aca="false">D33*J33</f>
        <v>6084000</v>
      </c>
      <c r="N33" s="95" t="n">
        <f aca="false">D33*K33</f>
        <v>1481724</v>
      </c>
      <c r="O33" s="95" t="n">
        <f aca="false">D33*L33</f>
        <v>2202797.592</v>
      </c>
      <c r="P33" s="34" t="str">
        <f aca="false">TRIM(IF(N(E33)&lt;=0,"택가보정 ","")&amp;IF(N(F33)&lt;=0,"원가보정 ","")&amp;IF(AND(B33&lt;&gt;"CN",N(H33)&lt;=0),"공급가보정 ","")&amp;IF(AND(B33="CN",N(I33)&lt;=0),"중국공급가=원가+마진 ",""))</f>
        <v/>
      </c>
    </row>
    <row r="34" customFormat="false" ht="15" hidden="false" customHeight="true" outlineLevel="0" collapsed="false">
      <c r="A34" s="94" t="s">
        <v>1691</v>
      </c>
      <c r="B34" s="34" t="str">
        <f aca="false">IF(A34="100","HK",IF(A34="200","CN",IF(A34="300","TW","홀세일")))</f>
        <v>홀세일</v>
      </c>
      <c r="C34" s="94" t="s">
        <v>200</v>
      </c>
      <c r="D34" s="95" t="n">
        <v>30</v>
      </c>
      <c r="E34" s="95" t="n">
        <v>169000</v>
      </c>
      <c r="F34" s="95" t="n">
        <v>41159</v>
      </c>
      <c r="G34" s="34" t="n">
        <v>3.5</v>
      </c>
      <c r="H34" s="34" t="n">
        <v>44.9</v>
      </c>
      <c r="J34" s="95" t="n">
        <f aca="false">IF(N(E34)&gt;0,E34,IF(N(F34)&gt;0,F34*가정!$B$5,0))</f>
        <v>169000</v>
      </c>
      <c r="K34" s="95" t="n">
        <f aca="false">IF(N(F34)&gt;0,F34,IF(N(E34)&gt;0,E34/가정!$B$5,0))</f>
        <v>41159</v>
      </c>
      <c r="L34" s="95" t="n">
        <f aca="false">IF(B34="CN",IF(N(I34)&gt;0,I34*가정!$B$3,K34*(1+가정!$B$6)),IF(N(H34)&gt;0,H34*가정!$B$3,J34*가정!$B$4))</f>
        <v>61188.822</v>
      </c>
      <c r="M34" s="95" t="n">
        <f aca="false">D34*J34</f>
        <v>5070000</v>
      </c>
      <c r="N34" s="95" t="n">
        <f aca="false">D34*K34</f>
        <v>1234770</v>
      </c>
      <c r="O34" s="95" t="n">
        <f aca="false">D34*L34</f>
        <v>1835664.66</v>
      </c>
      <c r="P34" s="34" t="str">
        <f aca="false">TRIM(IF(N(E34)&lt;=0,"택가보정 ","")&amp;IF(N(F34)&lt;=0,"원가보정 ","")&amp;IF(AND(B34&lt;&gt;"CN",N(H34)&lt;=0),"공급가보정 ","")&amp;IF(AND(B34="CN",N(I34)&lt;=0),"중국공급가=원가+마진 ",""))</f>
        <v/>
      </c>
    </row>
    <row r="35" customFormat="false" ht="15" hidden="false" customHeight="true" outlineLevel="0" collapsed="false">
      <c r="A35" s="94" t="s">
        <v>1684</v>
      </c>
      <c r="B35" s="34" t="str">
        <f aca="false">IF(A35="100","HK",IF(A35="200","CN",IF(A35="300","TW","홀세일")))</f>
        <v>HK</v>
      </c>
      <c r="C35" s="94" t="s">
        <v>202</v>
      </c>
      <c r="D35" s="95" t="n">
        <v>180</v>
      </c>
      <c r="E35" s="95" t="n">
        <v>169000</v>
      </c>
      <c r="F35" s="95" t="n">
        <v>39058</v>
      </c>
      <c r="G35" s="34" t="n">
        <v>3.68</v>
      </c>
      <c r="H35" s="34" t="n">
        <v>44.9</v>
      </c>
      <c r="J35" s="95" t="n">
        <f aca="false">IF(N(E35)&gt;0,E35,IF(N(F35)&gt;0,F35*가정!$B$5,0))</f>
        <v>169000</v>
      </c>
      <c r="K35" s="95" t="n">
        <f aca="false">IF(N(F35)&gt;0,F35,IF(N(E35)&gt;0,E35/가정!$B$5,0))</f>
        <v>39058</v>
      </c>
      <c r="L35" s="95" t="n">
        <f aca="false">IF(B35="CN",IF(N(I35)&gt;0,I35*가정!$B$3,K35*(1+가정!$B$6)),IF(N(H35)&gt;0,H35*가정!$B$3,J35*가정!$B$4))</f>
        <v>61188.822</v>
      </c>
      <c r="M35" s="95" t="n">
        <f aca="false">D35*J35</f>
        <v>30420000</v>
      </c>
      <c r="N35" s="95" t="n">
        <f aca="false">D35*K35</f>
        <v>7030440</v>
      </c>
      <c r="O35" s="95" t="n">
        <f aca="false">D35*L35</f>
        <v>11013987.96</v>
      </c>
      <c r="P35" s="34" t="str">
        <f aca="false">TRIM(IF(N(E35)&lt;=0,"택가보정 ","")&amp;IF(N(F35)&lt;=0,"원가보정 ","")&amp;IF(AND(B35&lt;&gt;"CN",N(H35)&lt;=0),"공급가보정 ","")&amp;IF(AND(B35="CN",N(I35)&lt;=0),"중국공급가=원가+마진 ",""))</f>
        <v/>
      </c>
    </row>
    <row r="36" customFormat="false" ht="15" hidden="false" customHeight="true" outlineLevel="0" collapsed="false">
      <c r="A36" s="94" t="s">
        <v>1686</v>
      </c>
      <c r="B36" s="34" t="str">
        <f aca="false">IF(A36="100","HK",IF(A36="200","CN",IF(A36="300","TW","홀세일")))</f>
        <v>TW</v>
      </c>
      <c r="C36" s="94" t="s">
        <v>202</v>
      </c>
      <c r="D36" s="95" t="n">
        <v>80</v>
      </c>
      <c r="E36" s="95" t="n">
        <v>169000</v>
      </c>
      <c r="F36" s="95" t="n">
        <v>39058</v>
      </c>
      <c r="G36" s="34" t="n">
        <v>3.68</v>
      </c>
      <c r="H36" s="34" t="n">
        <v>44.9</v>
      </c>
      <c r="J36" s="95" t="n">
        <f aca="false">IF(N(E36)&gt;0,E36,IF(N(F36)&gt;0,F36*가정!$B$5,0))</f>
        <v>169000</v>
      </c>
      <c r="K36" s="95" t="n">
        <f aca="false">IF(N(F36)&gt;0,F36,IF(N(E36)&gt;0,E36/가정!$B$5,0))</f>
        <v>39058</v>
      </c>
      <c r="L36" s="95" t="n">
        <f aca="false">IF(B36="CN",IF(N(I36)&gt;0,I36*가정!$B$3,K36*(1+가정!$B$6)),IF(N(H36)&gt;0,H36*가정!$B$3,J36*가정!$B$4))</f>
        <v>61188.822</v>
      </c>
      <c r="M36" s="95" t="n">
        <f aca="false">D36*J36</f>
        <v>13520000</v>
      </c>
      <c r="N36" s="95" t="n">
        <f aca="false">D36*K36</f>
        <v>3124640</v>
      </c>
      <c r="O36" s="95" t="n">
        <f aca="false">D36*L36</f>
        <v>4895105.76</v>
      </c>
      <c r="P36" s="34" t="str">
        <f aca="false">TRIM(IF(N(E36)&lt;=0,"택가보정 ","")&amp;IF(N(F36)&lt;=0,"원가보정 ","")&amp;IF(AND(B36&lt;&gt;"CN",N(H36)&lt;=0),"공급가보정 ","")&amp;IF(AND(B36="CN",N(I36)&lt;=0),"중국공급가=원가+마진 ",""))</f>
        <v/>
      </c>
    </row>
    <row r="37" customFormat="false" ht="15" hidden="false" customHeight="true" outlineLevel="0" collapsed="false">
      <c r="A37" s="94" t="s">
        <v>1687</v>
      </c>
      <c r="B37" s="34" t="str">
        <f aca="false">IF(A37="100","HK",IF(A37="200","CN",IF(A37="300","TW","홀세일")))</f>
        <v>홀세일</v>
      </c>
      <c r="C37" s="94" t="s">
        <v>202</v>
      </c>
      <c r="D37" s="95" t="n">
        <v>30</v>
      </c>
      <c r="E37" s="95" t="n">
        <v>169000</v>
      </c>
      <c r="F37" s="95" t="n">
        <v>39058</v>
      </c>
      <c r="G37" s="34" t="n">
        <v>3.68</v>
      </c>
      <c r="H37" s="34" t="n">
        <v>44.9</v>
      </c>
      <c r="J37" s="95" t="n">
        <f aca="false">IF(N(E37)&gt;0,E37,IF(N(F37)&gt;0,F37*가정!$B$5,0))</f>
        <v>169000</v>
      </c>
      <c r="K37" s="95" t="n">
        <f aca="false">IF(N(F37)&gt;0,F37,IF(N(E37)&gt;0,E37/가정!$B$5,0))</f>
        <v>39058</v>
      </c>
      <c r="L37" s="95" t="n">
        <f aca="false">IF(B37="CN",IF(N(I37)&gt;0,I37*가정!$B$3,K37*(1+가정!$B$6)),IF(N(H37)&gt;0,H37*가정!$B$3,J37*가정!$B$4))</f>
        <v>61188.822</v>
      </c>
      <c r="M37" s="95" t="n">
        <f aca="false">D37*J37</f>
        <v>5070000</v>
      </c>
      <c r="N37" s="95" t="n">
        <f aca="false">D37*K37</f>
        <v>1171740</v>
      </c>
      <c r="O37" s="95" t="n">
        <f aca="false">D37*L37</f>
        <v>1835664.66</v>
      </c>
      <c r="P37" s="34" t="str">
        <f aca="false">TRIM(IF(N(E37)&lt;=0,"택가보정 ","")&amp;IF(N(F37)&lt;=0,"원가보정 ","")&amp;IF(AND(B37&lt;&gt;"CN",N(H37)&lt;=0),"공급가보정 ","")&amp;IF(AND(B37="CN",N(I37)&lt;=0),"중국공급가=원가+마진 ",""))</f>
        <v/>
      </c>
    </row>
    <row r="38" customFormat="false" ht="15" hidden="false" customHeight="true" outlineLevel="0" collapsed="false">
      <c r="A38" s="94" t="s">
        <v>1688</v>
      </c>
      <c r="B38" s="34" t="str">
        <f aca="false">IF(A38="100","HK",IF(A38="200","CN",IF(A38="300","TW","홀세일")))</f>
        <v>홀세일</v>
      </c>
      <c r="C38" s="94" t="s">
        <v>202</v>
      </c>
      <c r="D38" s="95" t="n">
        <v>15</v>
      </c>
      <c r="E38" s="95" t="n">
        <v>169000</v>
      </c>
      <c r="F38" s="95" t="n">
        <v>39058</v>
      </c>
      <c r="G38" s="34" t="n">
        <v>3.68</v>
      </c>
      <c r="H38" s="34" t="n">
        <v>44.9</v>
      </c>
      <c r="J38" s="95" t="n">
        <f aca="false">IF(N(E38)&gt;0,E38,IF(N(F38)&gt;0,F38*가정!$B$5,0))</f>
        <v>169000</v>
      </c>
      <c r="K38" s="95" t="n">
        <f aca="false">IF(N(F38)&gt;0,F38,IF(N(E38)&gt;0,E38/가정!$B$5,0))</f>
        <v>39058</v>
      </c>
      <c r="L38" s="95" t="n">
        <f aca="false">IF(B38="CN",IF(N(I38)&gt;0,I38*가정!$B$3,K38*(1+가정!$B$6)),IF(N(H38)&gt;0,H38*가정!$B$3,J38*가정!$B$4))</f>
        <v>61188.822</v>
      </c>
      <c r="M38" s="95" t="n">
        <f aca="false">D38*J38</f>
        <v>2535000</v>
      </c>
      <c r="N38" s="95" t="n">
        <f aca="false">D38*K38</f>
        <v>585870</v>
      </c>
      <c r="O38" s="95" t="n">
        <f aca="false">D38*L38</f>
        <v>917832.33</v>
      </c>
      <c r="P38" s="34" t="str">
        <f aca="false">TRIM(IF(N(E38)&lt;=0,"택가보정 ","")&amp;IF(N(F38)&lt;=0,"원가보정 ","")&amp;IF(AND(B38&lt;&gt;"CN",N(H38)&lt;=0),"공급가보정 ","")&amp;IF(AND(B38="CN",N(I38)&lt;=0),"중국공급가=원가+마진 ",""))</f>
        <v/>
      </c>
    </row>
    <row r="39" customFormat="false" ht="15" hidden="false" customHeight="true" outlineLevel="0" collapsed="false">
      <c r="A39" s="94" t="s">
        <v>1692</v>
      </c>
      <c r="B39" s="34" t="str">
        <f aca="false">IF(A39="100","HK",IF(A39="200","CN",IF(A39="300","TW","홀세일")))</f>
        <v>홀세일</v>
      </c>
      <c r="C39" s="94" t="s">
        <v>202</v>
      </c>
      <c r="D39" s="95" t="n">
        <v>122</v>
      </c>
      <c r="E39" s="95" t="n">
        <v>169000</v>
      </c>
      <c r="F39" s="95" t="n">
        <v>39058</v>
      </c>
      <c r="G39" s="34" t="n">
        <v>3.68</v>
      </c>
      <c r="H39" s="34" t="n">
        <v>44.9</v>
      </c>
      <c r="J39" s="95" t="n">
        <f aca="false">IF(N(E39)&gt;0,E39,IF(N(F39)&gt;0,F39*가정!$B$5,0))</f>
        <v>169000</v>
      </c>
      <c r="K39" s="95" t="n">
        <f aca="false">IF(N(F39)&gt;0,F39,IF(N(E39)&gt;0,E39/가정!$B$5,0))</f>
        <v>39058</v>
      </c>
      <c r="L39" s="95" t="n">
        <f aca="false">IF(B39="CN",IF(N(I39)&gt;0,I39*가정!$B$3,K39*(1+가정!$B$6)),IF(N(H39)&gt;0,H39*가정!$B$3,J39*가정!$B$4))</f>
        <v>61188.822</v>
      </c>
      <c r="M39" s="95" t="n">
        <f aca="false">D39*J39</f>
        <v>20618000</v>
      </c>
      <c r="N39" s="95" t="n">
        <f aca="false">D39*K39</f>
        <v>4765076</v>
      </c>
      <c r="O39" s="95" t="n">
        <f aca="false">D39*L39</f>
        <v>7465036.284</v>
      </c>
      <c r="P39" s="34" t="str">
        <f aca="false">TRIM(IF(N(E39)&lt;=0,"택가보정 ","")&amp;IF(N(F39)&lt;=0,"원가보정 ","")&amp;IF(AND(B39&lt;&gt;"CN",N(H39)&lt;=0),"공급가보정 ","")&amp;IF(AND(B39="CN",N(I39)&lt;=0),"중국공급가=원가+마진 ",""))</f>
        <v/>
      </c>
    </row>
    <row r="40" customFormat="false" ht="15" hidden="false" customHeight="true" outlineLevel="0" collapsed="false">
      <c r="A40" s="94" t="s">
        <v>1689</v>
      </c>
      <c r="B40" s="34" t="str">
        <f aca="false">IF(A40="100","HK",IF(A40="200","CN",IF(A40="300","TW","홀세일")))</f>
        <v>홀세일</v>
      </c>
      <c r="C40" s="94" t="s">
        <v>202</v>
      </c>
      <c r="D40" s="95" t="n">
        <v>25</v>
      </c>
      <c r="E40" s="95" t="n">
        <v>169000</v>
      </c>
      <c r="F40" s="95" t="n">
        <v>39058</v>
      </c>
      <c r="G40" s="34" t="n">
        <v>3.68</v>
      </c>
      <c r="H40" s="34" t="n">
        <v>44.9</v>
      </c>
      <c r="J40" s="95" t="n">
        <f aca="false">IF(N(E40)&gt;0,E40,IF(N(F40)&gt;0,F40*가정!$B$5,0))</f>
        <v>169000</v>
      </c>
      <c r="K40" s="95" t="n">
        <f aca="false">IF(N(F40)&gt;0,F40,IF(N(E40)&gt;0,E40/가정!$B$5,0))</f>
        <v>39058</v>
      </c>
      <c r="L40" s="95" t="n">
        <f aca="false">IF(B40="CN",IF(N(I40)&gt;0,I40*가정!$B$3,K40*(1+가정!$B$6)),IF(N(H40)&gt;0,H40*가정!$B$3,J40*가정!$B$4))</f>
        <v>61188.822</v>
      </c>
      <c r="M40" s="95" t="n">
        <f aca="false">D40*J40</f>
        <v>4225000</v>
      </c>
      <c r="N40" s="95" t="n">
        <f aca="false">D40*K40</f>
        <v>976450</v>
      </c>
      <c r="O40" s="95" t="n">
        <f aca="false">D40*L40</f>
        <v>1529720.55</v>
      </c>
      <c r="P40" s="34" t="str">
        <f aca="false">TRIM(IF(N(E40)&lt;=0,"택가보정 ","")&amp;IF(N(F40)&lt;=0,"원가보정 ","")&amp;IF(AND(B40&lt;&gt;"CN",N(H40)&lt;=0),"공급가보정 ","")&amp;IF(AND(B40="CN",N(I40)&lt;=0),"중국공급가=원가+마진 ",""))</f>
        <v/>
      </c>
    </row>
    <row r="41" customFormat="false" ht="15" hidden="false" customHeight="true" outlineLevel="0" collapsed="false">
      <c r="A41" s="94" t="s">
        <v>1684</v>
      </c>
      <c r="B41" s="34" t="str">
        <f aca="false">IF(A41="100","HK",IF(A41="200","CN",IF(A41="300","TW","홀세일")))</f>
        <v>HK</v>
      </c>
      <c r="C41" s="94" t="s">
        <v>204</v>
      </c>
      <c r="D41" s="95" t="n">
        <v>180</v>
      </c>
      <c r="E41" s="95" t="n">
        <v>189000</v>
      </c>
      <c r="F41" s="95" t="n">
        <v>45172</v>
      </c>
      <c r="G41" s="34" t="n">
        <v>3.58</v>
      </c>
      <c r="H41" s="34" t="n">
        <v>50.2</v>
      </c>
      <c r="J41" s="95" t="n">
        <f aca="false">IF(N(E41)&gt;0,E41,IF(N(F41)&gt;0,F41*가정!$B$5,0))</f>
        <v>189000</v>
      </c>
      <c r="K41" s="95" t="n">
        <f aca="false">IF(N(F41)&gt;0,F41,IF(N(E41)&gt;0,E41/가정!$B$5,0))</f>
        <v>45172</v>
      </c>
      <c r="L41" s="95" t="n">
        <f aca="false">IF(B41="CN",IF(N(I41)&gt;0,I41*가정!$B$3,K41*(1+가정!$B$6)),IF(N(H41)&gt;0,H41*가정!$B$3,J41*가정!$B$4))</f>
        <v>68411.556</v>
      </c>
      <c r="M41" s="95" t="n">
        <f aca="false">D41*J41</f>
        <v>34020000</v>
      </c>
      <c r="N41" s="95" t="n">
        <f aca="false">D41*K41</f>
        <v>8130960</v>
      </c>
      <c r="O41" s="95" t="n">
        <f aca="false">D41*L41</f>
        <v>12314080.08</v>
      </c>
      <c r="P41" s="34" t="str">
        <f aca="false">TRIM(IF(N(E41)&lt;=0,"택가보정 ","")&amp;IF(N(F41)&lt;=0,"원가보정 ","")&amp;IF(AND(B41&lt;&gt;"CN",N(H41)&lt;=0),"공급가보정 ","")&amp;IF(AND(B41="CN",N(I41)&lt;=0),"중국공급가=원가+마진 ",""))</f>
        <v/>
      </c>
    </row>
    <row r="42" customFormat="false" ht="15" hidden="false" customHeight="true" outlineLevel="0" collapsed="false">
      <c r="A42" s="94" t="s">
        <v>1686</v>
      </c>
      <c r="B42" s="34" t="str">
        <f aca="false">IF(A42="100","HK",IF(A42="200","CN",IF(A42="300","TW","홀세일")))</f>
        <v>TW</v>
      </c>
      <c r="C42" s="94" t="s">
        <v>204</v>
      </c>
      <c r="D42" s="95" t="n">
        <v>80</v>
      </c>
      <c r="E42" s="95" t="n">
        <v>189000</v>
      </c>
      <c r="F42" s="95" t="n">
        <v>45172</v>
      </c>
      <c r="G42" s="34" t="n">
        <v>3.58</v>
      </c>
      <c r="H42" s="34" t="n">
        <v>50.2</v>
      </c>
      <c r="J42" s="95" t="n">
        <f aca="false">IF(N(E42)&gt;0,E42,IF(N(F42)&gt;0,F42*가정!$B$5,0))</f>
        <v>189000</v>
      </c>
      <c r="K42" s="95" t="n">
        <f aca="false">IF(N(F42)&gt;0,F42,IF(N(E42)&gt;0,E42/가정!$B$5,0))</f>
        <v>45172</v>
      </c>
      <c r="L42" s="95" t="n">
        <f aca="false">IF(B42="CN",IF(N(I42)&gt;0,I42*가정!$B$3,K42*(1+가정!$B$6)),IF(N(H42)&gt;0,H42*가정!$B$3,J42*가정!$B$4))</f>
        <v>68411.556</v>
      </c>
      <c r="M42" s="95" t="n">
        <f aca="false">D42*J42</f>
        <v>15120000</v>
      </c>
      <c r="N42" s="95" t="n">
        <f aca="false">D42*K42</f>
        <v>3613760</v>
      </c>
      <c r="O42" s="95" t="n">
        <f aca="false">D42*L42</f>
        <v>5472924.48</v>
      </c>
      <c r="P42" s="34" t="str">
        <f aca="false">TRIM(IF(N(E42)&lt;=0,"택가보정 ","")&amp;IF(N(F42)&lt;=0,"원가보정 ","")&amp;IF(AND(B42&lt;&gt;"CN",N(H42)&lt;=0),"공급가보정 ","")&amp;IF(AND(B42="CN",N(I42)&lt;=0),"중국공급가=원가+마진 ",""))</f>
        <v/>
      </c>
    </row>
    <row r="43" customFormat="false" ht="15" hidden="false" customHeight="true" outlineLevel="0" collapsed="false">
      <c r="A43" s="94" t="s">
        <v>1687</v>
      </c>
      <c r="B43" s="34" t="str">
        <f aca="false">IF(A43="100","HK",IF(A43="200","CN",IF(A43="300","TW","홀세일")))</f>
        <v>홀세일</v>
      </c>
      <c r="C43" s="94" t="s">
        <v>204</v>
      </c>
      <c r="D43" s="95" t="n">
        <v>30</v>
      </c>
      <c r="E43" s="95" t="n">
        <v>189000</v>
      </c>
      <c r="F43" s="95" t="n">
        <v>45172</v>
      </c>
      <c r="G43" s="34" t="n">
        <v>3.58</v>
      </c>
      <c r="H43" s="34" t="n">
        <v>50.2</v>
      </c>
      <c r="J43" s="95" t="n">
        <f aca="false">IF(N(E43)&gt;0,E43,IF(N(F43)&gt;0,F43*가정!$B$5,0))</f>
        <v>189000</v>
      </c>
      <c r="K43" s="95" t="n">
        <f aca="false">IF(N(F43)&gt;0,F43,IF(N(E43)&gt;0,E43/가정!$B$5,0))</f>
        <v>45172</v>
      </c>
      <c r="L43" s="95" t="n">
        <f aca="false">IF(B43="CN",IF(N(I43)&gt;0,I43*가정!$B$3,K43*(1+가정!$B$6)),IF(N(H43)&gt;0,H43*가정!$B$3,J43*가정!$B$4))</f>
        <v>68411.556</v>
      </c>
      <c r="M43" s="95" t="n">
        <f aca="false">D43*J43</f>
        <v>5670000</v>
      </c>
      <c r="N43" s="95" t="n">
        <f aca="false">D43*K43</f>
        <v>1355160</v>
      </c>
      <c r="O43" s="95" t="n">
        <f aca="false">D43*L43</f>
        <v>2052346.68</v>
      </c>
      <c r="P43" s="34" t="str">
        <f aca="false">TRIM(IF(N(E43)&lt;=0,"택가보정 ","")&amp;IF(N(F43)&lt;=0,"원가보정 ","")&amp;IF(AND(B43&lt;&gt;"CN",N(H43)&lt;=0),"공급가보정 ","")&amp;IF(AND(B43="CN",N(I43)&lt;=0),"중국공급가=원가+마진 ",""))</f>
        <v/>
      </c>
    </row>
    <row r="44" customFormat="false" ht="15" hidden="false" customHeight="true" outlineLevel="0" collapsed="false">
      <c r="A44" s="94" t="s">
        <v>1688</v>
      </c>
      <c r="B44" s="34" t="str">
        <f aca="false">IF(A44="100","HK",IF(A44="200","CN",IF(A44="300","TW","홀세일")))</f>
        <v>홀세일</v>
      </c>
      <c r="C44" s="94" t="s">
        <v>204</v>
      </c>
      <c r="D44" s="95" t="n">
        <v>15</v>
      </c>
      <c r="E44" s="95" t="n">
        <v>189000</v>
      </c>
      <c r="F44" s="95" t="n">
        <v>45172</v>
      </c>
      <c r="G44" s="34" t="n">
        <v>3.58</v>
      </c>
      <c r="H44" s="34" t="n">
        <v>50.2</v>
      </c>
      <c r="J44" s="95" t="n">
        <f aca="false">IF(N(E44)&gt;0,E44,IF(N(F44)&gt;0,F44*가정!$B$5,0))</f>
        <v>189000</v>
      </c>
      <c r="K44" s="95" t="n">
        <f aca="false">IF(N(F44)&gt;0,F44,IF(N(E44)&gt;0,E44/가정!$B$5,0))</f>
        <v>45172</v>
      </c>
      <c r="L44" s="95" t="n">
        <f aca="false">IF(B44="CN",IF(N(I44)&gt;0,I44*가정!$B$3,K44*(1+가정!$B$6)),IF(N(H44)&gt;0,H44*가정!$B$3,J44*가정!$B$4))</f>
        <v>68411.556</v>
      </c>
      <c r="M44" s="95" t="n">
        <f aca="false">D44*J44</f>
        <v>2835000</v>
      </c>
      <c r="N44" s="95" t="n">
        <f aca="false">D44*K44</f>
        <v>677580</v>
      </c>
      <c r="O44" s="95" t="n">
        <f aca="false">D44*L44</f>
        <v>1026173.34</v>
      </c>
      <c r="P44" s="34" t="str">
        <f aca="false">TRIM(IF(N(E44)&lt;=0,"택가보정 ","")&amp;IF(N(F44)&lt;=0,"원가보정 ","")&amp;IF(AND(B44&lt;&gt;"CN",N(H44)&lt;=0),"공급가보정 ","")&amp;IF(AND(B44="CN",N(I44)&lt;=0),"중국공급가=원가+마진 ",""))</f>
        <v/>
      </c>
    </row>
    <row r="45" customFormat="false" ht="15" hidden="false" customHeight="true" outlineLevel="0" collapsed="false">
      <c r="A45" s="94" t="s">
        <v>1692</v>
      </c>
      <c r="B45" s="34" t="str">
        <f aca="false">IF(A45="100","HK",IF(A45="200","CN",IF(A45="300","TW","홀세일")))</f>
        <v>홀세일</v>
      </c>
      <c r="C45" s="94" t="s">
        <v>204</v>
      </c>
      <c r="D45" s="95" t="n">
        <v>302</v>
      </c>
      <c r="E45" s="95" t="n">
        <v>189000</v>
      </c>
      <c r="F45" s="95" t="n">
        <v>45172</v>
      </c>
      <c r="G45" s="34" t="n">
        <v>3.58</v>
      </c>
      <c r="H45" s="34" t="n">
        <v>50.2</v>
      </c>
      <c r="J45" s="95" t="n">
        <f aca="false">IF(N(E45)&gt;0,E45,IF(N(F45)&gt;0,F45*가정!$B$5,0))</f>
        <v>189000</v>
      </c>
      <c r="K45" s="95" t="n">
        <f aca="false">IF(N(F45)&gt;0,F45,IF(N(E45)&gt;0,E45/가정!$B$5,0))</f>
        <v>45172</v>
      </c>
      <c r="L45" s="95" t="n">
        <f aca="false">IF(B45="CN",IF(N(I45)&gt;0,I45*가정!$B$3,K45*(1+가정!$B$6)),IF(N(H45)&gt;0,H45*가정!$B$3,J45*가정!$B$4))</f>
        <v>68411.556</v>
      </c>
      <c r="M45" s="95" t="n">
        <f aca="false">D45*J45</f>
        <v>57078000</v>
      </c>
      <c r="N45" s="95" t="n">
        <f aca="false">D45*K45</f>
        <v>13641944</v>
      </c>
      <c r="O45" s="95" t="n">
        <f aca="false">D45*L45</f>
        <v>20660289.912</v>
      </c>
      <c r="P45" s="34" t="str">
        <f aca="false">TRIM(IF(N(E45)&lt;=0,"택가보정 ","")&amp;IF(N(F45)&lt;=0,"원가보정 ","")&amp;IF(AND(B45&lt;&gt;"CN",N(H45)&lt;=0),"공급가보정 ","")&amp;IF(AND(B45="CN",N(I45)&lt;=0),"중국공급가=원가+마진 ",""))</f>
        <v/>
      </c>
    </row>
    <row r="46" customFormat="false" ht="15" hidden="false" customHeight="true" outlineLevel="0" collapsed="false">
      <c r="A46" s="94" t="s">
        <v>1689</v>
      </c>
      <c r="B46" s="34" t="str">
        <f aca="false">IF(A46="100","HK",IF(A46="200","CN",IF(A46="300","TW","홀세일")))</f>
        <v>홀세일</v>
      </c>
      <c r="C46" s="94" t="s">
        <v>204</v>
      </c>
      <c r="D46" s="95" t="n">
        <v>25</v>
      </c>
      <c r="E46" s="95" t="n">
        <v>189000</v>
      </c>
      <c r="F46" s="95" t="n">
        <v>45172</v>
      </c>
      <c r="G46" s="34" t="n">
        <v>3.58</v>
      </c>
      <c r="H46" s="34" t="n">
        <v>50.2</v>
      </c>
      <c r="J46" s="95" t="n">
        <f aca="false">IF(N(E46)&gt;0,E46,IF(N(F46)&gt;0,F46*가정!$B$5,0))</f>
        <v>189000</v>
      </c>
      <c r="K46" s="95" t="n">
        <f aca="false">IF(N(F46)&gt;0,F46,IF(N(E46)&gt;0,E46/가정!$B$5,0))</f>
        <v>45172</v>
      </c>
      <c r="L46" s="95" t="n">
        <f aca="false">IF(B46="CN",IF(N(I46)&gt;0,I46*가정!$B$3,K46*(1+가정!$B$6)),IF(N(H46)&gt;0,H46*가정!$B$3,J46*가정!$B$4))</f>
        <v>68411.556</v>
      </c>
      <c r="M46" s="95" t="n">
        <f aca="false">D46*J46</f>
        <v>4725000</v>
      </c>
      <c r="N46" s="95" t="n">
        <f aca="false">D46*K46</f>
        <v>1129300</v>
      </c>
      <c r="O46" s="95" t="n">
        <f aca="false">D46*L46</f>
        <v>1710288.9</v>
      </c>
      <c r="P46" s="34" t="str">
        <f aca="false">TRIM(IF(N(E46)&lt;=0,"택가보정 ","")&amp;IF(N(F46)&lt;=0,"원가보정 ","")&amp;IF(AND(B46&lt;&gt;"CN",N(H46)&lt;=0),"공급가보정 ","")&amp;IF(AND(B46="CN",N(I46)&lt;=0),"중국공급가=원가+마진 ",""))</f>
        <v/>
      </c>
    </row>
    <row r="47" customFormat="false" ht="15" hidden="false" customHeight="true" outlineLevel="0" collapsed="false">
      <c r="A47" s="94" t="s">
        <v>1690</v>
      </c>
      <c r="B47" s="34" t="str">
        <f aca="false">IF(A47="100","HK",IF(A47="200","CN",IF(A47="300","TW","홀세일")))</f>
        <v>홀세일</v>
      </c>
      <c r="C47" s="94" t="s">
        <v>204</v>
      </c>
      <c r="D47" s="95" t="n">
        <v>24</v>
      </c>
      <c r="E47" s="95" t="n">
        <v>189000</v>
      </c>
      <c r="F47" s="95" t="n">
        <v>45172</v>
      </c>
      <c r="G47" s="34" t="n">
        <v>3.58</v>
      </c>
      <c r="H47" s="34" t="n">
        <v>50.2</v>
      </c>
      <c r="J47" s="95" t="n">
        <f aca="false">IF(N(E47)&gt;0,E47,IF(N(F47)&gt;0,F47*가정!$B$5,0))</f>
        <v>189000</v>
      </c>
      <c r="K47" s="95" t="n">
        <f aca="false">IF(N(F47)&gt;0,F47,IF(N(E47)&gt;0,E47/가정!$B$5,0))</f>
        <v>45172</v>
      </c>
      <c r="L47" s="95" t="n">
        <f aca="false">IF(B47="CN",IF(N(I47)&gt;0,I47*가정!$B$3,K47*(1+가정!$B$6)),IF(N(H47)&gt;0,H47*가정!$B$3,J47*가정!$B$4))</f>
        <v>68411.556</v>
      </c>
      <c r="M47" s="95" t="n">
        <f aca="false">D47*J47</f>
        <v>4536000</v>
      </c>
      <c r="N47" s="95" t="n">
        <f aca="false">D47*K47</f>
        <v>1084128</v>
      </c>
      <c r="O47" s="95" t="n">
        <f aca="false">D47*L47</f>
        <v>1641877.344</v>
      </c>
      <c r="P47" s="34" t="str">
        <f aca="false">TRIM(IF(N(E47)&lt;=0,"택가보정 ","")&amp;IF(N(F47)&lt;=0,"원가보정 ","")&amp;IF(AND(B47&lt;&gt;"CN",N(H47)&lt;=0),"공급가보정 ","")&amp;IF(AND(B47="CN",N(I47)&lt;=0),"중국공급가=원가+마진 ",""))</f>
        <v/>
      </c>
    </row>
    <row r="48" customFormat="false" ht="15" hidden="false" customHeight="true" outlineLevel="0" collapsed="false">
      <c r="A48" s="94" t="s">
        <v>1684</v>
      </c>
      <c r="B48" s="34" t="str">
        <f aca="false">IF(A48="100","HK",IF(A48="200","CN",IF(A48="300","TW","홀세일")))</f>
        <v>HK</v>
      </c>
      <c r="C48" s="94" t="s">
        <v>206</v>
      </c>
      <c r="D48" s="95" t="n">
        <v>200</v>
      </c>
      <c r="E48" s="95" t="n">
        <v>179000</v>
      </c>
      <c r="F48" s="95" t="n">
        <v>42192</v>
      </c>
      <c r="G48" s="34" t="n">
        <v>3.62</v>
      </c>
      <c r="H48" s="34" t="n">
        <v>47.6</v>
      </c>
      <c r="J48" s="95" t="n">
        <f aca="false">IF(N(E48)&gt;0,E48,IF(N(F48)&gt;0,F48*가정!$B$5,0))</f>
        <v>179000</v>
      </c>
      <c r="K48" s="95" t="n">
        <f aca="false">IF(N(F48)&gt;0,F48,IF(N(E48)&gt;0,E48/가정!$B$5,0))</f>
        <v>42192</v>
      </c>
      <c r="L48" s="95" t="n">
        <f aca="false">IF(B48="CN",IF(N(I48)&gt;0,I48*가정!$B$3,K48*(1+가정!$B$6)),IF(N(H48)&gt;0,H48*가정!$B$3,J48*가정!$B$4))</f>
        <v>64868.328</v>
      </c>
      <c r="M48" s="95" t="n">
        <f aca="false">D48*J48</f>
        <v>35800000</v>
      </c>
      <c r="N48" s="95" t="n">
        <f aca="false">D48*K48</f>
        <v>8438400</v>
      </c>
      <c r="O48" s="95" t="n">
        <f aca="false">D48*L48</f>
        <v>12973665.6</v>
      </c>
      <c r="P48" s="34" t="str">
        <f aca="false">TRIM(IF(N(E48)&lt;=0,"택가보정 ","")&amp;IF(N(F48)&lt;=0,"원가보정 ","")&amp;IF(AND(B48&lt;&gt;"CN",N(H48)&lt;=0),"공급가보정 ","")&amp;IF(AND(B48="CN",N(I48)&lt;=0),"중국공급가=원가+마진 ",""))</f>
        <v/>
      </c>
    </row>
    <row r="49" customFormat="false" ht="15.75" hidden="false" customHeight="true" outlineLevel="0" collapsed="false">
      <c r="A49" s="94" t="s">
        <v>1685</v>
      </c>
      <c r="B49" s="34" t="str">
        <f aca="false">IF(A49="100","HK",IF(A49="200","CN",IF(A49="300","TW","홀세일")))</f>
        <v>CN</v>
      </c>
      <c r="C49" s="94" t="s">
        <v>206</v>
      </c>
      <c r="D49" s="95" t="n">
        <v>282</v>
      </c>
      <c r="E49" s="95" t="n">
        <v>179000</v>
      </c>
      <c r="F49" s="95" t="n">
        <v>42192</v>
      </c>
      <c r="G49" s="34" t="n">
        <v>3.62</v>
      </c>
      <c r="H49" s="34" t="n">
        <v>47.6</v>
      </c>
      <c r="J49" s="95" t="n">
        <f aca="false">IF(N(E49)&gt;0,E49,IF(N(F49)&gt;0,F49*가정!$B$5,0))</f>
        <v>179000</v>
      </c>
      <c r="K49" s="95" t="n">
        <f aca="false">IF(N(F49)&gt;0,F49,IF(N(E49)&gt;0,E49/가정!$B$5,0))</f>
        <v>42192</v>
      </c>
      <c r="L49" s="95" t="n">
        <f aca="false">IF(B49="CN",IF(N(I49)&gt;0,I49*가정!$B$3,K49*(1+가정!$B$6)),IF(N(H49)&gt;0,H49*가정!$B$3,J49*가정!$B$4))</f>
        <v>44301.6</v>
      </c>
      <c r="M49" s="95" t="n">
        <f aca="false">D49*J49</f>
        <v>50478000</v>
      </c>
      <c r="N49" s="95" t="n">
        <f aca="false">D49*K49</f>
        <v>11898144</v>
      </c>
      <c r="O49" s="95" t="n">
        <f aca="false">D49*L49</f>
        <v>12493051.2</v>
      </c>
      <c r="P49" s="34" t="str">
        <f aca="false">TRIM(IF(N(E49)&lt;=0,"택가보정 ","")&amp;IF(N(F49)&lt;=0,"원가보정 ","")&amp;IF(AND(B49&lt;&gt;"CN",N(H49)&lt;=0),"공급가보정 ","")&amp;IF(AND(B49="CN",N(I49)&lt;=0),"중국공급가=원가+마진 ",""))</f>
        <v>중국공급가=원가+마진</v>
      </c>
    </row>
    <row r="50" customFormat="false" ht="15" hidden="false" customHeight="true" outlineLevel="0" collapsed="false">
      <c r="A50" s="94" t="s">
        <v>1686</v>
      </c>
      <c r="B50" s="34" t="str">
        <f aca="false">IF(A50="100","HK",IF(A50="200","CN",IF(A50="300","TW","홀세일")))</f>
        <v>TW</v>
      </c>
      <c r="C50" s="94" t="s">
        <v>206</v>
      </c>
      <c r="D50" s="95" t="n">
        <v>80</v>
      </c>
      <c r="E50" s="95" t="n">
        <v>179000</v>
      </c>
      <c r="F50" s="95" t="n">
        <v>42192</v>
      </c>
      <c r="G50" s="34" t="n">
        <v>3.62</v>
      </c>
      <c r="H50" s="34" t="n">
        <v>47.6</v>
      </c>
      <c r="J50" s="95" t="n">
        <f aca="false">IF(N(E50)&gt;0,E50,IF(N(F50)&gt;0,F50*가정!$B$5,0))</f>
        <v>179000</v>
      </c>
      <c r="K50" s="95" t="n">
        <f aca="false">IF(N(F50)&gt;0,F50,IF(N(E50)&gt;0,E50/가정!$B$5,0))</f>
        <v>42192</v>
      </c>
      <c r="L50" s="95" t="n">
        <f aca="false">IF(B50="CN",IF(N(I50)&gt;0,I50*가정!$B$3,K50*(1+가정!$B$6)),IF(N(H50)&gt;0,H50*가정!$B$3,J50*가정!$B$4))</f>
        <v>64868.328</v>
      </c>
      <c r="M50" s="95" t="n">
        <f aca="false">D50*J50</f>
        <v>14320000</v>
      </c>
      <c r="N50" s="95" t="n">
        <f aca="false">D50*K50</f>
        <v>3375360</v>
      </c>
      <c r="O50" s="95" t="n">
        <f aca="false">D50*L50</f>
        <v>5189466.24</v>
      </c>
      <c r="P50" s="34" t="str">
        <f aca="false">TRIM(IF(N(E50)&lt;=0,"택가보정 ","")&amp;IF(N(F50)&lt;=0,"원가보정 ","")&amp;IF(AND(B50&lt;&gt;"CN",N(H50)&lt;=0),"공급가보정 ","")&amp;IF(AND(B50="CN",N(I50)&lt;=0),"중국공급가=원가+마진 ",""))</f>
        <v/>
      </c>
    </row>
    <row r="51" customFormat="false" ht="15" hidden="false" customHeight="true" outlineLevel="0" collapsed="false">
      <c r="A51" s="94" t="s">
        <v>1688</v>
      </c>
      <c r="B51" s="34" t="str">
        <f aca="false">IF(A51="100","HK",IF(A51="200","CN",IF(A51="300","TW","홀세일")))</f>
        <v>홀세일</v>
      </c>
      <c r="C51" s="94" t="s">
        <v>206</v>
      </c>
      <c r="D51" s="95" t="n">
        <v>30</v>
      </c>
      <c r="E51" s="95" t="n">
        <v>179000</v>
      </c>
      <c r="F51" s="95" t="n">
        <v>42192</v>
      </c>
      <c r="G51" s="34" t="n">
        <v>3.62</v>
      </c>
      <c r="H51" s="34" t="n">
        <v>47.6</v>
      </c>
      <c r="J51" s="95" t="n">
        <f aca="false">IF(N(E51)&gt;0,E51,IF(N(F51)&gt;0,F51*가정!$B$5,0))</f>
        <v>179000</v>
      </c>
      <c r="K51" s="95" t="n">
        <f aca="false">IF(N(F51)&gt;0,F51,IF(N(E51)&gt;0,E51/가정!$B$5,0))</f>
        <v>42192</v>
      </c>
      <c r="L51" s="95" t="n">
        <f aca="false">IF(B51="CN",IF(N(I51)&gt;0,I51*가정!$B$3,K51*(1+가정!$B$6)),IF(N(H51)&gt;0,H51*가정!$B$3,J51*가정!$B$4))</f>
        <v>64868.328</v>
      </c>
      <c r="M51" s="95" t="n">
        <f aca="false">D51*J51</f>
        <v>5370000</v>
      </c>
      <c r="N51" s="95" t="n">
        <f aca="false">D51*K51</f>
        <v>1265760</v>
      </c>
      <c r="O51" s="95" t="n">
        <f aca="false">D51*L51</f>
        <v>1946049.84</v>
      </c>
      <c r="P51" s="34" t="str">
        <f aca="false">TRIM(IF(N(E51)&lt;=0,"택가보정 ","")&amp;IF(N(F51)&lt;=0,"원가보정 ","")&amp;IF(AND(B51&lt;&gt;"CN",N(H51)&lt;=0),"공급가보정 ","")&amp;IF(AND(B51="CN",N(I51)&lt;=0),"중국공급가=원가+마진 ",""))</f>
        <v/>
      </c>
    </row>
    <row r="52" customFormat="false" ht="15" hidden="false" customHeight="true" outlineLevel="0" collapsed="false">
      <c r="A52" s="94" t="s">
        <v>1692</v>
      </c>
      <c r="B52" s="34" t="str">
        <f aca="false">IF(A52="100","HK",IF(A52="200","CN",IF(A52="300","TW","홀세일")))</f>
        <v>홀세일</v>
      </c>
      <c r="C52" s="94" t="s">
        <v>206</v>
      </c>
      <c r="D52" s="95" t="n">
        <v>102</v>
      </c>
      <c r="E52" s="95" t="n">
        <v>179000</v>
      </c>
      <c r="F52" s="95" t="n">
        <v>42192</v>
      </c>
      <c r="G52" s="34" t="n">
        <v>3.62</v>
      </c>
      <c r="H52" s="34" t="n">
        <v>47.6</v>
      </c>
      <c r="J52" s="95" t="n">
        <f aca="false">IF(N(E52)&gt;0,E52,IF(N(F52)&gt;0,F52*가정!$B$5,0))</f>
        <v>179000</v>
      </c>
      <c r="K52" s="95" t="n">
        <f aca="false">IF(N(F52)&gt;0,F52,IF(N(E52)&gt;0,E52/가정!$B$5,0))</f>
        <v>42192</v>
      </c>
      <c r="L52" s="95" t="n">
        <f aca="false">IF(B52="CN",IF(N(I52)&gt;0,I52*가정!$B$3,K52*(1+가정!$B$6)),IF(N(H52)&gt;0,H52*가정!$B$3,J52*가정!$B$4))</f>
        <v>64868.328</v>
      </c>
      <c r="M52" s="95" t="n">
        <f aca="false">D52*J52</f>
        <v>18258000</v>
      </c>
      <c r="N52" s="95" t="n">
        <f aca="false">D52*K52</f>
        <v>4303584</v>
      </c>
      <c r="O52" s="95" t="n">
        <f aca="false">D52*L52</f>
        <v>6616569.456</v>
      </c>
      <c r="P52" s="34" t="str">
        <f aca="false">TRIM(IF(N(E52)&lt;=0,"택가보정 ","")&amp;IF(N(F52)&lt;=0,"원가보정 ","")&amp;IF(AND(B52&lt;&gt;"CN",N(H52)&lt;=0),"공급가보정 ","")&amp;IF(AND(B52="CN",N(I52)&lt;=0),"중국공급가=원가+마진 ",""))</f>
        <v/>
      </c>
    </row>
    <row r="53" customFormat="false" ht="15" hidden="false" customHeight="true" outlineLevel="0" collapsed="false">
      <c r="A53" s="94" t="s">
        <v>1689</v>
      </c>
      <c r="B53" s="34" t="str">
        <f aca="false">IF(A53="100","HK",IF(A53="200","CN",IF(A53="300","TW","홀세일")))</f>
        <v>홀세일</v>
      </c>
      <c r="C53" s="94" t="s">
        <v>206</v>
      </c>
      <c r="D53" s="95" t="n">
        <v>20</v>
      </c>
      <c r="E53" s="95" t="n">
        <v>179000</v>
      </c>
      <c r="F53" s="95" t="n">
        <v>42192</v>
      </c>
      <c r="G53" s="34" t="n">
        <v>3.62</v>
      </c>
      <c r="H53" s="34" t="n">
        <v>47.6</v>
      </c>
      <c r="J53" s="95" t="n">
        <f aca="false">IF(N(E53)&gt;0,E53,IF(N(F53)&gt;0,F53*가정!$B$5,0))</f>
        <v>179000</v>
      </c>
      <c r="K53" s="95" t="n">
        <f aca="false">IF(N(F53)&gt;0,F53,IF(N(E53)&gt;0,E53/가정!$B$5,0))</f>
        <v>42192</v>
      </c>
      <c r="L53" s="95" t="n">
        <f aca="false">IF(B53="CN",IF(N(I53)&gt;0,I53*가정!$B$3,K53*(1+가정!$B$6)),IF(N(H53)&gt;0,H53*가정!$B$3,J53*가정!$B$4))</f>
        <v>64868.328</v>
      </c>
      <c r="M53" s="95" t="n">
        <f aca="false">D53*J53</f>
        <v>3580000</v>
      </c>
      <c r="N53" s="95" t="n">
        <f aca="false">D53*K53</f>
        <v>843840</v>
      </c>
      <c r="O53" s="95" t="n">
        <f aca="false">D53*L53</f>
        <v>1297366.56</v>
      </c>
      <c r="P53" s="34" t="str">
        <f aca="false">TRIM(IF(N(E53)&lt;=0,"택가보정 ","")&amp;IF(N(F53)&lt;=0,"원가보정 ","")&amp;IF(AND(B53&lt;&gt;"CN",N(H53)&lt;=0),"공급가보정 ","")&amp;IF(AND(B53="CN",N(I53)&lt;=0),"중국공급가=원가+마진 ",""))</f>
        <v/>
      </c>
    </row>
    <row r="54" customFormat="false" ht="15" hidden="false" customHeight="true" outlineLevel="0" collapsed="false">
      <c r="A54" s="94" t="s">
        <v>1684</v>
      </c>
      <c r="B54" s="34" t="str">
        <f aca="false">IF(A54="100","HK",IF(A54="200","CN",IF(A54="300","TW","홀세일")))</f>
        <v>HK</v>
      </c>
      <c r="C54" s="94" t="s">
        <v>208</v>
      </c>
      <c r="D54" s="95" t="n">
        <v>140</v>
      </c>
      <c r="E54" s="95" t="n">
        <v>189000</v>
      </c>
      <c r="F54" s="95" t="n">
        <v>44131</v>
      </c>
      <c r="G54" s="34" t="n">
        <v>3.67</v>
      </c>
      <c r="H54" s="34" t="n">
        <v>50.2</v>
      </c>
      <c r="J54" s="95" t="n">
        <f aca="false">IF(N(E54)&gt;0,E54,IF(N(F54)&gt;0,F54*가정!$B$5,0))</f>
        <v>189000</v>
      </c>
      <c r="K54" s="95" t="n">
        <f aca="false">IF(N(F54)&gt;0,F54,IF(N(E54)&gt;0,E54/가정!$B$5,0))</f>
        <v>44131</v>
      </c>
      <c r="L54" s="95" t="n">
        <f aca="false">IF(B54="CN",IF(N(I54)&gt;0,I54*가정!$B$3,K54*(1+가정!$B$6)),IF(N(H54)&gt;0,H54*가정!$B$3,J54*가정!$B$4))</f>
        <v>68411.556</v>
      </c>
      <c r="M54" s="95" t="n">
        <f aca="false">D54*J54</f>
        <v>26460000</v>
      </c>
      <c r="N54" s="95" t="n">
        <f aca="false">D54*K54</f>
        <v>6178340</v>
      </c>
      <c r="O54" s="95" t="n">
        <f aca="false">D54*L54</f>
        <v>9577617.84</v>
      </c>
      <c r="P54" s="34" t="str">
        <f aca="false">TRIM(IF(N(E54)&lt;=0,"택가보정 ","")&amp;IF(N(F54)&lt;=0,"원가보정 ","")&amp;IF(AND(B54&lt;&gt;"CN",N(H54)&lt;=0),"공급가보정 ","")&amp;IF(AND(B54="CN",N(I54)&lt;=0),"중국공급가=원가+마진 ",""))</f>
        <v/>
      </c>
    </row>
    <row r="55" customFormat="false" ht="15.75" hidden="false" customHeight="true" outlineLevel="0" collapsed="false">
      <c r="A55" s="94" t="s">
        <v>1685</v>
      </c>
      <c r="B55" s="34" t="str">
        <f aca="false">IF(A55="100","HK",IF(A55="200","CN",IF(A55="300","TW","홀세일")))</f>
        <v>CN</v>
      </c>
      <c r="C55" s="94" t="s">
        <v>208</v>
      </c>
      <c r="D55" s="95" t="n">
        <v>101</v>
      </c>
      <c r="E55" s="95" t="n">
        <v>189000</v>
      </c>
      <c r="F55" s="95" t="n">
        <v>44131</v>
      </c>
      <c r="G55" s="34" t="n">
        <v>3.67</v>
      </c>
      <c r="H55" s="34" t="n">
        <v>50.2</v>
      </c>
      <c r="J55" s="95" t="n">
        <f aca="false">IF(N(E55)&gt;0,E55,IF(N(F55)&gt;0,F55*가정!$B$5,0))</f>
        <v>189000</v>
      </c>
      <c r="K55" s="95" t="n">
        <f aca="false">IF(N(F55)&gt;0,F55,IF(N(E55)&gt;0,E55/가정!$B$5,0))</f>
        <v>44131</v>
      </c>
      <c r="L55" s="95" t="n">
        <f aca="false">IF(B55="CN",IF(N(I55)&gt;0,I55*가정!$B$3,K55*(1+가정!$B$6)),IF(N(H55)&gt;0,H55*가정!$B$3,J55*가정!$B$4))</f>
        <v>46337.55</v>
      </c>
      <c r="M55" s="95" t="n">
        <f aca="false">D55*J55</f>
        <v>19089000</v>
      </c>
      <c r="N55" s="95" t="n">
        <f aca="false">D55*K55</f>
        <v>4457231</v>
      </c>
      <c r="O55" s="95" t="n">
        <f aca="false">D55*L55</f>
        <v>4680092.55</v>
      </c>
      <c r="P55" s="34" t="str">
        <f aca="false">TRIM(IF(N(E55)&lt;=0,"택가보정 ","")&amp;IF(N(F55)&lt;=0,"원가보정 ","")&amp;IF(AND(B55&lt;&gt;"CN",N(H55)&lt;=0),"공급가보정 ","")&amp;IF(AND(B55="CN",N(I55)&lt;=0),"중국공급가=원가+마진 ",""))</f>
        <v>중국공급가=원가+마진</v>
      </c>
    </row>
    <row r="56" customFormat="false" ht="15" hidden="false" customHeight="true" outlineLevel="0" collapsed="false">
      <c r="A56" s="94" t="s">
        <v>1686</v>
      </c>
      <c r="B56" s="34" t="str">
        <f aca="false">IF(A56="100","HK",IF(A56="200","CN",IF(A56="300","TW","홀세일")))</f>
        <v>TW</v>
      </c>
      <c r="C56" s="94" t="s">
        <v>208</v>
      </c>
      <c r="D56" s="95" t="n">
        <v>80</v>
      </c>
      <c r="E56" s="95" t="n">
        <v>189000</v>
      </c>
      <c r="F56" s="95" t="n">
        <v>44131</v>
      </c>
      <c r="G56" s="34" t="n">
        <v>3.67</v>
      </c>
      <c r="H56" s="34" t="n">
        <v>50.2</v>
      </c>
      <c r="J56" s="95" t="n">
        <f aca="false">IF(N(E56)&gt;0,E56,IF(N(F56)&gt;0,F56*가정!$B$5,0))</f>
        <v>189000</v>
      </c>
      <c r="K56" s="95" t="n">
        <f aca="false">IF(N(F56)&gt;0,F56,IF(N(E56)&gt;0,E56/가정!$B$5,0))</f>
        <v>44131</v>
      </c>
      <c r="L56" s="95" t="n">
        <f aca="false">IF(B56="CN",IF(N(I56)&gt;0,I56*가정!$B$3,K56*(1+가정!$B$6)),IF(N(H56)&gt;0,H56*가정!$B$3,J56*가정!$B$4))</f>
        <v>68411.556</v>
      </c>
      <c r="M56" s="95" t="n">
        <f aca="false">D56*J56</f>
        <v>15120000</v>
      </c>
      <c r="N56" s="95" t="n">
        <f aca="false">D56*K56</f>
        <v>3530480</v>
      </c>
      <c r="O56" s="95" t="n">
        <f aca="false">D56*L56</f>
        <v>5472924.48</v>
      </c>
      <c r="P56" s="34" t="str">
        <f aca="false">TRIM(IF(N(E56)&lt;=0,"택가보정 ","")&amp;IF(N(F56)&lt;=0,"원가보정 ","")&amp;IF(AND(B56&lt;&gt;"CN",N(H56)&lt;=0),"공급가보정 ","")&amp;IF(AND(B56="CN",N(I56)&lt;=0),"중국공급가=원가+마진 ",""))</f>
        <v/>
      </c>
    </row>
    <row r="57" customFormat="false" ht="15" hidden="false" customHeight="true" outlineLevel="0" collapsed="false">
      <c r="A57" s="94" t="s">
        <v>1687</v>
      </c>
      <c r="B57" s="34" t="str">
        <f aca="false">IF(A57="100","HK",IF(A57="200","CN",IF(A57="300","TW","홀세일")))</f>
        <v>홀세일</v>
      </c>
      <c r="C57" s="94" t="s">
        <v>208</v>
      </c>
      <c r="D57" s="95" t="n">
        <v>30</v>
      </c>
      <c r="E57" s="95" t="n">
        <v>189000</v>
      </c>
      <c r="F57" s="95" t="n">
        <v>44131</v>
      </c>
      <c r="G57" s="34" t="n">
        <v>3.67</v>
      </c>
      <c r="H57" s="34" t="n">
        <v>50.2</v>
      </c>
      <c r="J57" s="95" t="n">
        <f aca="false">IF(N(E57)&gt;0,E57,IF(N(F57)&gt;0,F57*가정!$B$5,0))</f>
        <v>189000</v>
      </c>
      <c r="K57" s="95" t="n">
        <f aca="false">IF(N(F57)&gt;0,F57,IF(N(E57)&gt;0,E57/가정!$B$5,0))</f>
        <v>44131</v>
      </c>
      <c r="L57" s="95" t="n">
        <f aca="false">IF(B57="CN",IF(N(I57)&gt;0,I57*가정!$B$3,K57*(1+가정!$B$6)),IF(N(H57)&gt;0,H57*가정!$B$3,J57*가정!$B$4))</f>
        <v>68411.556</v>
      </c>
      <c r="M57" s="95" t="n">
        <f aca="false">D57*J57</f>
        <v>5670000</v>
      </c>
      <c r="N57" s="95" t="n">
        <f aca="false">D57*K57</f>
        <v>1323930</v>
      </c>
      <c r="O57" s="95" t="n">
        <f aca="false">D57*L57</f>
        <v>2052346.68</v>
      </c>
      <c r="P57" s="34" t="str">
        <f aca="false">TRIM(IF(N(E57)&lt;=0,"택가보정 ","")&amp;IF(N(F57)&lt;=0,"원가보정 ","")&amp;IF(AND(B57&lt;&gt;"CN",N(H57)&lt;=0),"공급가보정 ","")&amp;IF(AND(B57="CN",N(I57)&lt;=0),"중국공급가=원가+마진 ",""))</f>
        <v/>
      </c>
    </row>
    <row r="58" customFormat="false" ht="15" hidden="false" customHeight="true" outlineLevel="0" collapsed="false">
      <c r="A58" s="94" t="s">
        <v>1688</v>
      </c>
      <c r="B58" s="34" t="str">
        <f aca="false">IF(A58="100","HK",IF(A58="200","CN",IF(A58="300","TW","홀세일")))</f>
        <v>홀세일</v>
      </c>
      <c r="C58" s="94" t="s">
        <v>208</v>
      </c>
      <c r="D58" s="95" t="n">
        <v>20</v>
      </c>
      <c r="E58" s="95" t="n">
        <v>189000</v>
      </c>
      <c r="F58" s="95" t="n">
        <v>44131</v>
      </c>
      <c r="G58" s="34" t="n">
        <v>3.67</v>
      </c>
      <c r="H58" s="34" t="n">
        <v>50.2</v>
      </c>
      <c r="J58" s="95" t="n">
        <f aca="false">IF(N(E58)&gt;0,E58,IF(N(F58)&gt;0,F58*가정!$B$5,0))</f>
        <v>189000</v>
      </c>
      <c r="K58" s="95" t="n">
        <f aca="false">IF(N(F58)&gt;0,F58,IF(N(E58)&gt;0,E58/가정!$B$5,0))</f>
        <v>44131</v>
      </c>
      <c r="L58" s="95" t="n">
        <f aca="false">IF(B58="CN",IF(N(I58)&gt;0,I58*가정!$B$3,K58*(1+가정!$B$6)),IF(N(H58)&gt;0,H58*가정!$B$3,J58*가정!$B$4))</f>
        <v>68411.556</v>
      </c>
      <c r="M58" s="95" t="n">
        <f aca="false">D58*J58</f>
        <v>3780000</v>
      </c>
      <c r="N58" s="95" t="n">
        <f aca="false">D58*K58</f>
        <v>882620</v>
      </c>
      <c r="O58" s="95" t="n">
        <f aca="false">D58*L58</f>
        <v>1368231.12</v>
      </c>
      <c r="P58" s="34" t="str">
        <f aca="false">TRIM(IF(N(E58)&lt;=0,"택가보정 ","")&amp;IF(N(F58)&lt;=0,"원가보정 ","")&amp;IF(AND(B58&lt;&gt;"CN",N(H58)&lt;=0),"공급가보정 ","")&amp;IF(AND(B58="CN",N(I58)&lt;=0),"중국공급가=원가+마진 ",""))</f>
        <v/>
      </c>
    </row>
    <row r="59" customFormat="false" ht="15" hidden="false" customHeight="true" outlineLevel="0" collapsed="false">
      <c r="A59" s="94" t="s">
        <v>1692</v>
      </c>
      <c r="B59" s="34" t="str">
        <f aca="false">IF(A59="100","HK",IF(A59="200","CN",IF(A59="300","TW","홀세일")))</f>
        <v>홀세일</v>
      </c>
      <c r="C59" s="94" t="s">
        <v>208</v>
      </c>
      <c r="D59" s="95" t="n">
        <v>102</v>
      </c>
      <c r="E59" s="95" t="n">
        <v>189000</v>
      </c>
      <c r="F59" s="95" t="n">
        <v>44131</v>
      </c>
      <c r="G59" s="34" t="n">
        <v>3.67</v>
      </c>
      <c r="H59" s="34" t="n">
        <v>50.2</v>
      </c>
      <c r="J59" s="95" t="n">
        <f aca="false">IF(N(E59)&gt;0,E59,IF(N(F59)&gt;0,F59*가정!$B$5,0))</f>
        <v>189000</v>
      </c>
      <c r="K59" s="95" t="n">
        <f aca="false">IF(N(F59)&gt;0,F59,IF(N(E59)&gt;0,E59/가정!$B$5,0))</f>
        <v>44131</v>
      </c>
      <c r="L59" s="95" t="n">
        <f aca="false">IF(B59="CN",IF(N(I59)&gt;0,I59*가정!$B$3,K59*(1+가정!$B$6)),IF(N(H59)&gt;0,H59*가정!$B$3,J59*가정!$B$4))</f>
        <v>68411.556</v>
      </c>
      <c r="M59" s="95" t="n">
        <f aca="false">D59*J59</f>
        <v>19278000</v>
      </c>
      <c r="N59" s="95" t="n">
        <f aca="false">D59*K59</f>
        <v>4501362</v>
      </c>
      <c r="O59" s="95" t="n">
        <f aca="false">D59*L59</f>
        <v>6977978.712</v>
      </c>
      <c r="P59" s="34" t="str">
        <f aca="false">TRIM(IF(N(E59)&lt;=0,"택가보정 ","")&amp;IF(N(F59)&lt;=0,"원가보정 ","")&amp;IF(AND(B59&lt;&gt;"CN",N(H59)&lt;=0),"공급가보정 ","")&amp;IF(AND(B59="CN",N(I59)&lt;=0),"중국공급가=원가+마진 ",""))</f>
        <v/>
      </c>
    </row>
    <row r="60" customFormat="false" ht="15" hidden="false" customHeight="true" outlineLevel="0" collapsed="false">
      <c r="A60" s="94" t="s">
        <v>1689</v>
      </c>
      <c r="B60" s="34" t="str">
        <f aca="false">IF(A60="100","HK",IF(A60="200","CN",IF(A60="300","TW","홀세일")))</f>
        <v>홀세일</v>
      </c>
      <c r="C60" s="94" t="s">
        <v>208</v>
      </c>
      <c r="D60" s="95" t="n">
        <v>20</v>
      </c>
      <c r="E60" s="95" t="n">
        <v>189000</v>
      </c>
      <c r="F60" s="95" t="n">
        <v>44131</v>
      </c>
      <c r="G60" s="34" t="n">
        <v>3.67</v>
      </c>
      <c r="H60" s="34" t="n">
        <v>50.2</v>
      </c>
      <c r="J60" s="95" t="n">
        <f aca="false">IF(N(E60)&gt;0,E60,IF(N(F60)&gt;0,F60*가정!$B$5,0))</f>
        <v>189000</v>
      </c>
      <c r="K60" s="95" t="n">
        <f aca="false">IF(N(F60)&gt;0,F60,IF(N(E60)&gt;0,E60/가정!$B$5,0))</f>
        <v>44131</v>
      </c>
      <c r="L60" s="95" t="n">
        <f aca="false">IF(B60="CN",IF(N(I60)&gt;0,I60*가정!$B$3,K60*(1+가정!$B$6)),IF(N(H60)&gt;0,H60*가정!$B$3,J60*가정!$B$4))</f>
        <v>68411.556</v>
      </c>
      <c r="M60" s="95" t="n">
        <f aca="false">D60*J60</f>
        <v>3780000</v>
      </c>
      <c r="N60" s="95" t="n">
        <f aca="false">D60*K60</f>
        <v>882620</v>
      </c>
      <c r="O60" s="95" t="n">
        <f aca="false">D60*L60</f>
        <v>1368231.12</v>
      </c>
      <c r="P60" s="34" t="str">
        <f aca="false">TRIM(IF(N(E60)&lt;=0,"택가보정 ","")&amp;IF(N(F60)&lt;=0,"원가보정 ","")&amp;IF(AND(B60&lt;&gt;"CN",N(H60)&lt;=0),"공급가보정 ","")&amp;IF(AND(B60="CN",N(I60)&lt;=0),"중국공급가=원가+마진 ",""))</f>
        <v/>
      </c>
    </row>
    <row r="61" customFormat="false" ht="15" hidden="false" customHeight="true" outlineLevel="0" collapsed="false">
      <c r="A61" s="94" t="s">
        <v>1686</v>
      </c>
      <c r="B61" s="34" t="str">
        <f aca="false">IF(A61="100","HK",IF(A61="200","CN",IF(A61="300","TW","홀세일")))</f>
        <v>TW</v>
      </c>
      <c r="C61" s="94" t="s">
        <v>1441</v>
      </c>
      <c r="D61" s="95" t="n">
        <v>30</v>
      </c>
      <c r="E61" s="95" t="n">
        <v>139000</v>
      </c>
      <c r="F61" s="95" t="n">
        <v>30502</v>
      </c>
      <c r="G61" s="34" t="n">
        <v>4.05</v>
      </c>
      <c r="H61" s="34" t="n">
        <v>34.8</v>
      </c>
      <c r="J61" s="95" t="n">
        <f aca="false">IF(N(E61)&gt;0,E61,IF(N(F61)&gt;0,F61*가정!$B$5,0))</f>
        <v>139000</v>
      </c>
      <c r="K61" s="95" t="n">
        <f aca="false">IF(N(F61)&gt;0,F61,IF(N(E61)&gt;0,E61/가정!$B$5,0))</f>
        <v>30502</v>
      </c>
      <c r="L61" s="95" t="n">
        <f aca="false">IF(B61="CN",IF(N(I61)&gt;0,I61*가정!$B$3,K61*(1+가정!$B$6)),IF(N(H61)&gt;0,H61*가정!$B$3,J61*가정!$B$4))</f>
        <v>47424.744</v>
      </c>
      <c r="M61" s="95" t="n">
        <f aca="false">D61*J61</f>
        <v>4170000</v>
      </c>
      <c r="N61" s="95" t="n">
        <f aca="false">D61*K61</f>
        <v>915060</v>
      </c>
      <c r="O61" s="95" t="n">
        <f aca="false">D61*L61</f>
        <v>1422742.32</v>
      </c>
      <c r="P61" s="34" t="str">
        <f aca="false">TRIM(IF(N(E61)&lt;=0,"택가보정 ","")&amp;IF(N(F61)&lt;=0,"원가보정 ","")&amp;IF(AND(B61&lt;&gt;"CN",N(H61)&lt;=0),"공급가보정 ","")&amp;IF(AND(B61="CN",N(I61)&lt;=0),"중국공급가=원가+마진 ",""))</f>
        <v/>
      </c>
    </row>
    <row r="62" customFormat="false" ht="15" hidden="false" customHeight="true" outlineLevel="0" collapsed="false">
      <c r="A62" s="94" t="s">
        <v>1688</v>
      </c>
      <c r="B62" s="34" t="str">
        <f aca="false">IF(A62="100","HK",IF(A62="200","CN",IF(A62="300","TW","홀세일")))</f>
        <v>홀세일</v>
      </c>
      <c r="C62" s="94" t="s">
        <v>1441</v>
      </c>
      <c r="D62" s="95" t="n">
        <v>45</v>
      </c>
      <c r="E62" s="95" t="n">
        <v>139000</v>
      </c>
      <c r="F62" s="95" t="n">
        <v>30502</v>
      </c>
      <c r="G62" s="34" t="n">
        <v>4.05</v>
      </c>
      <c r="H62" s="34" t="n">
        <v>34.8</v>
      </c>
      <c r="J62" s="95" t="n">
        <f aca="false">IF(N(E62)&gt;0,E62,IF(N(F62)&gt;0,F62*가정!$B$5,0))</f>
        <v>139000</v>
      </c>
      <c r="K62" s="95" t="n">
        <f aca="false">IF(N(F62)&gt;0,F62,IF(N(E62)&gt;0,E62/가정!$B$5,0))</f>
        <v>30502</v>
      </c>
      <c r="L62" s="95" t="n">
        <f aca="false">IF(B62="CN",IF(N(I62)&gt;0,I62*가정!$B$3,K62*(1+가정!$B$6)),IF(N(H62)&gt;0,H62*가정!$B$3,J62*가정!$B$4))</f>
        <v>47424.744</v>
      </c>
      <c r="M62" s="95" t="n">
        <f aca="false">D62*J62</f>
        <v>6255000</v>
      </c>
      <c r="N62" s="95" t="n">
        <f aca="false">D62*K62</f>
        <v>1372590</v>
      </c>
      <c r="O62" s="95" t="n">
        <f aca="false">D62*L62</f>
        <v>2134113.48</v>
      </c>
      <c r="P62" s="34" t="str">
        <f aca="false">TRIM(IF(N(E62)&lt;=0,"택가보정 ","")&amp;IF(N(F62)&lt;=0,"원가보정 ","")&amp;IF(AND(B62&lt;&gt;"CN",N(H62)&lt;=0),"공급가보정 ","")&amp;IF(AND(B62="CN",N(I62)&lt;=0),"중국공급가=원가+마진 ",""))</f>
        <v/>
      </c>
    </row>
    <row r="63" customFormat="false" ht="15" hidden="false" customHeight="true" outlineLevel="0" collapsed="false">
      <c r="A63" s="94" t="s">
        <v>1692</v>
      </c>
      <c r="B63" s="34" t="str">
        <f aca="false">IF(A63="100","HK",IF(A63="200","CN",IF(A63="300","TW","홀세일")))</f>
        <v>홀세일</v>
      </c>
      <c r="C63" s="94" t="s">
        <v>1441</v>
      </c>
      <c r="D63" s="95" t="n">
        <v>97</v>
      </c>
      <c r="E63" s="95" t="n">
        <v>139000</v>
      </c>
      <c r="F63" s="95" t="n">
        <v>30502</v>
      </c>
      <c r="G63" s="34" t="n">
        <v>4.05</v>
      </c>
      <c r="H63" s="34" t="n">
        <v>34.8</v>
      </c>
      <c r="J63" s="95" t="n">
        <f aca="false">IF(N(E63)&gt;0,E63,IF(N(F63)&gt;0,F63*가정!$B$5,0))</f>
        <v>139000</v>
      </c>
      <c r="K63" s="95" t="n">
        <f aca="false">IF(N(F63)&gt;0,F63,IF(N(E63)&gt;0,E63/가정!$B$5,0))</f>
        <v>30502</v>
      </c>
      <c r="L63" s="95" t="n">
        <f aca="false">IF(B63="CN",IF(N(I63)&gt;0,I63*가정!$B$3,K63*(1+가정!$B$6)),IF(N(H63)&gt;0,H63*가정!$B$3,J63*가정!$B$4))</f>
        <v>47424.744</v>
      </c>
      <c r="M63" s="95" t="n">
        <f aca="false">D63*J63</f>
        <v>13483000</v>
      </c>
      <c r="N63" s="95" t="n">
        <f aca="false">D63*K63</f>
        <v>2958694</v>
      </c>
      <c r="O63" s="95" t="n">
        <f aca="false">D63*L63</f>
        <v>4600200.168</v>
      </c>
      <c r="P63" s="34" t="str">
        <f aca="false">TRIM(IF(N(E63)&lt;=0,"택가보정 ","")&amp;IF(N(F63)&lt;=0,"원가보정 ","")&amp;IF(AND(B63&lt;&gt;"CN",N(H63)&lt;=0),"공급가보정 ","")&amp;IF(AND(B63="CN",N(I63)&lt;=0),"중국공급가=원가+마진 ",""))</f>
        <v/>
      </c>
    </row>
    <row r="64" customFormat="false" ht="15" hidden="false" customHeight="true" outlineLevel="0" collapsed="false">
      <c r="A64" s="94" t="s">
        <v>1684</v>
      </c>
      <c r="B64" s="34" t="str">
        <f aca="false">IF(A64="100","HK",IF(A64="200","CN",IF(A64="300","TW","홀세일")))</f>
        <v>HK</v>
      </c>
      <c r="C64" s="94" t="s">
        <v>1693</v>
      </c>
      <c r="D64" s="95" t="n">
        <v>350</v>
      </c>
      <c r="E64" s="95" t="n">
        <v>129000</v>
      </c>
      <c r="F64" s="95" t="n">
        <v>24419</v>
      </c>
      <c r="G64" s="34" t="n">
        <v>4.6</v>
      </c>
      <c r="H64" s="34" t="n">
        <v>32.3</v>
      </c>
      <c r="J64" s="95" t="n">
        <f aca="false">IF(N(E64)&gt;0,E64,IF(N(F64)&gt;0,F64*가정!$B$5,0))</f>
        <v>129000</v>
      </c>
      <c r="K64" s="95" t="n">
        <f aca="false">IF(N(F64)&gt;0,F64,IF(N(E64)&gt;0,E64/가정!$B$5,0))</f>
        <v>24419</v>
      </c>
      <c r="L64" s="95" t="n">
        <f aca="false">IF(B64="CN",IF(N(I64)&gt;0,I64*가정!$B$3,K64*(1+가정!$B$6)),IF(N(H64)&gt;0,H64*가정!$B$3,J64*가정!$B$4))</f>
        <v>44017.794</v>
      </c>
      <c r="M64" s="95" t="n">
        <f aca="false">D64*J64</f>
        <v>45150000</v>
      </c>
      <c r="N64" s="95" t="n">
        <f aca="false">D64*K64</f>
        <v>8546650</v>
      </c>
      <c r="O64" s="95" t="n">
        <f aca="false">D64*L64</f>
        <v>15406227.9</v>
      </c>
      <c r="P64" s="34" t="str">
        <f aca="false">TRIM(IF(N(E64)&lt;=0,"택가보정 ","")&amp;IF(N(F64)&lt;=0,"원가보정 ","")&amp;IF(AND(B64&lt;&gt;"CN",N(H64)&lt;=0),"공급가보정 ","")&amp;IF(AND(B64="CN",N(I64)&lt;=0),"중국공급가=원가+마진 ",""))</f>
        <v/>
      </c>
    </row>
    <row r="65" customFormat="false" ht="15.75" hidden="false" customHeight="true" outlineLevel="0" collapsed="false">
      <c r="A65" s="94" t="s">
        <v>1685</v>
      </c>
      <c r="B65" s="34" t="str">
        <f aca="false">IF(A65="100","HK",IF(A65="200","CN",IF(A65="300","TW","홀세일")))</f>
        <v>CN</v>
      </c>
      <c r="C65" s="94" t="s">
        <v>1693</v>
      </c>
      <c r="D65" s="95" t="n">
        <v>357</v>
      </c>
      <c r="E65" s="95" t="n">
        <v>129000</v>
      </c>
      <c r="F65" s="95" t="n">
        <v>24419</v>
      </c>
      <c r="G65" s="34" t="n">
        <v>4.6</v>
      </c>
      <c r="H65" s="34" t="n">
        <v>32.3</v>
      </c>
      <c r="J65" s="95" t="n">
        <f aca="false">IF(N(E65)&gt;0,E65,IF(N(F65)&gt;0,F65*가정!$B$5,0))</f>
        <v>129000</v>
      </c>
      <c r="K65" s="95" t="n">
        <f aca="false">IF(N(F65)&gt;0,F65,IF(N(E65)&gt;0,E65/가정!$B$5,0))</f>
        <v>24419</v>
      </c>
      <c r="L65" s="95" t="n">
        <f aca="false">IF(B65="CN",IF(N(I65)&gt;0,I65*가정!$B$3,K65*(1+가정!$B$6)),IF(N(H65)&gt;0,H65*가정!$B$3,J65*가정!$B$4))</f>
        <v>25639.95</v>
      </c>
      <c r="M65" s="95" t="n">
        <f aca="false">D65*J65</f>
        <v>46053000</v>
      </c>
      <c r="N65" s="95" t="n">
        <f aca="false">D65*K65</f>
        <v>8717583</v>
      </c>
      <c r="O65" s="95" t="n">
        <f aca="false">D65*L65</f>
        <v>9153462.15</v>
      </c>
      <c r="P65" s="34" t="str">
        <f aca="false">TRIM(IF(N(E65)&lt;=0,"택가보정 ","")&amp;IF(N(F65)&lt;=0,"원가보정 ","")&amp;IF(AND(B65&lt;&gt;"CN",N(H65)&lt;=0),"공급가보정 ","")&amp;IF(AND(B65="CN",N(I65)&lt;=0),"중국공급가=원가+마진 ",""))</f>
        <v>중국공급가=원가+마진</v>
      </c>
    </row>
    <row r="66" customFormat="false" ht="15" hidden="false" customHeight="true" outlineLevel="0" collapsed="false">
      <c r="A66" s="94" t="s">
        <v>1688</v>
      </c>
      <c r="B66" s="34" t="str">
        <f aca="false">IF(A66="100","HK",IF(A66="200","CN",IF(A66="300","TW","홀세일")))</f>
        <v>홀세일</v>
      </c>
      <c r="C66" s="94" t="s">
        <v>1693</v>
      </c>
      <c r="D66" s="95" t="n">
        <v>70</v>
      </c>
      <c r="E66" s="95" t="n">
        <v>129000</v>
      </c>
      <c r="F66" s="95" t="n">
        <v>24419</v>
      </c>
      <c r="G66" s="34" t="n">
        <v>4.6</v>
      </c>
      <c r="H66" s="34" t="n">
        <v>32.3</v>
      </c>
      <c r="J66" s="95" t="n">
        <f aca="false">IF(N(E66)&gt;0,E66,IF(N(F66)&gt;0,F66*가정!$B$5,0))</f>
        <v>129000</v>
      </c>
      <c r="K66" s="95" t="n">
        <f aca="false">IF(N(F66)&gt;0,F66,IF(N(E66)&gt;0,E66/가정!$B$5,0))</f>
        <v>24419</v>
      </c>
      <c r="L66" s="95" t="n">
        <f aca="false">IF(B66="CN",IF(N(I66)&gt;0,I66*가정!$B$3,K66*(1+가정!$B$6)),IF(N(H66)&gt;0,H66*가정!$B$3,J66*가정!$B$4))</f>
        <v>44017.794</v>
      </c>
      <c r="M66" s="95" t="n">
        <f aca="false">D66*J66</f>
        <v>9030000</v>
      </c>
      <c r="N66" s="95" t="n">
        <f aca="false">D66*K66</f>
        <v>1709330</v>
      </c>
      <c r="O66" s="95" t="n">
        <f aca="false">D66*L66</f>
        <v>3081245.58</v>
      </c>
      <c r="P66" s="34" t="str">
        <f aca="false">TRIM(IF(N(E66)&lt;=0,"택가보정 ","")&amp;IF(N(F66)&lt;=0,"원가보정 ","")&amp;IF(AND(B66&lt;&gt;"CN",N(H66)&lt;=0),"공급가보정 ","")&amp;IF(AND(B66="CN",N(I66)&lt;=0),"중국공급가=원가+마진 ",""))</f>
        <v/>
      </c>
    </row>
    <row r="67" customFormat="false" ht="15" hidden="false" customHeight="true" outlineLevel="0" collapsed="false">
      <c r="A67" s="94" t="s">
        <v>1686</v>
      </c>
      <c r="B67" s="34" t="str">
        <f aca="false">IF(A67="100","HK",IF(A67="200","CN",IF(A67="300","TW","홀세일")))</f>
        <v>TW</v>
      </c>
      <c r="C67" s="94" t="s">
        <v>214</v>
      </c>
      <c r="D67" s="95" t="n">
        <v>150</v>
      </c>
      <c r="E67" s="95" t="n">
        <v>169000</v>
      </c>
      <c r="F67" s="95" t="n">
        <v>34000</v>
      </c>
      <c r="G67" s="34" t="n">
        <v>3.91</v>
      </c>
      <c r="H67" s="34" t="n">
        <v>42.3</v>
      </c>
      <c r="J67" s="95" t="n">
        <f aca="false">IF(N(E67)&gt;0,E67,IF(N(F67)&gt;0,F67*가정!$B$5,0))</f>
        <v>169000</v>
      </c>
      <c r="K67" s="95" t="n">
        <f aca="false">IF(N(F67)&gt;0,F67,IF(N(E67)&gt;0,E67/가정!$B$5,0))</f>
        <v>34000</v>
      </c>
      <c r="L67" s="95" t="n">
        <f aca="false">IF(B67="CN",IF(N(I67)&gt;0,I67*가정!$B$3,K67*(1+가정!$B$6)),IF(N(H67)&gt;0,H67*가정!$B$3,J67*가정!$B$4))</f>
        <v>57645.594</v>
      </c>
      <c r="M67" s="95" t="n">
        <f aca="false">D67*J67</f>
        <v>25350000</v>
      </c>
      <c r="N67" s="95" t="n">
        <f aca="false">D67*K67</f>
        <v>5100000</v>
      </c>
      <c r="O67" s="95" t="n">
        <f aca="false">D67*L67</f>
        <v>8646839.1</v>
      </c>
      <c r="P67" s="34" t="str">
        <f aca="false">TRIM(IF(N(E67)&lt;=0,"택가보정 ","")&amp;IF(N(F67)&lt;=0,"원가보정 ","")&amp;IF(AND(B67&lt;&gt;"CN",N(H67)&lt;=0),"공급가보정 ","")&amp;IF(AND(B67="CN",N(I67)&lt;=0),"중국공급가=원가+마진 ",""))</f>
        <v/>
      </c>
    </row>
    <row r="68" customFormat="false" ht="15" hidden="false" customHeight="true" outlineLevel="0" collapsed="false">
      <c r="A68" s="94" t="s">
        <v>1688</v>
      </c>
      <c r="B68" s="34" t="str">
        <f aca="false">IF(A68="100","HK",IF(A68="200","CN",IF(A68="300","TW","홀세일")))</f>
        <v>홀세일</v>
      </c>
      <c r="C68" s="94" t="s">
        <v>214</v>
      </c>
      <c r="D68" s="95" t="n">
        <v>25</v>
      </c>
      <c r="E68" s="95" t="n">
        <v>169000</v>
      </c>
      <c r="F68" s="95" t="n">
        <v>34000</v>
      </c>
      <c r="G68" s="34" t="n">
        <v>3.91</v>
      </c>
      <c r="H68" s="34" t="n">
        <v>42.3</v>
      </c>
      <c r="J68" s="95" t="n">
        <f aca="false">IF(N(E68)&gt;0,E68,IF(N(F68)&gt;0,F68*가정!$B$5,0))</f>
        <v>169000</v>
      </c>
      <c r="K68" s="95" t="n">
        <f aca="false">IF(N(F68)&gt;0,F68,IF(N(E68)&gt;0,E68/가정!$B$5,0))</f>
        <v>34000</v>
      </c>
      <c r="L68" s="95" t="n">
        <f aca="false">IF(B68="CN",IF(N(I68)&gt;0,I68*가정!$B$3,K68*(1+가정!$B$6)),IF(N(H68)&gt;0,H68*가정!$B$3,J68*가정!$B$4))</f>
        <v>57645.594</v>
      </c>
      <c r="M68" s="95" t="n">
        <f aca="false">D68*J68</f>
        <v>4225000</v>
      </c>
      <c r="N68" s="95" t="n">
        <f aca="false">D68*K68</f>
        <v>850000</v>
      </c>
      <c r="O68" s="95" t="n">
        <f aca="false">D68*L68</f>
        <v>1441139.85</v>
      </c>
      <c r="P68" s="34" t="str">
        <f aca="false">TRIM(IF(N(E68)&lt;=0,"택가보정 ","")&amp;IF(N(F68)&lt;=0,"원가보정 ","")&amp;IF(AND(B68&lt;&gt;"CN",N(H68)&lt;=0),"공급가보정 ","")&amp;IF(AND(B68="CN",N(I68)&lt;=0),"중국공급가=원가+마진 ",""))</f>
        <v/>
      </c>
    </row>
    <row r="69" customFormat="false" ht="15" hidden="false" customHeight="true" outlineLevel="0" collapsed="false">
      <c r="A69" s="94" t="s">
        <v>1684</v>
      </c>
      <c r="B69" s="34" t="str">
        <f aca="false">IF(A69="100","HK",IF(A69="200","CN",IF(A69="300","TW","홀세일")))</f>
        <v>HK</v>
      </c>
      <c r="C69" s="94" t="s">
        <v>837</v>
      </c>
      <c r="D69" s="95" t="n">
        <v>110</v>
      </c>
      <c r="E69" s="95" t="n">
        <v>159000</v>
      </c>
      <c r="F69" s="95" t="n">
        <v>33901</v>
      </c>
      <c r="G69" s="34" t="n">
        <v>3.98</v>
      </c>
      <c r="H69" s="34" t="n">
        <v>39.8</v>
      </c>
      <c r="J69" s="95" t="n">
        <f aca="false">IF(N(E69)&gt;0,E69,IF(N(F69)&gt;0,F69*가정!$B$5,0))</f>
        <v>159000</v>
      </c>
      <c r="K69" s="95" t="n">
        <f aca="false">IF(N(F69)&gt;0,F69,IF(N(E69)&gt;0,E69/가정!$B$5,0))</f>
        <v>33901</v>
      </c>
      <c r="L69" s="95" t="n">
        <f aca="false">IF(B69="CN",IF(N(I69)&gt;0,I69*가정!$B$3,K69*(1+가정!$B$6)),IF(N(H69)&gt;0,H69*가정!$B$3,J69*가정!$B$4))</f>
        <v>54238.644</v>
      </c>
      <c r="M69" s="95" t="n">
        <f aca="false">D69*J69</f>
        <v>17490000</v>
      </c>
      <c r="N69" s="95" t="n">
        <f aca="false">D69*K69</f>
        <v>3729110</v>
      </c>
      <c r="O69" s="95" t="n">
        <f aca="false">D69*L69</f>
        <v>5966250.84</v>
      </c>
      <c r="P69" s="34" t="str">
        <f aca="false">TRIM(IF(N(E69)&lt;=0,"택가보정 ","")&amp;IF(N(F69)&lt;=0,"원가보정 ","")&amp;IF(AND(B69&lt;&gt;"CN",N(H69)&lt;=0),"공급가보정 ","")&amp;IF(AND(B69="CN",N(I69)&lt;=0),"중국공급가=원가+마진 ",""))</f>
        <v/>
      </c>
    </row>
    <row r="70" customFormat="false" ht="15" hidden="false" customHeight="true" outlineLevel="0" collapsed="false">
      <c r="A70" s="94" t="s">
        <v>1692</v>
      </c>
      <c r="B70" s="34" t="str">
        <f aca="false">IF(A70="100","HK",IF(A70="200","CN",IF(A70="300","TW","홀세일")))</f>
        <v>홀세일</v>
      </c>
      <c r="C70" s="94" t="s">
        <v>837</v>
      </c>
      <c r="D70" s="95" t="n">
        <v>41</v>
      </c>
      <c r="E70" s="95" t="n">
        <v>159000</v>
      </c>
      <c r="F70" s="95" t="n">
        <v>33901</v>
      </c>
      <c r="G70" s="34" t="n">
        <v>3.98</v>
      </c>
      <c r="H70" s="34" t="n">
        <v>39.8</v>
      </c>
      <c r="J70" s="95" t="n">
        <f aca="false">IF(N(E70)&gt;0,E70,IF(N(F70)&gt;0,F70*가정!$B$5,0))</f>
        <v>159000</v>
      </c>
      <c r="K70" s="95" t="n">
        <f aca="false">IF(N(F70)&gt;0,F70,IF(N(E70)&gt;0,E70/가정!$B$5,0))</f>
        <v>33901</v>
      </c>
      <c r="L70" s="95" t="n">
        <f aca="false">IF(B70="CN",IF(N(I70)&gt;0,I70*가정!$B$3,K70*(1+가정!$B$6)),IF(N(H70)&gt;0,H70*가정!$B$3,J70*가정!$B$4))</f>
        <v>54238.644</v>
      </c>
      <c r="M70" s="95" t="n">
        <f aca="false">D70*J70</f>
        <v>6519000</v>
      </c>
      <c r="N70" s="95" t="n">
        <f aca="false">D70*K70</f>
        <v>1389941</v>
      </c>
      <c r="O70" s="95" t="n">
        <f aca="false">D70*L70</f>
        <v>2223784.404</v>
      </c>
      <c r="P70" s="34" t="str">
        <f aca="false">TRIM(IF(N(E70)&lt;=0,"택가보정 ","")&amp;IF(N(F70)&lt;=0,"원가보정 ","")&amp;IF(AND(B70&lt;&gt;"CN",N(H70)&lt;=0),"공급가보정 ","")&amp;IF(AND(B70="CN",N(I70)&lt;=0),"중국공급가=원가+마진 ",""))</f>
        <v/>
      </c>
    </row>
    <row r="71" customFormat="false" ht="15" hidden="false" customHeight="true" outlineLevel="0" collapsed="false">
      <c r="A71" s="94" t="s">
        <v>1688</v>
      </c>
      <c r="B71" s="34" t="str">
        <f aca="false">IF(A71="100","HK",IF(A71="200","CN",IF(A71="300","TW","홀세일")))</f>
        <v>홀세일</v>
      </c>
      <c r="C71" s="94" t="s">
        <v>1694</v>
      </c>
      <c r="D71" s="95" t="n">
        <v>40</v>
      </c>
      <c r="E71" s="95" t="n">
        <v>139000</v>
      </c>
      <c r="F71" s="95" t="n">
        <v>28300</v>
      </c>
      <c r="G71" s="34" t="n">
        <v>4.23</v>
      </c>
      <c r="H71" s="34" t="n">
        <v>34.8</v>
      </c>
      <c r="J71" s="95" t="n">
        <f aca="false">IF(N(E71)&gt;0,E71,IF(N(F71)&gt;0,F71*가정!$B$5,0))</f>
        <v>139000</v>
      </c>
      <c r="K71" s="95" t="n">
        <f aca="false">IF(N(F71)&gt;0,F71,IF(N(E71)&gt;0,E71/가정!$B$5,0))</f>
        <v>28300</v>
      </c>
      <c r="L71" s="95" t="n">
        <f aca="false">IF(B71="CN",IF(N(I71)&gt;0,I71*가정!$B$3,K71*(1+가정!$B$6)),IF(N(H71)&gt;0,H71*가정!$B$3,J71*가정!$B$4))</f>
        <v>47424.744</v>
      </c>
      <c r="M71" s="95" t="n">
        <f aca="false">D71*J71</f>
        <v>5560000</v>
      </c>
      <c r="N71" s="95" t="n">
        <f aca="false">D71*K71</f>
        <v>1132000</v>
      </c>
      <c r="O71" s="95" t="n">
        <f aca="false">D71*L71</f>
        <v>1896989.76</v>
      </c>
      <c r="P71" s="34" t="str">
        <f aca="false">TRIM(IF(N(E71)&lt;=0,"택가보정 ","")&amp;IF(N(F71)&lt;=0,"원가보정 ","")&amp;IF(AND(B71&lt;&gt;"CN",N(H71)&lt;=0),"공급가보정 ","")&amp;IF(AND(B71="CN",N(I71)&lt;=0),"중국공급가=원가+마진 ",""))</f>
        <v/>
      </c>
    </row>
    <row r="72" customFormat="false" ht="15.75" hidden="false" customHeight="true" outlineLevel="0" collapsed="false">
      <c r="A72" s="94" t="s">
        <v>1685</v>
      </c>
      <c r="B72" s="34" t="str">
        <f aca="false">IF(A72="100","HK",IF(A72="200","CN",IF(A72="300","TW","홀세일")))</f>
        <v>CN</v>
      </c>
      <c r="C72" s="94" t="s">
        <v>1443</v>
      </c>
      <c r="D72" s="95" t="n">
        <v>141</v>
      </c>
      <c r="E72" s="95" t="n">
        <v>199000</v>
      </c>
      <c r="F72" s="95" t="n">
        <v>55830</v>
      </c>
      <c r="G72" s="34" t="n">
        <v>3.24</v>
      </c>
      <c r="H72" s="34" t="n">
        <v>49.8</v>
      </c>
      <c r="J72" s="95" t="n">
        <f aca="false">IF(N(E72)&gt;0,E72,IF(N(F72)&gt;0,F72*가정!$B$5,0))</f>
        <v>199000</v>
      </c>
      <c r="K72" s="95" t="n">
        <f aca="false">IF(N(F72)&gt;0,F72,IF(N(E72)&gt;0,E72/가정!$B$5,0))</f>
        <v>55830</v>
      </c>
      <c r="L72" s="95" t="n">
        <f aca="false">IF(B72="CN",IF(N(I72)&gt;0,I72*가정!$B$3,K72*(1+가정!$B$6)),IF(N(H72)&gt;0,H72*가정!$B$3,J72*가정!$B$4))</f>
        <v>58621.5</v>
      </c>
      <c r="M72" s="95" t="n">
        <f aca="false">D72*J72</f>
        <v>28059000</v>
      </c>
      <c r="N72" s="95" t="n">
        <f aca="false">D72*K72</f>
        <v>7872030</v>
      </c>
      <c r="O72" s="95" t="n">
        <f aca="false">D72*L72</f>
        <v>8265631.5</v>
      </c>
      <c r="P72" s="34" t="str">
        <f aca="false">TRIM(IF(N(E72)&lt;=0,"택가보정 ","")&amp;IF(N(F72)&lt;=0,"원가보정 ","")&amp;IF(AND(B72&lt;&gt;"CN",N(H72)&lt;=0),"공급가보정 ","")&amp;IF(AND(B72="CN",N(I72)&lt;=0),"중국공급가=원가+마진 ",""))</f>
        <v>중국공급가=원가+마진</v>
      </c>
    </row>
    <row r="73" customFormat="false" ht="15" hidden="false" customHeight="true" outlineLevel="0" collapsed="false">
      <c r="A73" s="94" t="s">
        <v>1688</v>
      </c>
      <c r="B73" s="34" t="str">
        <f aca="false">IF(A73="100","HK",IF(A73="200","CN",IF(A73="300","TW","홀세일")))</f>
        <v>홀세일</v>
      </c>
      <c r="C73" s="94" t="s">
        <v>1443</v>
      </c>
      <c r="D73" s="95" t="n">
        <v>15</v>
      </c>
      <c r="E73" s="95" t="n">
        <v>199000</v>
      </c>
      <c r="F73" s="95" t="n">
        <v>55830</v>
      </c>
      <c r="G73" s="34" t="n">
        <v>3.24</v>
      </c>
      <c r="H73" s="34" t="n">
        <v>49.8</v>
      </c>
      <c r="J73" s="95" t="n">
        <f aca="false">IF(N(E73)&gt;0,E73,IF(N(F73)&gt;0,F73*가정!$B$5,0))</f>
        <v>199000</v>
      </c>
      <c r="K73" s="95" t="n">
        <f aca="false">IF(N(F73)&gt;0,F73,IF(N(E73)&gt;0,E73/가정!$B$5,0))</f>
        <v>55830</v>
      </c>
      <c r="L73" s="95" t="n">
        <f aca="false">IF(B73="CN",IF(N(I73)&gt;0,I73*가정!$B$3,K73*(1+가정!$B$6)),IF(N(H73)&gt;0,H73*가정!$B$3,J73*가정!$B$4))</f>
        <v>67866.444</v>
      </c>
      <c r="M73" s="95" t="n">
        <f aca="false">D73*J73</f>
        <v>2985000</v>
      </c>
      <c r="N73" s="95" t="n">
        <f aca="false">D73*K73</f>
        <v>837450</v>
      </c>
      <c r="O73" s="95" t="n">
        <f aca="false">D73*L73</f>
        <v>1017996.66</v>
      </c>
      <c r="P73" s="34" t="str">
        <f aca="false">TRIM(IF(N(E73)&lt;=0,"택가보정 ","")&amp;IF(N(F73)&lt;=0,"원가보정 ","")&amp;IF(AND(B73&lt;&gt;"CN",N(H73)&lt;=0),"공급가보정 ","")&amp;IF(AND(B73="CN",N(I73)&lt;=0),"중국공급가=원가+마진 ",""))</f>
        <v/>
      </c>
    </row>
    <row r="74" customFormat="false" ht="15" hidden="false" customHeight="true" outlineLevel="0" collapsed="false">
      <c r="A74" s="94" t="s">
        <v>1692</v>
      </c>
      <c r="B74" s="34" t="str">
        <f aca="false">IF(A74="100","HK",IF(A74="200","CN",IF(A74="300","TW","홀세일")))</f>
        <v>홀세일</v>
      </c>
      <c r="C74" s="94" t="s">
        <v>1443</v>
      </c>
      <c r="D74" s="95" t="n">
        <v>41</v>
      </c>
      <c r="E74" s="95" t="n">
        <v>199000</v>
      </c>
      <c r="F74" s="95" t="n">
        <v>55830</v>
      </c>
      <c r="G74" s="34" t="n">
        <v>3.24</v>
      </c>
      <c r="H74" s="34" t="n">
        <v>49.8</v>
      </c>
      <c r="J74" s="95" t="n">
        <f aca="false">IF(N(E74)&gt;0,E74,IF(N(F74)&gt;0,F74*가정!$B$5,0))</f>
        <v>199000</v>
      </c>
      <c r="K74" s="95" t="n">
        <f aca="false">IF(N(F74)&gt;0,F74,IF(N(E74)&gt;0,E74/가정!$B$5,0))</f>
        <v>55830</v>
      </c>
      <c r="L74" s="95" t="n">
        <f aca="false">IF(B74="CN",IF(N(I74)&gt;0,I74*가정!$B$3,K74*(1+가정!$B$6)),IF(N(H74)&gt;0,H74*가정!$B$3,J74*가정!$B$4))</f>
        <v>67866.444</v>
      </c>
      <c r="M74" s="95" t="n">
        <f aca="false">D74*J74</f>
        <v>8159000</v>
      </c>
      <c r="N74" s="95" t="n">
        <f aca="false">D74*K74</f>
        <v>2289030</v>
      </c>
      <c r="O74" s="95" t="n">
        <f aca="false">D74*L74</f>
        <v>2782524.204</v>
      </c>
      <c r="P74" s="34" t="str">
        <f aca="false">TRIM(IF(N(E74)&lt;=0,"택가보정 ","")&amp;IF(N(F74)&lt;=0,"원가보정 ","")&amp;IF(AND(B74&lt;&gt;"CN",N(H74)&lt;=0),"공급가보정 ","")&amp;IF(AND(B74="CN",N(I74)&lt;=0),"중국공급가=원가+마진 ",""))</f>
        <v/>
      </c>
    </row>
    <row r="75" customFormat="false" ht="15" hidden="false" customHeight="true" outlineLevel="0" collapsed="false">
      <c r="A75" s="94" t="s">
        <v>1684</v>
      </c>
      <c r="B75" s="34" t="str">
        <f aca="false">IF(A75="100","HK",IF(A75="200","CN",IF(A75="300","TW","홀세일")))</f>
        <v>HK</v>
      </c>
      <c r="C75" s="94" t="s">
        <v>835</v>
      </c>
      <c r="D75" s="95" t="n">
        <v>90</v>
      </c>
      <c r="E75" s="95" t="n">
        <v>139000</v>
      </c>
      <c r="F75" s="95" t="n">
        <v>34700</v>
      </c>
      <c r="G75" s="34" t="n">
        <v>3.78</v>
      </c>
      <c r="H75" s="34" t="n">
        <v>34.8</v>
      </c>
      <c r="J75" s="95" t="n">
        <f aca="false">IF(N(E75)&gt;0,E75,IF(N(F75)&gt;0,F75*가정!$B$5,0))</f>
        <v>139000</v>
      </c>
      <c r="K75" s="95" t="n">
        <f aca="false">IF(N(F75)&gt;0,F75,IF(N(E75)&gt;0,E75/가정!$B$5,0))</f>
        <v>34700</v>
      </c>
      <c r="L75" s="95" t="n">
        <f aca="false">IF(B75="CN",IF(N(I75)&gt;0,I75*가정!$B$3,K75*(1+가정!$B$6)),IF(N(H75)&gt;0,H75*가정!$B$3,J75*가정!$B$4))</f>
        <v>47424.744</v>
      </c>
      <c r="M75" s="95" t="n">
        <f aca="false">D75*J75</f>
        <v>12510000</v>
      </c>
      <c r="N75" s="95" t="n">
        <f aca="false">D75*K75</f>
        <v>3123000</v>
      </c>
      <c r="O75" s="95" t="n">
        <f aca="false">D75*L75</f>
        <v>4268226.96</v>
      </c>
      <c r="P75" s="34" t="str">
        <f aca="false">TRIM(IF(N(E75)&lt;=0,"택가보정 ","")&amp;IF(N(F75)&lt;=0,"원가보정 ","")&amp;IF(AND(B75&lt;&gt;"CN",N(H75)&lt;=0),"공급가보정 ","")&amp;IF(AND(B75="CN",N(I75)&lt;=0),"중국공급가=원가+마진 ",""))</f>
        <v/>
      </c>
    </row>
    <row r="76" customFormat="false" ht="15" hidden="false" customHeight="true" outlineLevel="0" collapsed="false">
      <c r="A76" s="94" t="s">
        <v>1690</v>
      </c>
      <c r="B76" s="34" t="str">
        <f aca="false">IF(A76="100","HK",IF(A76="200","CN",IF(A76="300","TW","홀세일")))</f>
        <v>홀세일</v>
      </c>
      <c r="C76" s="94" t="s">
        <v>835</v>
      </c>
      <c r="D76" s="95" t="n">
        <v>228</v>
      </c>
      <c r="E76" s="95" t="n">
        <v>139000</v>
      </c>
      <c r="F76" s="95" t="n">
        <v>34700</v>
      </c>
      <c r="G76" s="34" t="n">
        <v>3.78</v>
      </c>
      <c r="H76" s="34" t="n">
        <v>34.8</v>
      </c>
      <c r="J76" s="95" t="n">
        <f aca="false">IF(N(E76)&gt;0,E76,IF(N(F76)&gt;0,F76*가정!$B$5,0))</f>
        <v>139000</v>
      </c>
      <c r="K76" s="95" t="n">
        <f aca="false">IF(N(F76)&gt;0,F76,IF(N(E76)&gt;0,E76/가정!$B$5,0))</f>
        <v>34700</v>
      </c>
      <c r="L76" s="95" t="n">
        <f aca="false">IF(B76="CN",IF(N(I76)&gt;0,I76*가정!$B$3,K76*(1+가정!$B$6)),IF(N(H76)&gt;0,H76*가정!$B$3,J76*가정!$B$4))</f>
        <v>47424.744</v>
      </c>
      <c r="M76" s="95" t="n">
        <f aca="false">D76*J76</f>
        <v>31692000</v>
      </c>
      <c r="N76" s="95" t="n">
        <f aca="false">D76*K76</f>
        <v>7911600</v>
      </c>
      <c r="O76" s="95" t="n">
        <f aca="false">D76*L76</f>
        <v>10812841.632</v>
      </c>
      <c r="P76" s="34" t="str">
        <f aca="false">TRIM(IF(N(E76)&lt;=0,"택가보정 ","")&amp;IF(N(F76)&lt;=0,"원가보정 ","")&amp;IF(AND(B76&lt;&gt;"CN",N(H76)&lt;=0),"공급가보정 ","")&amp;IF(AND(B76="CN",N(I76)&lt;=0),"중국공급가=원가+마진 ",""))</f>
        <v/>
      </c>
    </row>
    <row r="77" customFormat="false" ht="15" hidden="false" customHeight="true" outlineLevel="0" collapsed="false">
      <c r="A77" s="94" t="s">
        <v>1684</v>
      </c>
      <c r="B77" s="34" t="str">
        <f aca="false">IF(A77="100","HK",IF(A77="200","CN",IF(A77="300","TW","홀세일")))</f>
        <v>HK</v>
      </c>
      <c r="C77" s="94" t="s">
        <v>1308</v>
      </c>
      <c r="D77" s="95" t="n">
        <v>90</v>
      </c>
      <c r="E77" s="95" t="n">
        <v>179000</v>
      </c>
      <c r="F77" s="95" t="n">
        <v>44333</v>
      </c>
      <c r="G77" s="34" t="n">
        <v>3.25</v>
      </c>
      <c r="H77" s="34" t="n">
        <v>44.8</v>
      </c>
      <c r="J77" s="95" t="n">
        <f aca="false">IF(N(E77)&gt;0,E77,IF(N(F77)&gt;0,F77*가정!$B$5,0))</f>
        <v>179000</v>
      </c>
      <c r="K77" s="95" t="n">
        <f aca="false">IF(N(F77)&gt;0,F77,IF(N(E77)&gt;0,E77/가정!$B$5,0))</f>
        <v>44333</v>
      </c>
      <c r="L77" s="95" t="n">
        <f aca="false">IF(B77="CN",IF(N(I77)&gt;0,I77*가정!$B$3,K77*(1+가정!$B$6)),IF(N(H77)&gt;0,H77*가정!$B$3,J77*가정!$B$4))</f>
        <v>61052.544</v>
      </c>
      <c r="M77" s="95" t="n">
        <f aca="false">D77*J77</f>
        <v>16110000</v>
      </c>
      <c r="N77" s="95" t="n">
        <f aca="false">D77*K77</f>
        <v>3989970</v>
      </c>
      <c r="O77" s="95" t="n">
        <f aca="false">D77*L77</f>
        <v>5494728.96</v>
      </c>
      <c r="P77" s="34" t="str">
        <f aca="false">TRIM(IF(N(E77)&lt;=0,"택가보정 ","")&amp;IF(N(F77)&lt;=0,"원가보정 ","")&amp;IF(AND(B77&lt;&gt;"CN",N(H77)&lt;=0),"공급가보정 ","")&amp;IF(AND(B77="CN",N(I77)&lt;=0),"중국공급가=원가+마진 ",""))</f>
        <v/>
      </c>
    </row>
    <row r="78" customFormat="false" ht="15.75" hidden="false" customHeight="true" outlineLevel="0" collapsed="false">
      <c r="A78" s="94" t="s">
        <v>1685</v>
      </c>
      <c r="B78" s="34" t="str">
        <f aca="false">IF(A78="100","HK",IF(A78="200","CN",IF(A78="300","TW","홀세일")))</f>
        <v>CN</v>
      </c>
      <c r="C78" s="94" t="s">
        <v>1308</v>
      </c>
      <c r="D78" s="95" t="n">
        <v>312</v>
      </c>
      <c r="E78" s="95" t="n">
        <v>179000</v>
      </c>
      <c r="F78" s="95" t="n">
        <v>44333</v>
      </c>
      <c r="G78" s="34" t="n">
        <v>3.25</v>
      </c>
      <c r="H78" s="34" t="n">
        <v>44.8</v>
      </c>
      <c r="J78" s="95" t="n">
        <f aca="false">IF(N(E78)&gt;0,E78,IF(N(F78)&gt;0,F78*가정!$B$5,0))</f>
        <v>179000</v>
      </c>
      <c r="K78" s="95" t="n">
        <f aca="false">IF(N(F78)&gt;0,F78,IF(N(E78)&gt;0,E78/가정!$B$5,0))</f>
        <v>44333</v>
      </c>
      <c r="L78" s="95" t="n">
        <f aca="false">IF(B78="CN",IF(N(I78)&gt;0,I78*가정!$B$3,K78*(1+가정!$B$6)),IF(N(H78)&gt;0,H78*가정!$B$3,J78*가정!$B$4))</f>
        <v>46549.65</v>
      </c>
      <c r="M78" s="95" t="n">
        <f aca="false">D78*J78</f>
        <v>55848000</v>
      </c>
      <c r="N78" s="95" t="n">
        <f aca="false">D78*K78</f>
        <v>13831896</v>
      </c>
      <c r="O78" s="95" t="n">
        <f aca="false">D78*L78</f>
        <v>14523490.8</v>
      </c>
      <c r="P78" s="34" t="str">
        <f aca="false">TRIM(IF(N(E78)&lt;=0,"택가보정 ","")&amp;IF(N(F78)&lt;=0,"원가보정 ","")&amp;IF(AND(B78&lt;&gt;"CN",N(H78)&lt;=0),"공급가보정 ","")&amp;IF(AND(B78="CN",N(I78)&lt;=0),"중국공급가=원가+마진 ",""))</f>
        <v>중국공급가=원가+마진</v>
      </c>
    </row>
    <row r="79" customFormat="false" ht="15" hidden="false" customHeight="true" outlineLevel="0" collapsed="false">
      <c r="A79" s="94" t="s">
        <v>1686</v>
      </c>
      <c r="B79" s="34" t="str">
        <f aca="false">IF(A79="100","HK",IF(A79="200","CN",IF(A79="300","TW","홀세일")))</f>
        <v>TW</v>
      </c>
      <c r="C79" s="94" t="s">
        <v>1308</v>
      </c>
      <c r="D79" s="95" t="n">
        <v>120</v>
      </c>
      <c r="E79" s="95" t="n">
        <v>179000</v>
      </c>
      <c r="F79" s="95" t="n">
        <v>44333</v>
      </c>
      <c r="G79" s="34" t="n">
        <v>3.25</v>
      </c>
      <c r="H79" s="34" t="n">
        <v>44.8</v>
      </c>
      <c r="J79" s="95" t="n">
        <f aca="false">IF(N(E79)&gt;0,E79,IF(N(F79)&gt;0,F79*가정!$B$5,0))</f>
        <v>179000</v>
      </c>
      <c r="K79" s="95" t="n">
        <f aca="false">IF(N(F79)&gt;0,F79,IF(N(E79)&gt;0,E79/가정!$B$5,0))</f>
        <v>44333</v>
      </c>
      <c r="L79" s="95" t="n">
        <f aca="false">IF(B79="CN",IF(N(I79)&gt;0,I79*가정!$B$3,K79*(1+가정!$B$6)),IF(N(H79)&gt;0,H79*가정!$B$3,J79*가정!$B$4))</f>
        <v>61052.544</v>
      </c>
      <c r="M79" s="95" t="n">
        <f aca="false">D79*J79</f>
        <v>21480000</v>
      </c>
      <c r="N79" s="95" t="n">
        <f aca="false">D79*K79</f>
        <v>5319960</v>
      </c>
      <c r="O79" s="95" t="n">
        <f aca="false">D79*L79</f>
        <v>7326305.28</v>
      </c>
      <c r="P79" s="34" t="str">
        <f aca="false">TRIM(IF(N(E79)&lt;=0,"택가보정 ","")&amp;IF(N(F79)&lt;=0,"원가보정 ","")&amp;IF(AND(B79&lt;&gt;"CN",N(H79)&lt;=0),"공급가보정 ","")&amp;IF(AND(B79="CN",N(I79)&lt;=0),"중국공급가=원가+마진 ",""))</f>
        <v/>
      </c>
    </row>
    <row r="80" customFormat="false" ht="15" hidden="false" customHeight="true" outlineLevel="0" collapsed="false">
      <c r="A80" s="94" t="s">
        <v>1687</v>
      </c>
      <c r="B80" s="34" t="str">
        <f aca="false">IF(A80="100","HK",IF(A80="200","CN",IF(A80="300","TW","홀세일")))</f>
        <v>홀세일</v>
      </c>
      <c r="C80" s="94" t="s">
        <v>1308</v>
      </c>
      <c r="D80" s="95" t="n">
        <v>25</v>
      </c>
      <c r="E80" s="95" t="n">
        <v>179000</v>
      </c>
      <c r="F80" s="95" t="n">
        <v>44333</v>
      </c>
      <c r="G80" s="34" t="n">
        <v>3.25</v>
      </c>
      <c r="H80" s="34" t="n">
        <v>44.8</v>
      </c>
      <c r="J80" s="95" t="n">
        <f aca="false">IF(N(E80)&gt;0,E80,IF(N(F80)&gt;0,F80*가정!$B$5,0))</f>
        <v>179000</v>
      </c>
      <c r="K80" s="95" t="n">
        <f aca="false">IF(N(F80)&gt;0,F80,IF(N(E80)&gt;0,E80/가정!$B$5,0))</f>
        <v>44333</v>
      </c>
      <c r="L80" s="95" t="n">
        <f aca="false">IF(B80="CN",IF(N(I80)&gt;0,I80*가정!$B$3,K80*(1+가정!$B$6)),IF(N(H80)&gt;0,H80*가정!$B$3,J80*가정!$B$4))</f>
        <v>61052.544</v>
      </c>
      <c r="M80" s="95" t="n">
        <f aca="false">D80*J80</f>
        <v>4475000</v>
      </c>
      <c r="N80" s="95" t="n">
        <f aca="false">D80*K80</f>
        <v>1108325</v>
      </c>
      <c r="O80" s="95" t="n">
        <f aca="false">D80*L80</f>
        <v>1526313.6</v>
      </c>
      <c r="P80" s="34" t="str">
        <f aca="false">TRIM(IF(N(E80)&lt;=0,"택가보정 ","")&amp;IF(N(F80)&lt;=0,"원가보정 ","")&amp;IF(AND(B80&lt;&gt;"CN",N(H80)&lt;=0),"공급가보정 ","")&amp;IF(AND(B80="CN",N(I80)&lt;=0),"중국공급가=원가+마진 ",""))</f>
        <v/>
      </c>
    </row>
    <row r="81" customFormat="false" ht="15" hidden="false" customHeight="true" outlineLevel="0" collapsed="false">
      <c r="A81" s="94" t="s">
        <v>1686</v>
      </c>
      <c r="B81" s="34" t="str">
        <f aca="false">IF(A81="100","HK",IF(A81="200","CN",IF(A81="300","TW","홀세일")))</f>
        <v>TW</v>
      </c>
      <c r="C81" s="94" t="s">
        <v>216</v>
      </c>
      <c r="D81" s="95" t="n">
        <v>200</v>
      </c>
      <c r="E81" s="95" t="n">
        <v>239000</v>
      </c>
      <c r="F81" s="95" t="n">
        <v>62300</v>
      </c>
      <c r="G81" s="34" t="n">
        <v>3.24</v>
      </c>
      <c r="H81" s="34" t="n">
        <v>63.5</v>
      </c>
      <c r="J81" s="95" t="n">
        <f aca="false">IF(N(E81)&gt;0,E81,IF(N(F81)&gt;0,F81*가정!$B$5,0))</f>
        <v>239000</v>
      </c>
      <c r="K81" s="95" t="n">
        <f aca="false">IF(N(F81)&gt;0,F81,IF(N(E81)&gt;0,E81/가정!$B$5,0))</f>
        <v>62300</v>
      </c>
      <c r="L81" s="95" t="n">
        <f aca="false">IF(B81="CN",IF(N(I81)&gt;0,I81*가정!$B$3,K81*(1+가정!$B$6)),IF(N(H81)&gt;0,H81*가정!$B$3,J81*가정!$B$4))</f>
        <v>86536.53</v>
      </c>
      <c r="M81" s="95" t="n">
        <f aca="false">D81*J81</f>
        <v>47800000</v>
      </c>
      <c r="N81" s="95" t="n">
        <f aca="false">D81*K81</f>
        <v>12460000</v>
      </c>
      <c r="O81" s="95" t="n">
        <f aca="false">D81*L81</f>
        <v>17307306</v>
      </c>
      <c r="P81" s="34" t="str">
        <f aca="false">TRIM(IF(N(E81)&lt;=0,"택가보정 ","")&amp;IF(N(F81)&lt;=0,"원가보정 ","")&amp;IF(AND(B81&lt;&gt;"CN",N(H81)&lt;=0),"공급가보정 ","")&amp;IF(AND(B81="CN",N(I81)&lt;=0),"중국공급가=원가+마진 ",""))</f>
        <v/>
      </c>
    </row>
    <row r="82" customFormat="false" ht="15" hidden="false" customHeight="true" outlineLevel="0" collapsed="false">
      <c r="A82" s="94" t="s">
        <v>1688</v>
      </c>
      <c r="B82" s="34" t="str">
        <f aca="false">IF(A82="100","HK",IF(A82="200","CN",IF(A82="300","TW","홀세일")))</f>
        <v>홀세일</v>
      </c>
      <c r="C82" s="94" t="s">
        <v>216</v>
      </c>
      <c r="D82" s="95" t="n">
        <v>20</v>
      </c>
      <c r="E82" s="95" t="n">
        <v>239000</v>
      </c>
      <c r="F82" s="95" t="n">
        <v>62300</v>
      </c>
      <c r="G82" s="34" t="n">
        <v>3.24</v>
      </c>
      <c r="H82" s="34" t="n">
        <v>63.5</v>
      </c>
      <c r="J82" s="95" t="n">
        <f aca="false">IF(N(E82)&gt;0,E82,IF(N(F82)&gt;0,F82*가정!$B$5,0))</f>
        <v>239000</v>
      </c>
      <c r="K82" s="95" t="n">
        <f aca="false">IF(N(F82)&gt;0,F82,IF(N(E82)&gt;0,E82/가정!$B$5,0))</f>
        <v>62300</v>
      </c>
      <c r="L82" s="95" t="n">
        <f aca="false">IF(B82="CN",IF(N(I82)&gt;0,I82*가정!$B$3,K82*(1+가정!$B$6)),IF(N(H82)&gt;0,H82*가정!$B$3,J82*가정!$B$4))</f>
        <v>86536.53</v>
      </c>
      <c r="M82" s="95" t="n">
        <f aca="false">D82*J82</f>
        <v>4780000</v>
      </c>
      <c r="N82" s="95" t="n">
        <f aca="false">D82*K82</f>
        <v>1246000</v>
      </c>
      <c r="O82" s="95" t="n">
        <f aca="false">D82*L82</f>
        <v>1730730.6</v>
      </c>
      <c r="P82" s="34" t="str">
        <f aca="false">TRIM(IF(N(E82)&lt;=0,"택가보정 ","")&amp;IF(N(F82)&lt;=0,"원가보정 ","")&amp;IF(AND(B82&lt;&gt;"CN",N(H82)&lt;=0),"공급가보정 ","")&amp;IF(AND(B82="CN",N(I82)&lt;=0),"중국공급가=원가+마진 ",""))</f>
        <v/>
      </c>
    </row>
    <row r="83" customFormat="false" ht="15" hidden="false" customHeight="true" outlineLevel="0" collapsed="false">
      <c r="A83" s="94" t="s">
        <v>1684</v>
      </c>
      <c r="B83" s="34" t="str">
        <f aca="false">IF(A83="100","HK",IF(A83="200","CN",IF(A83="300","TW","홀세일")))</f>
        <v>HK</v>
      </c>
      <c r="C83" s="94" t="s">
        <v>841</v>
      </c>
      <c r="D83" s="95" t="n">
        <v>100</v>
      </c>
      <c r="E83" s="95" t="n">
        <v>219000</v>
      </c>
      <c r="F83" s="95" t="n">
        <v>47503</v>
      </c>
      <c r="G83" s="34" t="n">
        <v>3.81</v>
      </c>
      <c r="H83" s="34" t="n">
        <v>58.2</v>
      </c>
      <c r="J83" s="95" t="n">
        <f aca="false">IF(N(E83)&gt;0,E83,IF(N(F83)&gt;0,F83*가정!$B$5,0))</f>
        <v>219000</v>
      </c>
      <c r="K83" s="95" t="n">
        <f aca="false">IF(N(F83)&gt;0,F83,IF(N(E83)&gt;0,E83/가정!$B$5,0))</f>
        <v>47503</v>
      </c>
      <c r="L83" s="95" t="n">
        <f aca="false">IF(B83="CN",IF(N(I83)&gt;0,I83*가정!$B$3,K83*(1+가정!$B$6)),IF(N(H83)&gt;0,H83*가정!$B$3,J83*가정!$B$4))</f>
        <v>79313.796</v>
      </c>
      <c r="M83" s="95" t="n">
        <f aca="false">D83*J83</f>
        <v>21900000</v>
      </c>
      <c r="N83" s="95" t="n">
        <f aca="false">D83*K83</f>
        <v>4750300</v>
      </c>
      <c r="O83" s="95" t="n">
        <f aca="false">D83*L83</f>
        <v>7931379.6</v>
      </c>
      <c r="P83" s="34" t="str">
        <f aca="false">TRIM(IF(N(E83)&lt;=0,"택가보정 ","")&amp;IF(N(F83)&lt;=0,"원가보정 ","")&amp;IF(AND(B83&lt;&gt;"CN",N(H83)&lt;=0),"공급가보정 ","")&amp;IF(AND(B83="CN",N(I83)&lt;=0),"중국공급가=원가+마진 ",""))</f>
        <v/>
      </c>
    </row>
    <row r="84" customFormat="false" ht="15" hidden="false" customHeight="true" outlineLevel="0" collapsed="false">
      <c r="A84" s="94" t="s">
        <v>1692</v>
      </c>
      <c r="B84" s="34" t="str">
        <f aca="false">IF(A84="100","HK",IF(A84="200","CN",IF(A84="300","TW","홀세일")))</f>
        <v>홀세일</v>
      </c>
      <c r="C84" s="94" t="s">
        <v>841</v>
      </c>
      <c r="D84" s="95" t="n">
        <v>92</v>
      </c>
      <c r="E84" s="95" t="n">
        <v>219000</v>
      </c>
      <c r="F84" s="95" t="n">
        <v>47503</v>
      </c>
      <c r="G84" s="34" t="n">
        <v>3.81</v>
      </c>
      <c r="H84" s="34" t="n">
        <v>58.2</v>
      </c>
      <c r="J84" s="95" t="n">
        <f aca="false">IF(N(E84)&gt;0,E84,IF(N(F84)&gt;0,F84*가정!$B$5,0))</f>
        <v>219000</v>
      </c>
      <c r="K84" s="95" t="n">
        <f aca="false">IF(N(F84)&gt;0,F84,IF(N(E84)&gt;0,E84/가정!$B$5,0))</f>
        <v>47503</v>
      </c>
      <c r="L84" s="95" t="n">
        <f aca="false">IF(B84="CN",IF(N(I84)&gt;0,I84*가정!$B$3,K84*(1+가정!$B$6)),IF(N(H84)&gt;0,H84*가정!$B$3,J84*가정!$B$4))</f>
        <v>79313.796</v>
      </c>
      <c r="M84" s="95" t="n">
        <f aca="false">D84*J84</f>
        <v>20148000</v>
      </c>
      <c r="N84" s="95" t="n">
        <f aca="false">D84*K84</f>
        <v>4370276</v>
      </c>
      <c r="O84" s="95" t="n">
        <f aca="false">D84*L84</f>
        <v>7296869.232</v>
      </c>
      <c r="P84" s="34" t="str">
        <f aca="false">TRIM(IF(N(E84)&lt;=0,"택가보정 ","")&amp;IF(N(F84)&lt;=0,"원가보정 ","")&amp;IF(AND(B84&lt;&gt;"CN",N(H84)&lt;=0),"공급가보정 ","")&amp;IF(AND(B84="CN",N(I84)&lt;=0),"중국공급가=원가+마진 ",""))</f>
        <v/>
      </c>
    </row>
    <row r="85" customFormat="false" ht="15" hidden="false" customHeight="true" outlineLevel="0" collapsed="false">
      <c r="A85" s="94" t="s">
        <v>1684</v>
      </c>
      <c r="B85" s="34" t="str">
        <f aca="false">IF(A85="100","HK",IF(A85="200","CN",IF(A85="300","TW","홀세일")))</f>
        <v>HK</v>
      </c>
      <c r="C85" s="94" t="s">
        <v>1695</v>
      </c>
      <c r="D85" s="95" t="n">
        <v>240</v>
      </c>
      <c r="E85" s="95" t="n">
        <v>199000</v>
      </c>
      <c r="F85" s="95" t="n">
        <v>45100</v>
      </c>
      <c r="G85" s="34" t="n">
        <v>3.74</v>
      </c>
      <c r="H85" s="34" t="n">
        <v>52.9</v>
      </c>
      <c r="J85" s="95" t="n">
        <f aca="false">IF(N(E85)&gt;0,E85,IF(N(F85)&gt;0,F85*가정!$B$5,0))</f>
        <v>199000</v>
      </c>
      <c r="K85" s="95" t="n">
        <f aca="false">IF(N(F85)&gt;0,F85,IF(N(E85)&gt;0,E85/가정!$B$5,0))</f>
        <v>45100</v>
      </c>
      <c r="L85" s="95" t="n">
        <f aca="false">IF(B85="CN",IF(N(I85)&gt;0,I85*가정!$B$3,K85*(1+가정!$B$6)),IF(N(H85)&gt;0,H85*가정!$B$3,J85*가정!$B$4))</f>
        <v>72091.062</v>
      </c>
      <c r="M85" s="95" t="n">
        <f aca="false">D85*J85</f>
        <v>47760000</v>
      </c>
      <c r="N85" s="95" t="n">
        <f aca="false">D85*K85</f>
        <v>10824000</v>
      </c>
      <c r="O85" s="95" t="n">
        <f aca="false">D85*L85</f>
        <v>17301854.88</v>
      </c>
      <c r="P85" s="34" t="str">
        <f aca="false">TRIM(IF(N(E85)&lt;=0,"택가보정 ","")&amp;IF(N(F85)&lt;=0,"원가보정 ","")&amp;IF(AND(B85&lt;&gt;"CN",N(H85)&lt;=0),"공급가보정 ","")&amp;IF(AND(B85="CN",N(I85)&lt;=0),"중국공급가=원가+마진 ",""))</f>
        <v/>
      </c>
    </row>
    <row r="86" customFormat="false" ht="15" hidden="false" customHeight="true" outlineLevel="0" collapsed="false">
      <c r="A86" s="94" t="s">
        <v>1684</v>
      </c>
      <c r="B86" s="34" t="str">
        <f aca="false">IF(A86="100","HK",IF(A86="200","CN",IF(A86="300","TW","홀세일")))</f>
        <v>HK</v>
      </c>
      <c r="C86" s="94" t="s">
        <v>843</v>
      </c>
      <c r="D86" s="95" t="n">
        <v>220</v>
      </c>
      <c r="E86" s="95" t="n">
        <v>259000</v>
      </c>
      <c r="F86" s="95" t="n">
        <v>77300</v>
      </c>
      <c r="G86" s="34" t="n">
        <v>3</v>
      </c>
      <c r="H86" s="34" t="n">
        <v>68.8</v>
      </c>
      <c r="J86" s="95" t="n">
        <f aca="false">IF(N(E86)&gt;0,E86,IF(N(F86)&gt;0,F86*가정!$B$5,0))</f>
        <v>259000</v>
      </c>
      <c r="K86" s="95" t="n">
        <f aca="false">IF(N(F86)&gt;0,F86,IF(N(E86)&gt;0,E86/가정!$B$5,0))</f>
        <v>77300</v>
      </c>
      <c r="L86" s="95" t="n">
        <f aca="false">IF(B86="CN",IF(N(I86)&gt;0,I86*가정!$B$3,K86*(1+가정!$B$6)),IF(N(H86)&gt;0,H86*가정!$B$3,J86*가정!$B$4))</f>
        <v>93759.264</v>
      </c>
      <c r="M86" s="95" t="n">
        <f aca="false">D86*J86</f>
        <v>56980000</v>
      </c>
      <c r="N86" s="95" t="n">
        <f aca="false">D86*K86</f>
        <v>17006000</v>
      </c>
      <c r="O86" s="95" t="n">
        <f aca="false">D86*L86</f>
        <v>20627038.08</v>
      </c>
      <c r="P86" s="34" t="str">
        <f aca="false">TRIM(IF(N(E86)&lt;=0,"택가보정 ","")&amp;IF(N(F86)&lt;=0,"원가보정 ","")&amp;IF(AND(B86&lt;&gt;"CN",N(H86)&lt;=0),"공급가보정 ","")&amp;IF(AND(B86="CN",N(I86)&lt;=0),"중국공급가=원가+마진 ",""))</f>
        <v/>
      </c>
    </row>
    <row r="87" customFormat="false" ht="15.75" hidden="false" customHeight="true" outlineLevel="0" collapsed="false">
      <c r="A87" s="94" t="s">
        <v>1685</v>
      </c>
      <c r="B87" s="34" t="str">
        <f aca="false">IF(A87="100","HK",IF(A87="200","CN",IF(A87="300","TW","홀세일")))</f>
        <v>CN</v>
      </c>
      <c r="C87" s="94" t="s">
        <v>1310</v>
      </c>
      <c r="D87" s="95" t="n">
        <v>83</v>
      </c>
      <c r="E87" s="95" t="n">
        <v>590000</v>
      </c>
      <c r="F87" s="95" t="n">
        <v>148107</v>
      </c>
      <c r="G87" s="34" t="n">
        <v>3.41</v>
      </c>
      <c r="H87" s="34" t="n">
        <v>156.6</v>
      </c>
      <c r="J87" s="95" t="n">
        <f aca="false">IF(N(E87)&gt;0,E87,IF(N(F87)&gt;0,F87*가정!$B$5,0))</f>
        <v>590000</v>
      </c>
      <c r="K87" s="95" t="n">
        <f aca="false">IF(N(F87)&gt;0,F87,IF(N(E87)&gt;0,E87/가정!$B$5,0))</f>
        <v>148107</v>
      </c>
      <c r="L87" s="95" t="n">
        <f aca="false">IF(B87="CN",IF(N(I87)&gt;0,I87*가정!$B$3,K87*(1+가정!$B$6)),IF(N(H87)&gt;0,H87*가정!$B$3,J87*가정!$B$4))</f>
        <v>155512.35</v>
      </c>
      <c r="M87" s="95" t="n">
        <f aca="false">D87*J87</f>
        <v>48970000</v>
      </c>
      <c r="N87" s="95" t="n">
        <f aca="false">D87*K87</f>
        <v>12292881</v>
      </c>
      <c r="O87" s="95" t="n">
        <f aca="false">D87*L87</f>
        <v>12907525.05</v>
      </c>
      <c r="P87" s="34" t="str">
        <f aca="false">TRIM(IF(N(E87)&lt;=0,"택가보정 ","")&amp;IF(N(F87)&lt;=0,"원가보정 ","")&amp;IF(AND(B87&lt;&gt;"CN",N(H87)&lt;=0),"공급가보정 ","")&amp;IF(AND(B87="CN",N(I87)&lt;=0),"중국공급가=원가+마진 ",""))</f>
        <v>중국공급가=원가+마진</v>
      </c>
    </row>
    <row r="88" customFormat="false" ht="15" hidden="false" customHeight="true" outlineLevel="0" collapsed="false">
      <c r="A88" s="94" t="s">
        <v>1686</v>
      </c>
      <c r="B88" s="34" t="str">
        <f aca="false">IF(A88="100","HK",IF(A88="200","CN",IF(A88="300","TW","홀세일")))</f>
        <v>TW</v>
      </c>
      <c r="C88" s="94" t="s">
        <v>1310</v>
      </c>
      <c r="D88" s="95" t="n">
        <v>320</v>
      </c>
      <c r="E88" s="95" t="n">
        <v>590000</v>
      </c>
      <c r="F88" s="95" t="n">
        <v>148107</v>
      </c>
      <c r="G88" s="34" t="n">
        <v>3.41</v>
      </c>
      <c r="H88" s="34" t="n">
        <v>156.6</v>
      </c>
      <c r="J88" s="95" t="n">
        <f aca="false">IF(N(E88)&gt;0,E88,IF(N(F88)&gt;0,F88*가정!$B$5,0))</f>
        <v>590000</v>
      </c>
      <c r="K88" s="95" t="n">
        <f aca="false">IF(N(F88)&gt;0,F88,IF(N(E88)&gt;0,E88/가정!$B$5,0))</f>
        <v>148107</v>
      </c>
      <c r="L88" s="95" t="n">
        <f aca="false">IF(B88="CN",IF(N(I88)&gt;0,I88*가정!$B$3,K88*(1+가정!$B$6)),IF(N(H88)&gt;0,H88*가정!$B$3,J88*가정!$B$4))</f>
        <v>213411.348</v>
      </c>
      <c r="M88" s="95" t="n">
        <f aca="false">D88*J88</f>
        <v>188800000</v>
      </c>
      <c r="N88" s="95" t="n">
        <f aca="false">D88*K88</f>
        <v>47394240</v>
      </c>
      <c r="O88" s="95" t="n">
        <f aca="false">D88*L88</f>
        <v>68291631.36</v>
      </c>
      <c r="P88" s="34" t="str">
        <f aca="false">TRIM(IF(N(E88)&lt;=0,"택가보정 ","")&amp;IF(N(F88)&lt;=0,"원가보정 ","")&amp;IF(AND(B88&lt;&gt;"CN",N(H88)&lt;=0),"공급가보정 ","")&amp;IF(AND(B88="CN",N(I88)&lt;=0),"중국공급가=원가+마진 ",""))</f>
        <v/>
      </c>
    </row>
    <row r="89" customFormat="false" ht="15" hidden="false" customHeight="true" outlineLevel="0" collapsed="false">
      <c r="A89" s="94" t="s">
        <v>1687</v>
      </c>
      <c r="B89" s="34" t="str">
        <f aca="false">IF(A89="100","HK",IF(A89="200","CN",IF(A89="300","TW","홀세일")))</f>
        <v>홀세일</v>
      </c>
      <c r="C89" s="94" t="s">
        <v>1310</v>
      </c>
      <c r="D89" s="95" t="n">
        <v>25</v>
      </c>
      <c r="E89" s="95" t="n">
        <v>590000</v>
      </c>
      <c r="F89" s="95" t="n">
        <v>148107</v>
      </c>
      <c r="G89" s="34" t="n">
        <v>3.41</v>
      </c>
      <c r="H89" s="34" t="n">
        <v>156.6</v>
      </c>
      <c r="J89" s="95" t="n">
        <f aca="false">IF(N(E89)&gt;0,E89,IF(N(F89)&gt;0,F89*가정!$B$5,0))</f>
        <v>590000</v>
      </c>
      <c r="K89" s="95" t="n">
        <f aca="false">IF(N(F89)&gt;0,F89,IF(N(E89)&gt;0,E89/가정!$B$5,0))</f>
        <v>148107</v>
      </c>
      <c r="L89" s="95" t="n">
        <f aca="false">IF(B89="CN",IF(N(I89)&gt;0,I89*가정!$B$3,K89*(1+가정!$B$6)),IF(N(H89)&gt;0,H89*가정!$B$3,J89*가정!$B$4))</f>
        <v>213411.348</v>
      </c>
      <c r="M89" s="95" t="n">
        <f aca="false">D89*J89</f>
        <v>14750000</v>
      </c>
      <c r="N89" s="95" t="n">
        <f aca="false">D89*K89</f>
        <v>3702675</v>
      </c>
      <c r="O89" s="95" t="n">
        <f aca="false">D89*L89</f>
        <v>5335283.7</v>
      </c>
      <c r="P89" s="34" t="str">
        <f aca="false">TRIM(IF(N(E89)&lt;=0,"택가보정 ","")&amp;IF(N(F89)&lt;=0,"원가보정 ","")&amp;IF(AND(B89&lt;&gt;"CN",N(H89)&lt;=0),"공급가보정 ","")&amp;IF(AND(B89="CN",N(I89)&lt;=0),"중국공급가=원가+마진 ",""))</f>
        <v/>
      </c>
    </row>
    <row r="90" customFormat="false" ht="15" hidden="false" customHeight="true" outlineLevel="0" collapsed="false">
      <c r="A90" s="94" t="s">
        <v>1689</v>
      </c>
      <c r="B90" s="34" t="str">
        <f aca="false">IF(A90="100","HK",IF(A90="200","CN",IF(A90="300","TW","홀세일")))</f>
        <v>홀세일</v>
      </c>
      <c r="C90" s="94" t="s">
        <v>1310</v>
      </c>
      <c r="D90" s="95" t="n">
        <v>15</v>
      </c>
      <c r="E90" s="95" t="n">
        <v>590000</v>
      </c>
      <c r="F90" s="95" t="n">
        <v>148107</v>
      </c>
      <c r="G90" s="34" t="n">
        <v>3.41</v>
      </c>
      <c r="H90" s="34" t="n">
        <v>156.6</v>
      </c>
      <c r="J90" s="95" t="n">
        <f aca="false">IF(N(E90)&gt;0,E90,IF(N(F90)&gt;0,F90*가정!$B$5,0))</f>
        <v>590000</v>
      </c>
      <c r="K90" s="95" t="n">
        <f aca="false">IF(N(F90)&gt;0,F90,IF(N(E90)&gt;0,E90/가정!$B$5,0))</f>
        <v>148107</v>
      </c>
      <c r="L90" s="95" t="n">
        <f aca="false">IF(B90="CN",IF(N(I90)&gt;0,I90*가정!$B$3,K90*(1+가정!$B$6)),IF(N(H90)&gt;0,H90*가정!$B$3,J90*가정!$B$4))</f>
        <v>213411.348</v>
      </c>
      <c r="M90" s="95" t="n">
        <f aca="false">D90*J90</f>
        <v>8850000</v>
      </c>
      <c r="N90" s="95" t="n">
        <f aca="false">D90*K90</f>
        <v>2221605</v>
      </c>
      <c r="O90" s="95" t="n">
        <f aca="false">D90*L90</f>
        <v>3201170.22</v>
      </c>
      <c r="P90" s="34" t="str">
        <f aca="false">TRIM(IF(N(E90)&lt;=0,"택가보정 ","")&amp;IF(N(F90)&lt;=0,"원가보정 ","")&amp;IF(AND(B90&lt;&gt;"CN",N(H90)&lt;=0),"공급가보정 ","")&amp;IF(AND(B90="CN",N(I90)&lt;=0),"중국공급가=원가+마진 ",""))</f>
        <v/>
      </c>
    </row>
    <row r="91" customFormat="false" ht="15" hidden="false" customHeight="true" outlineLevel="0" collapsed="false">
      <c r="A91" s="94" t="s">
        <v>1684</v>
      </c>
      <c r="B91" s="34" t="str">
        <f aca="false">IF(A91="100","HK",IF(A91="200","CN",IF(A91="300","TW","홀세일")))</f>
        <v>HK</v>
      </c>
      <c r="C91" s="94" t="s">
        <v>1312</v>
      </c>
      <c r="D91" s="95" t="n">
        <v>160</v>
      </c>
      <c r="E91" s="95" t="n">
        <v>299000</v>
      </c>
      <c r="F91" s="95" t="n">
        <v>61899</v>
      </c>
      <c r="G91" s="34" t="n">
        <v>4.27</v>
      </c>
      <c r="H91" s="34" t="n">
        <v>79.4</v>
      </c>
      <c r="J91" s="95" t="n">
        <f aca="false">IF(N(E91)&gt;0,E91,IF(N(F91)&gt;0,F91*가정!$B$5,0))</f>
        <v>299000</v>
      </c>
      <c r="K91" s="95" t="n">
        <f aca="false">IF(N(F91)&gt;0,F91,IF(N(E91)&gt;0,E91/가정!$B$5,0))</f>
        <v>61899</v>
      </c>
      <c r="L91" s="95" t="n">
        <f aca="false">IF(B91="CN",IF(N(I91)&gt;0,I91*가정!$B$3,K91*(1+가정!$B$6)),IF(N(H91)&gt;0,H91*가정!$B$3,J91*가정!$B$4))</f>
        <v>108204.732</v>
      </c>
      <c r="M91" s="95" t="n">
        <f aca="false">D91*J91</f>
        <v>47840000</v>
      </c>
      <c r="N91" s="95" t="n">
        <f aca="false">D91*K91</f>
        <v>9903840</v>
      </c>
      <c r="O91" s="95" t="n">
        <f aca="false">D91*L91</f>
        <v>17312757.12</v>
      </c>
      <c r="P91" s="34" t="str">
        <f aca="false">TRIM(IF(N(E91)&lt;=0,"택가보정 ","")&amp;IF(N(F91)&lt;=0,"원가보정 ","")&amp;IF(AND(B91&lt;&gt;"CN",N(H91)&lt;=0),"공급가보정 ","")&amp;IF(AND(B91="CN",N(I91)&lt;=0),"중국공급가=원가+마진 ",""))</f>
        <v/>
      </c>
    </row>
    <row r="92" customFormat="false" ht="15.75" hidden="false" customHeight="true" outlineLevel="0" collapsed="false">
      <c r="A92" s="94" t="s">
        <v>1685</v>
      </c>
      <c r="B92" s="34" t="str">
        <f aca="false">IF(A92="100","HK",IF(A92="200","CN",IF(A92="300","TW","홀세일")))</f>
        <v>CN</v>
      </c>
      <c r="C92" s="94" t="s">
        <v>1312</v>
      </c>
      <c r="D92" s="95" t="n">
        <v>194</v>
      </c>
      <c r="E92" s="95" t="n">
        <v>299000</v>
      </c>
      <c r="F92" s="95" t="n">
        <v>61899</v>
      </c>
      <c r="G92" s="34" t="n">
        <v>4.27</v>
      </c>
      <c r="H92" s="34" t="n">
        <v>79.4</v>
      </c>
      <c r="J92" s="95" t="n">
        <f aca="false">IF(N(E92)&gt;0,E92,IF(N(F92)&gt;0,F92*가정!$B$5,0))</f>
        <v>299000</v>
      </c>
      <c r="K92" s="95" t="n">
        <f aca="false">IF(N(F92)&gt;0,F92,IF(N(E92)&gt;0,E92/가정!$B$5,0))</f>
        <v>61899</v>
      </c>
      <c r="L92" s="95" t="n">
        <f aca="false">IF(B92="CN",IF(N(I92)&gt;0,I92*가정!$B$3,K92*(1+가정!$B$6)),IF(N(H92)&gt;0,H92*가정!$B$3,J92*가정!$B$4))</f>
        <v>64993.95</v>
      </c>
      <c r="M92" s="95" t="n">
        <f aca="false">D92*J92</f>
        <v>58006000</v>
      </c>
      <c r="N92" s="95" t="n">
        <f aca="false">D92*K92</f>
        <v>12008406</v>
      </c>
      <c r="O92" s="95" t="n">
        <f aca="false">D92*L92</f>
        <v>12608826.3</v>
      </c>
      <c r="P92" s="34" t="str">
        <f aca="false">TRIM(IF(N(E92)&lt;=0,"택가보정 ","")&amp;IF(N(F92)&lt;=0,"원가보정 ","")&amp;IF(AND(B92&lt;&gt;"CN",N(H92)&lt;=0),"공급가보정 ","")&amp;IF(AND(B92="CN",N(I92)&lt;=0),"중국공급가=원가+마진 ",""))</f>
        <v>중국공급가=원가+마진</v>
      </c>
    </row>
    <row r="93" customFormat="false" ht="15" hidden="false" customHeight="true" outlineLevel="0" collapsed="false">
      <c r="A93" s="94" t="s">
        <v>1686</v>
      </c>
      <c r="B93" s="34" t="str">
        <f aca="false">IF(A93="100","HK",IF(A93="200","CN",IF(A93="300","TW","홀세일")))</f>
        <v>TW</v>
      </c>
      <c r="C93" s="94" t="s">
        <v>1312</v>
      </c>
      <c r="D93" s="95" t="n">
        <v>120</v>
      </c>
      <c r="E93" s="95" t="n">
        <v>299000</v>
      </c>
      <c r="F93" s="95" t="n">
        <v>61899</v>
      </c>
      <c r="G93" s="34" t="n">
        <v>4.27</v>
      </c>
      <c r="H93" s="34" t="n">
        <v>79.4</v>
      </c>
      <c r="J93" s="95" t="n">
        <f aca="false">IF(N(E93)&gt;0,E93,IF(N(F93)&gt;0,F93*가정!$B$5,0))</f>
        <v>299000</v>
      </c>
      <c r="K93" s="95" t="n">
        <f aca="false">IF(N(F93)&gt;0,F93,IF(N(E93)&gt;0,E93/가정!$B$5,0))</f>
        <v>61899</v>
      </c>
      <c r="L93" s="95" t="n">
        <f aca="false">IF(B93="CN",IF(N(I93)&gt;0,I93*가정!$B$3,K93*(1+가정!$B$6)),IF(N(H93)&gt;0,H93*가정!$B$3,J93*가정!$B$4))</f>
        <v>108204.732</v>
      </c>
      <c r="M93" s="95" t="n">
        <f aca="false">D93*J93</f>
        <v>35880000</v>
      </c>
      <c r="N93" s="95" t="n">
        <f aca="false">D93*K93</f>
        <v>7427880</v>
      </c>
      <c r="O93" s="95" t="n">
        <f aca="false">D93*L93</f>
        <v>12984567.84</v>
      </c>
      <c r="P93" s="34" t="str">
        <f aca="false">TRIM(IF(N(E93)&lt;=0,"택가보정 ","")&amp;IF(N(F93)&lt;=0,"원가보정 ","")&amp;IF(AND(B93&lt;&gt;"CN",N(H93)&lt;=0),"공급가보정 ","")&amp;IF(AND(B93="CN",N(I93)&lt;=0),"중국공급가=원가+마진 ",""))</f>
        <v/>
      </c>
    </row>
    <row r="94" customFormat="false" ht="15" hidden="false" customHeight="true" outlineLevel="0" collapsed="false">
      <c r="A94" s="94" t="s">
        <v>1687</v>
      </c>
      <c r="B94" s="34" t="str">
        <f aca="false">IF(A94="100","HK",IF(A94="200","CN",IF(A94="300","TW","홀세일")))</f>
        <v>홀세일</v>
      </c>
      <c r="C94" s="94" t="s">
        <v>1312</v>
      </c>
      <c r="D94" s="95" t="n">
        <v>35</v>
      </c>
      <c r="E94" s="95" t="n">
        <v>299000</v>
      </c>
      <c r="F94" s="95" t="n">
        <v>61899</v>
      </c>
      <c r="G94" s="34" t="n">
        <v>4.27</v>
      </c>
      <c r="H94" s="34" t="n">
        <v>79.4</v>
      </c>
      <c r="J94" s="95" t="n">
        <f aca="false">IF(N(E94)&gt;0,E94,IF(N(F94)&gt;0,F94*가정!$B$5,0))</f>
        <v>299000</v>
      </c>
      <c r="K94" s="95" t="n">
        <f aca="false">IF(N(F94)&gt;0,F94,IF(N(E94)&gt;0,E94/가정!$B$5,0))</f>
        <v>61899</v>
      </c>
      <c r="L94" s="95" t="n">
        <f aca="false">IF(B94="CN",IF(N(I94)&gt;0,I94*가정!$B$3,K94*(1+가정!$B$6)),IF(N(H94)&gt;0,H94*가정!$B$3,J94*가정!$B$4))</f>
        <v>108204.732</v>
      </c>
      <c r="M94" s="95" t="n">
        <f aca="false">D94*J94</f>
        <v>10465000</v>
      </c>
      <c r="N94" s="95" t="n">
        <f aca="false">D94*K94</f>
        <v>2166465</v>
      </c>
      <c r="O94" s="95" t="n">
        <f aca="false">D94*L94</f>
        <v>3787165.62</v>
      </c>
      <c r="P94" s="34" t="str">
        <f aca="false">TRIM(IF(N(E94)&lt;=0,"택가보정 ","")&amp;IF(N(F94)&lt;=0,"원가보정 ","")&amp;IF(AND(B94&lt;&gt;"CN",N(H94)&lt;=0),"공급가보정 ","")&amp;IF(AND(B94="CN",N(I94)&lt;=0),"중국공급가=원가+마진 ",""))</f>
        <v/>
      </c>
    </row>
    <row r="95" customFormat="false" ht="15" hidden="false" customHeight="true" outlineLevel="0" collapsed="false">
      <c r="A95" s="94" t="s">
        <v>1692</v>
      </c>
      <c r="B95" s="34" t="str">
        <f aca="false">IF(A95="100","HK",IF(A95="200","CN",IF(A95="300","TW","홀세일")))</f>
        <v>홀세일</v>
      </c>
      <c r="C95" s="94" t="s">
        <v>1312</v>
      </c>
      <c r="D95" s="95" t="n">
        <v>41</v>
      </c>
      <c r="E95" s="95" t="n">
        <v>299000</v>
      </c>
      <c r="F95" s="95" t="n">
        <v>61899</v>
      </c>
      <c r="G95" s="34" t="n">
        <v>4.27</v>
      </c>
      <c r="H95" s="34" t="n">
        <v>79.4</v>
      </c>
      <c r="J95" s="95" t="n">
        <f aca="false">IF(N(E95)&gt;0,E95,IF(N(F95)&gt;0,F95*가정!$B$5,0))</f>
        <v>299000</v>
      </c>
      <c r="K95" s="95" t="n">
        <f aca="false">IF(N(F95)&gt;0,F95,IF(N(E95)&gt;0,E95/가정!$B$5,0))</f>
        <v>61899</v>
      </c>
      <c r="L95" s="95" t="n">
        <f aca="false">IF(B95="CN",IF(N(I95)&gt;0,I95*가정!$B$3,K95*(1+가정!$B$6)),IF(N(H95)&gt;0,H95*가정!$B$3,J95*가정!$B$4))</f>
        <v>108204.732</v>
      </c>
      <c r="M95" s="95" t="n">
        <f aca="false">D95*J95</f>
        <v>12259000</v>
      </c>
      <c r="N95" s="95" t="n">
        <f aca="false">D95*K95</f>
        <v>2537859</v>
      </c>
      <c r="O95" s="95" t="n">
        <f aca="false">D95*L95</f>
        <v>4436394.012</v>
      </c>
      <c r="P95" s="34" t="str">
        <f aca="false">TRIM(IF(N(E95)&lt;=0,"택가보정 ","")&amp;IF(N(F95)&lt;=0,"원가보정 ","")&amp;IF(AND(B95&lt;&gt;"CN",N(H95)&lt;=0),"공급가보정 ","")&amp;IF(AND(B95="CN",N(I95)&lt;=0),"중국공급가=원가+마진 ",""))</f>
        <v/>
      </c>
    </row>
    <row r="96" customFormat="false" ht="15" hidden="false" customHeight="true" outlineLevel="0" collapsed="false">
      <c r="A96" s="94" t="s">
        <v>1684</v>
      </c>
      <c r="B96" s="34" t="str">
        <f aca="false">IF(A96="100","HK",IF(A96="200","CN",IF(A96="300","TW","홀세일")))</f>
        <v>HK</v>
      </c>
      <c r="C96" s="94" t="s">
        <v>839</v>
      </c>
      <c r="D96" s="95" t="n">
        <v>80</v>
      </c>
      <c r="E96" s="95" t="n">
        <v>279000</v>
      </c>
      <c r="F96" s="95" t="n">
        <v>53346</v>
      </c>
      <c r="G96" s="34" t="n">
        <v>4.12</v>
      </c>
      <c r="H96" s="34" t="n">
        <v>74.1</v>
      </c>
      <c r="J96" s="95" t="n">
        <f aca="false">IF(N(E96)&gt;0,E96,IF(N(F96)&gt;0,F96*가정!$B$5,0))</f>
        <v>279000</v>
      </c>
      <c r="K96" s="95" t="n">
        <f aca="false">IF(N(F96)&gt;0,F96,IF(N(E96)&gt;0,E96/가정!$B$5,0))</f>
        <v>53346</v>
      </c>
      <c r="L96" s="95" t="n">
        <f aca="false">IF(B96="CN",IF(N(I96)&gt;0,I96*가정!$B$3,K96*(1+가정!$B$6)),IF(N(H96)&gt;0,H96*가정!$B$3,J96*가정!$B$4))</f>
        <v>100981.998</v>
      </c>
      <c r="M96" s="95" t="n">
        <f aca="false">D96*J96</f>
        <v>22320000</v>
      </c>
      <c r="N96" s="95" t="n">
        <f aca="false">D96*K96</f>
        <v>4267680</v>
      </c>
      <c r="O96" s="95" t="n">
        <f aca="false">D96*L96</f>
        <v>8078559.84</v>
      </c>
      <c r="P96" s="34" t="str">
        <f aca="false">TRIM(IF(N(E96)&lt;=0,"택가보정 ","")&amp;IF(N(F96)&lt;=0,"원가보정 ","")&amp;IF(AND(B96&lt;&gt;"CN",N(H96)&lt;=0),"공급가보정 ","")&amp;IF(AND(B96="CN",N(I96)&lt;=0),"중국공급가=원가+마진 ",""))</f>
        <v/>
      </c>
    </row>
    <row r="97" customFormat="false" ht="15.75" hidden="false" customHeight="true" outlineLevel="0" collapsed="false">
      <c r="A97" s="94" t="s">
        <v>1685</v>
      </c>
      <c r="B97" s="34" t="str">
        <f aca="false">IF(A97="100","HK",IF(A97="200","CN",IF(A97="300","TW","홀세일")))</f>
        <v>CN</v>
      </c>
      <c r="C97" s="94" t="s">
        <v>839</v>
      </c>
      <c r="D97" s="95" t="n">
        <v>286</v>
      </c>
      <c r="E97" s="95" t="n">
        <v>279000</v>
      </c>
      <c r="F97" s="95" t="n">
        <v>53346</v>
      </c>
      <c r="G97" s="34" t="n">
        <v>4.12</v>
      </c>
      <c r="H97" s="34" t="n">
        <v>74.1</v>
      </c>
      <c r="J97" s="95" t="n">
        <f aca="false">IF(N(E97)&gt;0,E97,IF(N(F97)&gt;0,F97*가정!$B$5,0))</f>
        <v>279000</v>
      </c>
      <c r="K97" s="95" t="n">
        <f aca="false">IF(N(F97)&gt;0,F97,IF(N(E97)&gt;0,E97/가정!$B$5,0))</f>
        <v>53346</v>
      </c>
      <c r="L97" s="95" t="n">
        <f aca="false">IF(B97="CN",IF(N(I97)&gt;0,I97*가정!$B$3,K97*(1+가정!$B$6)),IF(N(H97)&gt;0,H97*가정!$B$3,J97*가정!$B$4))</f>
        <v>56013.3</v>
      </c>
      <c r="M97" s="95" t="n">
        <f aca="false">D97*J97</f>
        <v>79794000</v>
      </c>
      <c r="N97" s="95" t="n">
        <f aca="false">D97*K97</f>
        <v>15256956</v>
      </c>
      <c r="O97" s="95" t="n">
        <f aca="false">D97*L97</f>
        <v>16019803.8</v>
      </c>
      <c r="P97" s="34" t="str">
        <f aca="false">TRIM(IF(N(E97)&lt;=0,"택가보정 ","")&amp;IF(N(F97)&lt;=0,"원가보정 ","")&amp;IF(AND(B97&lt;&gt;"CN",N(H97)&lt;=0),"공급가보정 ","")&amp;IF(AND(B97="CN",N(I97)&lt;=0),"중국공급가=원가+마진 ",""))</f>
        <v>중국공급가=원가+마진</v>
      </c>
    </row>
    <row r="98" customFormat="false" ht="15" hidden="false" customHeight="true" outlineLevel="0" collapsed="false">
      <c r="A98" s="94" t="s">
        <v>1687</v>
      </c>
      <c r="B98" s="34" t="str">
        <f aca="false">IF(A98="100","HK",IF(A98="200","CN",IF(A98="300","TW","홀세일")))</f>
        <v>홀세일</v>
      </c>
      <c r="C98" s="94" t="s">
        <v>839</v>
      </c>
      <c r="D98" s="95" t="n">
        <v>25</v>
      </c>
      <c r="E98" s="95" t="n">
        <v>279000</v>
      </c>
      <c r="F98" s="95" t="n">
        <v>53346</v>
      </c>
      <c r="G98" s="34" t="n">
        <v>4.12</v>
      </c>
      <c r="H98" s="34" t="n">
        <v>74.1</v>
      </c>
      <c r="J98" s="95" t="n">
        <f aca="false">IF(N(E98)&gt;0,E98,IF(N(F98)&gt;0,F98*가정!$B$5,0))</f>
        <v>279000</v>
      </c>
      <c r="K98" s="95" t="n">
        <f aca="false">IF(N(F98)&gt;0,F98,IF(N(E98)&gt;0,E98/가정!$B$5,0))</f>
        <v>53346</v>
      </c>
      <c r="L98" s="95" t="n">
        <f aca="false">IF(B98="CN",IF(N(I98)&gt;0,I98*가정!$B$3,K98*(1+가정!$B$6)),IF(N(H98)&gt;0,H98*가정!$B$3,J98*가정!$B$4))</f>
        <v>100981.998</v>
      </c>
      <c r="M98" s="95" t="n">
        <f aca="false">D98*J98</f>
        <v>6975000</v>
      </c>
      <c r="N98" s="95" t="n">
        <f aca="false">D98*K98</f>
        <v>1333650</v>
      </c>
      <c r="O98" s="95" t="n">
        <f aca="false">D98*L98</f>
        <v>2524549.95</v>
      </c>
      <c r="P98" s="34" t="str">
        <f aca="false">TRIM(IF(N(E98)&lt;=0,"택가보정 ","")&amp;IF(N(F98)&lt;=0,"원가보정 ","")&amp;IF(AND(B98&lt;&gt;"CN",N(H98)&lt;=0),"공급가보정 ","")&amp;IF(AND(B98="CN",N(I98)&lt;=0),"중국공급가=원가+마진 ",""))</f>
        <v/>
      </c>
    </row>
    <row r="99" customFormat="false" ht="15" hidden="false" customHeight="true" outlineLevel="0" collapsed="false">
      <c r="A99" s="94" t="s">
        <v>1692</v>
      </c>
      <c r="B99" s="34" t="str">
        <f aca="false">IF(A99="100","HK",IF(A99="200","CN",IF(A99="300","TW","홀세일")))</f>
        <v>홀세일</v>
      </c>
      <c r="C99" s="94" t="s">
        <v>839</v>
      </c>
      <c r="D99" s="95" t="n">
        <v>82</v>
      </c>
      <c r="E99" s="95" t="n">
        <v>279000</v>
      </c>
      <c r="F99" s="95" t="n">
        <v>53346</v>
      </c>
      <c r="G99" s="34" t="n">
        <v>4.12</v>
      </c>
      <c r="H99" s="34" t="n">
        <v>74.1</v>
      </c>
      <c r="J99" s="95" t="n">
        <f aca="false">IF(N(E99)&gt;0,E99,IF(N(F99)&gt;0,F99*가정!$B$5,0))</f>
        <v>279000</v>
      </c>
      <c r="K99" s="95" t="n">
        <f aca="false">IF(N(F99)&gt;0,F99,IF(N(E99)&gt;0,E99/가정!$B$5,0))</f>
        <v>53346</v>
      </c>
      <c r="L99" s="95" t="n">
        <f aca="false">IF(B99="CN",IF(N(I99)&gt;0,I99*가정!$B$3,K99*(1+가정!$B$6)),IF(N(H99)&gt;0,H99*가정!$B$3,J99*가정!$B$4))</f>
        <v>100981.998</v>
      </c>
      <c r="M99" s="95" t="n">
        <f aca="false">D99*J99</f>
        <v>22878000</v>
      </c>
      <c r="N99" s="95" t="n">
        <f aca="false">D99*K99</f>
        <v>4374372</v>
      </c>
      <c r="O99" s="95" t="n">
        <f aca="false">D99*L99</f>
        <v>8280523.836</v>
      </c>
      <c r="P99" s="34" t="str">
        <f aca="false">TRIM(IF(N(E99)&lt;=0,"택가보정 ","")&amp;IF(N(F99)&lt;=0,"원가보정 ","")&amp;IF(AND(B99&lt;&gt;"CN",N(H99)&lt;=0),"공급가보정 ","")&amp;IF(AND(B99="CN",N(I99)&lt;=0),"중국공급가=원가+마진 ",""))</f>
        <v/>
      </c>
    </row>
    <row r="100" customFormat="false" ht="15" hidden="false" customHeight="true" outlineLevel="0" collapsed="false">
      <c r="A100" s="94" t="s">
        <v>1684</v>
      </c>
      <c r="B100" s="34" t="str">
        <f aca="false">IF(A100="100","HK",IF(A100="200","CN",IF(A100="300","TW","홀세일")))</f>
        <v>HK</v>
      </c>
      <c r="C100" s="94" t="s">
        <v>1444</v>
      </c>
      <c r="D100" s="95" t="n">
        <v>80</v>
      </c>
      <c r="E100" s="95" t="n">
        <v>399000</v>
      </c>
      <c r="F100" s="95" t="n">
        <v>102515</v>
      </c>
      <c r="G100" s="34" t="n">
        <v>3.34</v>
      </c>
      <c r="H100" s="34" t="n">
        <v>105.9</v>
      </c>
      <c r="J100" s="95" t="n">
        <f aca="false">IF(N(E100)&gt;0,E100,IF(N(F100)&gt;0,F100*가정!$B$5,0))</f>
        <v>399000</v>
      </c>
      <c r="K100" s="95" t="n">
        <f aca="false">IF(N(F100)&gt;0,F100,IF(N(E100)&gt;0,E100/가정!$B$5,0))</f>
        <v>102515</v>
      </c>
      <c r="L100" s="95" t="n">
        <f aca="false">IF(B100="CN",IF(N(I100)&gt;0,I100*가정!$B$3,K100*(1+가정!$B$6)),IF(N(H100)&gt;0,H100*가정!$B$3,J100*가정!$B$4))</f>
        <v>144318.402</v>
      </c>
      <c r="M100" s="95" t="n">
        <f aca="false">D100*J100</f>
        <v>31920000</v>
      </c>
      <c r="N100" s="95" t="n">
        <f aca="false">D100*K100</f>
        <v>8201200</v>
      </c>
      <c r="O100" s="95" t="n">
        <f aca="false">D100*L100</f>
        <v>11545472.16</v>
      </c>
      <c r="P100" s="34" t="str">
        <f aca="false">TRIM(IF(N(E100)&lt;=0,"택가보정 ","")&amp;IF(N(F100)&lt;=0,"원가보정 ","")&amp;IF(AND(B100&lt;&gt;"CN",N(H100)&lt;=0),"공급가보정 ","")&amp;IF(AND(B100="CN",N(I100)&lt;=0),"중국공급가=원가+마진 ",""))</f>
        <v/>
      </c>
    </row>
    <row r="101" customFormat="false" ht="15" hidden="false" customHeight="true" outlineLevel="0" collapsed="false">
      <c r="A101" s="94" t="s">
        <v>1692</v>
      </c>
      <c r="B101" s="34" t="str">
        <f aca="false">IF(A101="100","HK",IF(A101="200","CN",IF(A101="300","TW","홀세일")))</f>
        <v>홀세일</v>
      </c>
      <c r="C101" s="94" t="s">
        <v>1444</v>
      </c>
      <c r="D101" s="95" t="n">
        <v>41</v>
      </c>
      <c r="E101" s="95" t="n">
        <v>399000</v>
      </c>
      <c r="F101" s="95" t="n">
        <v>102515</v>
      </c>
      <c r="G101" s="34" t="n">
        <v>3.34</v>
      </c>
      <c r="H101" s="34" t="n">
        <v>105.9</v>
      </c>
      <c r="J101" s="95" t="n">
        <f aca="false">IF(N(E101)&gt;0,E101,IF(N(F101)&gt;0,F101*가정!$B$5,0))</f>
        <v>399000</v>
      </c>
      <c r="K101" s="95" t="n">
        <f aca="false">IF(N(F101)&gt;0,F101,IF(N(E101)&gt;0,E101/가정!$B$5,0))</f>
        <v>102515</v>
      </c>
      <c r="L101" s="95" t="n">
        <f aca="false">IF(B101="CN",IF(N(I101)&gt;0,I101*가정!$B$3,K101*(1+가정!$B$6)),IF(N(H101)&gt;0,H101*가정!$B$3,J101*가정!$B$4))</f>
        <v>144318.402</v>
      </c>
      <c r="M101" s="95" t="n">
        <f aca="false">D101*J101</f>
        <v>16359000</v>
      </c>
      <c r="N101" s="95" t="n">
        <f aca="false">D101*K101</f>
        <v>4203115</v>
      </c>
      <c r="O101" s="95" t="n">
        <f aca="false">D101*L101</f>
        <v>5917054.482</v>
      </c>
      <c r="P101" s="34" t="str">
        <f aca="false">TRIM(IF(N(E101)&lt;=0,"택가보정 ","")&amp;IF(N(F101)&lt;=0,"원가보정 ","")&amp;IF(AND(B101&lt;&gt;"CN",N(H101)&lt;=0),"공급가보정 ","")&amp;IF(AND(B101="CN",N(I101)&lt;=0),"중국공급가=원가+마진 ",""))</f>
        <v/>
      </c>
    </row>
    <row r="102" customFormat="false" ht="15" hidden="false" customHeight="true" outlineLevel="0" collapsed="false">
      <c r="A102" s="94" t="s">
        <v>1684</v>
      </c>
      <c r="B102" s="34" t="str">
        <f aca="false">IF(A102="100","HK",IF(A102="200","CN",IF(A102="300","TW","홀세일")))</f>
        <v>HK</v>
      </c>
      <c r="C102" s="94" t="s">
        <v>1446</v>
      </c>
      <c r="D102" s="95" t="n">
        <v>200</v>
      </c>
      <c r="E102" s="95" t="n">
        <v>139000</v>
      </c>
      <c r="F102" s="95" t="n">
        <v>31323</v>
      </c>
      <c r="G102" s="34" t="n">
        <v>3.69</v>
      </c>
      <c r="H102" s="34" t="n">
        <v>36.9</v>
      </c>
      <c r="J102" s="95" t="n">
        <f aca="false">IF(N(E102)&gt;0,E102,IF(N(F102)&gt;0,F102*가정!$B$5,0))</f>
        <v>139000</v>
      </c>
      <c r="K102" s="95" t="n">
        <f aca="false">IF(N(F102)&gt;0,F102,IF(N(E102)&gt;0,E102/가정!$B$5,0))</f>
        <v>31323</v>
      </c>
      <c r="L102" s="95" t="n">
        <f aca="false">IF(B102="CN",IF(N(I102)&gt;0,I102*가정!$B$3,K102*(1+가정!$B$6)),IF(N(H102)&gt;0,H102*가정!$B$3,J102*가정!$B$4))</f>
        <v>50286.582</v>
      </c>
      <c r="M102" s="95" t="n">
        <f aca="false">D102*J102</f>
        <v>27800000</v>
      </c>
      <c r="N102" s="95" t="n">
        <f aca="false">D102*K102</f>
        <v>6264600</v>
      </c>
      <c r="O102" s="95" t="n">
        <f aca="false">D102*L102</f>
        <v>10057316.4</v>
      </c>
      <c r="P102" s="34" t="str">
        <f aca="false">TRIM(IF(N(E102)&lt;=0,"택가보정 ","")&amp;IF(N(F102)&lt;=0,"원가보정 ","")&amp;IF(AND(B102&lt;&gt;"CN",N(H102)&lt;=0),"공급가보정 ","")&amp;IF(AND(B102="CN",N(I102)&lt;=0),"중국공급가=원가+마진 ",""))</f>
        <v/>
      </c>
    </row>
    <row r="103" customFormat="false" ht="15.75" hidden="false" customHeight="true" outlineLevel="0" collapsed="false">
      <c r="A103" s="94" t="s">
        <v>1685</v>
      </c>
      <c r="B103" s="34" t="str">
        <f aca="false">IF(A103="100","HK",IF(A103="200","CN",IF(A103="300","TW","홀세일")))</f>
        <v>CN</v>
      </c>
      <c r="C103" s="94" t="s">
        <v>1446</v>
      </c>
      <c r="D103" s="95" t="n">
        <v>111</v>
      </c>
      <c r="E103" s="95" t="n">
        <v>139000</v>
      </c>
      <c r="F103" s="95" t="n">
        <v>31323</v>
      </c>
      <c r="G103" s="34" t="n">
        <v>3.69</v>
      </c>
      <c r="H103" s="34" t="n">
        <v>36.9</v>
      </c>
      <c r="J103" s="95" t="n">
        <f aca="false">IF(N(E103)&gt;0,E103,IF(N(F103)&gt;0,F103*가정!$B$5,0))</f>
        <v>139000</v>
      </c>
      <c r="K103" s="95" t="n">
        <f aca="false">IF(N(F103)&gt;0,F103,IF(N(E103)&gt;0,E103/가정!$B$5,0))</f>
        <v>31323</v>
      </c>
      <c r="L103" s="95" t="n">
        <f aca="false">IF(B103="CN",IF(N(I103)&gt;0,I103*가정!$B$3,K103*(1+가정!$B$6)),IF(N(H103)&gt;0,H103*가정!$B$3,J103*가정!$B$4))</f>
        <v>32889.15</v>
      </c>
      <c r="M103" s="95" t="n">
        <f aca="false">D103*J103</f>
        <v>15429000</v>
      </c>
      <c r="N103" s="95" t="n">
        <f aca="false">D103*K103</f>
        <v>3476853</v>
      </c>
      <c r="O103" s="95" t="n">
        <f aca="false">D103*L103</f>
        <v>3650695.65</v>
      </c>
      <c r="P103" s="34" t="str">
        <f aca="false">TRIM(IF(N(E103)&lt;=0,"택가보정 ","")&amp;IF(N(F103)&lt;=0,"원가보정 ","")&amp;IF(AND(B103&lt;&gt;"CN",N(H103)&lt;=0),"공급가보정 ","")&amp;IF(AND(B103="CN",N(I103)&lt;=0),"중국공급가=원가+마진 ",""))</f>
        <v>중국공급가=원가+마진</v>
      </c>
    </row>
    <row r="104" customFormat="false" ht="15" hidden="false" customHeight="true" outlineLevel="0" collapsed="false">
      <c r="A104" s="94" t="s">
        <v>1692</v>
      </c>
      <c r="B104" s="34" t="str">
        <f aca="false">IF(A104="100","HK",IF(A104="200","CN",IF(A104="300","TW","홀세일")))</f>
        <v>홀세일</v>
      </c>
      <c r="C104" s="94" t="s">
        <v>1446</v>
      </c>
      <c r="D104" s="95" t="n">
        <v>41</v>
      </c>
      <c r="E104" s="95" t="n">
        <v>139000</v>
      </c>
      <c r="F104" s="95" t="n">
        <v>31323</v>
      </c>
      <c r="G104" s="34" t="n">
        <v>3.69</v>
      </c>
      <c r="H104" s="34" t="n">
        <v>36.9</v>
      </c>
      <c r="J104" s="95" t="n">
        <f aca="false">IF(N(E104)&gt;0,E104,IF(N(F104)&gt;0,F104*가정!$B$5,0))</f>
        <v>139000</v>
      </c>
      <c r="K104" s="95" t="n">
        <f aca="false">IF(N(F104)&gt;0,F104,IF(N(E104)&gt;0,E104/가정!$B$5,0))</f>
        <v>31323</v>
      </c>
      <c r="L104" s="95" t="n">
        <f aca="false">IF(B104="CN",IF(N(I104)&gt;0,I104*가정!$B$3,K104*(1+가정!$B$6)),IF(N(H104)&gt;0,H104*가정!$B$3,J104*가정!$B$4))</f>
        <v>50286.582</v>
      </c>
      <c r="M104" s="95" t="n">
        <f aca="false">D104*J104</f>
        <v>5699000</v>
      </c>
      <c r="N104" s="95" t="n">
        <f aca="false">D104*K104</f>
        <v>1284243</v>
      </c>
      <c r="O104" s="95" t="n">
        <f aca="false">D104*L104</f>
        <v>2061749.862</v>
      </c>
      <c r="P104" s="34" t="str">
        <f aca="false">TRIM(IF(N(E104)&lt;=0,"택가보정 ","")&amp;IF(N(F104)&lt;=0,"원가보정 ","")&amp;IF(AND(B104&lt;&gt;"CN",N(H104)&lt;=0),"공급가보정 ","")&amp;IF(AND(B104="CN",N(I104)&lt;=0),"중국공급가=원가+마진 ",""))</f>
        <v/>
      </c>
    </row>
    <row r="105" customFormat="false" ht="15" hidden="false" customHeight="true" outlineLevel="0" collapsed="false">
      <c r="A105" s="94" t="s">
        <v>1689</v>
      </c>
      <c r="B105" s="34" t="str">
        <f aca="false">IF(A105="100","HK",IF(A105="200","CN",IF(A105="300","TW","홀세일")))</f>
        <v>홀세일</v>
      </c>
      <c r="C105" s="94" t="s">
        <v>1446</v>
      </c>
      <c r="D105" s="95" t="n">
        <v>30</v>
      </c>
      <c r="E105" s="95" t="n">
        <v>139000</v>
      </c>
      <c r="F105" s="95" t="n">
        <v>31323</v>
      </c>
      <c r="G105" s="34" t="n">
        <v>3.69</v>
      </c>
      <c r="H105" s="34" t="n">
        <v>36.9</v>
      </c>
      <c r="J105" s="95" t="n">
        <f aca="false">IF(N(E105)&gt;0,E105,IF(N(F105)&gt;0,F105*가정!$B$5,0))</f>
        <v>139000</v>
      </c>
      <c r="K105" s="95" t="n">
        <f aca="false">IF(N(F105)&gt;0,F105,IF(N(E105)&gt;0,E105/가정!$B$5,0))</f>
        <v>31323</v>
      </c>
      <c r="L105" s="95" t="n">
        <f aca="false">IF(B105="CN",IF(N(I105)&gt;0,I105*가정!$B$3,K105*(1+가정!$B$6)),IF(N(H105)&gt;0,H105*가정!$B$3,J105*가정!$B$4))</f>
        <v>50286.582</v>
      </c>
      <c r="M105" s="95" t="n">
        <f aca="false">D105*J105</f>
        <v>4170000</v>
      </c>
      <c r="N105" s="95" t="n">
        <f aca="false">D105*K105</f>
        <v>939690</v>
      </c>
      <c r="O105" s="95" t="n">
        <f aca="false">D105*L105</f>
        <v>1508597.46</v>
      </c>
      <c r="P105" s="34" t="str">
        <f aca="false">TRIM(IF(N(E105)&lt;=0,"택가보정 ","")&amp;IF(N(F105)&lt;=0,"원가보정 ","")&amp;IF(AND(B105&lt;&gt;"CN",N(H105)&lt;=0),"공급가보정 ","")&amp;IF(AND(B105="CN",N(I105)&lt;=0),"중국공급가=원가+마진 ",""))</f>
        <v/>
      </c>
    </row>
    <row r="106" customFormat="false" ht="15" hidden="false" customHeight="true" outlineLevel="0" collapsed="false">
      <c r="A106" s="94" t="s">
        <v>1684</v>
      </c>
      <c r="B106" s="34" t="str">
        <f aca="false">IF(A106="100","HK",IF(A106="200","CN",IF(A106="300","TW","홀세일")))</f>
        <v>HK</v>
      </c>
      <c r="C106" s="94" t="s">
        <v>845</v>
      </c>
      <c r="D106" s="95" t="n">
        <v>70</v>
      </c>
      <c r="E106" s="95" t="n">
        <v>199000</v>
      </c>
      <c r="F106" s="95" t="n">
        <v>47000</v>
      </c>
      <c r="G106" s="34" t="n">
        <v>3.22</v>
      </c>
      <c r="H106" s="34" t="n">
        <v>49.8</v>
      </c>
      <c r="J106" s="95" t="n">
        <f aca="false">IF(N(E106)&gt;0,E106,IF(N(F106)&gt;0,F106*가정!$B$5,0))</f>
        <v>199000</v>
      </c>
      <c r="K106" s="95" t="n">
        <f aca="false">IF(N(F106)&gt;0,F106,IF(N(E106)&gt;0,E106/가정!$B$5,0))</f>
        <v>47000</v>
      </c>
      <c r="L106" s="95" t="n">
        <f aca="false">IF(B106="CN",IF(N(I106)&gt;0,I106*가정!$B$3,K106*(1+가정!$B$6)),IF(N(H106)&gt;0,H106*가정!$B$3,J106*가정!$B$4))</f>
        <v>67866.444</v>
      </c>
      <c r="M106" s="95" t="n">
        <f aca="false">D106*J106</f>
        <v>13930000</v>
      </c>
      <c r="N106" s="95" t="n">
        <f aca="false">D106*K106</f>
        <v>3290000</v>
      </c>
      <c r="O106" s="95" t="n">
        <f aca="false">D106*L106</f>
        <v>4750651.08</v>
      </c>
      <c r="P106" s="34" t="str">
        <f aca="false">TRIM(IF(N(E106)&lt;=0,"택가보정 ","")&amp;IF(N(F106)&lt;=0,"원가보정 ","")&amp;IF(AND(B106&lt;&gt;"CN",N(H106)&lt;=0),"공급가보정 ","")&amp;IF(AND(B106="CN",N(I106)&lt;=0),"중국공급가=원가+마진 ",""))</f>
        <v/>
      </c>
    </row>
    <row r="107" customFormat="false" ht="15.75" hidden="false" customHeight="true" outlineLevel="0" collapsed="false">
      <c r="A107" s="94" t="s">
        <v>1685</v>
      </c>
      <c r="B107" s="34" t="str">
        <f aca="false">IF(A107="100","HK",IF(A107="200","CN",IF(A107="300","TW","홀세일")))</f>
        <v>CN</v>
      </c>
      <c r="C107" s="94" t="s">
        <v>1086</v>
      </c>
      <c r="D107" s="95" t="n">
        <v>62</v>
      </c>
      <c r="E107" s="95" t="n">
        <v>159000</v>
      </c>
      <c r="F107" s="95" t="n">
        <v>37532</v>
      </c>
      <c r="G107" s="34" t="n">
        <v>3.16</v>
      </c>
      <c r="H107" s="34" t="n">
        <v>39.8</v>
      </c>
      <c r="J107" s="95" t="n">
        <f aca="false">IF(N(E107)&gt;0,E107,IF(N(F107)&gt;0,F107*가정!$B$5,0))</f>
        <v>159000</v>
      </c>
      <c r="K107" s="95" t="n">
        <f aca="false">IF(N(F107)&gt;0,F107,IF(N(E107)&gt;0,E107/가정!$B$5,0))</f>
        <v>37532</v>
      </c>
      <c r="L107" s="95" t="n">
        <f aca="false">IF(B107="CN",IF(N(I107)&gt;0,I107*가정!$B$3,K107*(1+가정!$B$6)),IF(N(H107)&gt;0,H107*가정!$B$3,J107*가정!$B$4))</f>
        <v>39408.6</v>
      </c>
      <c r="M107" s="95" t="n">
        <f aca="false">D107*J107</f>
        <v>9858000</v>
      </c>
      <c r="N107" s="95" t="n">
        <f aca="false">D107*K107</f>
        <v>2326984</v>
      </c>
      <c r="O107" s="95" t="n">
        <f aca="false">D107*L107</f>
        <v>2443333.2</v>
      </c>
      <c r="P107" s="34" t="str">
        <f aca="false">TRIM(IF(N(E107)&lt;=0,"택가보정 ","")&amp;IF(N(F107)&lt;=0,"원가보정 ","")&amp;IF(AND(B107&lt;&gt;"CN",N(H107)&lt;=0),"공급가보정 ","")&amp;IF(AND(B107="CN",N(I107)&lt;=0),"중국공급가=원가+마진 ",""))</f>
        <v>중국공급가=원가+마진</v>
      </c>
    </row>
    <row r="108" customFormat="false" ht="15" hidden="false" customHeight="true" outlineLevel="0" collapsed="false">
      <c r="A108" s="94" t="s">
        <v>1688</v>
      </c>
      <c r="B108" s="34" t="str">
        <f aca="false">IF(A108="100","HK",IF(A108="200","CN",IF(A108="300","TW","홀세일")))</f>
        <v>홀세일</v>
      </c>
      <c r="C108" s="94" t="s">
        <v>1086</v>
      </c>
      <c r="D108" s="95" t="n">
        <v>30</v>
      </c>
      <c r="E108" s="95" t="n">
        <v>159000</v>
      </c>
      <c r="F108" s="95" t="n">
        <v>37532</v>
      </c>
      <c r="G108" s="34" t="n">
        <v>3.16</v>
      </c>
      <c r="H108" s="34" t="n">
        <v>39.8</v>
      </c>
      <c r="J108" s="95" t="n">
        <f aca="false">IF(N(E108)&gt;0,E108,IF(N(F108)&gt;0,F108*가정!$B$5,0))</f>
        <v>159000</v>
      </c>
      <c r="K108" s="95" t="n">
        <f aca="false">IF(N(F108)&gt;0,F108,IF(N(E108)&gt;0,E108/가정!$B$5,0))</f>
        <v>37532</v>
      </c>
      <c r="L108" s="95" t="n">
        <f aca="false">IF(B108="CN",IF(N(I108)&gt;0,I108*가정!$B$3,K108*(1+가정!$B$6)),IF(N(H108)&gt;0,H108*가정!$B$3,J108*가정!$B$4))</f>
        <v>54238.644</v>
      </c>
      <c r="M108" s="95" t="n">
        <f aca="false">D108*J108</f>
        <v>4770000</v>
      </c>
      <c r="N108" s="95" t="n">
        <f aca="false">D108*K108</f>
        <v>1125960</v>
      </c>
      <c r="O108" s="95" t="n">
        <f aca="false">D108*L108</f>
        <v>1627159.32</v>
      </c>
      <c r="P108" s="34" t="str">
        <f aca="false">TRIM(IF(N(E108)&lt;=0,"택가보정 ","")&amp;IF(N(F108)&lt;=0,"원가보정 ","")&amp;IF(AND(B108&lt;&gt;"CN",N(H108)&lt;=0),"공급가보정 ","")&amp;IF(AND(B108="CN",N(I108)&lt;=0),"중국공급가=원가+마진 ",""))</f>
        <v/>
      </c>
    </row>
    <row r="109" customFormat="false" ht="15.75" hidden="false" customHeight="true" outlineLevel="0" collapsed="false">
      <c r="A109" s="94" t="s">
        <v>1685</v>
      </c>
      <c r="B109" s="34" t="str">
        <f aca="false">IF(A109="100","HK",IF(A109="200","CN",IF(A109="300","TW","홀세일")))</f>
        <v>CN</v>
      </c>
      <c r="C109" s="94" t="s">
        <v>1088</v>
      </c>
      <c r="D109" s="95" t="n">
        <v>204</v>
      </c>
      <c r="E109" s="95" t="n">
        <v>119000</v>
      </c>
      <c r="F109" s="95" t="n">
        <v>26122</v>
      </c>
      <c r="G109" s="34" t="n">
        <v>3.5</v>
      </c>
      <c r="H109" s="34" t="n">
        <v>29.8</v>
      </c>
      <c r="J109" s="95" t="n">
        <f aca="false">IF(N(E109)&gt;0,E109,IF(N(F109)&gt;0,F109*가정!$B$5,0))</f>
        <v>119000</v>
      </c>
      <c r="K109" s="95" t="n">
        <f aca="false">IF(N(F109)&gt;0,F109,IF(N(E109)&gt;0,E109/가정!$B$5,0))</f>
        <v>26122</v>
      </c>
      <c r="L109" s="95" t="n">
        <f aca="false">IF(B109="CN",IF(N(I109)&gt;0,I109*가정!$B$3,K109*(1+가정!$B$6)),IF(N(H109)&gt;0,H109*가정!$B$3,J109*가정!$B$4))</f>
        <v>27428.1</v>
      </c>
      <c r="M109" s="95" t="n">
        <f aca="false">D109*J109</f>
        <v>24276000</v>
      </c>
      <c r="N109" s="95" t="n">
        <f aca="false">D109*K109</f>
        <v>5328888</v>
      </c>
      <c r="O109" s="95" t="n">
        <f aca="false">D109*L109</f>
        <v>5595332.4</v>
      </c>
      <c r="P109" s="34" t="str">
        <f aca="false">TRIM(IF(N(E109)&lt;=0,"택가보정 ","")&amp;IF(N(F109)&lt;=0,"원가보정 ","")&amp;IF(AND(B109&lt;&gt;"CN",N(H109)&lt;=0),"공급가보정 ","")&amp;IF(AND(B109="CN",N(I109)&lt;=0),"중국공급가=원가+마진 ",""))</f>
        <v>중국공급가=원가+마진</v>
      </c>
    </row>
    <row r="110" customFormat="false" ht="15" hidden="false" customHeight="true" outlineLevel="0" collapsed="false">
      <c r="A110" s="94" t="s">
        <v>1688</v>
      </c>
      <c r="B110" s="34" t="str">
        <f aca="false">IF(A110="100","HK",IF(A110="200","CN",IF(A110="300","TW","홀세일")))</f>
        <v>홀세일</v>
      </c>
      <c r="C110" s="94" t="s">
        <v>1088</v>
      </c>
      <c r="D110" s="95" t="n">
        <v>40</v>
      </c>
      <c r="E110" s="95" t="n">
        <v>119000</v>
      </c>
      <c r="F110" s="95" t="n">
        <v>26122</v>
      </c>
      <c r="G110" s="34" t="n">
        <v>3.5</v>
      </c>
      <c r="H110" s="34" t="n">
        <v>29.8</v>
      </c>
      <c r="J110" s="95" t="n">
        <f aca="false">IF(N(E110)&gt;0,E110,IF(N(F110)&gt;0,F110*가정!$B$5,0))</f>
        <v>119000</v>
      </c>
      <c r="K110" s="95" t="n">
        <f aca="false">IF(N(F110)&gt;0,F110,IF(N(E110)&gt;0,E110/가정!$B$5,0))</f>
        <v>26122</v>
      </c>
      <c r="L110" s="95" t="n">
        <f aca="false">IF(B110="CN",IF(N(I110)&gt;0,I110*가정!$B$3,K110*(1+가정!$B$6)),IF(N(H110)&gt;0,H110*가정!$B$3,J110*가정!$B$4))</f>
        <v>40610.844</v>
      </c>
      <c r="M110" s="95" t="n">
        <f aca="false">D110*J110</f>
        <v>4760000</v>
      </c>
      <c r="N110" s="95" t="n">
        <f aca="false">D110*K110</f>
        <v>1044880</v>
      </c>
      <c r="O110" s="95" t="n">
        <f aca="false">D110*L110</f>
        <v>1624433.76</v>
      </c>
      <c r="P110" s="34" t="str">
        <f aca="false">TRIM(IF(N(E110)&lt;=0,"택가보정 ","")&amp;IF(N(F110)&lt;=0,"원가보정 ","")&amp;IF(AND(B110&lt;&gt;"CN",N(H110)&lt;=0),"공급가보정 ","")&amp;IF(AND(B110="CN",N(I110)&lt;=0),"중국공급가=원가+마진 ",""))</f>
        <v/>
      </c>
    </row>
    <row r="111" customFormat="false" ht="15.75" hidden="false" customHeight="true" outlineLevel="0" collapsed="false">
      <c r="A111" s="94" t="s">
        <v>1685</v>
      </c>
      <c r="B111" s="34" t="str">
        <f aca="false">IF(A111="100","HK",IF(A111="200","CN",IF(A111="300","TW","홀세일")))</f>
        <v>CN</v>
      </c>
      <c r="C111" s="94" t="s">
        <v>1090</v>
      </c>
      <c r="D111" s="95" t="n">
        <v>102</v>
      </c>
      <c r="E111" s="95" t="n">
        <v>129000</v>
      </c>
      <c r="F111" s="95" t="n">
        <v>30321</v>
      </c>
      <c r="G111" s="34" t="n">
        <v>3.17</v>
      </c>
      <c r="H111" s="34" t="n">
        <v>32.3</v>
      </c>
      <c r="J111" s="95" t="n">
        <f aca="false">IF(N(E111)&gt;0,E111,IF(N(F111)&gt;0,F111*가정!$B$5,0))</f>
        <v>129000</v>
      </c>
      <c r="K111" s="95" t="n">
        <f aca="false">IF(N(F111)&gt;0,F111,IF(N(E111)&gt;0,E111/가정!$B$5,0))</f>
        <v>30321</v>
      </c>
      <c r="L111" s="95" t="n">
        <f aca="false">IF(B111="CN",IF(N(I111)&gt;0,I111*가정!$B$3,K111*(1+가정!$B$6)),IF(N(H111)&gt;0,H111*가정!$B$3,J111*가정!$B$4))</f>
        <v>31837.05</v>
      </c>
      <c r="M111" s="95" t="n">
        <f aca="false">D111*J111</f>
        <v>13158000</v>
      </c>
      <c r="N111" s="95" t="n">
        <f aca="false">D111*K111</f>
        <v>3092742</v>
      </c>
      <c r="O111" s="95" t="n">
        <f aca="false">D111*L111</f>
        <v>3247379.1</v>
      </c>
      <c r="P111" s="34" t="str">
        <f aca="false">TRIM(IF(N(E111)&lt;=0,"택가보정 ","")&amp;IF(N(F111)&lt;=0,"원가보정 ","")&amp;IF(AND(B111&lt;&gt;"CN",N(H111)&lt;=0),"공급가보정 ","")&amp;IF(AND(B111="CN",N(I111)&lt;=0),"중국공급가=원가+마진 ",""))</f>
        <v>중국공급가=원가+마진</v>
      </c>
    </row>
    <row r="112" customFormat="false" ht="15.75" hidden="false" customHeight="true" outlineLevel="0" collapsed="false">
      <c r="A112" s="94" t="s">
        <v>1685</v>
      </c>
      <c r="B112" s="34" t="str">
        <f aca="false">IF(A112="100","HK",IF(A112="200","CN",IF(A112="300","TW","홀세일")))</f>
        <v>CN</v>
      </c>
      <c r="C112" s="94" t="s">
        <v>1092</v>
      </c>
      <c r="D112" s="95" t="n">
        <v>333</v>
      </c>
      <c r="E112" s="95" t="n">
        <v>79000</v>
      </c>
      <c r="F112" s="95" t="n">
        <v>12738</v>
      </c>
      <c r="G112" s="34" t="n">
        <v>5.02</v>
      </c>
      <c r="H112" s="34" t="n">
        <v>19.8</v>
      </c>
      <c r="J112" s="95" t="n">
        <f aca="false">IF(N(E112)&gt;0,E112,IF(N(F112)&gt;0,F112*가정!$B$5,0))</f>
        <v>79000</v>
      </c>
      <c r="K112" s="95" t="n">
        <f aca="false">IF(N(F112)&gt;0,F112,IF(N(E112)&gt;0,E112/가정!$B$5,0))</f>
        <v>12738</v>
      </c>
      <c r="L112" s="95" t="n">
        <f aca="false">IF(B112="CN",IF(N(I112)&gt;0,I112*가정!$B$3,K112*(1+가정!$B$6)),IF(N(H112)&gt;0,H112*가정!$B$3,J112*가정!$B$4))</f>
        <v>13374.9</v>
      </c>
      <c r="M112" s="95" t="n">
        <f aca="false">D112*J112</f>
        <v>26307000</v>
      </c>
      <c r="N112" s="95" t="n">
        <f aca="false">D112*K112</f>
        <v>4241754</v>
      </c>
      <c r="O112" s="95" t="n">
        <f aca="false">D112*L112</f>
        <v>4453841.7</v>
      </c>
      <c r="P112" s="34" t="str">
        <f aca="false">TRIM(IF(N(E112)&lt;=0,"택가보정 ","")&amp;IF(N(F112)&lt;=0,"원가보정 ","")&amp;IF(AND(B112&lt;&gt;"CN",N(H112)&lt;=0),"공급가보정 ","")&amp;IF(AND(B112="CN",N(I112)&lt;=0),"중국공급가=원가+마진 ",""))</f>
        <v>중국공급가=원가+마진</v>
      </c>
    </row>
    <row r="113" customFormat="false" ht="15" hidden="false" customHeight="true" outlineLevel="0" collapsed="false">
      <c r="A113" s="94" t="s">
        <v>1686</v>
      </c>
      <c r="B113" s="34" t="str">
        <f aca="false">IF(A113="100","HK",IF(A113="200","CN",IF(A113="300","TW","홀세일")))</f>
        <v>TW</v>
      </c>
      <c r="C113" s="94" t="s">
        <v>218</v>
      </c>
      <c r="D113" s="95" t="n">
        <v>30</v>
      </c>
      <c r="E113" s="95" t="n">
        <v>109000</v>
      </c>
      <c r="F113" s="95" t="n">
        <v>21900</v>
      </c>
      <c r="G113" s="34" t="n">
        <v>3.9</v>
      </c>
      <c r="H113" s="34" t="n">
        <v>27.3</v>
      </c>
      <c r="J113" s="95" t="n">
        <f aca="false">IF(N(E113)&gt;0,E113,IF(N(F113)&gt;0,F113*가정!$B$5,0))</f>
        <v>109000</v>
      </c>
      <c r="K113" s="95" t="n">
        <f aca="false">IF(N(F113)&gt;0,F113,IF(N(E113)&gt;0,E113/가정!$B$5,0))</f>
        <v>21900</v>
      </c>
      <c r="L113" s="95" t="n">
        <f aca="false">IF(B113="CN",IF(N(I113)&gt;0,I113*가정!$B$3,K113*(1+가정!$B$6)),IF(N(H113)&gt;0,H113*가정!$B$3,J113*가정!$B$4))</f>
        <v>37203.894</v>
      </c>
      <c r="M113" s="95" t="n">
        <f aca="false">D113*J113</f>
        <v>3270000</v>
      </c>
      <c r="N113" s="95" t="n">
        <f aca="false">D113*K113</f>
        <v>657000</v>
      </c>
      <c r="O113" s="95" t="n">
        <f aca="false">D113*L113</f>
        <v>1116116.82</v>
      </c>
      <c r="P113" s="34" t="str">
        <f aca="false">TRIM(IF(N(E113)&lt;=0,"택가보정 ","")&amp;IF(N(F113)&lt;=0,"원가보정 ","")&amp;IF(AND(B113&lt;&gt;"CN",N(H113)&lt;=0),"공급가보정 ","")&amp;IF(AND(B113="CN",N(I113)&lt;=0),"중국공급가=원가+마진 ",""))</f>
        <v/>
      </c>
    </row>
    <row r="114" customFormat="false" ht="15" hidden="false" customHeight="true" outlineLevel="0" collapsed="false">
      <c r="A114" s="94" t="s">
        <v>1688</v>
      </c>
      <c r="B114" s="34" t="str">
        <f aca="false">IF(A114="100","HK",IF(A114="200","CN",IF(A114="300","TW","홀세일")))</f>
        <v>홀세일</v>
      </c>
      <c r="C114" s="94" t="s">
        <v>218</v>
      </c>
      <c r="D114" s="95" t="n">
        <v>45</v>
      </c>
      <c r="E114" s="95" t="n">
        <v>109000</v>
      </c>
      <c r="F114" s="95" t="n">
        <v>21900</v>
      </c>
      <c r="G114" s="34" t="n">
        <v>3.9</v>
      </c>
      <c r="H114" s="34" t="n">
        <v>27.3</v>
      </c>
      <c r="J114" s="95" t="n">
        <f aca="false">IF(N(E114)&gt;0,E114,IF(N(F114)&gt;0,F114*가정!$B$5,0))</f>
        <v>109000</v>
      </c>
      <c r="K114" s="95" t="n">
        <f aca="false">IF(N(F114)&gt;0,F114,IF(N(E114)&gt;0,E114/가정!$B$5,0))</f>
        <v>21900</v>
      </c>
      <c r="L114" s="95" t="n">
        <f aca="false">IF(B114="CN",IF(N(I114)&gt;0,I114*가정!$B$3,K114*(1+가정!$B$6)),IF(N(H114)&gt;0,H114*가정!$B$3,J114*가정!$B$4))</f>
        <v>37203.894</v>
      </c>
      <c r="M114" s="95" t="n">
        <f aca="false">D114*J114</f>
        <v>4905000</v>
      </c>
      <c r="N114" s="95" t="n">
        <f aca="false">D114*K114</f>
        <v>985500</v>
      </c>
      <c r="O114" s="95" t="n">
        <f aca="false">D114*L114</f>
        <v>1674175.23</v>
      </c>
      <c r="P114" s="34" t="str">
        <f aca="false">TRIM(IF(N(E114)&lt;=0,"택가보정 ","")&amp;IF(N(F114)&lt;=0,"원가보정 ","")&amp;IF(AND(B114&lt;&gt;"CN",N(H114)&lt;=0),"공급가보정 ","")&amp;IF(AND(B114="CN",N(I114)&lt;=0),"중국공급가=원가+마진 ",""))</f>
        <v/>
      </c>
    </row>
    <row r="115" customFormat="false" ht="15" hidden="false" customHeight="true" outlineLevel="0" collapsed="false">
      <c r="A115" s="94" t="s">
        <v>1690</v>
      </c>
      <c r="B115" s="34" t="str">
        <f aca="false">IF(A115="100","HK",IF(A115="200","CN",IF(A115="300","TW","홀세일")))</f>
        <v>홀세일</v>
      </c>
      <c r="C115" s="94" t="s">
        <v>218</v>
      </c>
      <c r="D115" s="95" t="n">
        <v>228</v>
      </c>
      <c r="E115" s="95" t="n">
        <v>109000</v>
      </c>
      <c r="F115" s="95" t="n">
        <v>21900</v>
      </c>
      <c r="G115" s="34" t="n">
        <v>3.9</v>
      </c>
      <c r="H115" s="34" t="n">
        <v>27.3</v>
      </c>
      <c r="J115" s="95" t="n">
        <f aca="false">IF(N(E115)&gt;0,E115,IF(N(F115)&gt;0,F115*가정!$B$5,0))</f>
        <v>109000</v>
      </c>
      <c r="K115" s="95" t="n">
        <f aca="false">IF(N(F115)&gt;0,F115,IF(N(E115)&gt;0,E115/가정!$B$5,0))</f>
        <v>21900</v>
      </c>
      <c r="L115" s="95" t="n">
        <f aca="false">IF(B115="CN",IF(N(I115)&gt;0,I115*가정!$B$3,K115*(1+가정!$B$6)),IF(N(H115)&gt;0,H115*가정!$B$3,J115*가정!$B$4))</f>
        <v>37203.894</v>
      </c>
      <c r="M115" s="95" t="n">
        <f aca="false">D115*J115</f>
        <v>24852000</v>
      </c>
      <c r="N115" s="95" t="n">
        <f aca="false">D115*K115</f>
        <v>4993200</v>
      </c>
      <c r="O115" s="95" t="n">
        <f aca="false">D115*L115</f>
        <v>8482487.832</v>
      </c>
      <c r="P115" s="34" t="str">
        <f aca="false">TRIM(IF(N(E115)&lt;=0,"택가보정 ","")&amp;IF(N(F115)&lt;=0,"원가보정 ","")&amp;IF(AND(B115&lt;&gt;"CN",N(H115)&lt;=0),"공급가보정 ","")&amp;IF(AND(B115="CN",N(I115)&lt;=0),"중국공급가=원가+마진 ",""))</f>
        <v/>
      </c>
    </row>
    <row r="116" customFormat="false" ht="15" hidden="false" customHeight="true" outlineLevel="0" collapsed="false">
      <c r="A116" s="94" t="s">
        <v>1684</v>
      </c>
      <c r="B116" s="34" t="str">
        <f aca="false">IF(A116="100","HK",IF(A116="200","CN",IF(A116="300","TW","홀세일")))</f>
        <v>HK</v>
      </c>
      <c r="C116" s="94" t="s">
        <v>847</v>
      </c>
      <c r="D116" s="95" t="n">
        <v>210</v>
      </c>
      <c r="E116" s="95" t="n">
        <v>129000</v>
      </c>
      <c r="F116" s="95" t="n">
        <v>28200</v>
      </c>
      <c r="G116" s="34" t="n">
        <v>3.81</v>
      </c>
      <c r="H116" s="34" t="n">
        <v>32.3</v>
      </c>
      <c r="J116" s="95" t="n">
        <f aca="false">IF(N(E116)&gt;0,E116,IF(N(F116)&gt;0,F116*가정!$B$5,0))</f>
        <v>129000</v>
      </c>
      <c r="K116" s="95" t="n">
        <f aca="false">IF(N(F116)&gt;0,F116,IF(N(E116)&gt;0,E116/가정!$B$5,0))</f>
        <v>28200</v>
      </c>
      <c r="L116" s="95" t="n">
        <f aca="false">IF(B116="CN",IF(N(I116)&gt;0,I116*가정!$B$3,K116*(1+가정!$B$6)),IF(N(H116)&gt;0,H116*가정!$B$3,J116*가정!$B$4))</f>
        <v>44017.794</v>
      </c>
      <c r="M116" s="95" t="n">
        <f aca="false">D116*J116</f>
        <v>27090000</v>
      </c>
      <c r="N116" s="95" t="n">
        <f aca="false">D116*K116</f>
        <v>5922000</v>
      </c>
      <c r="O116" s="95" t="n">
        <f aca="false">D116*L116</f>
        <v>9243736.74</v>
      </c>
      <c r="P116" s="34" t="str">
        <f aca="false">TRIM(IF(N(E116)&lt;=0,"택가보정 ","")&amp;IF(N(F116)&lt;=0,"원가보정 ","")&amp;IF(AND(B116&lt;&gt;"CN",N(H116)&lt;=0),"공급가보정 ","")&amp;IF(AND(B116="CN",N(I116)&lt;=0),"중국공급가=원가+마진 ",""))</f>
        <v/>
      </c>
    </row>
    <row r="117" customFormat="false" ht="15" hidden="false" customHeight="true" outlineLevel="0" collapsed="false">
      <c r="A117" s="94" t="s">
        <v>1688</v>
      </c>
      <c r="B117" s="34" t="str">
        <f aca="false">IF(A117="100","HK",IF(A117="200","CN",IF(A117="300","TW","홀세일")))</f>
        <v>홀세일</v>
      </c>
      <c r="C117" s="94" t="s">
        <v>847</v>
      </c>
      <c r="D117" s="95" t="n">
        <v>20</v>
      </c>
      <c r="E117" s="95" t="n">
        <v>129000</v>
      </c>
      <c r="F117" s="95" t="n">
        <v>28200</v>
      </c>
      <c r="G117" s="34" t="n">
        <v>3.81</v>
      </c>
      <c r="H117" s="34" t="n">
        <v>32.3</v>
      </c>
      <c r="J117" s="95" t="n">
        <f aca="false">IF(N(E117)&gt;0,E117,IF(N(F117)&gt;0,F117*가정!$B$5,0))</f>
        <v>129000</v>
      </c>
      <c r="K117" s="95" t="n">
        <f aca="false">IF(N(F117)&gt;0,F117,IF(N(E117)&gt;0,E117/가정!$B$5,0))</f>
        <v>28200</v>
      </c>
      <c r="L117" s="95" t="n">
        <f aca="false">IF(B117="CN",IF(N(I117)&gt;0,I117*가정!$B$3,K117*(1+가정!$B$6)),IF(N(H117)&gt;0,H117*가정!$B$3,J117*가정!$B$4))</f>
        <v>44017.794</v>
      </c>
      <c r="M117" s="95" t="n">
        <f aca="false">D117*J117</f>
        <v>2580000</v>
      </c>
      <c r="N117" s="95" t="n">
        <f aca="false">D117*K117</f>
        <v>564000</v>
      </c>
      <c r="O117" s="95" t="n">
        <f aca="false">D117*L117</f>
        <v>880355.88</v>
      </c>
      <c r="P117" s="34" t="str">
        <f aca="false">TRIM(IF(N(E117)&lt;=0,"택가보정 ","")&amp;IF(N(F117)&lt;=0,"원가보정 ","")&amp;IF(AND(B117&lt;&gt;"CN",N(H117)&lt;=0),"공급가보정 ","")&amp;IF(AND(B117="CN",N(I117)&lt;=0),"중국공급가=원가+마진 ",""))</f>
        <v/>
      </c>
    </row>
    <row r="118" customFormat="false" ht="15" hidden="false" customHeight="true" outlineLevel="0" collapsed="false">
      <c r="A118" s="94" t="s">
        <v>1688</v>
      </c>
      <c r="B118" s="34" t="str">
        <f aca="false">IF(A118="100","HK",IF(A118="200","CN",IF(A118="300","TW","홀세일")))</f>
        <v>홀세일</v>
      </c>
      <c r="C118" s="94" t="s">
        <v>1696</v>
      </c>
      <c r="D118" s="95" t="n">
        <v>35</v>
      </c>
      <c r="E118" s="95" t="n">
        <v>139000</v>
      </c>
      <c r="F118" s="95" t="n">
        <v>24900</v>
      </c>
      <c r="G118" s="34" t="n">
        <v>4.01</v>
      </c>
      <c r="H118" s="34" t="n">
        <v>34.8</v>
      </c>
      <c r="J118" s="95" t="n">
        <f aca="false">IF(N(E118)&gt;0,E118,IF(N(F118)&gt;0,F118*가정!$B$5,0))</f>
        <v>139000</v>
      </c>
      <c r="K118" s="95" t="n">
        <f aca="false">IF(N(F118)&gt;0,F118,IF(N(E118)&gt;0,E118/가정!$B$5,0))</f>
        <v>24900</v>
      </c>
      <c r="L118" s="95" t="n">
        <f aca="false">IF(B118="CN",IF(N(I118)&gt;0,I118*가정!$B$3,K118*(1+가정!$B$6)),IF(N(H118)&gt;0,H118*가정!$B$3,J118*가정!$B$4))</f>
        <v>47424.744</v>
      </c>
      <c r="M118" s="95" t="n">
        <f aca="false">D118*J118</f>
        <v>4865000</v>
      </c>
      <c r="N118" s="95" t="n">
        <f aca="false">D118*K118</f>
        <v>871500</v>
      </c>
      <c r="O118" s="95" t="n">
        <f aca="false">D118*L118</f>
        <v>1659866.04</v>
      </c>
      <c r="P118" s="34" t="str">
        <f aca="false">TRIM(IF(N(E118)&lt;=0,"택가보정 ","")&amp;IF(N(F118)&lt;=0,"원가보정 ","")&amp;IF(AND(B118&lt;&gt;"CN",N(H118)&lt;=0),"공급가보정 ","")&amp;IF(AND(B118="CN",N(I118)&lt;=0),"중국공급가=원가+마진 ",""))</f>
        <v/>
      </c>
    </row>
    <row r="119" customFormat="false" ht="15" hidden="false" customHeight="true" outlineLevel="0" collapsed="false">
      <c r="A119" s="94" t="s">
        <v>1684</v>
      </c>
      <c r="B119" s="34" t="str">
        <f aca="false">IF(A119="100","HK",IF(A119="200","CN",IF(A119="300","TW","홀세일")))</f>
        <v>HK</v>
      </c>
      <c r="C119" s="94" t="s">
        <v>849</v>
      </c>
      <c r="D119" s="95" t="n">
        <v>300</v>
      </c>
      <c r="E119" s="95" t="n">
        <v>149000</v>
      </c>
      <c r="F119" s="95" t="n">
        <v>26700</v>
      </c>
      <c r="G119" s="34" t="n">
        <v>4.65</v>
      </c>
      <c r="H119" s="34" t="n">
        <v>37.3</v>
      </c>
      <c r="J119" s="95" t="n">
        <f aca="false">IF(N(E119)&gt;0,E119,IF(N(F119)&gt;0,F119*가정!$B$5,0))</f>
        <v>149000</v>
      </c>
      <c r="K119" s="95" t="n">
        <f aca="false">IF(N(F119)&gt;0,F119,IF(N(E119)&gt;0,E119/가정!$B$5,0))</f>
        <v>26700</v>
      </c>
      <c r="L119" s="95" t="n">
        <f aca="false">IF(B119="CN",IF(N(I119)&gt;0,I119*가정!$B$3,K119*(1+가정!$B$6)),IF(N(H119)&gt;0,H119*가정!$B$3,J119*가정!$B$4))</f>
        <v>50831.694</v>
      </c>
      <c r="M119" s="95" t="n">
        <f aca="false">D119*J119</f>
        <v>44700000</v>
      </c>
      <c r="N119" s="95" t="n">
        <f aca="false">D119*K119</f>
        <v>8010000</v>
      </c>
      <c r="O119" s="95" t="n">
        <f aca="false">D119*L119</f>
        <v>15249508.2</v>
      </c>
      <c r="P119" s="34" t="str">
        <f aca="false">TRIM(IF(N(E119)&lt;=0,"택가보정 ","")&amp;IF(N(F119)&lt;=0,"원가보정 ","")&amp;IF(AND(B119&lt;&gt;"CN",N(H119)&lt;=0),"공급가보정 ","")&amp;IF(AND(B119="CN",N(I119)&lt;=0),"중국공급가=원가+마진 ",""))</f>
        <v/>
      </c>
    </row>
    <row r="120" customFormat="false" ht="15" hidden="false" customHeight="true" outlineLevel="0" collapsed="false">
      <c r="A120" s="94" t="s">
        <v>1692</v>
      </c>
      <c r="B120" s="34" t="str">
        <f aca="false">IF(A120="100","HK",IF(A120="200","CN",IF(A120="300","TW","홀세일")))</f>
        <v>홀세일</v>
      </c>
      <c r="C120" s="94" t="s">
        <v>1448</v>
      </c>
      <c r="D120" s="95" t="n">
        <v>82</v>
      </c>
      <c r="E120" s="95" t="n">
        <v>139000</v>
      </c>
      <c r="F120" s="95" t="n">
        <v>30385</v>
      </c>
      <c r="G120" s="34" t="n">
        <v>4.2</v>
      </c>
      <c r="H120" s="34" t="n">
        <v>34.8</v>
      </c>
      <c r="J120" s="95" t="n">
        <f aca="false">IF(N(E120)&gt;0,E120,IF(N(F120)&gt;0,F120*가정!$B$5,0))</f>
        <v>139000</v>
      </c>
      <c r="K120" s="95" t="n">
        <f aca="false">IF(N(F120)&gt;0,F120,IF(N(E120)&gt;0,E120/가정!$B$5,0))</f>
        <v>30385</v>
      </c>
      <c r="L120" s="95" t="n">
        <f aca="false">IF(B120="CN",IF(N(I120)&gt;0,I120*가정!$B$3,K120*(1+가정!$B$6)),IF(N(H120)&gt;0,H120*가정!$B$3,J120*가정!$B$4))</f>
        <v>47424.744</v>
      </c>
      <c r="M120" s="95" t="n">
        <f aca="false">D120*J120</f>
        <v>11398000</v>
      </c>
      <c r="N120" s="95" t="n">
        <f aca="false">D120*K120</f>
        <v>2491570</v>
      </c>
      <c r="O120" s="95" t="n">
        <f aca="false">D120*L120</f>
        <v>3888829.008</v>
      </c>
      <c r="P120" s="34" t="str">
        <f aca="false">TRIM(IF(N(E120)&lt;=0,"택가보정 ","")&amp;IF(N(F120)&lt;=0,"원가보정 ","")&amp;IF(AND(B120&lt;&gt;"CN",N(H120)&lt;=0),"공급가보정 ","")&amp;IF(AND(B120="CN",N(I120)&lt;=0),"중국공급가=원가+마진 ",""))</f>
        <v/>
      </c>
    </row>
    <row r="121" customFormat="false" ht="15" hidden="false" customHeight="true" outlineLevel="0" collapsed="false">
      <c r="A121" s="94" t="s">
        <v>1690</v>
      </c>
      <c r="B121" s="34" t="str">
        <f aca="false">IF(A121="100","HK",IF(A121="200","CN",IF(A121="300","TW","홀세일")))</f>
        <v>홀세일</v>
      </c>
      <c r="C121" s="94" t="s">
        <v>1514</v>
      </c>
      <c r="D121" s="95" t="n">
        <v>216</v>
      </c>
      <c r="E121" s="95" t="n">
        <v>109000</v>
      </c>
      <c r="F121" s="95" t="n">
        <v>27888</v>
      </c>
      <c r="G121" s="34" t="n">
        <v>3.27</v>
      </c>
      <c r="H121" s="34" t="n">
        <v>29</v>
      </c>
      <c r="J121" s="95" t="n">
        <f aca="false">IF(N(E121)&gt;0,E121,IF(N(F121)&gt;0,F121*가정!$B$5,0))</f>
        <v>109000</v>
      </c>
      <c r="K121" s="95" t="n">
        <f aca="false">IF(N(F121)&gt;0,F121,IF(N(E121)&gt;0,E121/가정!$B$5,0))</f>
        <v>27888</v>
      </c>
      <c r="L121" s="95" t="n">
        <f aca="false">IF(B121="CN",IF(N(I121)&gt;0,I121*가정!$B$3,K121*(1+가정!$B$6)),IF(N(H121)&gt;0,H121*가정!$B$3,J121*가정!$B$4))</f>
        <v>39520.62</v>
      </c>
      <c r="M121" s="95" t="n">
        <f aca="false">D121*J121</f>
        <v>23544000</v>
      </c>
      <c r="N121" s="95" t="n">
        <f aca="false">D121*K121</f>
        <v>6023808</v>
      </c>
      <c r="O121" s="95" t="n">
        <f aca="false">D121*L121</f>
        <v>8536453.92</v>
      </c>
      <c r="P121" s="34" t="str">
        <f aca="false">TRIM(IF(N(E121)&lt;=0,"택가보정 ","")&amp;IF(N(F121)&lt;=0,"원가보정 ","")&amp;IF(AND(B121&lt;&gt;"CN",N(H121)&lt;=0),"공급가보정 ","")&amp;IF(AND(B121="CN",N(I121)&lt;=0),"중국공급가=원가+마진 ",""))</f>
        <v/>
      </c>
    </row>
    <row r="122" customFormat="false" ht="15" hidden="false" customHeight="true" outlineLevel="0" collapsed="false">
      <c r="A122" s="94" t="s">
        <v>1684</v>
      </c>
      <c r="B122" s="34" t="str">
        <f aca="false">IF(A122="100","HK",IF(A122="200","CN",IF(A122="300","TW","홀세일")))</f>
        <v>HK</v>
      </c>
      <c r="C122" s="94" t="s">
        <v>1314</v>
      </c>
      <c r="D122" s="95" t="n">
        <v>600</v>
      </c>
      <c r="E122" s="95" t="n">
        <v>219000</v>
      </c>
      <c r="F122" s="95" t="n">
        <v>49100</v>
      </c>
      <c r="G122" s="34" t="n">
        <v>4.12</v>
      </c>
      <c r="H122" s="34" t="n">
        <v>58.2</v>
      </c>
      <c r="J122" s="95" t="n">
        <f aca="false">IF(N(E122)&gt;0,E122,IF(N(F122)&gt;0,F122*가정!$B$5,0))</f>
        <v>219000</v>
      </c>
      <c r="K122" s="95" t="n">
        <f aca="false">IF(N(F122)&gt;0,F122,IF(N(E122)&gt;0,E122/가정!$B$5,0))</f>
        <v>49100</v>
      </c>
      <c r="L122" s="95" t="n">
        <f aca="false">IF(B122="CN",IF(N(I122)&gt;0,I122*가정!$B$3,K122*(1+가정!$B$6)),IF(N(H122)&gt;0,H122*가정!$B$3,J122*가정!$B$4))</f>
        <v>79313.796</v>
      </c>
      <c r="M122" s="95" t="n">
        <f aca="false">D122*J122</f>
        <v>131400000</v>
      </c>
      <c r="N122" s="95" t="n">
        <f aca="false">D122*K122</f>
        <v>29460000</v>
      </c>
      <c r="O122" s="95" t="n">
        <f aca="false">D122*L122</f>
        <v>47588277.6</v>
      </c>
      <c r="P122" s="34" t="str">
        <f aca="false">TRIM(IF(N(E122)&lt;=0,"택가보정 ","")&amp;IF(N(F122)&lt;=0,"원가보정 ","")&amp;IF(AND(B122&lt;&gt;"CN",N(H122)&lt;=0),"공급가보정 ","")&amp;IF(AND(B122="CN",N(I122)&lt;=0),"중국공급가=원가+마진 ",""))</f>
        <v/>
      </c>
    </row>
    <row r="123" customFormat="false" ht="15" hidden="false" customHeight="true" outlineLevel="0" collapsed="false">
      <c r="A123" s="94" t="s">
        <v>1684</v>
      </c>
      <c r="B123" s="34" t="str">
        <f aca="false">IF(A123="100","HK",IF(A123="200","CN",IF(A123="300","TW","홀세일")))</f>
        <v>HK</v>
      </c>
      <c r="C123" s="94" t="s">
        <v>1314</v>
      </c>
      <c r="D123" s="95" t="n">
        <v>600</v>
      </c>
      <c r="E123" s="95" t="n">
        <v>219000</v>
      </c>
      <c r="F123" s="95" t="n">
        <v>49100</v>
      </c>
      <c r="G123" s="34" t="n">
        <v>4.12</v>
      </c>
      <c r="H123" s="34" t="n">
        <v>58.2</v>
      </c>
      <c r="J123" s="95" t="n">
        <f aca="false">IF(N(E123)&gt;0,E123,IF(N(F123)&gt;0,F123*가정!$B$5,0))</f>
        <v>219000</v>
      </c>
      <c r="K123" s="95" t="n">
        <f aca="false">IF(N(F123)&gt;0,F123,IF(N(E123)&gt;0,E123/가정!$B$5,0))</f>
        <v>49100</v>
      </c>
      <c r="L123" s="95" t="n">
        <f aca="false">IF(B123="CN",IF(N(I123)&gt;0,I123*가정!$B$3,K123*(1+가정!$B$6)),IF(N(H123)&gt;0,H123*가정!$B$3,J123*가정!$B$4))</f>
        <v>79313.796</v>
      </c>
      <c r="M123" s="95" t="n">
        <f aca="false">D123*J123</f>
        <v>131400000</v>
      </c>
      <c r="N123" s="95" t="n">
        <f aca="false">D123*K123</f>
        <v>29460000</v>
      </c>
      <c r="O123" s="95" t="n">
        <f aca="false">D123*L123</f>
        <v>47588277.6</v>
      </c>
      <c r="P123" s="34" t="str">
        <f aca="false">TRIM(IF(N(E123)&lt;=0,"택가보정 ","")&amp;IF(N(F123)&lt;=0,"원가보정 ","")&amp;IF(AND(B123&lt;&gt;"CN",N(H123)&lt;=0),"공급가보정 ","")&amp;IF(AND(B123="CN",N(I123)&lt;=0),"중국공급가=원가+마진 ",""))</f>
        <v/>
      </c>
    </row>
    <row r="124" customFormat="false" ht="15" hidden="false" customHeight="true" outlineLevel="0" collapsed="false">
      <c r="A124" s="94" t="s">
        <v>1687</v>
      </c>
      <c r="B124" s="34" t="str">
        <f aca="false">IF(A124="100","HK",IF(A124="200","CN",IF(A124="300","TW","홀세일")))</f>
        <v>홀세일</v>
      </c>
      <c r="C124" s="94" t="s">
        <v>1314</v>
      </c>
      <c r="D124" s="95" t="n">
        <v>40</v>
      </c>
      <c r="E124" s="95" t="n">
        <v>219000</v>
      </c>
      <c r="F124" s="95" t="n">
        <v>49100</v>
      </c>
      <c r="G124" s="34" t="n">
        <v>4.12</v>
      </c>
      <c r="H124" s="34" t="n">
        <v>58.2</v>
      </c>
      <c r="J124" s="95" t="n">
        <f aca="false">IF(N(E124)&gt;0,E124,IF(N(F124)&gt;0,F124*가정!$B$5,0))</f>
        <v>219000</v>
      </c>
      <c r="K124" s="95" t="n">
        <f aca="false">IF(N(F124)&gt;0,F124,IF(N(E124)&gt;0,E124/가정!$B$5,0))</f>
        <v>49100</v>
      </c>
      <c r="L124" s="95" t="n">
        <f aca="false">IF(B124="CN",IF(N(I124)&gt;0,I124*가정!$B$3,K124*(1+가정!$B$6)),IF(N(H124)&gt;0,H124*가정!$B$3,J124*가정!$B$4))</f>
        <v>79313.796</v>
      </c>
      <c r="M124" s="95" t="n">
        <f aca="false">D124*J124</f>
        <v>8760000</v>
      </c>
      <c r="N124" s="95" t="n">
        <f aca="false">D124*K124</f>
        <v>1964000</v>
      </c>
      <c r="O124" s="95" t="n">
        <f aca="false">D124*L124</f>
        <v>3172551.84</v>
      </c>
      <c r="P124" s="34" t="str">
        <f aca="false">TRIM(IF(N(E124)&lt;=0,"택가보정 ","")&amp;IF(N(F124)&lt;=0,"원가보정 ","")&amp;IF(AND(B124&lt;&gt;"CN",N(H124)&lt;=0),"공급가보정 ","")&amp;IF(AND(B124="CN",N(I124)&lt;=0),"중국공급가=원가+마진 ",""))</f>
        <v/>
      </c>
    </row>
    <row r="125" customFormat="false" ht="15" hidden="false" customHeight="true" outlineLevel="0" collapsed="false">
      <c r="A125" s="94" t="s">
        <v>1692</v>
      </c>
      <c r="B125" s="34" t="str">
        <f aca="false">IF(A125="100","HK",IF(A125="200","CN",IF(A125="300","TW","홀세일")))</f>
        <v>홀세일</v>
      </c>
      <c r="C125" s="94" t="s">
        <v>1314</v>
      </c>
      <c r="D125" s="95" t="n">
        <v>82</v>
      </c>
      <c r="E125" s="95" t="n">
        <v>219000</v>
      </c>
      <c r="F125" s="95" t="n">
        <v>49100</v>
      </c>
      <c r="G125" s="34" t="n">
        <v>4.12</v>
      </c>
      <c r="H125" s="34" t="n">
        <v>58.2</v>
      </c>
      <c r="J125" s="95" t="n">
        <f aca="false">IF(N(E125)&gt;0,E125,IF(N(F125)&gt;0,F125*가정!$B$5,0))</f>
        <v>219000</v>
      </c>
      <c r="K125" s="95" t="n">
        <f aca="false">IF(N(F125)&gt;0,F125,IF(N(E125)&gt;0,E125/가정!$B$5,0))</f>
        <v>49100</v>
      </c>
      <c r="L125" s="95" t="n">
        <f aca="false">IF(B125="CN",IF(N(I125)&gt;0,I125*가정!$B$3,K125*(1+가정!$B$6)),IF(N(H125)&gt;0,H125*가정!$B$3,J125*가정!$B$4))</f>
        <v>79313.796</v>
      </c>
      <c r="M125" s="95" t="n">
        <f aca="false">D125*J125</f>
        <v>17958000</v>
      </c>
      <c r="N125" s="95" t="n">
        <f aca="false">D125*K125</f>
        <v>4026200</v>
      </c>
      <c r="O125" s="95" t="n">
        <f aca="false">D125*L125</f>
        <v>6503731.272</v>
      </c>
      <c r="P125" s="34" t="str">
        <f aca="false">TRIM(IF(N(E125)&lt;=0,"택가보정 ","")&amp;IF(N(F125)&lt;=0,"원가보정 ","")&amp;IF(AND(B125&lt;&gt;"CN",N(H125)&lt;=0),"공급가보정 ","")&amp;IF(AND(B125="CN",N(I125)&lt;=0),"중국공급가=원가+마진 ",""))</f>
        <v/>
      </c>
    </row>
    <row r="126" customFormat="false" ht="15" hidden="false" customHeight="true" outlineLevel="0" collapsed="false">
      <c r="A126" s="94" t="s">
        <v>1689</v>
      </c>
      <c r="B126" s="34" t="str">
        <f aca="false">IF(A126="100","HK",IF(A126="200","CN",IF(A126="300","TW","홀세일")))</f>
        <v>홀세일</v>
      </c>
      <c r="C126" s="94" t="s">
        <v>1314</v>
      </c>
      <c r="D126" s="95" t="n">
        <v>30</v>
      </c>
      <c r="E126" s="95" t="n">
        <v>219000</v>
      </c>
      <c r="F126" s="95" t="n">
        <v>49100</v>
      </c>
      <c r="G126" s="34" t="n">
        <v>4.12</v>
      </c>
      <c r="H126" s="34" t="n">
        <v>58.2</v>
      </c>
      <c r="J126" s="95" t="n">
        <f aca="false">IF(N(E126)&gt;0,E126,IF(N(F126)&gt;0,F126*가정!$B$5,0))</f>
        <v>219000</v>
      </c>
      <c r="K126" s="95" t="n">
        <f aca="false">IF(N(F126)&gt;0,F126,IF(N(E126)&gt;0,E126/가정!$B$5,0))</f>
        <v>49100</v>
      </c>
      <c r="L126" s="95" t="n">
        <f aca="false">IF(B126="CN",IF(N(I126)&gt;0,I126*가정!$B$3,K126*(1+가정!$B$6)),IF(N(H126)&gt;0,H126*가정!$B$3,J126*가정!$B$4))</f>
        <v>79313.796</v>
      </c>
      <c r="M126" s="95" t="n">
        <f aca="false">D126*J126</f>
        <v>6570000</v>
      </c>
      <c r="N126" s="95" t="n">
        <f aca="false">D126*K126</f>
        <v>1473000</v>
      </c>
      <c r="O126" s="95" t="n">
        <f aca="false">D126*L126</f>
        <v>2379413.88</v>
      </c>
      <c r="P126" s="34" t="str">
        <f aca="false">TRIM(IF(N(E126)&lt;=0,"택가보정 ","")&amp;IF(N(F126)&lt;=0,"원가보정 ","")&amp;IF(AND(B126&lt;&gt;"CN",N(H126)&lt;=0),"공급가보정 ","")&amp;IF(AND(B126="CN",N(I126)&lt;=0),"중국공급가=원가+마진 ",""))</f>
        <v/>
      </c>
    </row>
    <row r="127" customFormat="false" ht="15" hidden="false" customHeight="true" outlineLevel="0" collapsed="false">
      <c r="A127" s="94" t="s">
        <v>1689</v>
      </c>
      <c r="B127" s="34" t="str">
        <f aca="false">IF(A127="100","HK",IF(A127="200","CN",IF(A127="300","TW","홀세일")))</f>
        <v>홀세일</v>
      </c>
      <c r="C127" s="94" t="s">
        <v>1697</v>
      </c>
      <c r="D127" s="95" t="n">
        <v>65</v>
      </c>
      <c r="E127" s="95" t="n">
        <v>249000</v>
      </c>
      <c r="F127" s="95" t="n">
        <v>53280</v>
      </c>
      <c r="G127" s="34" t="n">
        <v>3.78</v>
      </c>
      <c r="H127" s="34" t="n">
        <v>66.1</v>
      </c>
      <c r="J127" s="95" t="n">
        <f aca="false">IF(N(E127)&gt;0,E127,IF(N(F127)&gt;0,F127*가정!$B$5,0))</f>
        <v>249000</v>
      </c>
      <c r="K127" s="95" t="n">
        <f aca="false">IF(N(F127)&gt;0,F127,IF(N(E127)&gt;0,E127/가정!$B$5,0))</f>
        <v>53280</v>
      </c>
      <c r="L127" s="95" t="n">
        <f aca="false">IF(B127="CN",IF(N(I127)&gt;0,I127*가정!$B$3,K127*(1+가정!$B$6)),IF(N(H127)&gt;0,H127*가정!$B$3,J127*가정!$B$4))</f>
        <v>90079.758</v>
      </c>
      <c r="M127" s="95" t="n">
        <f aca="false">D127*J127</f>
        <v>16185000</v>
      </c>
      <c r="N127" s="95" t="n">
        <f aca="false">D127*K127</f>
        <v>3463200</v>
      </c>
      <c r="O127" s="95" t="n">
        <f aca="false">D127*L127</f>
        <v>5855184.27</v>
      </c>
      <c r="P127" s="34" t="str">
        <f aca="false">TRIM(IF(N(E127)&lt;=0,"택가보정 ","")&amp;IF(N(F127)&lt;=0,"원가보정 ","")&amp;IF(AND(B127&lt;&gt;"CN",N(H127)&lt;=0),"공급가보정 ","")&amp;IF(AND(B127="CN",N(I127)&lt;=0),"중국공급가=원가+마진 ",""))</f>
        <v/>
      </c>
    </row>
    <row r="128" customFormat="false" ht="15" hidden="false" customHeight="true" outlineLevel="0" collapsed="false">
      <c r="A128" s="94" t="s">
        <v>1684</v>
      </c>
      <c r="B128" s="34" t="str">
        <f aca="false">IF(A128="100","HK",IF(A128="200","CN",IF(A128="300","TW","홀세일")))</f>
        <v>HK</v>
      </c>
      <c r="C128" s="94" t="s">
        <v>220</v>
      </c>
      <c r="D128" s="95" t="n">
        <v>550</v>
      </c>
      <c r="E128" s="95" t="n">
        <v>199000</v>
      </c>
      <c r="F128" s="95" t="n">
        <v>38120</v>
      </c>
      <c r="G128" s="34" t="n">
        <v>4.28</v>
      </c>
      <c r="H128" s="34" t="n">
        <v>52.9</v>
      </c>
      <c r="J128" s="95" t="n">
        <f aca="false">IF(N(E128)&gt;0,E128,IF(N(F128)&gt;0,F128*가정!$B$5,0))</f>
        <v>199000</v>
      </c>
      <c r="K128" s="95" t="n">
        <f aca="false">IF(N(F128)&gt;0,F128,IF(N(E128)&gt;0,E128/가정!$B$5,0))</f>
        <v>38120</v>
      </c>
      <c r="L128" s="95" t="n">
        <f aca="false">IF(B128="CN",IF(N(I128)&gt;0,I128*가정!$B$3,K128*(1+가정!$B$6)),IF(N(H128)&gt;0,H128*가정!$B$3,J128*가정!$B$4))</f>
        <v>72091.062</v>
      </c>
      <c r="M128" s="95" t="n">
        <f aca="false">D128*J128</f>
        <v>109450000</v>
      </c>
      <c r="N128" s="95" t="n">
        <f aca="false">D128*K128</f>
        <v>20966000</v>
      </c>
      <c r="O128" s="95" t="n">
        <f aca="false">D128*L128</f>
        <v>39650084.1</v>
      </c>
      <c r="P128" s="34" t="str">
        <f aca="false">TRIM(IF(N(E128)&lt;=0,"택가보정 ","")&amp;IF(N(F128)&lt;=0,"원가보정 ","")&amp;IF(AND(B128&lt;&gt;"CN",N(H128)&lt;=0),"공급가보정 ","")&amp;IF(AND(B128="CN",N(I128)&lt;=0),"중국공급가=원가+마진 ",""))</f>
        <v/>
      </c>
    </row>
    <row r="129" customFormat="false" ht="15.75" hidden="false" customHeight="true" outlineLevel="0" collapsed="false">
      <c r="A129" s="94" t="s">
        <v>1685</v>
      </c>
      <c r="B129" s="34" t="str">
        <f aca="false">IF(A129="100","HK",IF(A129="200","CN",IF(A129="300","TW","홀세일")))</f>
        <v>CN</v>
      </c>
      <c r="C129" s="94" t="s">
        <v>220</v>
      </c>
      <c r="D129" s="95" t="n">
        <v>262</v>
      </c>
      <c r="E129" s="95" t="n">
        <v>199000</v>
      </c>
      <c r="F129" s="95" t="n">
        <v>38120</v>
      </c>
      <c r="G129" s="34" t="n">
        <v>4.28</v>
      </c>
      <c r="H129" s="34" t="n">
        <v>52.9</v>
      </c>
      <c r="J129" s="95" t="n">
        <f aca="false">IF(N(E129)&gt;0,E129,IF(N(F129)&gt;0,F129*가정!$B$5,0))</f>
        <v>199000</v>
      </c>
      <c r="K129" s="95" t="n">
        <f aca="false">IF(N(F129)&gt;0,F129,IF(N(E129)&gt;0,E129/가정!$B$5,0))</f>
        <v>38120</v>
      </c>
      <c r="L129" s="95" t="n">
        <f aca="false">IF(B129="CN",IF(N(I129)&gt;0,I129*가정!$B$3,K129*(1+가정!$B$6)),IF(N(H129)&gt;0,H129*가정!$B$3,J129*가정!$B$4))</f>
        <v>40026</v>
      </c>
      <c r="M129" s="95" t="n">
        <f aca="false">D129*J129</f>
        <v>52138000</v>
      </c>
      <c r="N129" s="95" t="n">
        <f aca="false">D129*K129</f>
        <v>9987440</v>
      </c>
      <c r="O129" s="95" t="n">
        <f aca="false">D129*L129</f>
        <v>10486812</v>
      </c>
      <c r="P129" s="34" t="str">
        <f aca="false">TRIM(IF(N(E129)&lt;=0,"택가보정 ","")&amp;IF(N(F129)&lt;=0,"원가보정 ","")&amp;IF(AND(B129&lt;&gt;"CN",N(H129)&lt;=0),"공급가보정 ","")&amp;IF(AND(B129="CN",N(I129)&lt;=0),"중국공급가=원가+마진 ",""))</f>
        <v>중국공급가=원가+마진</v>
      </c>
    </row>
    <row r="130" customFormat="false" ht="15" hidden="false" customHeight="true" outlineLevel="0" collapsed="false">
      <c r="A130" s="94" t="s">
        <v>1686</v>
      </c>
      <c r="B130" s="34" t="str">
        <f aca="false">IF(A130="100","HK",IF(A130="200","CN",IF(A130="300","TW","홀세일")))</f>
        <v>TW</v>
      </c>
      <c r="C130" s="94" t="s">
        <v>220</v>
      </c>
      <c r="D130" s="95" t="n">
        <v>80</v>
      </c>
      <c r="E130" s="95" t="n">
        <v>199000</v>
      </c>
      <c r="F130" s="95" t="n">
        <v>38120</v>
      </c>
      <c r="G130" s="34" t="n">
        <v>4.28</v>
      </c>
      <c r="H130" s="34" t="n">
        <v>52.9</v>
      </c>
      <c r="J130" s="95" t="n">
        <f aca="false">IF(N(E130)&gt;0,E130,IF(N(F130)&gt;0,F130*가정!$B$5,0))</f>
        <v>199000</v>
      </c>
      <c r="K130" s="95" t="n">
        <f aca="false">IF(N(F130)&gt;0,F130,IF(N(E130)&gt;0,E130/가정!$B$5,0))</f>
        <v>38120</v>
      </c>
      <c r="L130" s="95" t="n">
        <f aca="false">IF(B130="CN",IF(N(I130)&gt;0,I130*가정!$B$3,K130*(1+가정!$B$6)),IF(N(H130)&gt;0,H130*가정!$B$3,J130*가정!$B$4))</f>
        <v>72091.062</v>
      </c>
      <c r="M130" s="95" t="n">
        <f aca="false">D130*J130</f>
        <v>15920000</v>
      </c>
      <c r="N130" s="95" t="n">
        <f aca="false">D130*K130</f>
        <v>3049600</v>
      </c>
      <c r="O130" s="95" t="n">
        <f aca="false">D130*L130</f>
        <v>5767284.96</v>
      </c>
      <c r="P130" s="34" t="str">
        <f aca="false">TRIM(IF(N(E130)&lt;=0,"택가보정 ","")&amp;IF(N(F130)&lt;=0,"원가보정 ","")&amp;IF(AND(B130&lt;&gt;"CN",N(H130)&lt;=0),"공급가보정 ","")&amp;IF(AND(B130="CN",N(I130)&lt;=0),"중국공급가=원가+마진 ",""))</f>
        <v/>
      </c>
    </row>
    <row r="131" customFormat="false" ht="15" hidden="false" customHeight="true" outlineLevel="0" collapsed="false">
      <c r="A131" s="94" t="s">
        <v>1688</v>
      </c>
      <c r="B131" s="34" t="str">
        <f aca="false">IF(A131="100","HK",IF(A131="200","CN",IF(A131="300","TW","홀세일")))</f>
        <v>홀세일</v>
      </c>
      <c r="C131" s="94" t="s">
        <v>220</v>
      </c>
      <c r="D131" s="95" t="n">
        <v>25</v>
      </c>
      <c r="E131" s="95" t="n">
        <v>199000</v>
      </c>
      <c r="F131" s="95" t="n">
        <v>38120</v>
      </c>
      <c r="G131" s="34" t="n">
        <v>4.28</v>
      </c>
      <c r="H131" s="34" t="n">
        <v>52.9</v>
      </c>
      <c r="J131" s="95" t="n">
        <f aca="false">IF(N(E131)&gt;0,E131,IF(N(F131)&gt;0,F131*가정!$B$5,0))</f>
        <v>199000</v>
      </c>
      <c r="K131" s="95" t="n">
        <f aca="false">IF(N(F131)&gt;0,F131,IF(N(E131)&gt;0,E131/가정!$B$5,0))</f>
        <v>38120</v>
      </c>
      <c r="L131" s="95" t="n">
        <f aca="false">IF(B131="CN",IF(N(I131)&gt;0,I131*가정!$B$3,K131*(1+가정!$B$6)),IF(N(H131)&gt;0,H131*가정!$B$3,J131*가정!$B$4))</f>
        <v>72091.062</v>
      </c>
      <c r="M131" s="95" t="n">
        <f aca="false">D131*J131</f>
        <v>4975000</v>
      </c>
      <c r="N131" s="95" t="n">
        <f aca="false">D131*K131</f>
        <v>953000</v>
      </c>
      <c r="O131" s="95" t="n">
        <f aca="false">D131*L131</f>
        <v>1802276.55</v>
      </c>
      <c r="P131" s="34" t="str">
        <f aca="false">TRIM(IF(N(E131)&lt;=0,"택가보정 ","")&amp;IF(N(F131)&lt;=0,"원가보정 ","")&amp;IF(AND(B131&lt;&gt;"CN",N(H131)&lt;=0),"공급가보정 ","")&amp;IF(AND(B131="CN",N(I131)&lt;=0),"중국공급가=원가+마진 ",""))</f>
        <v/>
      </c>
    </row>
    <row r="132" customFormat="false" ht="15" hidden="false" customHeight="true" outlineLevel="0" collapsed="false">
      <c r="A132" s="94" t="s">
        <v>1692</v>
      </c>
      <c r="B132" s="34" t="str">
        <f aca="false">IF(A132="100","HK",IF(A132="200","CN",IF(A132="300","TW","홀세일")))</f>
        <v>홀세일</v>
      </c>
      <c r="C132" s="94" t="s">
        <v>220</v>
      </c>
      <c r="D132" s="95" t="n">
        <v>41</v>
      </c>
      <c r="E132" s="95" t="n">
        <v>199000</v>
      </c>
      <c r="F132" s="95" t="n">
        <v>38120</v>
      </c>
      <c r="G132" s="34" t="n">
        <v>4.28</v>
      </c>
      <c r="H132" s="34" t="n">
        <v>52.9</v>
      </c>
      <c r="J132" s="95" t="n">
        <f aca="false">IF(N(E132)&gt;0,E132,IF(N(F132)&gt;0,F132*가정!$B$5,0))</f>
        <v>199000</v>
      </c>
      <c r="K132" s="95" t="n">
        <f aca="false">IF(N(F132)&gt;0,F132,IF(N(E132)&gt;0,E132/가정!$B$5,0))</f>
        <v>38120</v>
      </c>
      <c r="L132" s="95" t="n">
        <f aca="false">IF(B132="CN",IF(N(I132)&gt;0,I132*가정!$B$3,K132*(1+가정!$B$6)),IF(N(H132)&gt;0,H132*가정!$B$3,J132*가정!$B$4))</f>
        <v>72091.062</v>
      </c>
      <c r="M132" s="95" t="n">
        <f aca="false">D132*J132</f>
        <v>8159000</v>
      </c>
      <c r="N132" s="95" t="n">
        <f aca="false">D132*K132</f>
        <v>1562920</v>
      </c>
      <c r="O132" s="95" t="n">
        <f aca="false">D132*L132</f>
        <v>2955733.542</v>
      </c>
      <c r="P132" s="34" t="str">
        <f aca="false">TRIM(IF(N(E132)&lt;=0,"택가보정 ","")&amp;IF(N(F132)&lt;=0,"원가보정 ","")&amp;IF(AND(B132&lt;&gt;"CN",N(H132)&lt;=0),"공급가보정 ","")&amp;IF(AND(B132="CN",N(I132)&lt;=0),"중국공급가=원가+마진 ",""))</f>
        <v/>
      </c>
    </row>
    <row r="133" customFormat="false" ht="15" hidden="false" customHeight="true" outlineLevel="0" collapsed="false">
      <c r="A133" s="94" t="s">
        <v>1684</v>
      </c>
      <c r="B133" s="34" t="str">
        <f aca="false">IF(A133="100","HK",IF(A133="200","CN",IF(A133="300","TW","홀세일")))</f>
        <v>HK</v>
      </c>
      <c r="C133" s="94" t="s">
        <v>222</v>
      </c>
      <c r="D133" s="95" t="n">
        <v>300</v>
      </c>
      <c r="E133" s="95" t="n">
        <v>189000</v>
      </c>
      <c r="F133" s="95" t="n">
        <v>39100</v>
      </c>
      <c r="G133" s="34" t="n">
        <v>4.24</v>
      </c>
      <c r="H133" s="34" t="n">
        <v>50.2</v>
      </c>
      <c r="J133" s="95" t="n">
        <f aca="false">IF(N(E133)&gt;0,E133,IF(N(F133)&gt;0,F133*가정!$B$5,0))</f>
        <v>189000</v>
      </c>
      <c r="K133" s="95" t="n">
        <f aca="false">IF(N(F133)&gt;0,F133,IF(N(E133)&gt;0,E133/가정!$B$5,0))</f>
        <v>39100</v>
      </c>
      <c r="L133" s="95" t="n">
        <f aca="false">IF(B133="CN",IF(N(I133)&gt;0,I133*가정!$B$3,K133*(1+가정!$B$6)),IF(N(H133)&gt;0,H133*가정!$B$3,J133*가정!$B$4))</f>
        <v>68411.556</v>
      </c>
      <c r="M133" s="95" t="n">
        <f aca="false">D133*J133</f>
        <v>56700000</v>
      </c>
      <c r="N133" s="95" t="n">
        <f aca="false">D133*K133</f>
        <v>11730000</v>
      </c>
      <c r="O133" s="95" t="n">
        <f aca="false">D133*L133</f>
        <v>20523466.8</v>
      </c>
      <c r="P133" s="34" t="str">
        <f aca="false">TRIM(IF(N(E133)&lt;=0,"택가보정 ","")&amp;IF(N(F133)&lt;=0,"원가보정 ","")&amp;IF(AND(B133&lt;&gt;"CN",N(H133)&lt;=0),"공급가보정 ","")&amp;IF(AND(B133="CN",N(I133)&lt;=0),"중국공급가=원가+마진 ",""))</f>
        <v/>
      </c>
    </row>
    <row r="134" customFormat="false" ht="15" hidden="false" customHeight="true" outlineLevel="0" collapsed="false">
      <c r="A134" s="94" t="s">
        <v>1686</v>
      </c>
      <c r="B134" s="34" t="str">
        <f aca="false">IF(A134="100","HK",IF(A134="200","CN",IF(A134="300","TW","홀세일")))</f>
        <v>TW</v>
      </c>
      <c r="C134" s="94" t="s">
        <v>222</v>
      </c>
      <c r="D134" s="95" t="n">
        <v>60</v>
      </c>
      <c r="E134" s="95" t="n">
        <v>189000</v>
      </c>
      <c r="F134" s="95" t="n">
        <v>39100</v>
      </c>
      <c r="G134" s="34" t="n">
        <v>4.24</v>
      </c>
      <c r="H134" s="34" t="n">
        <v>50.2</v>
      </c>
      <c r="J134" s="95" t="n">
        <f aca="false">IF(N(E134)&gt;0,E134,IF(N(F134)&gt;0,F134*가정!$B$5,0))</f>
        <v>189000</v>
      </c>
      <c r="K134" s="95" t="n">
        <f aca="false">IF(N(F134)&gt;0,F134,IF(N(E134)&gt;0,E134/가정!$B$5,0))</f>
        <v>39100</v>
      </c>
      <c r="L134" s="95" t="n">
        <f aca="false">IF(B134="CN",IF(N(I134)&gt;0,I134*가정!$B$3,K134*(1+가정!$B$6)),IF(N(H134)&gt;0,H134*가정!$B$3,J134*가정!$B$4))</f>
        <v>68411.556</v>
      </c>
      <c r="M134" s="95" t="n">
        <f aca="false">D134*J134</f>
        <v>11340000</v>
      </c>
      <c r="N134" s="95" t="n">
        <f aca="false">D134*K134</f>
        <v>2346000</v>
      </c>
      <c r="O134" s="95" t="n">
        <f aca="false">D134*L134</f>
        <v>4104693.36</v>
      </c>
      <c r="P134" s="34" t="str">
        <f aca="false">TRIM(IF(N(E134)&lt;=0,"택가보정 ","")&amp;IF(N(F134)&lt;=0,"원가보정 ","")&amp;IF(AND(B134&lt;&gt;"CN",N(H134)&lt;=0),"공급가보정 ","")&amp;IF(AND(B134="CN",N(I134)&lt;=0),"중국공급가=원가+마진 ",""))</f>
        <v/>
      </c>
    </row>
    <row r="135" customFormat="false" ht="15" hidden="false" customHeight="true" outlineLevel="0" collapsed="false">
      <c r="A135" s="94" t="s">
        <v>1692</v>
      </c>
      <c r="B135" s="34" t="str">
        <f aca="false">IF(A135="100","HK",IF(A135="200","CN",IF(A135="300","TW","홀세일")))</f>
        <v>홀세일</v>
      </c>
      <c r="C135" s="94" t="s">
        <v>222</v>
      </c>
      <c r="D135" s="95" t="n">
        <v>46</v>
      </c>
      <c r="E135" s="95" t="n">
        <v>189000</v>
      </c>
      <c r="F135" s="95" t="n">
        <v>39100</v>
      </c>
      <c r="G135" s="34" t="n">
        <v>4.24</v>
      </c>
      <c r="H135" s="34" t="n">
        <v>50.2</v>
      </c>
      <c r="J135" s="95" t="n">
        <f aca="false">IF(N(E135)&gt;0,E135,IF(N(F135)&gt;0,F135*가정!$B$5,0))</f>
        <v>189000</v>
      </c>
      <c r="K135" s="95" t="n">
        <f aca="false">IF(N(F135)&gt;0,F135,IF(N(E135)&gt;0,E135/가정!$B$5,0))</f>
        <v>39100</v>
      </c>
      <c r="L135" s="95" t="n">
        <f aca="false">IF(B135="CN",IF(N(I135)&gt;0,I135*가정!$B$3,K135*(1+가정!$B$6)),IF(N(H135)&gt;0,H135*가정!$B$3,J135*가정!$B$4))</f>
        <v>68411.556</v>
      </c>
      <c r="M135" s="95" t="n">
        <f aca="false">D135*J135</f>
        <v>8694000</v>
      </c>
      <c r="N135" s="95" t="n">
        <f aca="false">D135*K135</f>
        <v>1798600</v>
      </c>
      <c r="O135" s="95" t="n">
        <f aca="false">D135*L135</f>
        <v>3146931.576</v>
      </c>
      <c r="P135" s="34" t="str">
        <f aca="false">TRIM(IF(N(E135)&lt;=0,"택가보정 ","")&amp;IF(N(F135)&lt;=0,"원가보정 ","")&amp;IF(AND(B135&lt;&gt;"CN",N(H135)&lt;=0),"공급가보정 ","")&amp;IF(AND(B135="CN",N(I135)&lt;=0),"중국공급가=원가+마진 ",""))</f>
        <v/>
      </c>
    </row>
    <row r="136" customFormat="false" ht="15" hidden="false" customHeight="true" outlineLevel="0" collapsed="false">
      <c r="A136" s="94" t="s">
        <v>1686</v>
      </c>
      <c r="B136" s="34" t="str">
        <f aca="false">IF(A136="100","HK",IF(A136="200","CN",IF(A136="300","TW","홀세일")))</f>
        <v>TW</v>
      </c>
      <c r="C136" s="94" t="s">
        <v>224</v>
      </c>
      <c r="D136" s="95" t="n">
        <v>80</v>
      </c>
      <c r="E136" s="95" t="n">
        <v>179000</v>
      </c>
      <c r="F136" s="95" t="n">
        <v>37700</v>
      </c>
      <c r="G136" s="34" t="n">
        <v>3.89</v>
      </c>
      <c r="H136" s="34" t="n">
        <v>47.6</v>
      </c>
      <c r="J136" s="95" t="n">
        <f aca="false">IF(N(E136)&gt;0,E136,IF(N(F136)&gt;0,F136*가정!$B$5,0))</f>
        <v>179000</v>
      </c>
      <c r="K136" s="95" t="n">
        <f aca="false">IF(N(F136)&gt;0,F136,IF(N(E136)&gt;0,E136/가정!$B$5,0))</f>
        <v>37700</v>
      </c>
      <c r="L136" s="95" t="n">
        <f aca="false">IF(B136="CN",IF(N(I136)&gt;0,I136*가정!$B$3,K136*(1+가정!$B$6)),IF(N(H136)&gt;0,H136*가정!$B$3,J136*가정!$B$4))</f>
        <v>64868.328</v>
      </c>
      <c r="M136" s="95" t="n">
        <f aca="false">D136*J136</f>
        <v>14320000</v>
      </c>
      <c r="N136" s="95" t="n">
        <f aca="false">D136*K136</f>
        <v>3016000</v>
      </c>
      <c r="O136" s="95" t="n">
        <f aca="false">D136*L136</f>
        <v>5189466.24</v>
      </c>
      <c r="P136" s="34" t="str">
        <f aca="false">TRIM(IF(N(E136)&lt;=0,"택가보정 ","")&amp;IF(N(F136)&lt;=0,"원가보정 ","")&amp;IF(AND(B136&lt;&gt;"CN",N(H136)&lt;=0),"공급가보정 ","")&amp;IF(AND(B136="CN",N(I136)&lt;=0),"중국공급가=원가+마진 ",""))</f>
        <v/>
      </c>
    </row>
    <row r="137" customFormat="false" ht="15" hidden="false" customHeight="true" outlineLevel="0" collapsed="false">
      <c r="A137" s="94" t="s">
        <v>1692</v>
      </c>
      <c r="B137" s="34" t="str">
        <f aca="false">IF(A137="100","HK",IF(A137="200","CN",IF(A137="300","TW","홀세일")))</f>
        <v>홀세일</v>
      </c>
      <c r="C137" s="94" t="s">
        <v>1450</v>
      </c>
      <c r="D137" s="95" t="n">
        <v>66</v>
      </c>
      <c r="E137" s="95" t="n">
        <v>179000</v>
      </c>
      <c r="F137" s="95" t="n">
        <v>47200</v>
      </c>
      <c r="G137" s="34" t="n">
        <v>3.12</v>
      </c>
      <c r="H137" s="34" t="n">
        <v>47.6</v>
      </c>
      <c r="J137" s="95" t="n">
        <f aca="false">IF(N(E137)&gt;0,E137,IF(N(F137)&gt;0,F137*가정!$B$5,0))</f>
        <v>179000</v>
      </c>
      <c r="K137" s="95" t="n">
        <f aca="false">IF(N(F137)&gt;0,F137,IF(N(E137)&gt;0,E137/가정!$B$5,0))</f>
        <v>47200</v>
      </c>
      <c r="L137" s="95" t="n">
        <f aca="false">IF(B137="CN",IF(N(I137)&gt;0,I137*가정!$B$3,K137*(1+가정!$B$6)),IF(N(H137)&gt;0,H137*가정!$B$3,J137*가정!$B$4))</f>
        <v>64868.328</v>
      </c>
      <c r="M137" s="95" t="n">
        <f aca="false">D137*J137</f>
        <v>11814000</v>
      </c>
      <c r="N137" s="95" t="n">
        <f aca="false">D137*K137</f>
        <v>3115200</v>
      </c>
      <c r="O137" s="95" t="n">
        <f aca="false">D137*L137</f>
        <v>4281309.648</v>
      </c>
      <c r="P137" s="34" t="str">
        <f aca="false">TRIM(IF(N(E137)&lt;=0,"택가보정 ","")&amp;IF(N(F137)&lt;=0,"원가보정 ","")&amp;IF(AND(B137&lt;&gt;"CN",N(H137)&lt;=0),"공급가보정 ","")&amp;IF(AND(B137="CN",N(I137)&lt;=0),"중국공급가=원가+마진 ",""))</f>
        <v/>
      </c>
    </row>
    <row r="138" customFormat="false" ht="15" hidden="false" customHeight="true" outlineLevel="0" collapsed="false">
      <c r="A138" s="94" t="s">
        <v>1686</v>
      </c>
      <c r="B138" s="34" t="str">
        <f aca="false">IF(A138="100","HK",IF(A138="200","CN",IF(A138="300","TW","홀세일")))</f>
        <v>TW</v>
      </c>
      <c r="C138" s="94" t="s">
        <v>226</v>
      </c>
      <c r="D138" s="95" t="n">
        <v>160</v>
      </c>
      <c r="E138" s="95" t="n">
        <v>149000</v>
      </c>
      <c r="F138" s="95" t="n">
        <v>41700</v>
      </c>
      <c r="G138" s="34" t="n">
        <v>3.31</v>
      </c>
      <c r="H138" s="34" t="n">
        <v>39.6</v>
      </c>
      <c r="J138" s="95" t="n">
        <f aca="false">IF(N(E138)&gt;0,E138,IF(N(F138)&gt;0,F138*가정!$B$5,0))</f>
        <v>149000</v>
      </c>
      <c r="K138" s="95" t="n">
        <f aca="false">IF(N(F138)&gt;0,F138,IF(N(E138)&gt;0,E138/가정!$B$5,0))</f>
        <v>41700</v>
      </c>
      <c r="L138" s="95" t="n">
        <f aca="false">IF(B138="CN",IF(N(I138)&gt;0,I138*가정!$B$3,K138*(1+가정!$B$6)),IF(N(H138)&gt;0,H138*가정!$B$3,J138*가정!$B$4))</f>
        <v>53966.088</v>
      </c>
      <c r="M138" s="95" t="n">
        <f aca="false">D138*J138</f>
        <v>23840000</v>
      </c>
      <c r="N138" s="95" t="n">
        <f aca="false">D138*K138</f>
        <v>6672000</v>
      </c>
      <c r="O138" s="95" t="n">
        <f aca="false">D138*L138</f>
        <v>8634574.08</v>
      </c>
      <c r="P138" s="34" t="str">
        <f aca="false">TRIM(IF(N(E138)&lt;=0,"택가보정 ","")&amp;IF(N(F138)&lt;=0,"원가보정 ","")&amp;IF(AND(B138&lt;&gt;"CN",N(H138)&lt;=0),"공급가보정 ","")&amp;IF(AND(B138="CN",N(I138)&lt;=0),"중국공급가=원가+마진 ",""))</f>
        <v/>
      </c>
    </row>
    <row r="139" customFormat="false" ht="15" hidden="false" customHeight="true" outlineLevel="0" collapsed="false">
      <c r="A139" s="94" t="s">
        <v>1684</v>
      </c>
      <c r="B139" s="34" t="str">
        <f aca="false">IF(A139="100","HK",IF(A139="200","CN",IF(A139="300","TW","홀세일")))</f>
        <v>HK</v>
      </c>
      <c r="C139" s="94" t="s">
        <v>1452</v>
      </c>
      <c r="D139" s="95" t="n">
        <v>200</v>
      </c>
      <c r="E139" s="95" t="n">
        <v>159000</v>
      </c>
      <c r="F139" s="95" t="n">
        <v>45358</v>
      </c>
      <c r="G139" s="34" t="n">
        <v>3.96</v>
      </c>
      <c r="H139" s="34" t="n">
        <v>42.2</v>
      </c>
      <c r="J139" s="95" t="n">
        <f aca="false">IF(N(E139)&gt;0,E139,IF(N(F139)&gt;0,F139*가정!$B$5,0))</f>
        <v>159000</v>
      </c>
      <c r="K139" s="95" t="n">
        <f aca="false">IF(N(F139)&gt;0,F139,IF(N(E139)&gt;0,E139/가정!$B$5,0))</f>
        <v>45358</v>
      </c>
      <c r="L139" s="95" t="n">
        <f aca="false">IF(B139="CN",IF(N(I139)&gt;0,I139*가정!$B$3,K139*(1+가정!$B$6)),IF(N(H139)&gt;0,H139*가정!$B$3,J139*가정!$B$4))</f>
        <v>57509.316</v>
      </c>
      <c r="M139" s="95" t="n">
        <f aca="false">D139*J139</f>
        <v>31800000</v>
      </c>
      <c r="N139" s="95" t="n">
        <f aca="false">D139*K139</f>
        <v>9071600</v>
      </c>
      <c r="O139" s="95" t="n">
        <f aca="false">D139*L139</f>
        <v>11501863.2</v>
      </c>
      <c r="P139" s="34" t="str">
        <f aca="false">TRIM(IF(N(E139)&lt;=0,"택가보정 ","")&amp;IF(N(F139)&lt;=0,"원가보정 ","")&amp;IF(AND(B139&lt;&gt;"CN",N(H139)&lt;=0),"공급가보정 ","")&amp;IF(AND(B139="CN",N(I139)&lt;=0),"중국공급가=원가+마진 ",""))</f>
        <v/>
      </c>
    </row>
    <row r="140" customFormat="false" ht="15.75" hidden="false" customHeight="true" outlineLevel="0" collapsed="false">
      <c r="A140" s="94" t="s">
        <v>1685</v>
      </c>
      <c r="B140" s="34" t="str">
        <f aca="false">IF(A140="100","HK",IF(A140="200","CN",IF(A140="300","TW","홀세일")))</f>
        <v>CN</v>
      </c>
      <c r="C140" s="94" t="s">
        <v>1452</v>
      </c>
      <c r="D140" s="95" t="n">
        <v>358</v>
      </c>
      <c r="E140" s="95" t="n">
        <v>159000</v>
      </c>
      <c r="F140" s="95" t="n">
        <v>45358</v>
      </c>
      <c r="G140" s="34" t="n">
        <v>3.96</v>
      </c>
      <c r="H140" s="34" t="n">
        <v>42.2</v>
      </c>
      <c r="J140" s="95" t="n">
        <f aca="false">IF(N(E140)&gt;0,E140,IF(N(F140)&gt;0,F140*가정!$B$5,0))</f>
        <v>159000</v>
      </c>
      <c r="K140" s="95" t="n">
        <f aca="false">IF(N(F140)&gt;0,F140,IF(N(E140)&gt;0,E140/가정!$B$5,0))</f>
        <v>45358</v>
      </c>
      <c r="L140" s="95" t="n">
        <f aca="false">IF(B140="CN",IF(N(I140)&gt;0,I140*가정!$B$3,K140*(1+가정!$B$6)),IF(N(H140)&gt;0,H140*가정!$B$3,J140*가정!$B$4))</f>
        <v>47625.9</v>
      </c>
      <c r="M140" s="95" t="n">
        <f aca="false">D140*J140</f>
        <v>56922000</v>
      </c>
      <c r="N140" s="95" t="n">
        <f aca="false">D140*K140</f>
        <v>16238164</v>
      </c>
      <c r="O140" s="95" t="n">
        <f aca="false">D140*L140</f>
        <v>17050072.2</v>
      </c>
      <c r="P140" s="34" t="str">
        <f aca="false">TRIM(IF(N(E140)&lt;=0,"택가보정 ","")&amp;IF(N(F140)&lt;=0,"원가보정 ","")&amp;IF(AND(B140&lt;&gt;"CN",N(H140)&lt;=0),"공급가보정 ","")&amp;IF(AND(B140="CN",N(I140)&lt;=0),"중국공급가=원가+마진 ",""))</f>
        <v>중국공급가=원가+마진</v>
      </c>
    </row>
    <row r="141" customFormat="false" ht="15" hidden="false" customHeight="true" outlineLevel="0" collapsed="false">
      <c r="A141" s="94" t="s">
        <v>1692</v>
      </c>
      <c r="B141" s="34" t="str">
        <f aca="false">IF(A141="100","HK",IF(A141="200","CN",IF(A141="300","TW","홀세일")))</f>
        <v>홀세일</v>
      </c>
      <c r="C141" s="94" t="s">
        <v>1452</v>
      </c>
      <c r="D141" s="95" t="n">
        <v>46</v>
      </c>
      <c r="E141" s="95" t="n">
        <v>159000</v>
      </c>
      <c r="F141" s="95" t="n">
        <v>45358</v>
      </c>
      <c r="G141" s="34" t="n">
        <v>3.96</v>
      </c>
      <c r="H141" s="34" t="n">
        <v>42.2</v>
      </c>
      <c r="J141" s="95" t="n">
        <f aca="false">IF(N(E141)&gt;0,E141,IF(N(F141)&gt;0,F141*가정!$B$5,0))</f>
        <v>159000</v>
      </c>
      <c r="K141" s="95" t="n">
        <f aca="false">IF(N(F141)&gt;0,F141,IF(N(E141)&gt;0,E141/가정!$B$5,0))</f>
        <v>45358</v>
      </c>
      <c r="L141" s="95" t="n">
        <f aca="false">IF(B141="CN",IF(N(I141)&gt;0,I141*가정!$B$3,K141*(1+가정!$B$6)),IF(N(H141)&gt;0,H141*가정!$B$3,J141*가정!$B$4))</f>
        <v>57509.316</v>
      </c>
      <c r="M141" s="95" t="n">
        <f aca="false">D141*J141</f>
        <v>7314000</v>
      </c>
      <c r="N141" s="95" t="n">
        <f aca="false">D141*K141</f>
        <v>2086468</v>
      </c>
      <c r="O141" s="95" t="n">
        <f aca="false">D141*L141</f>
        <v>2645428.536</v>
      </c>
      <c r="P141" s="34" t="str">
        <f aca="false">TRIM(IF(N(E141)&lt;=0,"택가보정 ","")&amp;IF(N(F141)&lt;=0,"원가보정 ","")&amp;IF(AND(B141&lt;&gt;"CN",N(H141)&lt;=0),"공급가보정 ","")&amp;IF(AND(B141="CN",N(I141)&lt;=0),"중국공급가=원가+마진 ",""))</f>
        <v/>
      </c>
    </row>
    <row r="142" customFormat="false" ht="15" hidden="false" customHeight="true" outlineLevel="0" collapsed="false">
      <c r="A142" s="94" t="s">
        <v>1684</v>
      </c>
      <c r="B142" s="34" t="str">
        <f aca="false">IF(A142="100","HK",IF(A142="200","CN",IF(A142="300","TW","홀세일")))</f>
        <v>HK</v>
      </c>
      <c r="C142" s="94" t="s">
        <v>851</v>
      </c>
      <c r="D142" s="95" t="n">
        <v>180</v>
      </c>
      <c r="E142" s="95" t="n">
        <v>159000</v>
      </c>
      <c r="F142" s="95" t="n">
        <v>34000</v>
      </c>
      <c r="G142" s="34" t="n">
        <v>3.89</v>
      </c>
      <c r="H142" s="34" t="n">
        <v>39.8</v>
      </c>
      <c r="J142" s="95" t="n">
        <f aca="false">IF(N(E142)&gt;0,E142,IF(N(F142)&gt;0,F142*가정!$B$5,0))</f>
        <v>159000</v>
      </c>
      <c r="K142" s="95" t="n">
        <f aca="false">IF(N(F142)&gt;0,F142,IF(N(E142)&gt;0,E142/가정!$B$5,0))</f>
        <v>34000</v>
      </c>
      <c r="L142" s="95" t="n">
        <f aca="false">IF(B142="CN",IF(N(I142)&gt;0,I142*가정!$B$3,K142*(1+가정!$B$6)),IF(N(H142)&gt;0,H142*가정!$B$3,J142*가정!$B$4))</f>
        <v>54238.644</v>
      </c>
      <c r="M142" s="95" t="n">
        <f aca="false">D142*J142</f>
        <v>28620000</v>
      </c>
      <c r="N142" s="95" t="n">
        <f aca="false">D142*K142</f>
        <v>6120000</v>
      </c>
      <c r="O142" s="95" t="n">
        <f aca="false">D142*L142</f>
        <v>9762955.92</v>
      </c>
      <c r="P142" s="34" t="str">
        <f aca="false">TRIM(IF(N(E142)&lt;=0,"택가보정 ","")&amp;IF(N(F142)&lt;=0,"원가보정 ","")&amp;IF(AND(B142&lt;&gt;"CN",N(H142)&lt;=0),"공급가보정 ","")&amp;IF(AND(B142="CN",N(I142)&lt;=0),"중국공급가=원가+마진 ",""))</f>
        <v/>
      </c>
    </row>
    <row r="143" customFormat="false" ht="15" hidden="false" customHeight="true" outlineLevel="0" collapsed="false">
      <c r="A143" s="94" t="s">
        <v>1688</v>
      </c>
      <c r="B143" s="34" t="str">
        <f aca="false">IF(A143="100","HK",IF(A143="200","CN",IF(A143="300","TW","홀세일")))</f>
        <v>홀세일</v>
      </c>
      <c r="C143" s="94" t="s">
        <v>851</v>
      </c>
      <c r="D143" s="95" t="n">
        <v>20</v>
      </c>
      <c r="E143" s="95" t="n">
        <v>159000</v>
      </c>
      <c r="F143" s="95" t="n">
        <v>34000</v>
      </c>
      <c r="G143" s="34" t="n">
        <v>3.89</v>
      </c>
      <c r="H143" s="34" t="n">
        <v>39.8</v>
      </c>
      <c r="J143" s="95" t="n">
        <f aca="false">IF(N(E143)&gt;0,E143,IF(N(F143)&gt;0,F143*가정!$B$5,0))</f>
        <v>159000</v>
      </c>
      <c r="K143" s="95" t="n">
        <f aca="false">IF(N(F143)&gt;0,F143,IF(N(E143)&gt;0,E143/가정!$B$5,0))</f>
        <v>34000</v>
      </c>
      <c r="L143" s="95" t="n">
        <f aca="false">IF(B143="CN",IF(N(I143)&gt;0,I143*가정!$B$3,K143*(1+가정!$B$6)),IF(N(H143)&gt;0,H143*가정!$B$3,J143*가정!$B$4))</f>
        <v>54238.644</v>
      </c>
      <c r="M143" s="95" t="n">
        <f aca="false">D143*J143</f>
        <v>3180000</v>
      </c>
      <c r="N143" s="95" t="n">
        <f aca="false">D143*K143</f>
        <v>680000</v>
      </c>
      <c r="O143" s="95" t="n">
        <f aca="false">D143*L143</f>
        <v>1084772.88</v>
      </c>
      <c r="P143" s="34" t="str">
        <f aca="false">TRIM(IF(N(E143)&lt;=0,"택가보정 ","")&amp;IF(N(F143)&lt;=0,"원가보정 ","")&amp;IF(AND(B143&lt;&gt;"CN",N(H143)&lt;=0),"공급가보정 ","")&amp;IF(AND(B143="CN",N(I143)&lt;=0),"중국공급가=원가+마진 ",""))</f>
        <v/>
      </c>
    </row>
    <row r="144" customFormat="false" ht="15" hidden="false" customHeight="true" outlineLevel="0" collapsed="false">
      <c r="A144" s="94" t="s">
        <v>1684</v>
      </c>
      <c r="B144" s="34" t="str">
        <f aca="false">IF(A144="100","HK",IF(A144="200","CN",IF(A144="300","TW","홀세일")))</f>
        <v>HK</v>
      </c>
      <c r="C144" s="94" t="s">
        <v>853</v>
      </c>
      <c r="D144" s="95" t="n">
        <v>290</v>
      </c>
      <c r="E144" s="95" t="n">
        <v>189000</v>
      </c>
      <c r="F144" s="95" t="n">
        <v>39601</v>
      </c>
      <c r="G144" s="34" t="n">
        <v>3.75</v>
      </c>
      <c r="H144" s="34" t="n">
        <v>47.3</v>
      </c>
      <c r="J144" s="95" t="n">
        <f aca="false">IF(N(E144)&gt;0,E144,IF(N(F144)&gt;0,F144*가정!$B$5,0))</f>
        <v>189000</v>
      </c>
      <c r="K144" s="95" t="n">
        <f aca="false">IF(N(F144)&gt;0,F144,IF(N(E144)&gt;0,E144/가정!$B$5,0))</f>
        <v>39601</v>
      </c>
      <c r="L144" s="95" t="n">
        <f aca="false">IF(B144="CN",IF(N(I144)&gt;0,I144*가정!$B$3,K144*(1+가정!$B$6)),IF(N(H144)&gt;0,H144*가정!$B$3,J144*가정!$B$4))</f>
        <v>64459.494</v>
      </c>
      <c r="M144" s="95" t="n">
        <f aca="false">D144*J144</f>
        <v>54810000</v>
      </c>
      <c r="N144" s="95" t="n">
        <f aca="false">D144*K144</f>
        <v>11484290</v>
      </c>
      <c r="O144" s="95" t="n">
        <f aca="false">D144*L144</f>
        <v>18693253.26</v>
      </c>
      <c r="P144" s="34" t="str">
        <f aca="false">TRIM(IF(N(E144)&lt;=0,"택가보정 ","")&amp;IF(N(F144)&lt;=0,"원가보정 ","")&amp;IF(AND(B144&lt;&gt;"CN",N(H144)&lt;=0),"공급가보정 ","")&amp;IF(AND(B144="CN",N(I144)&lt;=0),"중국공급가=원가+마진 ",""))</f>
        <v/>
      </c>
    </row>
    <row r="145" customFormat="false" ht="15" hidden="false" customHeight="true" outlineLevel="0" collapsed="false">
      <c r="A145" s="94" t="s">
        <v>1684</v>
      </c>
      <c r="B145" s="34" t="str">
        <f aca="false">IF(A145="100","HK",IF(A145="200","CN",IF(A145="300","TW","홀세일")))</f>
        <v>HK</v>
      </c>
      <c r="C145" s="94" t="s">
        <v>853</v>
      </c>
      <c r="D145" s="95" t="n">
        <v>290</v>
      </c>
      <c r="E145" s="95" t="n">
        <v>189000</v>
      </c>
      <c r="F145" s="95" t="n">
        <v>39601</v>
      </c>
      <c r="G145" s="34" t="n">
        <v>3.75</v>
      </c>
      <c r="H145" s="34" t="n">
        <v>47.3</v>
      </c>
      <c r="J145" s="95" t="n">
        <f aca="false">IF(N(E145)&gt;0,E145,IF(N(F145)&gt;0,F145*가정!$B$5,0))</f>
        <v>189000</v>
      </c>
      <c r="K145" s="95" t="n">
        <f aca="false">IF(N(F145)&gt;0,F145,IF(N(E145)&gt;0,E145/가정!$B$5,0))</f>
        <v>39601</v>
      </c>
      <c r="L145" s="95" t="n">
        <f aca="false">IF(B145="CN",IF(N(I145)&gt;0,I145*가정!$B$3,K145*(1+가정!$B$6)),IF(N(H145)&gt;0,H145*가정!$B$3,J145*가정!$B$4))</f>
        <v>64459.494</v>
      </c>
      <c r="M145" s="95" t="n">
        <f aca="false">D145*J145</f>
        <v>54810000</v>
      </c>
      <c r="N145" s="95" t="n">
        <f aca="false">D145*K145</f>
        <v>11484290</v>
      </c>
      <c r="O145" s="95" t="n">
        <f aca="false">D145*L145</f>
        <v>18693253.26</v>
      </c>
      <c r="P145" s="34" t="str">
        <f aca="false">TRIM(IF(N(E145)&lt;=0,"택가보정 ","")&amp;IF(N(F145)&lt;=0,"원가보정 ","")&amp;IF(AND(B145&lt;&gt;"CN",N(H145)&lt;=0),"공급가보정 ","")&amp;IF(AND(B145="CN",N(I145)&lt;=0),"중국공급가=원가+마진 ",""))</f>
        <v/>
      </c>
    </row>
    <row r="146" customFormat="false" ht="15" hidden="false" customHeight="true" outlineLevel="0" collapsed="false">
      <c r="A146" s="94" t="s">
        <v>1692</v>
      </c>
      <c r="B146" s="34" t="str">
        <f aca="false">IF(A146="100","HK",IF(A146="200","CN",IF(A146="300","TW","홀세일")))</f>
        <v>홀세일</v>
      </c>
      <c r="C146" s="94" t="s">
        <v>853</v>
      </c>
      <c r="D146" s="95" t="n">
        <v>112</v>
      </c>
      <c r="E146" s="95" t="n">
        <v>189000</v>
      </c>
      <c r="F146" s="95" t="n">
        <v>39601</v>
      </c>
      <c r="G146" s="34" t="n">
        <v>3.75</v>
      </c>
      <c r="H146" s="34" t="n">
        <v>47.3</v>
      </c>
      <c r="J146" s="95" t="n">
        <f aca="false">IF(N(E146)&gt;0,E146,IF(N(F146)&gt;0,F146*가정!$B$5,0))</f>
        <v>189000</v>
      </c>
      <c r="K146" s="95" t="n">
        <f aca="false">IF(N(F146)&gt;0,F146,IF(N(E146)&gt;0,E146/가정!$B$5,0))</f>
        <v>39601</v>
      </c>
      <c r="L146" s="95" t="n">
        <f aca="false">IF(B146="CN",IF(N(I146)&gt;0,I146*가정!$B$3,K146*(1+가정!$B$6)),IF(N(H146)&gt;0,H146*가정!$B$3,J146*가정!$B$4))</f>
        <v>64459.494</v>
      </c>
      <c r="M146" s="95" t="n">
        <f aca="false">D146*J146</f>
        <v>21168000</v>
      </c>
      <c r="N146" s="95" t="n">
        <f aca="false">D146*K146</f>
        <v>4435312</v>
      </c>
      <c r="O146" s="95" t="n">
        <f aca="false">D146*L146</f>
        <v>7219463.328</v>
      </c>
      <c r="P146" s="34" t="str">
        <f aca="false">TRIM(IF(N(E146)&lt;=0,"택가보정 ","")&amp;IF(N(F146)&lt;=0,"원가보정 ","")&amp;IF(AND(B146&lt;&gt;"CN",N(H146)&lt;=0),"공급가보정 ","")&amp;IF(AND(B146="CN",N(I146)&lt;=0),"중국공급가=원가+마진 ",""))</f>
        <v/>
      </c>
    </row>
    <row r="147" customFormat="false" ht="15" hidden="false" customHeight="true" outlineLevel="0" collapsed="false">
      <c r="A147" s="94" t="s">
        <v>1684</v>
      </c>
      <c r="B147" s="34" t="str">
        <f aca="false">IF(A147="100","HK",IF(A147="200","CN",IF(A147="300","TW","홀세일")))</f>
        <v>HK</v>
      </c>
      <c r="C147" s="94" t="s">
        <v>855</v>
      </c>
      <c r="D147" s="95" t="n">
        <v>90</v>
      </c>
      <c r="E147" s="95" t="n">
        <v>179000</v>
      </c>
      <c r="F147" s="95" t="n">
        <v>44802</v>
      </c>
      <c r="G147" s="34" t="n">
        <v>4.16</v>
      </c>
      <c r="H147" s="34" t="n">
        <v>44.8</v>
      </c>
      <c r="J147" s="95" t="n">
        <f aca="false">IF(N(E147)&gt;0,E147,IF(N(F147)&gt;0,F147*가정!$B$5,0))</f>
        <v>179000</v>
      </c>
      <c r="K147" s="95" t="n">
        <f aca="false">IF(N(F147)&gt;0,F147,IF(N(E147)&gt;0,E147/가정!$B$5,0))</f>
        <v>44802</v>
      </c>
      <c r="L147" s="95" t="n">
        <f aca="false">IF(B147="CN",IF(N(I147)&gt;0,I147*가정!$B$3,K147*(1+가정!$B$6)),IF(N(H147)&gt;0,H147*가정!$B$3,J147*가정!$B$4))</f>
        <v>61052.544</v>
      </c>
      <c r="M147" s="95" t="n">
        <f aca="false">D147*J147</f>
        <v>16110000</v>
      </c>
      <c r="N147" s="95" t="n">
        <f aca="false">D147*K147</f>
        <v>4032180</v>
      </c>
      <c r="O147" s="95" t="n">
        <f aca="false">D147*L147</f>
        <v>5494728.96</v>
      </c>
      <c r="P147" s="34" t="str">
        <f aca="false">TRIM(IF(N(E147)&lt;=0,"택가보정 ","")&amp;IF(N(F147)&lt;=0,"원가보정 ","")&amp;IF(AND(B147&lt;&gt;"CN",N(H147)&lt;=0),"공급가보정 ","")&amp;IF(AND(B147="CN",N(I147)&lt;=0),"중국공급가=원가+마진 ",""))</f>
        <v/>
      </c>
    </row>
    <row r="148" customFormat="false" ht="15" hidden="false" customHeight="true" outlineLevel="0" collapsed="false">
      <c r="A148" s="94" t="s">
        <v>1692</v>
      </c>
      <c r="B148" s="34" t="str">
        <f aca="false">IF(A148="100","HK",IF(A148="200","CN",IF(A148="300","TW","홀세일")))</f>
        <v>홀세일</v>
      </c>
      <c r="C148" s="94" t="s">
        <v>855</v>
      </c>
      <c r="D148" s="95" t="n">
        <v>66</v>
      </c>
      <c r="E148" s="95" t="n">
        <v>179000</v>
      </c>
      <c r="F148" s="95" t="n">
        <v>44802</v>
      </c>
      <c r="G148" s="34" t="n">
        <v>4.16</v>
      </c>
      <c r="H148" s="34" t="n">
        <v>44.8</v>
      </c>
      <c r="J148" s="95" t="n">
        <f aca="false">IF(N(E148)&gt;0,E148,IF(N(F148)&gt;0,F148*가정!$B$5,0))</f>
        <v>179000</v>
      </c>
      <c r="K148" s="95" t="n">
        <f aca="false">IF(N(F148)&gt;0,F148,IF(N(E148)&gt;0,E148/가정!$B$5,0))</f>
        <v>44802</v>
      </c>
      <c r="L148" s="95" t="n">
        <f aca="false">IF(B148="CN",IF(N(I148)&gt;0,I148*가정!$B$3,K148*(1+가정!$B$6)),IF(N(H148)&gt;0,H148*가정!$B$3,J148*가정!$B$4))</f>
        <v>61052.544</v>
      </c>
      <c r="M148" s="95" t="n">
        <f aca="false">D148*J148</f>
        <v>11814000</v>
      </c>
      <c r="N148" s="95" t="n">
        <f aca="false">D148*K148</f>
        <v>2956932</v>
      </c>
      <c r="O148" s="95" t="n">
        <f aca="false">D148*L148</f>
        <v>4029467.904</v>
      </c>
      <c r="P148" s="34" t="str">
        <f aca="false">TRIM(IF(N(E148)&lt;=0,"택가보정 ","")&amp;IF(N(F148)&lt;=0,"원가보정 ","")&amp;IF(AND(B148&lt;&gt;"CN",N(H148)&lt;=0),"공급가보정 ","")&amp;IF(AND(B148="CN",N(I148)&lt;=0),"중국공급가=원가+마진 ",""))</f>
        <v/>
      </c>
    </row>
    <row r="149" customFormat="false" ht="15" hidden="false" customHeight="true" outlineLevel="0" collapsed="false">
      <c r="A149" s="94" t="s">
        <v>1686</v>
      </c>
      <c r="B149" s="34" t="str">
        <f aca="false">IF(A149="100","HK",IF(A149="200","CN",IF(A149="300","TW","홀세일")))</f>
        <v>TW</v>
      </c>
      <c r="C149" s="94" t="s">
        <v>228</v>
      </c>
      <c r="D149" s="95" t="n">
        <v>350</v>
      </c>
      <c r="E149" s="95" t="n">
        <v>109000</v>
      </c>
      <c r="F149" s="95" t="n">
        <v>21000</v>
      </c>
      <c r="G149" s="34" t="n">
        <v>3.73</v>
      </c>
      <c r="H149" s="34" t="n">
        <v>27.3</v>
      </c>
      <c r="J149" s="95" t="n">
        <f aca="false">IF(N(E149)&gt;0,E149,IF(N(F149)&gt;0,F149*가정!$B$5,0))</f>
        <v>109000</v>
      </c>
      <c r="K149" s="95" t="n">
        <f aca="false">IF(N(F149)&gt;0,F149,IF(N(E149)&gt;0,E149/가정!$B$5,0))</f>
        <v>21000</v>
      </c>
      <c r="L149" s="95" t="n">
        <f aca="false">IF(B149="CN",IF(N(I149)&gt;0,I149*가정!$B$3,K149*(1+가정!$B$6)),IF(N(H149)&gt;0,H149*가정!$B$3,J149*가정!$B$4))</f>
        <v>37203.894</v>
      </c>
      <c r="M149" s="95" t="n">
        <f aca="false">D149*J149</f>
        <v>38150000</v>
      </c>
      <c r="N149" s="95" t="n">
        <f aca="false">D149*K149</f>
        <v>7350000</v>
      </c>
      <c r="O149" s="95" t="n">
        <f aca="false">D149*L149</f>
        <v>13021362.9</v>
      </c>
      <c r="P149" s="34" t="str">
        <f aca="false">TRIM(IF(N(E149)&lt;=0,"택가보정 ","")&amp;IF(N(F149)&lt;=0,"원가보정 ","")&amp;IF(AND(B149&lt;&gt;"CN",N(H149)&lt;=0),"공급가보정 ","")&amp;IF(AND(B149="CN",N(I149)&lt;=0),"중국공급가=원가+마진 ",""))</f>
        <v/>
      </c>
    </row>
    <row r="150" customFormat="false" ht="15" hidden="false" customHeight="true" outlineLevel="0" collapsed="false">
      <c r="A150" s="94" t="s">
        <v>1684</v>
      </c>
      <c r="B150" s="34" t="str">
        <f aca="false">IF(A150="100","HK",IF(A150="200","CN",IF(A150="300","TW","홀세일")))</f>
        <v>HK</v>
      </c>
      <c r="C150" s="94" t="s">
        <v>230</v>
      </c>
      <c r="D150" s="95" t="n">
        <v>240</v>
      </c>
      <c r="E150" s="95" t="n">
        <v>119000</v>
      </c>
      <c r="F150" s="95" t="n">
        <v>24100</v>
      </c>
      <c r="G150" s="34" t="n">
        <v>4.02</v>
      </c>
      <c r="H150" s="34" t="n">
        <v>29.8</v>
      </c>
      <c r="J150" s="95" t="n">
        <f aca="false">IF(N(E150)&gt;0,E150,IF(N(F150)&gt;0,F150*가정!$B$5,0))</f>
        <v>119000</v>
      </c>
      <c r="K150" s="95" t="n">
        <f aca="false">IF(N(F150)&gt;0,F150,IF(N(E150)&gt;0,E150/가정!$B$5,0))</f>
        <v>24100</v>
      </c>
      <c r="L150" s="95" t="n">
        <f aca="false">IF(B150="CN",IF(N(I150)&gt;0,I150*가정!$B$3,K150*(1+가정!$B$6)),IF(N(H150)&gt;0,H150*가정!$B$3,J150*가정!$B$4))</f>
        <v>40610.844</v>
      </c>
      <c r="M150" s="95" t="n">
        <f aca="false">D150*J150</f>
        <v>28560000</v>
      </c>
      <c r="N150" s="95" t="n">
        <f aca="false">D150*K150</f>
        <v>5784000</v>
      </c>
      <c r="O150" s="95" t="n">
        <f aca="false">D150*L150</f>
        <v>9746602.56</v>
      </c>
      <c r="P150" s="34" t="str">
        <f aca="false">TRIM(IF(N(E150)&lt;=0,"택가보정 ","")&amp;IF(N(F150)&lt;=0,"원가보정 ","")&amp;IF(AND(B150&lt;&gt;"CN",N(H150)&lt;=0),"공급가보정 ","")&amp;IF(AND(B150="CN",N(I150)&lt;=0),"중국공급가=원가+마진 ",""))</f>
        <v/>
      </c>
    </row>
    <row r="151" customFormat="false" ht="15" hidden="false" customHeight="true" outlineLevel="0" collapsed="false">
      <c r="A151" s="94" t="s">
        <v>1686</v>
      </c>
      <c r="B151" s="34" t="str">
        <f aca="false">IF(A151="100","HK",IF(A151="200","CN",IF(A151="300","TW","홀세일")))</f>
        <v>TW</v>
      </c>
      <c r="C151" s="94" t="s">
        <v>230</v>
      </c>
      <c r="D151" s="95" t="n">
        <v>165</v>
      </c>
      <c r="E151" s="95" t="n">
        <v>119000</v>
      </c>
      <c r="F151" s="95" t="n">
        <v>24100</v>
      </c>
      <c r="G151" s="34" t="n">
        <v>4.02</v>
      </c>
      <c r="H151" s="34" t="n">
        <v>29.8</v>
      </c>
      <c r="J151" s="95" t="n">
        <f aca="false">IF(N(E151)&gt;0,E151,IF(N(F151)&gt;0,F151*가정!$B$5,0))</f>
        <v>119000</v>
      </c>
      <c r="K151" s="95" t="n">
        <f aca="false">IF(N(F151)&gt;0,F151,IF(N(E151)&gt;0,E151/가정!$B$5,0))</f>
        <v>24100</v>
      </c>
      <c r="L151" s="95" t="n">
        <f aca="false">IF(B151="CN",IF(N(I151)&gt;0,I151*가정!$B$3,K151*(1+가정!$B$6)),IF(N(H151)&gt;0,H151*가정!$B$3,J151*가정!$B$4))</f>
        <v>40610.844</v>
      </c>
      <c r="M151" s="95" t="n">
        <f aca="false">D151*J151</f>
        <v>19635000</v>
      </c>
      <c r="N151" s="95" t="n">
        <f aca="false">D151*K151</f>
        <v>3976500</v>
      </c>
      <c r="O151" s="95" t="n">
        <f aca="false">D151*L151</f>
        <v>6700789.26</v>
      </c>
      <c r="P151" s="34" t="str">
        <f aca="false">TRIM(IF(N(E151)&lt;=0,"택가보정 ","")&amp;IF(N(F151)&lt;=0,"원가보정 ","")&amp;IF(AND(B151&lt;&gt;"CN",N(H151)&lt;=0),"공급가보정 ","")&amp;IF(AND(B151="CN",N(I151)&lt;=0),"중국공급가=원가+마진 ",""))</f>
        <v/>
      </c>
    </row>
    <row r="152" customFormat="false" ht="15" hidden="false" customHeight="true" outlineLevel="0" collapsed="false">
      <c r="A152" s="94" t="s">
        <v>1689</v>
      </c>
      <c r="B152" s="34" t="str">
        <f aca="false">IF(A152="100","HK",IF(A152="200","CN",IF(A152="300","TW","홀세일")))</f>
        <v>홀세일</v>
      </c>
      <c r="C152" s="94" t="s">
        <v>230</v>
      </c>
      <c r="D152" s="95" t="n">
        <v>105</v>
      </c>
      <c r="E152" s="95" t="n">
        <v>119000</v>
      </c>
      <c r="F152" s="95" t="n">
        <v>24100</v>
      </c>
      <c r="G152" s="34" t="n">
        <v>4.02</v>
      </c>
      <c r="H152" s="34" t="n">
        <v>29.8</v>
      </c>
      <c r="J152" s="95" t="n">
        <f aca="false">IF(N(E152)&gt;0,E152,IF(N(F152)&gt;0,F152*가정!$B$5,0))</f>
        <v>119000</v>
      </c>
      <c r="K152" s="95" t="n">
        <f aca="false">IF(N(F152)&gt;0,F152,IF(N(E152)&gt;0,E152/가정!$B$5,0))</f>
        <v>24100</v>
      </c>
      <c r="L152" s="95" t="n">
        <f aca="false">IF(B152="CN",IF(N(I152)&gt;0,I152*가정!$B$3,K152*(1+가정!$B$6)),IF(N(H152)&gt;0,H152*가정!$B$3,J152*가정!$B$4))</f>
        <v>40610.844</v>
      </c>
      <c r="M152" s="95" t="n">
        <f aca="false">D152*J152</f>
        <v>12495000</v>
      </c>
      <c r="N152" s="95" t="n">
        <f aca="false">D152*K152</f>
        <v>2530500</v>
      </c>
      <c r="O152" s="95" t="n">
        <f aca="false">D152*L152</f>
        <v>4264138.62</v>
      </c>
      <c r="P152" s="34" t="str">
        <f aca="false">TRIM(IF(N(E152)&lt;=0,"택가보정 ","")&amp;IF(N(F152)&lt;=0,"원가보정 ","")&amp;IF(AND(B152&lt;&gt;"CN",N(H152)&lt;=0),"공급가보정 ","")&amp;IF(AND(B152="CN",N(I152)&lt;=0),"중국공급가=원가+마진 ",""))</f>
        <v/>
      </c>
    </row>
    <row r="153" customFormat="false" ht="15" hidden="false" customHeight="true" outlineLevel="0" collapsed="false">
      <c r="A153" s="94" t="s">
        <v>1690</v>
      </c>
      <c r="B153" s="34" t="str">
        <f aca="false">IF(A153="100","HK",IF(A153="200","CN",IF(A153="300","TW","홀세일")))</f>
        <v>홀세일</v>
      </c>
      <c r="C153" s="94" t="s">
        <v>230</v>
      </c>
      <c r="D153" s="95" t="n">
        <v>216</v>
      </c>
      <c r="E153" s="95" t="n">
        <v>119000</v>
      </c>
      <c r="F153" s="95" t="n">
        <v>24100</v>
      </c>
      <c r="G153" s="34" t="n">
        <v>4.02</v>
      </c>
      <c r="H153" s="34" t="n">
        <v>29.8</v>
      </c>
      <c r="J153" s="95" t="n">
        <f aca="false">IF(N(E153)&gt;0,E153,IF(N(F153)&gt;0,F153*가정!$B$5,0))</f>
        <v>119000</v>
      </c>
      <c r="K153" s="95" t="n">
        <f aca="false">IF(N(F153)&gt;0,F153,IF(N(E153)&gt;0,E153/가정!$B$5,0))</f>
        <v>24100</v>
      </c>
      <c r="L153" s="95" t="n">
        <f aca="false">IF(B153="CN",IF(N(I153)&gt;0,I153*가정!$B$3,K153*(1+가정!$B$6)),IF(N(H153)&gt;0,H153*가정!$B$3,J153*가정!$B$4))</f>
        <v>40610.844</v>
      </c>
      <c r="M153" s="95" t="n">
        <f aca="false">D153*J153</f>
        <v>25704000</v>
      </c>
      <c r="N153" s="95" t="n">
        <f aca="false">D153*K153</f>
        <v>5205600</v>
      </c>
      <c r="O153" s="95" t="n">
        <f aca="false">D153*L153</f>
        <v>8771942.304</v>
      </c>
      <c r="P153" s="34" t="str">
        <f aca="false">TRIM(IF(N(E153)&lt;=0,"택가보정 ","")&amp;IF(N(F153)&lt;=0,"원가보정 ","")&amp;IF(AND(B153&lt;&gt;"CN",N(H153)&lt;=0),"공급가보정 ","")&amp;IF(AND(B153="CN",N(I153)&lt;=0),"중국공급가=원가+마진 ",""))</f>
        <v/>
      </c>
    </row>
    <row r="154" customFormat="false" ht="15" hidden="false" customHeight="true" outlineLevel="0" collapsed="false">
      <c r="A154" s="94" t="s">
        <v>1686</v>
      </c>
      <c r="B154" s="34" t="str">
        <f aca="false">IF(A154="100","HK",IF(A154="200","CN",IF(A154="300","TW","홀세일")))</f>
        <v>TW</v>
      </c>
      <c r="C154" s="94" t="s">
        <v>232</v>
      </c>
      <c r="D154" s="95" t="n">
        <v>180</v>
      </c>
      <c r="E154" s="95" t="n">
        <v>109000</v>
      </c>
      <c r="F154" s="95" t="n">
        <v>23400</v>
      </c>
      <c r="G154" s="34" t="n">
        <v>3.74</v>
      </c>
      <c r="H154" s="34" t="n">
        <v>27.3</v>
      </c>
      <c r="J154" s="95" t="n">
        <f aca="false">IF(N(E154)&gt;0,E154,IF(N(F154)&gt;0,F154*가정!$B$5,0))</f>
        <v>109000</v>
      </c>
      <c r="K154" s="95" t="n">
        <f aca="false">IF(N(F154)&gt;0,F154,IF(N(E154)&gt;0,E154/가정!$B$5,0))</f>
        <v>23400</v>
      </c>
      <c r="L154" s="95" t="n">
        <f aca="false">IF(B154="CN",IF(N(I154)&gt;0,I154*가정!$B$3,K154*(1+가정!$B$6)),IF(N(H154)&gt;0,H154*가정!$B$3,J154*가정!$B$4))</f>
        <v>37203.894</v>
      </c>
      <c r="M154" s="95" t="n">
        <f aca="false">D154*J154</f>
        <v>19620000</v>
      </c>
      <c r="N154" s="95" t="n">
        <f aca="false">D154*K154</f>
        <v>4212000</v>
      </c>
      <c r="O154" s="95" t="n">
        <f aca="false">D154*L154</f>
        <v>6696700.92</v>
      </c>
      <c r="P154" s="34" t="str">
        <f aca="false">TRIM(IF(N(E154)&lt;=0,"택가보정 ","")&amp;IF(N(F154)&lt;=0,"원가보정 ","")&amp;IF(AND(B154&lt;&gt;"CN",N(H154)&lt;=0),"공급가보정 ","")&amp;IF(AND(B154="CN",N(I154)&lt;=0),"중국공급가=원가+마진 ",""))</f>
        <v/>
      </c>
    </row>
    <row r="155" customFormat="false" ht="15" hidden="false" customHeight="true" outlineLevel="0" collapsed="false">
      <c r="A155" s="94" t="s">
        <v>1684</v>
      </c>
      <c r="B155" s="34" t="str">
        <f aca="false">IF(A155="100","HK",IF(A155="200","CN",IF(A155="300","TW","홀세일")))</f>
        <v>HK</v>
      </c>
      <c r="C155" s="94" t="s">
        <v>234</v>
      </c>
      <c r="D155" s="95" t="n">
        <v>420</v>
      </c>
      <c r="E155" s="95" t="n">
        <v>79000</v>
      </c>
      <c r="F155" s="95" t="n">
        <v>15900</v>
      </c>
      <c r="G155" s="34" t="n">
        <v>4.03</v>
      </c>
      <c r="H155" s="34" t="n">
        <v>19.8</v>
      </c>
      <c r="J155" s="95" t="n">
        <f aca="false">IF(N(E155)&gt;0,E155,IF(N(F155)&gt;0,F155*가정!$B$5,0))</f>
        <v>79000</v>
      </c>
      <c r="K155" s="95" t="n">
        <f aca="false">IF(N(F155)&gt;0,F155,IF(N(E155)&gt;0,E155/가정!$B$5,0))</f>
        <v>15900</v>
      </c>
      <c r="L155" s="95" t="n">
        <f aca="false">IF(B155="CN",IF(N(I155)&gt;0,I155*가정!$B$3,K155*(1+가정!$B$6)),IF(N(H155)&gt;0,H155*가정!$B$3,J155*가정!$B$4))</f>
        <v>26983.044</v>
      </c>
      <c r="M155" s="95" t="n">
        <f aca="false">D155*J155</f>
        <v>33180000</v>
      </c>
      <c r="N155" s="95" t="n">
        <f aca="false">D155*K155</f>
        <v>6678000</v>
      </c>
      <c r="O155" s="95" t="n">
        <f aca="false">D155*L155</f>
        <v>11332878.48</v>
      </c>
      <c r="P155" s="34" t="str">
        <f aca="false">TRIM(IF(N(E155)&lt;=0,"택가보정 ","")&amp;IF(N(F155)&lt;=0,"원가보정 ","")&amp;IF(AND(B155&lt;&gt;"CN",N(H155)&lt;=0),"공급가보정 ","")&amp;IF(AND(B155="CN",N(I155)&lt;=0),"중국공급가=원가+마진 ",""))</f>
        <v/>
      </c>
    </row>
    <row r="156" customFormat="false" ht="15" hidden="false" customHeight="true" outlineLevel="0" collapsed="false">
      <c r="A156" s="94" t="s">
        <v>1686</v>
      </c>
      <c r="B156" s="34" t="str">
        <f aca="false">IF(A156="100","HK",IF(A156="200","CN",IF(A156="300","TW","홀세일")))</f>
        <v>TW</v>
      </c>
      <c r="C156" s="94" t="s">
        <v>234</v>
      </c>
      <c r="D156" s="95" t="n">
        <v>280</v>
      </c>
      <c r="E156" s="95" t="n">
        <v>79000</v>
      </c>
      <c r="F156" s="95" t="n">
        <v>15900</v>
      </c>
      <c r="G156" s="34" t="n">
        <v>4.03</v>
      </c>
      <c r="H156" s="34" t="n">
        <v>19.8</v>
      </c>
      <c r="J156" s="95" t="n">
        <f aca="false">IF(N(E156)&gt;0,E156,IF(N(F156)&gt;0,F156*가정!$B$5,0))</f>
        <v>79000</v>
      </c>
      <c r="K156" s="95" t="n">
        <f aca="false">IF(N(F156)&gt;0,F156,IF(N(E156)&gt;0,E156/가정!$B$5,0))</f>
        <v>15900</v>
      </c>
      <c r="L156" s="95" t="n">
        <f aca="false">IF(B156="CN",IF(N(I156)&gt;0,I156*가정!$B$3,K156*(1+가정!$B$6)),IF(N(H156)&gt;0,H156*가정!$B$3,J156*가정!$B$4))</f>
        <v>26983.044</v>
      </c>
      <c r="M156" s="95" t="n">
        <f aca="false">D156*J156</f>
        <v>22120000</v>
      </c>
      <c r="N156" s="95" t="n">
        <f aca="false">D156*K156</f>
        <v>4452000</v>
      </c>
      <c r="O156" s="95" t="n">
        <f aca="false">D156*L156</f>
        <v>7555252.32</v>
      </c>
      <c r="P156" s="34" t="str">
        <f aca="false">TRIM(IF(N(E156)&lt;=0,"택가보정 ","")&amp;IF(N(F156)&lt;=0,"원가보정 ","")&amp;IF(AND(B156&lt;&gt;"CN",N(H156)&lt;=0),"공급가보정 ","")&amp;IF(AND(B156="CN",N(I156)&lt;=0),"중국공급가=원가+마진 ",""))</f>
        <v/>
      </c>
    </row>
    <row r="157" customFormat="false" ht="15" hidden="false" customHeight="true" outlineLevel="0" collapsed="false">
      <c r="A157" s="94" t="s">
        <v>1688</v>
      </c>
      <c r="B157" s="34" t="str">
        <f aca="false">IF(A157="100","HK",IF(A157="200","CN",IF(A157="300","TW","홀세일")))</f>
        <v>홀세일</v>
      </c>
      <c r="C157" s="94" t="s">
        <v>234</v>
      </c>
      <c r="D157" s="95" t="n">
        <v>60</v>
      </c>
      <c r="E157" s="95" t="n">
        <v>79000</v>
      </c>
      <c r="F157" s="95" t="n">
        <v>15900</v>
      </c>
      <c r="G157" s="34" t="n">
        <v>4.03</v>
      </c>
      <c r="H157" s="34" t="n">
        <v>19.8</v>
      </c>
      <c r="J157" s="95" t="n">
        <f aca="false">IF(N(E157)&gt;0,E157,IF(N(F157)&gt;0,F157*가정!$B$5,0))</f>
        <v>79000</v>
      </c>
      <c r="K157" s="95" t="n">
        <f aca="false">IF(N(F157)&gt;0,F157,IF(N(E157)&gt;0,E157/가정!$B$5,0))</f>
        <v>15900</v>
      </c>
      <c r="L157" s="95" t="n">
        <f aca="false">IF(B157="CN",IF(N(I157)&gt;0,I157*가정!$B$3,K157*(1+가정!$B$6)),IF(N(H157)&gt;0,H157*가정!$B$3,J157*가정!$B$4))</f>
        <v>26983.044</v>
      </c>
      <c r="M157" s="95" t="n">
        <f aca="false">D157*J157</f>
        <v>4740000</v>
      </c>
      <c r="N157" s="95" t="n">
        <f aca="false">D157*K157</f>
        <v>954000</v>
      </c>
      <c r="O157" s="95" t="n">
        <f aca="false">D157*L157</f>
        <v>1618982.64</v>
      </c>
      <c r="P157" s="34" t="str">
        <f aca="false">TRIM(IF(N(E157)&lt;=0,"택가보정 ","")&amp;IF(N(F157)&lt;=0,"원가보정 ","")&amp;IF(AND(B157&lt;&gt;"CN",N(H157)&lt;=0),"공급가보정 ","")&amp;IF(AND(B157="CN",N(I157)&lt;=0),"중국공급가=원가+마진 ",""))</f>
        <v/>
      </c>
    </row>
    <row r="158" customFormat="false" ht="15" hidden="false" customHeight="true" outlineLevel="0" collapsed="false">
      <c r="A158" s="94" t="s">
        <v>1684</v>
      </c>
      <c r="B158" s="34" t="str">
        <f aca="false">IF(A158="100","HK",IF(A158="200","CN",IF(A158="300","TW","홀세일")))</f>
        <v>HK</v>
      </c>
      <c r="C158" s="94" t="s">
        <v>236</v>
      </c>
      <c r="D158" s="95" t="n">
        <v>340</v>
      </c>
      <c r="E158" s="95" t="n">
        <v>89000</v>
      </c>
      <c r="F158" s="95" t="n">
        <v>20714</v>
      </c>
      <c r="G158" s="34" t="n">
        <v>3.85</v>
      </c>
      <c r="H158" s="34" t="n">
        <v>22.3</v>
      </c>
      <c r="J158" s="95" t="n">
        <f aca="false">IF(N(E158)&gt;0,E158,IF(N(F158)&gt;0,F158*가정!$B$5,0))</f>
        <v>89000</v>
      </c>
      <c r="K158" s="95" t="n">
        <f aca="false">IF(N(F158)&gt;0,F158,IF(N(E158)&gt;0,E158/가정!$B$5,0))</f>
        <v>20714</v>
      </c>
      <c r="L158" s="95" t="n">
        <f aca="false">IF(B158="CN",IF(N(I158)&gt;0,I158*가정!$B$3,K158*(1+가정!$B$6)),IF(N(H158)&gt;0,H158*가정!$B$3,J158*가정!$B$4))</f>
        <v>30389.994</v>
      </c>
      <c r="M158" s="95" t="n">
        <f aca="false">D158*J158</f>
        <v>30260000</v>
      </c>
      <c r="N158" s="95" t="n">
        <f aca="false">D158*K158</f>
        <v>7042760</v>
      </c>
      <c r="O158" s="95" t="n">
        <f aca="false">D158*L158</f>
        <v>10332597.96</v>
      </c>
      <c r="P158" s="34" t="str">
        <f aca="false">TRIM(IF(N(E158)&lt;=0,"택가보정 ","")&amp;IF(N(F158)&lt;=0,"원가보정 ","")&amp;IF(AND(B158&lt;&gt;"CN",N(H158)&lt;=0),"공급가보정 ","")&amp;IF(AND(B158="CN",N(I158)&lt;=0),"중국공급가=원가+마진 ",""))</f>
        <v/>
      </c>
    </row>
    <row r="159" customFormat="false" ht="15.75" hidden="false" customHeight="true" outlineLevel="0" collapsed="false">
      <c r="A159" s="94" t="s">
        <v>1685</v>
      </c>
      <c r="B159" s="34" t="str">
        <f aca="false">IF(A159="100","HK",IF(A159="200","CN",IF(A159="300","TW","홀세일")))</f>
        <v>CN</v>
      </c>
      <c r="C159" s="94" t="s">
        <v>236</v>
      </c>
      <c r="D159" s="95" t="n">
        <v>302</v>
      </c>
      <c r="E159" s="95" t="n">
        <v>89000</v>
      </c>
      <c r="F159" s="95" t="n">
        <v>20714</v>
      </c>
      <c r="G159" s="34" t="n">
        <v>3.85</v>
      </c>
      <c r="H159" s="34" t="n">
        <v>22.3</v>
      </c>
      <c r="J159" s="95" t="n">
        <f aca="false">IF(N(E159)&gt;0,E159,IF(N(F159)&gt;0,F159*가정!$B$5,0))</f>
        <v>89000</v>
      </c>
      <c r="K159" s="95" t="n">
        <f aca="false">IF(N(F159)&gt;0,F159,IF(N(E159)&gt;0,E159/가정!$B$5,0))</f>
        <v>20714</v>
      </c>
      <c r="L159" s="95" t="n">
        <f aca="false">IF(B159="CN",IF(N(I159)&gt;0,I159*가정!$B$3,K159*(1+가정!$B$6)),IF(N(H159)&gt;0,H159*가정!$B$3,J159*가정!$B$4))</f>
        <v>21749.7</v>
      </c>
      <c r="M159" s="95" t="n">
        <f aca="false">D159*J159</f>
        <v>26878000</v>
      </c>
      <c r="N159" s="95" t="n">
        <f aca="false">D159*K159</f>
        <v>6255628</v>
      </c>
      <c r="O159" s="95" t="n">
        <f aca="false">D159*L159</f>
        <v>6568409.4</v>
      </c>
      <c r="P159" s="34" t="str">
        <f aca="false">TRIM(IF(N(E159)&lt;=0,"택가보정 ","")&amp;IF(N(F159)&lt;=0,"원가보정 ","")&amp;IF(AND(B159&lt;&gt;"CN",N(H159)&lt;=0),"공급가보정 ","")&amp;IF(AND(B159="CN",N(I159)&lt;=0),"중국공급가=원가+마진 ",""))</f>
        <v>중국공급가=원가+마진</v>
      </c>
    </row>
    <row r="160" customFormat="false" ht="15" hidden="false" customHeight="true" outlineLevel="0" collapsed="false">
      <c r="A160" s="94" t="s">
        <v>1686</v>
      </c>
      <c r="B160" s="34" t="str">
        <f aca="false">IF(A160="100","HK",IF(A160="200","CN",IF(A160="300","TW","홀세일")))</f>
        <v>TW</v>
      </c>
      <c r="C160" s="94" t="s">
        <v>236</v>
      </c>
      <c r="D160" s="95" t="n">
        <v>330</v>
      </c>
      <c r="E160" s="95" t="n">
        <v>89000</v>
      </c>
      <c r="F160" s="95" t="n">
        <v>20714</v>
      </c>
      <c r="G160" s="34" t="n">
        <v>3.85</v>
      </c>
      <c r="H160" s="34" t="n">
        <v>22.3</v>
      </c>
      <c r="J160" s="95" t="n">
        <f aca="false">IF(N(E160)&gt;0,E160,IF(N(F160)&gt;0,F160*가정!$B$5,0))</f>
        <v>89000</v>
      </c>
      <c r="K160" s="95" t="n">
        <f aca="false">IF(N(F160)&gt;0,F160,IF(N(E160)&gt;0,E160/가정!$B$5,0))</f>
        <v>20714</v>
      </c>
      <c r="L160" s="95" t="n">
        <f aca="false">IF(B160="CN",IF(N(I160)&gt;0,I160*가정!$B$3,K160*(1+가정!$B$6)),IF(N(H160)&gt;0,H160*가정!$B$3,J160*가정!$B$4))</f>
        <v>30389.994</v>
      </c>
      <c r="M160" s="95" t="n">
        <f aca="false">D160*J160</f>
        <v>29370000</v>
      </c>
      <c r="N160" s="95" t="n">
        <f aca="false">D160*K160</f>
        <v>6835620</v>
      </c>
      <c r="O160" s="95" t="n">
        <f aca="false">D160*L160</f>
        <v>10028698.02</v>
      </c>
      <c r="P160" s="34" t="str">
        <f aca="false">TRIM(IF(N(E160)&lt;=0,"택가보정 ","")&amp;IF(N(F160)&lt;=0,"원가보정 ","")&amp;IF(AND(B160&lt;&gt;"CN",N(H160)&lt;=0),"공급가보정 ","")&amp;IF(AND(B160="CN",N(I160)&lt;=0),"중국공급가=원가+마진 ",""))</f>
        <v/>
      </c>
    </row>
    <row r="161" customFormat="false" ht="15" hidden="false" customHeight="true" outlineLevel="0" collapsed="false">
      <c r="A161" s="94" t="s">
        <v>1688</v>
      </c>
      <c r="B161" s="34" t="str">
        <f aca="false">IF(A161="100","HK",IF(A161="200","CN",IF(A161="300","TW","홀세일")))</f>
        <v>홀세일</v>
      </c>
      <c r="C161" s="94" t="s">
        <v>236</v>
      </c>
      <c r="D161" s="95" t="n">
        <v>40</v>
      </c>
      <c r="E161" s="95" t="n">
        <v>89000</v>
      </c>
      <c r="F161" s="95" t="n">
        <v>20714</v>
      </c>
      <c r="G161" s="34" t="n">
        <v>3.85</v>
      </c>
      <c r="H161" s="34" t="n">
        <v>22.3</v>
      </c>
      <c r="J161" s="95" t="n">
        <f aca="false">IF(N(E161)&gt;0,E161,IF(N(F161)&gt;0,F161*가정!$B$5,0))</f>
        <v>89000</v>
      </c>
      <c r="K161" s="95" t="n">
        <f aca="false">IF(N(F161)&gt;0,F161,IF(N(E161)&gt;0,E161/가정!$B$5,0))</f>
        <v>20714</v>
      </c>
      <c r="L161" s="95" t="n">
        <f aca="false">IF(B161="CN",IF(N(I161)&gt;0,I161*가정!$B$3,K161*(1+가정!$B$6)),IF(N(H161)&gt;0,H161*가정!$B$3,J161*가정!$B$4))</f>
        <v>30389.994</v>
      </c>
      <c r="M161" s="95" t="n">
        <f aca="false">D161*J161</f>
        <v>3560000</v>
      </c>
      <c r="N161" s="95" t="n">
        <f aca="false">D161*K161</f>
        <v>828560</v>
      </c>
      <c r="O161" s="95" t="n">
        <f aca="false">D161*L161</f>
        <v>1215599.76</v>
      </c>
      <c r="P161" s="34" t="str">
        <f aca="false">TRIM(IF(N(E161)&lt;=0,"택가보정 ","")&amp;IF(N(F161)&lt;=0,"원가보정 ","")&amp;IF(AND(B161&lt;&gt;"CN",N(H161)&lt;=0),"공급가보정 ","")&amp;IF(AND(B161="CN",N(I161)&lt;=0),"중국공급가=원가+마진 ",""))</f>
        <v/>
      </c>
    </row>
    <row r="162" customFormat="false" ht="15" hidden="false" customHeight="true" outlineLevel="0" collapsed="false">
      <c r="A162" s="94" t="s">
        <v>1689</v>
      </c>
      <c r="B162" s="34" t="str">
        <f aca="false">IF(A162="100","HK",IF(A162="200","CN",IF(A162="300","TW","홀세일")))</f>
        <v>홀세일</v>
      </c>
      <c r="C162" s="94" t="s">
        <v>236</v>
      </c>
      <c r="D162" s="95" t="n">
        <v>160</v>
      </c>
      <c r="E162" s="95" t="n">
        <v>89000</v>
      </c>
      <c r="F162" s="95" t="n">
        <v>20714</v>
      </c>
      <c r="G162" s="34" t="n">
        <v>3.85</v>
      </c>
      <c r="H162" s="34" t="n">
        <v>22.3</v>
      </c>
      <c r="J162" s="95" t="n">
        <f aca="false">IF(N(E162)&gt;0,E162,IF(N(F162)&gt;0,F162*가정!$B$5,0))</f>
        <v>89000</v>
      </c>
      <c r="K162" s="95" t="n">
        <f aca="false">IF(N(F162)&gt;0,F162,IF(N(E162)&gt;0,E162/가정!$B$5,0))</f>
        <v>20714</v>
      </c>
      <c r="L162" s="95" t="n">
        <f aca="false">IF(B162="CN",IF(N(I162)&gt;0,I162*가정!$B$3,K162*(1+가정!$B$6)),IF(N(H162)&gt;0,H162*가정!$B$3,J162*가정!$B$4))</f>
        <v>30389.994</v>
      </c>
      <c r="M162" s="95" t="n">
        <f aca="false">D162*J162</f>
        <v>14240000</v>
      </c>
      <c r="N162" s="95" t="n">
        <f aca="false">D162*K162</f>
        <v>3314240</v>
      </c>
      <c r="O162" s="95" t="n">
        <f aca="false">D162*L162</f>
        <v>4862399.04</v>
      </c>
      <c r="P162" s="34" t="str">
        <f aca="false">TRIM(IF(N(E162)&lt;=0,"택가보정 ","")&amp;IF(N(F162)&lt;=0,"원가보정 ","")&amp;IF(AND(B162&lt;&gt;"CN",N(H162)&lt;=0),"공급가보정 ","")&amp;IF(AND(B162="CN",N(I162)&lt;=0),"중국공급가=원가+마진 ",""))</f>
        <v/>
      </c>
    </row>
    <row r="163" customFormat="false" ht="15" hidden="false" customHeight="true" outlineLevel="0" collapsed="false">
      <c r="A163" s="94" t="s">
        <v>1684</v>
      </c>
      <c r="B163" s="34" t="str">
        <f aca="false">IF(A163="100","HK",IF(A163="200","CN",IF(A163="300","TW","홀세일")))</f>
        <v>HK</v>
      </c>
      <c r="C163" s="94" t="s">
        <v>238</v>
      </c>
      <c r="D163" s="95" t="n">
        <v>200</v>
      </c>
      <c r="E163" s="95" t="n">
        <v>89000</v>
      </c>
      <c r="F163" s="95" t="n">
        <v>19400</v>
      </c>
      <c r="G163" s="34" t="n">
        <v>3.78</v>
      </c>
      <c r="H163" s="34" t="n">
        <v>22.3</v>
      </c>
      <c r="J163" s="95" t="n">
        <f aca="false">IF(N(E163)&gt;0,E163,IF(N(F163)&gt;0,F163*가정!$B$5,0))</f>
        <v>89000</v>
      </c>
      <c r="K163" s="95" t="n">
        <f aca="false">IF(N(F163)&gt;0,F163,IF(N(E163)&gt;0,E163/가정!$B$5,0))</f>
        <v>19400</v>
      </c>
      <c r="L163" s="95" t="n">
        <f aca="false">IF(B163="CN",IF(N(I163)&gt;0,I163*가정!$B$3,K163*(1+가정!$B$6)),IF(N(H163)&gt;0,H163*가정!$B$3,J163*가정!$B$4))</f>
        <v>30389.994</v>
      </c>
      <c r="M163" s="95" t="n">
        <f aca="false">D163*J163</f>
        <v>17800000</v>
      </c>
      <c r="N163" s="95" t="n">
        <f aca="false">D163*K163</f>
        <v>3880000</v>
      </c>
      <c r="O163" s="95" t="n">
        <f aca="false">D163*L163</f>
        <v>6077998.8</v>
      </c>
      <c r="P163" s="34" t="str">
        <f aca="false">TRIM(IF(N(E163)&lt;=0,"택가보정 ","")&amp;IF(N(F163)&lt;=0,"원가보정 ","")&amp;IF(AND(B163&lt;&gt;"CN",N(H163)&lt;=0),"공급가보정 ","")&amp;IF(AND(B163="CN",N(I163)&lt;=0),"중국공급가=원가+마진 ",""))</f>
        <v/>
      </c>
    </row>
    <row r="164" customFormat="false" ht="15" hidden="false" customHeight="true" outlineLevel="0" collapsed="false">
      <c r="A164" s="94" t="s">
        <v>1686</v>
      </c>
      <c r="B164" s="34" t="str">
        <f aca="false">IF(A164="100","HK",IF(A164="200","CN",IF(A164="300","TW","홀세일")))</f>
        <v>TW</v>
      </c>
      <c r="C164" s="94" t="s">
        <v>238</v>
      </c>
      <c r="D164" s="95" t="n">
        <v>150</v>
      </c>
      <c r="E164" s="95" t="n">
        <v>89000</v>
      </c>
      <c r="F164" s="95" t="n">
        <v>19400</v>
      </c>
      <c r="G164" s="34" t="n">
        <v>3.78</v>
      </c>
      <c r="H164" s="34" t="n">
        <v>22.3</v>
      </c>
      <c r="J164" s="95" t="n">
        <f aca="false">IF(N(E164)&gt;0,E164,IF(N(F164)&gt;0,F164*가정!$B$5,0))</f>
        <v>89000</v>
      </c>
      <c r="K164" s="95" t="n">
        <f aca="false">IF(N(F164)&gt;0,F164,IF(N(E164)&gt;0,E164/가정!$B$5,0))</f>
        <v>19400</v>
      </c>
      <c r="L164" s="95" t="n">
        <f aca="false">IF(B164="CN",IF(N(I164)&gt;0,I164*가정!$B$3,K164*(1+가정!$B$6)),IF(N(H164)&gt;0,H164*가정!$B$3,J164*가정!$B$4))</f>
        <v>30389.994</v>
      </c>
      <c r="M164" s="95" t="n">
        <f aca="false">D164*J164</f>
        <v>13350000</v>
      </c>
      <c r="N164" s="95" t="n">
        <f aca="false">D164*K164</f>
        <v>2910000</v>
      </c>
      <c r="O164" s="95" t="n">
        <f aca="false">D164*L164</f>
        <v>4558499.1</v>
      </c>
      <c r="P164" s="34" t="str">
        <f aca="false">TRIM(IF(N(E164)&lt;=0,"택가보정 ","")&amp;IF(N(F164)&lt;=0,"원가보정 ","")&amp;IF(AND(B164&lt;&gt;"CN",N(H164)&lt;=0),"공급가보정 ","")&amp;IF(AND(B164="CN",N(I164)&lt;=0),"중국공급가=원가+마진 ",""))</f>
        <v/>
      </c>
    </row>
    <row r="165" customFormat="false" ht="15" hidden="false" customHeight="true" outlineLevel="0" collapsed="false">
      <c r="A165" s="94" t="s">
        <v>1688</v>
      </c>
      <c r="B165" s="34" t="str">
        <f aca="false">IF(A165="100","HK",IF(A165="200","CN",IF(A165="300","TW","홀세일")))</f>
        <v>홀세일</v>
      </c>
      <c r="C165" s="94" t="s">
        <v>238</v>
      </c>
      <c r="D165" s="95" t="n">
        <v>40</v>
      </c>
      <c r="E165" s="95" t="n">
        <v>89000</v>
      </c>
      <c r="F165" s="95" t="n">
        <v>19400</v>
      </c>
      <c r="G165" s="34" t="n">
        <v>3.78</v>
      </c>
      <c r="H165" s="34" t="n">
        <v>22.3</v>
      </c>
      <c r="J165" s="95" t="n">
        <f aca="false">IF(N(E165)&gt;0,E165,IF(N(F165)&gt;0,F165*가정!$B$5,0))</f>
        <v>89000</v>
      </c>
      <c r="K165" s="95" t="n">
        <f aca="false">IF(N(F165)&gt;0,F165,IF(N(E165)&gt;0,E165/가정!$B$5,0))</f>
        <v>19400</v>
      </c>
      <c r="L165" s="95" t="n">
        <f aca="false">IF(B165="CN",IF(N(I165)&gt;0,I165*가정!$B$3,K165*(1+가정!$B$6)),IF(N(H165)&gt;0,H165*가정!$B$3,J165*가정!$B$4))</f>
        <v>30389.994</v>
      </c>
      <c r="M165" s="95" t="n">
        <f aca="false">D165*J165</f>
        <v>3560000</v>
      </c>
      <c r="N165" s="95" t="n">
        <f aca="false">D165*K165</f>
        <v>776000</v>
      </c>
      <c r="O165" s="95" t="n">
        <f aca="false">D165*L165</f>
        <v>1215599.76</v>
      </c>
      <c r="P165" s="34" t="str">
        <f aca="false">TRIM(IF(N(E165)&lt;=0,"택가보정 ","")&amp;IF(N(F165)&lt;=0,"원가보정 ","")&amp;IF(AND(B165&lt;&gt;"CN",N(H165)&lt;=0),"공급가보정 ","")&amp;IF(AND(B165="CN",N(I165)&lt;=0),"중국공급가=원가+마진 ",""))</f>
        <v/>
      </c>
    </row>
    <row r="166" customFormat="false" ht="15" hidden="false" customHeight="true" outlineLevel="0" collapsed="false">
      <c r="A166" s="94" t="s">
        <v>1689</v>
      </c>
      <c r="B166" s="34" t="str">
        <f aca="false">IF(A166="100","HK",IF(A166="200","CN",IF(A166="300","TW","홀세일")))</f>
        <v>홀세일</v>
      </c>
      <c r="C166" s="94" t="s">
        <v>238</v>
      </c>
      <c r="D166" s="95" t="n">
        <v>70</v>
      </c>
      <c r="E166" s="95" t="n">
        <v>89000</v>
      </c>
      <c r="F166" s="95" t="n">
        <v>19400</v>
      </c>
      <c r="G166" s="34" t="n">
        <v>3.78</v>
      </c>
      <c r="H166" s="34" t="n">
        <v>22.3</v>
      </c>
      <c r="J166" s="95" t="n">
        <f aca="false">IF(N(E166)&gt;0,E166,IF(N(F166)&gt;0,F166*가정!$B$5,0))</f>
        <v>89000</v>
      </c>
      <c r="K166" s="95" t="n">
        <f aca="false">IF(N(F166)&gt;0,F166,IF(N(E166)&gt;0,E166/가정!$B$5,0))</f>
        <v>19400</v>
      </c>
      <c r="L166" s="95" t="n">
        <f aca="false">IF(B166="CN",IF(N(I166)&gt;0,I166*가정!$B$3,K166*(1+가정!$B$6)),IF(N(H166)&gt;0,H166*가정!$B$3,J166*가정!$B$4))</f>
        <v>30389.994</v>
      </c>
      <c r="M166" s="95" t="n">
        <f aca="false">D166*J166</f>
        <v>6230000</v>
      </c>
      <c r="N166" s="95" t="n">
        <f aca="false">D166*K166</f>
        <v>1358000</v>
      </c>
      <c r="O166" s="95" t="n">
        <f aca="false">D166*L166</f>
        <v>2127299.58</v>
      </c>
      <c r="P166" s="34" t="str">
        <f aca="false">TRIM(IF(N(E166)&lt;=0,"택가보정 ","")&amp;IF(N(F166)&lt;=0,"원가보정 ","")&amp;IF(AND(B166&lt;&gt;"CN",N(H166)&lt;=0),"공급가보정 ","")&amp;IF(AND(B166="CN",N(I166)&lt;=0),"중국공급가=원가+마진 ",""))</f>
        <v/>
      </c>
    </row>
    <row r="167" customFormat="false" ht="15" hidden="false" customHeight="true" outlineLevel="0" collapsed="false">
      <c r="A167" s="94" t="s">
        <v>1684</v>
      </c>
      <c r="B167" s="34" t="str">
        <f aca="false">IF(A167="100","HK",IF(A167="200","CN",IF(A167="300","TW","홀세일")))</f>
        <v>HK</v>
      </c>
      <c r="C167" s="94" t="s">
        <v>240</v>
      </c>
      <c r="D167" s="95" t="n">
        <v>200</v>
      </c>
      <c r="E167" s="95" t="n">
        <v>119000</v>
      </c>
      <c r="F167" s="95" t="n">
        <v>27700</v>
      </c>
      <c r="G167" s="34" t="n">
        <v>3.72</v>
      </c>
      <c r="H167" s="34" t="n">
        <v>29.8</v>
      </c>
      <c r="J167" s="95" t="n">
        <f aca="false">IF(N(E167)&gt;0,E167,IF(N(F167)&gt;0,F167*가정!$B$5,0))</f>
        <v>119000</v>
      </c>
      <c r="K167" s="95" t="n">
        <f aca="false">IF(N(F167)&gt;0,F167,IF(N(E167)&gt;0,E167/가정!$B$5,0))</f>
        <v>27700</v>
      </c>
      <c r="L167" s="95" t="n">
        <f aca="false">IF(B167="CN",IF(N(I167)&gt;0,I167*가정!$B$3,K167*(1+가정!$B$6)),IF(N(H167)&gt;0,H167*가정!$B$3,J167*가정!$B$4))</f>
        <v>40610.844</v>
      </c>
      <c r="M167" s="95" t="n">
        <f aca="false">D167*J167</f>
        <v>23800000</v>
      </c>
      <c r="N167" s="95" t="n">
        <f aca="false">D167*K167</f>
        <v>5540000</v>
      </c>
      <c r="O167" s="95" t="n">
        <f aca="false">D167*L167</f>
        <v>8122168.8</v>
      </c>
      <c r="P167" s="34" t="str">
        <f aca="false">TRIM(IF(N(E167)&lt;=0,"택가보정 ","")&amp;IF(N(F167)&lt;=0,"원가보정 ","")&amp;IF(AND(B167&lt;&gt;"CN",N(H167)&lt;=0),"공급가보정 ","")&amp;IF(AND(B167="CN",N(I167)&lt;=0),"중국공급가=원가+마진 ",""))</f>
        <v/>
      </c>
    </row>
    <row r="168" customFormat="false" ht="15" hidden="false" customHeight="true" outlineLevel="0" collapsed="false">
      <c r="A168" s="94" t="s">
        <v>1686</v>
      </c>
      <c r="B168" s="34" t="str">
        <f aca="false">IF(A168="100","HK",IF(A168="200","CN",IF(A168="300","TW","홀세일")))</f>
        <v>TW</v>
      </c>
      <c r="C168" s="94" t="s">
        <v>240</v>
      </c>
      <c r="D168" s="95" t="n">
        <v>125</v>
      </c>
      <c r="E168" s="95" t="n">
        <v>119000</v>
      </c>
      <c r="F168" s="95" t="n">
        <v>27700</v>
      </c>
      <c r="G168" s="34" t="n">
        <v>3.72</v>
      </c>
      <c r="H168" s="34" t="n">
        <v>29.8</v>
      </c>
      <c r="J168" s="95" t="n">
        <f aca="false">IF(N(E168)&gt;0,E168,IF(N(F168)&gt;0,F168*가정!$B$5,0))</f>
        <v>119000</v>
      </c>
      <c r="K168" s="95" t="n">
        <f aca="false">IF(N(F168)&gt;0,F168,IF(N(E168)&gt;0,E168/가정!$B$5,0))</f>
        <v>27700</v>
      </c>
      <c r="L168" s="95" t="n">
        <f aca="false">IF(B168="CN",IF(N(I168)&gt;0,I168*가정!$B$3,K168*(1+가정!$B$6)),IF(N(H168)&gt;0,H168*가정!$B$3,J168*가정!$B$4))</f>
        <v>40610.844</v>
      </c>
      <c r="M168" s="95" t="n">
        <f aca="false">D168*J168</f>
        <v>14875000</v>
      </c>
      <c r="N168" s="95" t="n">
        <f aca="false">D168*K168</f>
        <v>3462500</v>
      </c>
      <c r="O168" s="95" t="n">
        <f aca="false">D168*L168</f>
        <v>5076355.5</v>
      </c>
      <c r="P168" s="34" t="str">
        <f aca="false">TRIM(IF(N(E168)&lt;=0,"택가보정 ","")&amp;IF(N(F168)&lt;=0,"원가보정 ","")&amp;IF(AND(B168&lt;&gt;"CN",N(H168)&lt;=0),"공급가보정 ","")&amp;IF(AND(B168="CN",N(I168)&lt;=0),"중국공급가=원가+마진 ",""))</f>
        <v/>
      </c>
    </row>
    <row r="169" customFormat="false" ht="15" hidden="false" customHeight="true" outlineLevel="0" collapsed="false">
      <c r="A169" s="94" t="s">
        <v>1688</v>
      </c>
      <c r="B169" s="34" t="str">
        <f aca="false">IF(A169="100","HK",IF(A169="200","CN",IF(A169="300","TW","홀세일")))</f>
        <v>홀세일</v>
      </c>
      <c r="C169" s="94" t="s">
        <v>240</v>
      </c>
      <c r="D169" s="95" t="n">
        <v>20</v>
      </c>
      <c r="E169" s="95" t="n">
        <v>119000</v>
      </c>
      <c r="F169" s="95" t="n">
        <v>27700</v>
      </c>
      <c r="G169" s="34" t="n">
        <v>3.72</v>
      </c>
      <c r="H169" s="34" t="n">
        <v>29.8</v>
      </c>
      <c r="J169" s="95" t="n">
        <f aca="false">IF(N(E169)&gt;0,E169,IF(N(F169)&gt;0,F169*가정!$B$5,0))</f>
        <v>119000</v>
      </c>
      <c r="K169" s="95" t="n">
        <f aca="false">IF(N(F169)&gt;0,F169,IF(N(E169)&gt;0,E169/가정!$B$5,0))</f>
        <v>27700</v>
      </c>
      <c r="L169" s="95" t="n">
        <f aca="false">IF(B169="CN",IF(N(I169)&gt;0,I169*가정!$B$3,K169*(1+가정!$B$6)),IF(N(H169)&gt;0,H169*가정!$B$3,J169*가정!$B$4))</f>
        <v>40610.844</v>
      </c>
      <c r="M169" s="95" t="n">
        <f aca="false">D169*J169</f>
        <v>2380000</v>
      </c>
      <c r="N169" s="95" t="n">
        <f aca="false">D169*K169</f>
        <v>554000</v>
      </c>
      <c r="O169" s="95" t="n">
        <f aca="false">D169*L169</f>
        <v>812216.88</v>
      </c>
      <c r="P169" s="34" t="str">
        <f aca="false">TRIM(IF(N(E169)&lt;=0,"택가보정 ","")&amp;IF(N(F169)&lt;=0,"원가보정 ","")&amp;IF(AND(B169&lt;&gt;"CN",N(H169)&lt;=0),"공급가보정 ","")&amp;IF(AND(B169="CN",N(I169)&lt;=0),"중국공급가=원가+마진 ",""))</f>
        <v/>
      </c>
    </row>
    <row r="170" customFormat="false" ht="15" hidden="false" customHeight="true" outlineLevel="0" collapsed="false">
      <c r="A170" s="94" t="s">
        <v>1684</v>
      </c>
      <c r="B170" s="34" t="str">
        <f aca="false">IF(A170="100","HK",IF(A170="200","CN",IF(A170="300","TW","홀세일")))</f>
        <v>HK</v>
      </c>
      <c r="C170" s="94" t="s">
        <v>857</v>
      </c>
      <c r="D170" s="95" t="n">
        <v>200</v>
      </c>
      <c r="E170" s="95" t="n">
        <v>109000</v>
      </c>
      <c r="F170" s="95" t="n">
        <v>20100</v>
      </c>
      <c r="G170" s="34" t="n">
        <v>3.92</v>
      </c>
      <c r="H170" s="34" t="n">
        <v>27.3</v>
      </c>
      <c r="J170" s="95" t="n">
        <f aca="false">IF(N(E170)&gt;0,E170,IF(N(F170)&gt;0,F170*가정!$B$5,0))</f>
        <v>109000</v>
      </c>
      <c r="K170" s="95" t="n">
        <f aca="false">IF(N(F170)&gt;0,F170,IF(N(E170)&gt;0,E170/가정!$B$5,0))</f>
        <v>20100</v>
      </c>
      <c r="L170" s="95" t="n">
        <f aca="false">IF(B170="CN",IF(N(I170)&gt;0,I170*가정!$B$3,K170*(1+가정!$B$6)),IF(N(H170)&gt;0,H170*가정!$B$3,J170*가정!$B$4))</f>
        <v>37203.894</v>
      </c>
      <c r="M170" s="95" t="n">
        <f aca="false">D170*J170</f>
        <v>21800000</v>
      </c>
      <c r="N170" s="95" t="n">
        <f aca="false">D170*K170</f>
        <v>4020000</v>
      </c>
      <c r="O170" s="95" t="n">
        <f aca="false">D170*L170</f>
        <v>7440778.8</v>
      </c>
      <c r="P170" s="34" t="str">
        <f aca="false">TRIM(IF(N(E170)&lt;=0,"택가보정 ","")&amp;IF(N(F170)&lt;=0,"원가보정 ","")&amp;IF(AND(B170&lt;&gt;"CN",N(H170)&lt;=0),"공급가보정 ","")&amp;IF(AND(B170="CN",N(I170)&lt;=0),"중국공급가=원가+마진 ",""))</f>
        <v/>
      </c>
    </row>
    <row r="171" customFormat="false" ht="15" hidden="false" customHeight="true" outlineLevel="0" collapsed="false">
      <c r="A171" s="94" t="s">
        <v>1684</v>
      </c>
      <c r="B171" s="34" t="str">
        <f aca="false">IF(A171="100","HK",IF(A171="200","CN",IF(A171="300","TW","홀세일")))</f>
        <v>HK</v>
      </c>
      <c r="C171" s="94" t="s">
        <v>859</v>
      </c>
      <c r="D171" s="95" t="n">
        <v>480</v>
      </c>
      <c r="E171" s="95" t="n">
        <v>89000</v>
      </c>
      <c r="F171" s="95" t="n">
        <v>21600</v>
      </c>
      <c r="G171" s="34" t="n">
        <v>3.56</v>
      </c>
      <c r="H171" s="34" t="n">
        <v>22.3</v>
      </c>
      <c r="J171" s="95" t="n">
        <f aca="false">IF(N(E171)&gt;0,E171,IF(N(F171)&gt;0,F171*가정!$B$5,0))</f>
        <v>89000</v>
      </c>
      <c r="K171" s="95" t="n">
        <f aca="false">IF(N(F171)&gt;0,F171,IF(N(E171)&gt;0,E171/가정!$B$5,0))</f>
        <v>21600</v>
      </c>
      <c r="L171" s="95" t="n">
        <f aca="false">IF(B171="CN",IF(N(I171)&gt;0,I171*가정!$B$3,K171*(1+가정!$B$6)),IF(N(H171)&gt;0,H171*가정!$B$3,J171*가정!$B$4))</f>
        <v>30389.994</v>
      </c>
      <c r="M171" s="95" t="n">
        <f aca="false">D171*J171</f>
        <v>42720000</v>
      </c>
      <c r="N171" s="95" t="n">
        <f aca="false">D171*K171</f>
        <v>10368000</v>
      </c>
      <c r="O171" s="95" t="n">
        <f aca="false">D171*L171</f>
        <v>14587197.12</v>
      </c>
      <c r="P171" s="34" t="str">
        <f aca="false">TRIM(IF(N(E171)&lt;=0,"택가보정 ","")&amp;IF(N(F171)&lt;=0,"원가보정 ","")&amp;IF(AND(B171&lt;&gt;"CN",N(H171)&lt;=0),"공급가보정 ","")&amp;IF(AND(B171="CN",N(I171)&lt;=0),"중국공급가=원가+마진 ",""))</f>
        <v/>
      </c>
    </row>
    <row r="172" customFormat="false" ht="15" hidden="false" customHeight="true" outlineLevel="0" collapsed="false">
      <c r="A172" s="94" t="s">
        <v>1684</v>
      </c>
      <c r="B172" s="34" t="str">
        <f aca="false">IF(A172="100","HK",IF(A172="200","CN",IF(A172="300","TW","홀세일")))</f>
        <v>HK</v>
      </c>
      <c r="C172" s="94" t="s">
        <v>859</v>
      </c>
      <c r="D172" s="95" t="n">
        <v>480</v>
      </c>
      <c r="E172" s="95" t="n">
        <v>89000</v>
      </c>
      <c r="F172" s="95" t="n">
        <v>21600</v>
      </c>
      <c r="G172" s="34" t="n">
        <v>3.56</v>
      </c>
      <c r="H172" s="34" t="n">
        <v>22.3</v>
      </c>
      <c r="J172" s="95" t="n">
        <f aca="false">IF(N(E172)&gt;0,E172,IF(N(F172)&gt;0,F172*가정!$B$5,0))</f>
        <v>89000</v>
      </c>
      <c r="K172" s="95" t="n">
        <f aca="false">IF(N(F172)&gt;0,F172,IF(N(E172)&gt;0,E172/가정!$B$5,0))</f>
        <v>21600</v>
      </c>
      <c r="L172" s="95" t="n">
        <f aca="false">IF(B172="CN",IF(N(I172)&gt;0,I172*가정!$B$3,K172*(1+가정!$B$6)),IF(N(H172)&gt;0,H172*가정!$B$3,J172*가정!$B$4))</f>
        <v>30389.994</v>
      </c>
      <c r="M172" s="95" t="n">
        <f aca="false">D172*J172</f>
        <v>42720000</v>
      </c>
      <c r="N172" s="95" t="n">
        <f aca="false">D172*K172</f>
        <v>10368000</v>
      </c>
      <c r="O172" s="95" t="n">
        <f aca="false">D172*L172</f>
        <v>14587197.12</v>
      </c>
      <c r="P172" s="34" t="str">
        <f aca="false">TRIM(IF(N(E172)&lt;=0,"택가보정 ","")&amp;IF(N(F172)&lt;=0,"원가보정 ","")&amp;IF(AND(B172&lt;&gt;"CN",N(H172)&lt;=0),"공급가보정 ","")&amp;IF(AND(B172="CN",N(I172)&lt;=0),"중국공급가=원가+마진 ",""))</f>
        <v/>
      </c>
    </row>
    <row r="173" customFormat="false" ht="15.75" hidden="false" customHeight="true" outlineLevel="0" collapsed="false">
      <c r="A173" s="94" t="s">
        <v>1685</v>
      </c>
      <c r="B173" s="34" t="str">
        <f aca="false">IF(A173="100","HK",IF(A173="200","CN",IF(A173="300","TW","홀세일")))</f>
        <v>CN</v>
      </c>
      <c r="C173" s="94" t="s">
        <v>242</v>
      </c>
      <c r="D173" s="95" t="n">
        <v>81</v>
      </c>
      <c r="E173" s="95" t="n">
        <v>79000</v>
      </c>
      <c r="F173" s="95" t="n">
        <v>15808</v>
      </c>
      <c r="G173" s="34" t="n">
        <v>4.22</v>
      </c>
      <c r="H173" s="34" t="n">
        <v>19.8</v>
      </c>
      <c r="J173" s="95" t="n">
        <f aca="false">IF(N(E173)&gt;0,E173,IF(N(F173)&gt;0,F173*가정!$B$5,0))</f>
        <v>79000</v>
      </c>
      <c r="K173" s="95" t="n">
        <f aca="false">IF(N(F173)&gt;0,F173,IF(N(E173)&gt;0,E173/가정!$B$5,0))</f>
        <v>15808</v>
      </c>
      <c r="L173" s="95" t="n">
        <f aca="false">IF(B173="CN",IF(N(I173)&gt;0,I173*가정!$B$3,K173*(1+가정!$B$6)),IF(N(H173)&gt;0,H173*가정!$B$3,J173*가정!$B$4))</f>
        <v>16598.4</v>
      </c>
      <c r="M173" s="95" t="n">
        <f aca="false">D173*J173</f>
        <v>6399000</v>
      </c>
      <c r="N173" s="95" t="n">
        <f aca="false">D173*K173</f>
        <v>1280448</v>
      </c>
      <c r="O173" s="95" t="n">
        <f aca="false">D173*L173</f>
        <v>1344470.4</v>
      </c>
      <c r="P173" s="34" t="str">
        <f aca="false">TRIM(IF(N(E173)&lt;=0,"택가보정 ","")&amp;IF(N(F173)&lt;=0,"원가보정 ","")&amp;IF(AND(B173&lt;&gt;"CN",N(H173)&lt;=0),"공급가보정 ","")&amp;IF(AND(B173="CN",N(I173)&lt;=0),"중국공급가=원가+마진 ",""))</f>
        <v>중국공급가=원가+마진</v>
      </c>
    </row>
    <row r="174" customFormat="false" ht="15" hidden="false" customHeight="true" outlineLevel="0" collapsed="false">
      <c r="A174" s="94" t="s">
        <v>1686</v>
      </c>
      <c r="B174" s="34" t="str">
        <f aca="false">IF(A174="100","HK",IF(A174="200","CN",IF(A174="300","TW","홀세일")))</f>
        <v>TW</v>
      </c>
      <c r="C174" s="94" t="s">
        <v>242</v>
      </c>
      <c r="D174" s="95" t="n">
        <v>150</v>
      </c>
      <c r="E174" s="95" t="n">
        <v>79000</v>
      </c>
      <c r="F174" s="95" t="n">
        <v>15808</v>
      </c>
      <c r="G174" s="34" t="n">
        <v>4.22</v>
      </c>
      <c r="H174" s="34" t="n">
        <v>19.8</v>
      </c>
      <c r="J174" s="95" t="n">
        <f aca="false">IF(N(E174)&gt;0,E174,IF(N(F174)&gt;0,F174*가정!$B$5,0))</f>
        <v>79000</v>
      </c>
      <c r="K174" s="95" t="n">
        <f aca="false">IF(N(F174)&gt;0,F174,IF(N(E174)&gt;0,E174/가정!$B$5,0))</f>
        <v>15808</v>
      </c>
      <c r="L174" s="95" t="n">
        <f aca="false">IF(B174="CN",IF(N(I174)&gt;0,I174*가정!$B$3,K174*(1+가정!$B$6)),IF(N(H174)&gt;0,H174*가정!$B$3,J174*가정!$B$4))</f>
        <v>26983.044</v>
      </c>
      <c r="M174" s="95" t="n">
        <f aca="false">D174*J174</f>
        <v>11850000</v>
      </c>
      <c r="N174" s="95" t="n">
        <f aca="false">D174*K174</f>
        <v>2371200</v>
      </c>
      <c r="O174" s="95" t="n">
        <f aca="false">D174*L174</f>
        <v>4047456.6</v>
      </c>
      <c r="P174" s="34" t="str">
        <f aca="false">TRIM(IF(N(E174)&lt;=0,"택가보정 ","")&amp;IF(N(F174)&lt;=0,"원가보정 ","")&amp;IF(AND(B174&lt;&gt;"CN",N(H174)&lt;=0),"공급가보정 ","")&amp;IF(AND(B174="CN",N(I174)&lt;=0),"중국공급가=원가+마진 ",""))</f>
        <v/>
      </c>
    </row>
    <row r="175" customFormat="false" ht="15" hidden="false" customHeight="true" outlineLevel="0" collapsed="false">
      <c r="A175" s="94" t="s">
        <v>1688</v>
      </c>
      <c r="B175" s="34" t="str">
        <f aca="false">IF(A175="100","HK",IF(A175="200","CN",IF(A175="300","TW","홀세일")))</f>
        <v>홀세일</v>
      </c>
      <c r="C175" s="94" t="s">
        <v>242</v>
      </c>
      <c r="D175" s="95" t="n">
        <v>30</v>
      </c>
      <c r="E175" s="95" t="n">
        <v>79000</v>
      </c>
      <c r="F175" s="95" t="n">
        <v>15808</v>
      </c>
      <c r="G175" s="34" t="n">
        <v>4.22</v>
      </c>
      <c r="H175" s="34" t="n">
        <v>19.8</v>
      </c>
      <c r="J175" s="95" t="n">
        <f aca="false">IF(N(E175)&gt;0,E175,IF(N(F175)&gt;0,F175*가정!$B$5,0))</f>
        <v>79000</v>
      </c>
      <c r="K175" s="95" t="n">
        <f aca="false">IF(N(F175)&gt;0,F175,IF(N(E175)&gt;0,E175/가정!$B$5,0))</f>
        <v>15808</v>
      </c>
      <c r="L175" s="95" t="n">
        <f aca="false">IF(B175="CN",IF(N(I175)&gt;0,I175*가정!$B$3,K175*(1+가정!$B$6)),IF(N(H175)&gt;0,H175*가정!$B$3,J175*가정!$B$4))</f>
        <v>26983.044</v>
      </c>
      <c r="M175" s="95" t="n">
        <f aca="false">D175*J175</f>
        <v>2370000</v>
      </c>
      <c r="N175" s="95" t="n">
        <f aca="false">D175*K175</f>
        <v>474240</v>
      </c>
      <c r="O175" s="95" t="n">
        <f aca="false">D175*L175</f>
        <v>809491.32</v>
      </c>
      <c r="P175" s="34" t="str">
        <f aca="false">TRIM(IF(N(E175)&lt;=0,"택가보정 ","")&amp;IF(N(F175)&lt;=0,"원가보정 ","")&amp;IF(AND(B175&lt;&gt;"CN",N(H175)&lt;=0),"공급가보정 ","")&amp;IF(AND(B175="CN",N(I175)&lt;=0),"중국공급가=원가+마진 ",""))</f>
        <v/>
      </c>
    </row>
    <row r="176" customFormat="false" ht="15" hidden="false" customHeight="true" outlineLevel="0" collapsed="false">
      <c r="A176" s="94" t="s">
        <v>1686</v>
      </c>
      <c r="B176" s="34" t="str">
        <f aca="false">IF(A176="100","HK",IF(A176="200","CN",IF(A176="300","TW","홀세일")))</f>
        <v>TW</v>
      </c>
      <c r="C176" s="94" t="s">
        <v>244</v>
      </c>
      <c r="D176" s="95" t="n">
        <v>300</v>
      </c>
      <c r="E176" s="95" t="n">
        <v>59000</v>
      </c>
      <c r="F176" s="95" t="n">
        <v>9700</v>
      </c>
      <c r="G176" s="34" t="n">
        <v>4.47</v>
      </c>
      <c r="H176" s="34" t="n">
        <v>14.8</v>
      </c>
      <c r="J176" s="95" t="n">
        <f aca="false">IF(N(E176)&gt;0,E176,IF(N(F176)&gt;0,F176*가정!$B$5,0))</f>
        <v>59000</v>
      </c>
      <c r="K176" s="95" t="n">
        <f aca="false">IF(N(F176)&gt;0,F176,IF(N(E176)&gt;0,E176/가정!$B$5,0))</f>
        <v>9700</v>
      </c>
      <c r="L176" s="95" t="n">
        <f aca="false">IF(B176="CN",IF(N(I176)&gt;0,I176*가정!$B$3,K176*(1+가정!$B$6)),IF(N(H176)&gt;0,H176*가정!$B$3,J176*가정!$B$4))</f>
        <v>20169.144</v>
      </c>
      <c r="M176" s="95" t="n">
        <f aca="false">D176*J176</f>
        <v>17700000</v>
      </c>
      <c r="N176" s="95" t="n">
        <f aca="false">D176*K176</f>
        <v>2910000</v>
      </c>
      <c r="O176" s="95" t="n">
        <f aca="false">D176*L176</f>
        <v>6050743.2</v>
      </c>
      <c r="P176" s="34" t="str">
        <f aca="false">TRIM(IF(N(E176)&lt;=0,"택가보정 ","")&amp;IF(N(F176)&lt;=0,"원가보정 ","")&amp;IF(AND(B176&lt;&gt;"CN",N(H176)&lt;=0),"공급가보정 ","")&amp;IF(AND(B176="CN",N(I176)&lt;=0),"중국공급가=원가+마진 ",""))</f>
        <v/>
      </c>
    </row>
    <row r="177" customFormat="false" ht="15" hidden="false" customHeight="true" outlineLevel="0" collapsed="false">
      <c r="A177" s="94" t="s">
        <v>1688</v>
      </c>
      <c r="B177" s="34" t="str">
        <f aca="false">IF(A177="100","HK",IF(A177="200","CN",IF(A177="300","TW","홀세일")))</f>
        <v>홀세일</v>
      </c>
      <c r="C177" s="94" t="s">
        <v>244</v>
      </c>
      <c r="D177" s="95" t="n">
        <v>105</v>
      </c>
      <c r="E177" s="95" t="n">
        <v>59000</v>
      </c>
      <c r="F177" s="95" t="n">
        <v>9700</v>
      </c>
      <c r="G177" s="34" t="n">
        <v>4.47</v>
      </c>
      <c r="H177" s="34" t="n">
        <v>14.8</v>
      </c>
      <c r="J177" s="95" t="n">
        <f aca="false">IF(N(E177)&gt;0,E177,IF(N(F177)&gt;0,F177*가정!$B$5,0))</f>
        <v>59000</v>
      </c>
      <c r="K177" s="95" t="n">
        <f aca="false">IF(N(F177)&gt;0,F177,IF(N(E177)&gt;0,E177/가정!$B$5,0))</f>
        <v>9700</v>
      </c>
      <c r="L177" s="95" t="n">
        <f aca="false">IF(B177="CN",IF(N(I177)&gt;0,I177*가정!$B$3,K177*(1+가정!$B$6)),IF(N(H177)&gt;0,H177*가정!$B$3,J177*가정!$B$4))</f>
        <v>20169.144</v>
      </c>
      <c r="M177" s="95" t="n">
        <f aca="false">D177*J177</f>
        <v>6195000</v>
      </c>
      <c r="N177" s="95" t="n">
        <f aca="false">D177*K177</f>
        <v>1018500</v>
      </c>
      <c r="O177" s="95" t="n">
        <f aca="false">D177*L177</f>
        <v>2117760.12</v>
      </c>
      <c r="P177" s="34" t="str">
        <f aca="false">TRIM(IF(N(E177)&lt;=0,"택가보정 ","")&amp;IF(N(F177)&lt;=0,"원가보정 ","")&amp;IF(AND(B177&lt;&gt;"CN",N(H177)&lt;=0),"공급가보정 ","")&amp;IF(AND(B177="CN",N(I177)&lt;=0),"중국공급가=원가+마진 ",""))</f>
        <v/>
      </c>
    </row>
    <row r="178" customFormat="false" ht="15" hidden="false" customHeight="true" outlineLevel="0" collapsed="false">
      <c r="A178" s="94" t="s">
        <v>1688</v>
      </c>
      <c r="B178" s="34" t="str">
        <f aca="false">IF(A178="100","HK",IF(A178="200","CN",IF(A178="300","TW","홀세일")))</f>
        <v>홀세일</v>
      </c>
      <c r="C178" s="94" t="s">
        <v>1323</v>
      </c>
      <c r="D178" s="95" t="n">
        <v>40</v>
      </c>
      <c r="E178" s="95" t="n">
        <v>69000</v>
      </c>
      <c r="F178" s="95" t="n">
        <v>17100</v>
      </c>
      <c r="G178" s="34" t="n">
        <v>4.24</v>
      </c>
      <c r="H178" s="34" t="n">
        <v>17.3</v>
      </c>
      <c r="J178" s="95" t="n">
        <f aca="false">IF(N(E178)&gt;0,E178,IF(N(F178)&gt;0,F178*가정!$B$5,0))</f>
        <v>69000</v>
      </c>
      <c r="K178" s="95" t="n">
        <f aca="false">IF(N(F178)&gt;0,F178,IF(N(E178)&gt;0,E178/가정!$B$5,0))</f>
        <v>17100</v>
      </c>
      <c r="L178" s="95" t="n">
        <f aca="false">IF(B178="CN",IF(N(I178)&gt;0,I178*가정!$B$3,K178*(1+가정!$B$6)),IF(N(H178)&gt;0,H178*가정!$B$3,J178*가정!$B$4))</f>
        <v>23576.094</v>
      </c>
      <c r="M178" s="95" t="n">
        <f aca="false">D178*J178</f>
        <v>2760000</v>
      </c>
      <c r="N178" s="95" t="n">
        <f aca="false">D178*K178</f>
        <v>684000</v>
      </c>
      <c r="O178" s="95" t="n">
        <f aca="false">D178*L178</f>
        <v>943043.76</v>
      </c>
      <c r="P178" s="34" t="str">
        <f aca="false">TRIM(IF(N(E178)&lt;=0,"택가보정 ","")&amp;IF(N(F178)&lt;=0,"원가보정 ","")&amp;IF(AND(B178&lt;&gt;"CN",N(H178)&lt;=0),"공급가보정 ","")&amp;IF(AND(B178="CN",N(I178)&lt;=0),"중국공급가=원가+마진 ",""))</f>
        <v/>
      </c>
    </row>
    <row r="179" customFormat="false" ht="15" hidden="false" customHeight="true" outlineLevel="0" collapsed="false">
      <c r="A179" s="94" t="s">
        <v>1692</v>
      </c>
      <c r="B179" s="34" t="str">
        <f aca="false">IF(A179="100","HK",IF(A179="200","CN",IF(A179="300","TW","홀세일")))</f>
        <v>홀세일</v>
      </c>
      <c r="C179" s="94" t="s">
        <v>1323</v>
      </c>
      <c r="D179" s="95" t="n">
        <v>61</v>
      </c>
      <c r="E179" s="95" t="n">
        <v>69000</v>
      </c>
      <c r="F179" s="95" t="n">
        <v>17100</v>
      </c>
      <c r="G179" s="34" t="n">
        <v>4.24</v>
      </c>
      <c r="H179" s="34" t="n">
        <v>17.3</v>
      </c>
      <c r="J179" s="95" t="n">
        <f aca="false">IF(N(E179)&gt;0,E179,IF(N(F179)&gt;0,F179*가정!$B$5,0))</f>
        <v>69000</v>
      </c>
      <c r="K179" s="95" t="n">
        <f aca="false">IF(N(F179)&gt;0,F179,IF(N(E179)&gt;0,E179/가정!$B$5,0))</f>
        <v>17100</v>
      </c>
      <c r="L179" s="95" t="n">
        <f aca="false">IF(B179="CN",IF(N(I179)&gt;0,I179*가정!$B$3,K179*(1+가정!$B$6)),IF(N(H179)&gt;0,H179*가정!$B$3,J179*가정!$B$4))</f>
        <v>23576.094</v>
      </c>
      <c r="M179" s="95" t="n">
        <f aca="false">D179*J179</f>
        <v>4209000</v>
      </c>
      <c r="N179" s="95" t="n">
        <f aca="false">D179*K179</f>
        <v>1043100</v>
      </c>
      <c r="O179" s="95" t="n">
        <f aca="false">D179*L179</f>
        <v>1438141.734</v>
      </c>
      <c r="P179" s="34" t="str">
        <f aca="false">TRIM(IF(N(E179)&lt;=0,"택가보정 ","")&amp;IF(N(F179)&lt;=0,"원가보정 ","")&amp;IF(AND(B179&lt;&gt;"CN",N(H179)&lt;=0),"공급가보정 ","")&amp;IF(AND(B179="CN",N(I179)&lt;=0),"중국공급가=원가+마진 ",""))</f>
        <v/>
      </c>
    </row>
    <row r="180" customFormat="false" ht="15" hidden="false" customHeight="true" outlineLevel="0" collapsed="false">
      <c r="A180" s="94" t="s">
        <v>1688</v>
      </c>
      <c r="B180" s="34" t="str">
        <f aca="false">IF(A180="100","HK",IF(A180="200","CN",IF(A180="300","TW","홀세일")))</f>
        <v>홀세일</v>
      </c>
      <c r="C180" s="94" t="s">
        <v>1325</v>
      </c>
      <c r="D180" s="95" t="n">
        <v>75</v>
      </c>
      <c r="E180" s="95" t="n">
        <v>49000</v>
      </c>
      <c r="F180" s="95" t="n">
        <v>9600</v>
      </c>
      <c r="G180" s="34" t="n">
        <v>4.12</v>
      </c>
      <c r="H180" s="34" t="n">
        <v>12.3</v>
      </c>
      <c r="J180" s="95" t="n">
        <f aca="false">IF(N(E180)&gt;0,E180,IF(N(F180)&gt;0,F180*가정!$B$5,0))</f>
        <v>49000</v>
      </c>
      <c r="K180" s="95" t="n">
        <f aca="false">IF(N(F180)&gt;0,F180,IF(N(E180)&gt;0,E180/가정!$B$5,0))</f>
        <v>9600</v>
      </c>
      <c r="L180" s="95" t="n">
        <f aca="false">IF(B180="CN",IF(N(I180)&gt;0,I180*가정!$B$3,K180*(1+가정!$B$6)),IF(N(H180)&gt;0,H180*가정!$B$3,J180*가정!$B$4))</f>
        <v>16762.194</v>
      </c>
      <c r="M180" s="95" t="n">
        <f aca="false">D180*J180</f>
        <v>3675000</v>
      </c>
      <c r="N180" s="95" t="n">
        <f aca="false">D180*K180</f>
        <v>720000</v>
      </c>
      <c r="O180" s="95" t="n">
        <f aca="false">D180*L180</f>
        <v>1257164.55</v>
      </c>
      <c r="P180" s="34" t="str">
        <f aca="false">TRIM(IF(N(E180)&lt;=0,"택가보정 ","")&amp;IF(N(F180)&lt;=0,"원가보정 ","")&amp;IF(AND(B180&lt;&gt;"CN",N(H180)&lt;=0),"공급가보정 ","")&amp;IF(AND(B180="CN",N(I180)&lt;=0),"중국공급가=원가+마진 ",""))</f>
        <v/>
      </c>
    </row>
    <row r="181" customFormat="false" ht="15" hidden="false" customHeight="true" outlineLevel="0" collapsed="false">
      <c r="A181" s="94" t="s">
        <v>1686</v>
      </c>
      <c r="B181" s="34" t="str">
        <f aca="false">IF(A181="100","HK",IF(A181="200","CN",IF(A181="300","TW","홀세일")))</f>
        <v>TW</v>
      </c>
      <c r="C181" s="94" t="s">
        <v>247</v>
      </c>
      <c r="D181" s="95" t="n">
        <v>150</v>
      </c>
      <c r="E181" s="95" t="n">
        <v>109000</v>
      </c>
      <c r="F181" s="95" t="n">
        <v>22500</v>
      </c>
      <c r="G181" s="34" t="n">
        <v>4.13</v>
      </c>
      <c r="H181" s="34" t="n">
        <v>27.3</v>
      </c>
      <c r="J181" s="95" t="n">
        <f aca="false">IF(N(E181)&gt;0,E181,IF(N(F181)&gt;0,F181*가정!$B$5,0))</f>
        <v>109000</v>
      </c>
      <c r="K181" s="95" t="n">
        <f aca="false">IF(N(F181)&gt;0,F181,IF(N(E181)&gt;0,E181/가정!$B$5,0))</f>
        <v>22500</v>
      </c>
      <c r="L181" s="95" t="n">
        <f aca="false">IF(B181="CN",IF(N(I181)&gt;0,I181*가정!$B$3,K181*(1+가정!$B$6)),IF(N(H181)&gt;0,H181*가정!$B$3,J181*가정!$B$4))</f>
        <v>37203.894</v>
      </c>
      <c r="M181" s="95" t="n">
        <f aca="false">D181*J181</f>
        <v>16350000</v>
      </c>
      <c r="N181" s="95" t="n">
        <f aca="false">D181*K181</f>
        <v>3375000</v>
      </c>
      <c r="O181" s="95" t="n">
        <f aca="false">D181*L181</f>
        <v>5580584.1</v>
      </c>
      <c r="P181" s="34" t="str">
        <f aca="false">TRIM(IF(N(E181)&lt;=0,"택가보정 ","")&amp;IF(N(F181)&lt;=0,"원가보정 ","")&amp;IF(AND(B181&lt;&gt;"CN",N(H181)&lt;=0),"공급가보정 ","")&amp;IF(AND(B181="CN",N(I181)&lt;=0),"중국공급가=원가+마진 ",""))</f>
        <v/>
      </c>
    </row>
    <row r="182" customFormat="false" ht="15" hidden="false" customHeight="true" outlineLevel="0" collapsed="false">
      <c r="A182" s="94" t="s">
        <v>1690</v>
      </c>
      <c r="B182" s="34" t="str">
        <f aca="false">IF(A182="100","HK",IF(A182="200","CN",IF(A182="300","TW","홀세일")))</f>
        <v>홀세일</v>
      </c>
      <c r="C182" s="94" t="s">
        <v>247</v>
      </c>
      <c r="D182" s="95" t="n">
        <v>132</v>
      </c>
      <c r="E182" s="95" t="n">
        <v>109000</v>
      </c>
      <c r="F182" s="95" t="n">
        <v>22500</v>
      </c>
      <c r="G182" s="34" t="n">
        <v>4.13</v>
      </c>
      <c r="H182" s="34" t="n">
        <v>27.3</v>
      </c>
      <c r="J182" s="95" t="n">
        <f aca="false">IF(N(E182)&gt;0,E182,IF(N(F182)&gt;0,F182*가정!$B$5,0))</f>
        <v>109000</v>
      </c>
      <c r="K182" s="95" t="n">
        <f aca="false">IF(N(F182)&gt;0,F182,IF(N(E182)&gt;0,E182/가정!$B$5,0))</f>
        <v>22500</v>
      </c>
      <c r="L182" s="95" t="n">
        <f aca="false">IF(B182="CN",IF(N(I182)&gt;0,I182*가정!$B$3,K182*(1+가정!$B$6)),IF(N(H182)&gt;0,H182*가정!$B$3,J182*가정!$B$4))</f>
        <v>37203.894</v>
      </c>
      <c r="M182" s="95" t="n">
        <f aca="false">D182*J182</f>
        <v>14388000</v>
      </c>
      <c r="N182" s="95" t="n">
        <f aca="false">D182*K182</f>
        <v>2970000</v>
      </c>
      <c r="O182" s="95" t="n">
        <f aca="false">D182*L182</f>
        <v>4910914.008</v>
      </c>
      <c r="P182" s="34" t="str">
        <f aca="false">TRIM(IF(N(E182)&lt;=0,"택가보정 ","")&amp;IF(N(F182)&lt;=0,"원가보정 ","")&amp;IF(AND(B182&lt;&gt;"CN",N(H182)&lt;=0),"공급가보정 ","")&amp;IF(AND(B182="CN",N(I182)&lt;=0),"중국공급가=원가+마진 ",""))</f>
        <v/>
      </c>
    </row>
    <row r="183" customFormat="false" ht="15" hidden="false" customHeight="true" outlineLevel="0" collapsed="false">
      <c r="A183" s="94" t="s">
        <v>1684</v>
      </c>
      <c r="B183" s="34" t="str">
        <f aca="false">IF(A183="100","HK",IF(A183="200","CN",IF(A183="300","TW","홀세일")))</f>
        <v>HK</v>
      </c>
      <c r="C183" s="94" t="s">
        <v>249</v>
      </c>
      <c r="D183" s="95" t="n">
        <v>180</v>
      </c>
      <c r="E183" s="95" t="n">
        <v>129000</v>
      </c>
      <c r="F183" s="95" t="n">
        <v>22302</v>
      </c>
      <c r="G183" s="34" t="n">
        <v>4.64</v>
      </c>
      <c r="H183" s="34" t="n">
        <v>32.3</v>
      </c>
      <c r="J183" s="95" t="n">
        <f aca="false">IF(N(E183)&gt;0,E183,IF(N(F183)&gt;0,F183*가정!$B$5,0))</f>
        <v>129000</v>
      </c>
      <c r="K183" s="95" t="n">
        <f aca="false">IF(N(F183)&gt;0,F183,IF(N(E183)&gt;0,E183/가정!$B$5,0))</f>
        <v>22302</v>
      </c>
      <c r="L183" s="95" t="n">
        <f aca="false">IF(B183="CN",IF(N(I183)&gt;0,I183*가정!$B$3,K183*(1+가정!$B$6)),IF(N(H183)&gt;0,H183*가정!$B$3,J183*가정!$B$4))</f>
        <v>44017.794</v>
      </c>
      <c r="M183" s="95" t="n">
        <f aca="false">D183*J183</f>
        <v>23220000</v>
      </c>
      <c r="N183" s="95" t="n">
        <f aca="false">D183*K183</f>
        <v>4014360</v>
      </c>
      <c r="O183" s="95" t="n">
        <f aca="false">D183*L183</f>
        <v>7923202.92</v>
      </c>
      <c r="P183" s="34" t="str">
        <f aca="false">TRIM(IF(N(E183)&lt;=0,"택가보정 ","")&amp;IF(N(F183)&lt;=0,"원가보정 ","")&amp;IF(AND(B183&lt;&gt;"CN",N(H183)&lt;=0),"공급가보정 ","")&amp;IF(AND(B183="CN",N(I183)&lt;=0),"중국공급가=원가+마진 ",""))</f>
        <v/>
      </c>
    </row>
    <row r="184" customFormat="false" ht="15" hidden="false" customHeight="true" outlineLevel="0" collapsed="false">
      <c r="A184" s="94" t="s">
        <v>1686</v>
      </c>
      <c r="B184" s="34" t="str">
        <f aca="false">IF(A184="100","HK",IF(A184="200","CN",IF(A184="300","TW","홀세일")))</f>
        <v>TW</v>
      </c>
      <c r="C184" s="94" t="s">
        <v>249</v>
      </c>
      <c r="D184" s="95" t="n">
        <v>230</v>
      </c>
      <c r="E184" s="95" t="n">
        <v>129000</v>
      </c>
      <c r="F184" s="95" t="n">
        <v>22302</v>
      </c>
      <c r="G184" s="34" t="n">
        <v>4.64</v>
      </c>
      <c r="H184" s="34" t="n">
        <v>32.3</v>
      </c>
      <c r="J184" s="95" t="n">
        <f aca="false">IF(N(E184)&gt;0,E184,IF(N(F184)&gt;0,F184*가정!$B$5,0))</f>
        <v>129000</v>
      </c>
      <c r="K184" s="95" t="n">
        <f aca="false">IF(N(F184)&gt;0,F184,IF(N(E184)&gt;0,E184/가정!$B$5,0))</f>
        <v>22302</v>
      </c>
      <c r="L184" s="95" t="n">
        <f aca="false">IF(B184="CN",IF(N(I184)&gt;0,I184*가정!$B$3,K184*(1+가정!$B$6)),IF(N(H184)&gt;0,H184*가정!$B$3,J184*가정!$B$4))</f>
        <v>44017.794</v>
      </c>
      <c r="M184" s="95" t="n">
        <f aca="false">D184*J184</f>
        <v>29670000</v>
      </c>
      <c r="N184" s="95" t="n">
        <f aca="false">D184*K184</f>
        <v>5129460</v>
      </c>
      <c r="O184" s="95" t="n">
        <f aca="false">D184*L184</f>
        <v>10124092.62</v>
      </c>
      <c r="P184" s="34" t="str">
        <f aca="false">TRIM(IF(N(E184)&lt;=0,"택가보정 ","")&amp;IF(N(F184)&lt;=0,"원가보정 ","")&amp;IF(AND(B184&lt;&gt;"CN",N(H184)&lt;=0),"공급가보정 ","")&amp;IF(AND(B184="CN",N(I184)&lt;=0),"중국공급가=원가+마진 ",""))</f>
        <v/>
      </c>
    </row>
    <row r="185" customFormat="false" ht="15" hidden="false" customHeight="true" outlineLevel="0" collapsed="false">
      <c r="A185" s="94" t="s">
        <v>1688</v>
      </c>
      <c r="B185" s="34" t="str">
        <f aca="false">IF(A185="100","HK",IF(A185="200","CN",IF(A185="300","TW","홀세일")))</f>
        <v>홀세일</v>
      </c>
      <c r="C185" s="94" t="s">
        <v>249</v>
      </c>
      <c r="D185" s="95" t="n">
        <v>60</v>
      </c>
      <c r="E185" s="95" t="n">
        <v>129000</v>
      </c>
      <c r="F185" s="95" t="n">
        <v>22302</v>
      </c>
      <c r="G185" s="34" t="n">
        <v>4.64</v>
      </c>
      <c r="H185" s="34" t="n">
        <v>32.3</v>
      </c>
      <c r="J185" s="95" t="n">
        <f aca="false">IF(N(E185)&gt;0,E185,IF(N(F185)&gt;0,F185*가정!$B$5,0))</f>
        <v>129000</v>
      </c>
      <c r="K185" s="95" t="n">
        <f aca="false">IF(N(F185)&gt;0,F185,IF(N(E185)&gt;0,E185/가정!$B$5,0))</f>
        <v>22302</v>
      </c>
      <c r="L185" s="95" t="n">
        <f aca="false">IF(B185="CN",IF(N(I185)&gt;0,I185*가정!$B$3,K185*(1+가정!$B$6)),IF(N(H185)&gt;0,H185*가정!$B$3,J185*가정!$B$4))</f>
        <v>44017.794</v>
      </c>
      <c r="M185" s="95" t="n">
        <f aca="false">D185*J185</f>
        <v>7740000</v>
      </c>
      <c r="N185" s="95" t="n">
        <f aca="false">D185*K185</f>
        <v>1338120</v>
      </c>
      <c r="O185" s="95" t="n">
        <f aca="false">D185*L185</f>
        <v>2641067.64</v>
      </c>
      <c r="P185" s="34" t="str">
        <f aca="false">TRIM(IF(N(E185)&lt;=0,"택가보정 ","")&amp;IF(N(F185)&lt;=0,"원가보정 ","")&amp;IF(AND(B185&lt;&gt;"CN",N(H185)&lt;=0),"공급가보정 ","")&amp;IF(AND(B185="CN",N(I185)&lt;=0),"중국공급가=원가+마진 ",""))</f>
        <v/>
      </c>
    </row>
    <row r="186" customFormat="false" ht="15" hidden="false" customHeight="true" outlineLevel="0" collapsed="false">
      <c r="A186" s="94" t="s">
        <v>1692</v>
      </c>
      <c r="B186" s="34" t="str">
        <f aca="false">IF(A186="100","HK",IF(A186="200","CN",IF(A186="300","TW","홀세일")))</f>
        <v>홀세일</v>
      </c>
      <c r="C186" s="94" t="s">
        <v>249</v>
      </c>
      <c r="D186" s="95" t="n">
        <v>92</v>
      </c>
      <c r="E186" s="95" t="n">
        <v>129000</v>
      </c>
      <c r="F186" s="95" t="n">
        <v>22302</v>
      </c>
      <c r="G186" s="34" t="n">
        <v>4.64</v>
      </c>
      <c r="H186" s="34" t="n">
        <v>32.3</v>
      </c>
      <c r="J186" s="95" t="n">
        <f aca="false">IF(N(E186)&gt;0,E186,IF(N(F186)&gt;0,F186*가정!$B$5,0))</f>
        <v>129000</v>
      </c>
      <c r="K186" s="95" t="n">
        <f aca="false">IF(N(F186)&gt;0,F186,IF(N(E186)&gt;0,E186/가정!$B$5,0))</f>
        <v>22302</v>
      </c>
      <c r="L186" s="95" t="n">
        <f aca="false">IF(B186="CN",IF(N(I186)&gt;0,I186*가정!$B$3,K186*(1+가정!$B$6)),IF(N(H186)&gt;0,H186*가정!$B$3,J186*가정!$B$4))</f>
        <v>44017.794</v>
      </c>
      <c r="M186" s="95" t="n">
        <f aca="false">D186*J186</f>
        <v>11868000</v>
      </c>
      <c r="N186" s="95" t="n">
        <f aca="false">D186*K186</f>
        <v>2051784</v>
      </c>
      <c r="O186" s="95" t="n">
        <f aca="false">D186*L186</f>
        <v>4049637.048</v>
      </c>
      <c r="P186" s="34" t="str">
        <f aca="false">TRIM(IF(N(E186)&lt;=0,"택가보정 ","")&amp;IF(N(F186)&lt;=0,"원가보정 ","")&amp;IF(AND(B186&lt;&gt;"CN",N(H186)&lt;=0),"공급가보정 ","")&amp;IF(AND(B186="CN",N(I186)&lt;=0),"중국공급가=원가+마진 ",""))</f>
        <v/>
      </c>
    </row>
    <row r="187" customFormat="false" ht="15" hidden="false" customHeight="true" outlineLevel="0" collapsed="false">
      <c r="A187" s="94" t="s">
        <v>1684</v>
      </c>
      <c r="B187" s="34" t="str">
        <f aca="false">IF(A187="100","HK",IF(A187="200","CN",IF(A187="300","TW","홀세일")))</f>
        <v>HK</v>
      </c>
      <c r="C187" s="94" t="s">
        <v>251</v>
      </c>
      <c r="D187" s="95" t="n">
        <v>160</v>
      </c>
      <c r="E187" s="95" t="n">
        <v>109000</v>
      </c>
      <c r="F187" s="95" t="n">
        <v>21600</v>
      </c>
      <c r="G187" s="34" t="n">
        <v>4.48</v>
      </c>
      <c r="H187" s="34" t="n">
        <v>27.3</v>
      </c>
      <c r="J187" s="95" t="n">
        <f aca="false">IF(N(E187)&gt;0,E187,IF(N(F187)&gt;0,F187*가정!$B$5,0))</f>
        <v>109000</v>
      </c>
      <c r="K187" s="95" t="n">
        <f aca="false">IF(N(F187)&gt;0,F187,IF(N(E187)&gt;0,E187/가정!$B$5,0))</f>
        <v>21600</v>
      </c>
      <c r="L187" s="95" t="n">
        <f aca="false">IF(B187="CN",IF(N(I187)&gt;0,I187*가정!$B$3,K187*(1+가정!$B$6)),IF(N(H187)&gt;0,H187*가정!$B$3,J187*가정!$B$4))</f>
        <v>37203.894</v>
      </c>
      <c r="M187" s="95" t="n">
        <f aca="false">D187*J187</f>
        <v>17440000</v>
      </c>
      <c r="N187" s="95" t="n">
        <f aca="false">D187*K187</f>
        <v>3456000</v>
      </c>
      <c r="O187" s="95" t="n">
        <f aca="false">D187*L187</f>
        <v>5952623.04</v>
      </c>
      <c r="P187" s="34" t="str">
        <f aca="false">TRIM(IF(N(E187)&lt;=0,"택가보정 ","")&amp;IF(N(F187)&lt;=0,"원가보정 ","")&amp;IF(AND(B187&lt;&gt;"CN",N(H187)&lt;=0),"공급가보정 ","")&amp;IF(AND(B187="CN",N(I187)&lt;=0),"중국공급가=원가+마진 ",""))</f>
        <v/>
      </c>
    </row>
    <row r="188" customFormat="false" ht="15" hidden="false" customHeight="true" outlineLevel="0" collapsed="false">
      <c r="A188" s="94" t="s">
        <v>1686</v>
      </c>
      <c r="B188" s="34" t="str">
        <f aca="false">IF(A188="100","HK",IF(A188="200","CN",IF(A188="300","TW","홀세일")))</f>
        <v>TW</v>
      </c>
      <c r="C188" s="94" t="s">
        <v>251</v>
      </c>
      <c r="D188" s="95" t="n">
        <v>80</v>
      </c>
      <c r="E188" s="95" t="n">
        <v>109000</v>
      </c>
      <c r="F188" s="95" t="n">
        <v>21600</v>
      </c>
      <c r="G188" s="34" t="n">
        <v>4.48</v>
      </c>
      <c r="H188" s="34" t="n">
        <v>27.3</v>
      </c>
      <c r="J188" s="95" t="n">
        <f aca="false">IF(N(E188)&gt;0,E188,IF(N(F188)&gt;0,F188*가정!$B$5,0))</f>
        <v>109000</v>
      </c>
      <c r="K188" s="95" t="n">
        <f aca="false">IF(N(F188)&gt;0,F188,IF(N(E188)&gt;0,E188/가정!$B$5,0))</f>
        <v>21600</v>
      </c>
      <c r="L188" s="95" t="n">
        <f aca="false">IF(B188="CN",IF(N(I188)&gt;0,I188*가정!$B$3,K188*(1+가정!$B$6)),IF(N(H188)&gt;0,H188*가정!$B$3,J188*가정!$B$4))</f>
        <v>37203.894</v>
      </c>
      <c r="M188" s="95" t="n">
        <f aca="false">D188*J188</f>
        <v>8720000</v>
      </c>
      <c r="N188" s="95" t="n">
        <f aca="false">D188*K188</f>
        <v>1728000</v>
      </c>
      <c r="O188" s="95" t="n">
        <f aca="false">D188*L188</f>
        <v>2976311.52</v>
      </c>
      <c r="P188" s="34" t="str">
        <f aca="false">TRIM(IF(N(E188)&lt;=0,"택가보정 ","")&amp;IF(N(F188)&lt;=0,"원가보정 ","")&amp;IF(AND(B188&lt;&gt;"CN",N(H188)&lt;=0),"공급가보정 ","")&amp;IF(AND(B188="CN",N(I188)&lt;=0),"중국공급가=원가+마진 ",""))</f>
        <v/>
      </c>
    </row>
    <row r="189" customFormat="false" ht="15" hidden="false" customHeight="true" outlineLevel="0" collapsed="false">
      <c r="A189" s="94" t="s">
        <v>1684</v>
      </c>
      <c r="B189" s="34" t="str">
        <f aca="false">IF(A189="100","HK",IF(A189="200","CN",IF(A189="300","TW","홀세일")))</f>
        <v>HK</v>
      </c>
      <c r="C189" s="94" t="s">
        <v>253</v>
      </c>
      <c r="D189" s="95" t="n">
        <v>90</v>
      </c>
      <c r="E189" s="95" t="n">
        <v>139000</v>
      </c>
      <c r="F189" s="95" t="n">
        <v>23800</v>
      </c>
      <c r="G189" s="34" t="n">
        <v>4.4</v>
      </c>
      <c r="H189" s="34" t="n">
        <v>34.8</v>
      </c>
      <c r="J189" s="95" t="n">
        <f aca="false">IF(N(E189)&gt;0,E189,IF(N(F189)&gt;0,F189*가정!$B$5,0))</f>
        <v>139000</v>
      </c>
      <c r="K189" s="95" t="n">
        <f aca="false">IF(N(F189)&gt;0,F189,IF(N(E189)&gt;0,E189/가정!$B$5,0))</f>
        <v>23800</v>
      </c>
      <c r="L189" s="95" t="n">
        <f aca="false">IF(B189="CN",IF(N(I189)&gt;0,I189*가정!$B$3,K189*(1+가정!$B$6)),IF(N(H189)&gt;0,H189*가정!$B$3,J189*가정!$B$4))</f>
        <v>47424.744</v>
      </c>
      <c r="M189" s="95" t="n">
        <f aca="false">D189*J189</f>
        <v>12510000</v>
      </c>
      <c r="N189" s="95" t="n">
        <f aca="false">D189*K189</f>
        <v>2142000</v>
      </c>
      <c r="O189" s="95" t="n">
        <f aca="false">D189*L189</f>
        <v>4268226.96</v>
      </c>
      <c r="P189" s="34" t="str">
        <f aca="false">TRIM(IF(N(E189)&lt;=0,"택가보정 ","")&amp;IF(N(F189)&lt;=0,"원가보정 ","")&amp;IF(AND(B189&lt;&gt;"CN",N(H189)&lt;=0),"공급가보정 ","")&amp;IF(AND(B189="CN",N(I189)&lt;=0),"중국공급가=원가+마진 ",""))</f>
        <v/>
      </c>
    </row>
    <row r="190" customFormat="false" ht="15" hidden="false" customHeight="true" outlineLevel="0" collapsed="false">
      <c r="A190" s="94" t="s">
        <v>1686</v>
      </c>
      <c r="B190" s="34" t="str">
        <f aca="false">IF(A190="100","HK",IF(A190="200","CN",IF(A190="300","TW","홀세일")))</f>
        <v>TW</v>
      </c>
      <c r="C190" s="94" t="s">
        <v>253</v>
      </c>
      <c r="D190" s="95" t="n">
        <v>230</v>
      </c>
      <c r="E190" s="95" t="n">
        <v>139000</v>
      </c>
      <c r="F190" s="95" t="n">
        <v>23800</v>
      </c>
      <c r="G190" s="34" t="n">
        <v>4.4</v>
      </c>
      <c r="H190" s="34" t="n">
        <v>34.8</v>
      </c>
      <c r="J190" s="95" t="n">
        <f aca="false">IF(N(E190)&gt;0,E190,IF(N(F190)&gt;0,F190*가정!$B$5,0))</f>
        <v>139000</v>
      </c>
      <c r="K190" s="95" t="n">
        <f aca="false">IF(N(F190)&gt;0,F190,IF(N(E190)&gt;0,E190/가정!$B$5,0))</f>
        <v>23800</v>
      </c>
      <c r="L190" s="95" t="n">
        <f aca="false">IF(B190="CN",IF(N(I190)&gt;0,I190*가정!$B$3,K190*(1+가정!$B$6)),IF(N(H190)&gt;0,H190*가정!$B$3,J190*가정!$B$4))</f>
        <v>47424.744</v>
      </c>
      <c r="M190" s="95" t="n">
        <f aca="false">D190*J190</f>
        <v>31970000</v>
      </c>
      <c r="N190" s="95" t="n">
        <f aca="false">D190*K190</f>
        <v>5474000</v>
      </c>
      <c r="O190" s="95" t="n">
        <f aca="false">D190*L190</f>
        <v>10907691.12</v>
      </c>
      <c r="P190" s="34" t="str">
        <f aca="false">TRIM(IF(N(E190)&lt;=0,"택가보정 ","")&amp;IF(N(F190)&lt;=0,"원가보정 ","")&amp;IF(AND(B190&lt;&gt;"CN",N(H190)&lt;=0),"공급가보정 ","")&amp;IF(AND(B190="CN",N(I190)&lt;=0),"중국공급가=원가+마진 ",""))</f>
        <v/>
      </c>
    </row>
    <row r="191" customFormat="false" ht="15" hidden="false" customHeight="true" outlineLevel="0" collapsed="false">
      <c r="A191" s="94" t="s">
        <v>1684</v>
      </c>
      <c r="B191" s="34" t="str">
        <f aca="false">IF(A191="100","HK",IF(A191="200","CN",IF(A191="300","TW","홀세일")))</f>
        <v>HK</v>
      </c>
      <c r="C191" s="94" t="s">
        <v>255</v>
      </c>
      <c r="D191" s="95" t="n">
        <v>200</v>
      </c>
      <c r="E191" s="95" t="n">
        <v>149000</v>
      </c>
      <c r="F191" s="95" t="n">
        <v>20600</v>
      </c>
      <c r="G191" s="34" t="n">
        <v>5.67</v>
      </c>
      <c r="H191" s="34" t="n">
        <v>37.3</v>
      </c>
      <c r="J191" s="95" t="n">
        <f aca="false">IF(N(E191)&gt;0,E191,IF(N(F191)&gt;0,F191*가정!$B$5,0))</f>
        <v>149000</v>
      </c>
      <c r="K191" s="95" t="n">
        <f aca="false">IF(N(F191)&gt;0,F191,IF(N(E191)&gt;0,E191/가정!$B$5,0))</f>
        <v>20600</v>
      </c>
      <c r="L191" s="95" t="n">
        <f aca="false">IF(B191="CN",IF(N(I191)&gt;0,I191*가정!$B$3,K191*(1+가정!$B$6)),IF(N(H191)&gt;0,H191*가정!$B$3,J191*가정!$B$4))</f>
        <v>50831.694</v>
      </c>
      <c r="M191" s="95" t="n">
        <f aca="false">D191*J191</f>
        <v>29800000</v>
      </c>
      <c r="N191" s="95" t="n">
        <f aca="false">D191*K191</f>
        <v>4120000</v>
      </c>
      <c r="O191" s="95" t="n">
        <f aca="false">D191*L191</f>
        <v>10166338.8</v>
      </c>
      <c r="P191" s="34" t="str">
        <f aca="false">TRIM(IF(N(E191)&lt;=0,"택가보정 ","")&amp;IF(N(F191)&lt;=0,"원가보정 ","")&amp;IF(AND(B191&lt;&gt;"CN",N(H191)&lt;=0),"공급가보정 ","")&amp;IF(AND(B191="CN",N(I191)&lt;=0),"중국공급가=원가+마진 ",""))</f>
        <v/>
      </c>
    </row>
    <row r="192" customFormat="false" ht="15" hidden="false" customHeight="true" outlineLevel="0" collapsed="false">
      <c r="A192" s="94" t="s">
        <v>1686</v>
      </c>
      <c r="B192" s="34" t="str">
        <f aca="false">IF(A192="100","HK",IF(A192="200","CN",IF(A192="300","TW","홀세일")))</f>
        <v>TW</v>
      </c>
      <c r="C192" s="94" t="s">
        <v>255</v>
      </c>
      <c r="D192" s="95" t="n">
        <v>280</v>
      </c>
      <c r="E192" s="95" t="n">
        <v>149000</v>
      </c>
      <c r="F192" s="95" t="n">
        <v>20600</v>
      </c>
      <c r="G192" s="34" t="n">
        <v>5.67</v>
      </c>
      <c r="H192" s="34" t="n">
        <v>37.3</v>
      </c>
      <c r="J192" s="95" t="n">
        <f aca="false">IF(N(E192)&gt;0,E192,IF(N(F192)&gt;0,F192*가정!$B$5,0))</f>
        <v>149000</v>
      </c>
      <c r="K192" s="95" t="n">
        <f aca="false">IF(N(F192)&gt;0,F192,IF(N(E192)&gt;0,E192/가정!$B$5,0))</f>
        <v>20600</v>
      </c>
      <c r="L192" s="95" t="n">
        <f aca="false">IF(B192="CN",IF(N(I192)&gt;0,I192*가정!$B$3,K192*(1+가정!$B$6)),IF(N(H192)&gt;0,H192*가정!$B$3,J192*가정!$B$4))</f>
        <v>50831.694</v>
      </c>
      <c r="M192" s="95" t="n">
        <f aca="false">D192*J192</f>
        <v>41720000</v>
      </c>
      <c r="N192" s="95" t="n">
        <f aca="false">D192*K192</f>
        <v>5768000</v>
      </c>
      <c r="O192" s="95" t="n">
        <f aca="false">D192*L192</f>
        <v>14232874.32</v>
      </c>
      <c r="P192" s="34" t="str">
        <f aca="false">TRIM(IF(N(E192)&lt;=0,"택가보정 ","")&amp;IF(N(F192)&lt;=0,"원가보정 ","")&amp;IF(AND(B192&lt;&gt;"CN",N(H192)&lt;=0),"공급가보정 ","")&amp;IF(AND(B192="CN",N(I192)&lt;=0),"중국공급가=원가+마진 ",""))</f>
        <v/>
      </c>
    </row>
    <row r="193" customFormat="false" ht="15" hidden="false" customHeight="true" outlineLevel="0" collapsed="false">
      <c r="A193" s="94" t="s">
        <v>1688</v>
      </c>
      <c r="B193" s="34" t="str">
        <f aca="false">IF(A193="100","HK",IF(A193="200","CN",IF(A193="300","TW","홀세일")))</f>
        <v>홀세일</v>
      </c>
      <c r="C193" s="94" t="s">
        <v>255</v>
      </c>
      <c r="D193" s="95" t="n">
        <v>45</v>
      </c>
      <c r="E193" s="95" t="n">
        <v>149000</v>
      </c>
      <c r="F193" s="95" t="n">
        <v>20600</v>
      </c>
      <c r="G193" s="34" t="n">
        <v>5.67</v>
      </c>
      <c r="H193" s="34" t="n">
        <v>37.3</v>
      </c>
      <c r="J193" s="95" t="n">
        <f aca="false">IF(N(E193)&gt;0,E193,IF(N(F193)&gt;0,F193*가정!$B$5,0))</f>
        <v>149000</v>
      </c>
      <c r="K193" s="95" t="n">
        <f aca="false">IF(N(F193)&gt;0,F193,IF(N(E193)&gt;0,E193/가정!$B$5,0))</f>
        <v>20600</v>
      </c>
      <c r="L193" s="95" t="n">
        <f aca="false">IF(B193="CN",IF(N(I193)&gt;0,I193*가정!$B$3,K193*(1+가정!$B$6)),IF(N(H193)&gt;0,H193*가정!$B$3,J193*가정!$B$4))</f>
        <v>50831.694</v>
      </c>
      <c r="M193" s="95" t="n">
        <f aca="false">D193*J193</f>
        <v>6705000</v>
      </c>
      <c r="N193" s="95" t="n">
        <f aca="false">D193*K193</f>
        <v>927000</v>
      </c>
      <c r="O193" s="95" t="n">
        <f aca="false">D193*L193</f>
        <v>2287426.23</v>
      </c>
      <c r="P193" s="34" t="str">
        <f aca="false">TRIM(IF(N(E193)&lt;=0,"택가보정 ","")&amp;IF(N(F193)&lt;=0,"원가보정 ","")&amp;IF(AND(B193&lt;&gt;"CN",N(H193)&lt;=0),"공급가보정 ","")&amp;IF(AND(B193="CN",N(I193)&lt;=0),"중국공급가=원가+마진 ",""))</f>
        <v/>
      </c>
    </row>
    <row r="194" customFormat="false" ht="15.75" hidden="false" customHeight="true" outlineLevel="0" collapsed="false">
      <c r="A194" s="94" t="s">
        <v>1685</v>
      </c>
      <c r="B194" s="34" t="str">
        <f aca="false">IF(A194="100","HK",IF(A194="200","CN",IF(A194="300","TW","홀세일")))</f>
        <v>CN</v>
      </c>
      <c r="C194" s="94" t="s">
        <v>257</v>
      </c>
      <c r="D194" s="95" t="n">
        <v>132</v>
      </c>
      <c r="E194" s="95" t="n">
        <v>159000</v>
      </c>
      <c r="F194" s="95" t="n">
        <v>35618</v>
      </c>
      <c r="G194" s="34" t="n">
        <v>3.83</v>
      </c>
      <c r="H194" s="34" t="n">
        <v>39.8</v>
      </c>
      <c r="J194" s="95" t="n">
        <f aca="false">IF(N(E194)&gt;0,E194,IF(N(F194)&gt;0,F194*가정!$B$5,0))</f>
        <v>159000</v>
      </c>
      <c r="K194" s="95" t="n">
        <f aca="false">IF(N(F194)&gt;0,F194,IF(N(E194)&gt;0,E194/가정!$B$5,0))</f>
        <v>35618</v>
      </c>
      <c r="L194" s="95" t="n">
        <f aca="false">IF(B194="CN",IF(N(I194)&gt;0,I194*가정!$B$3,K194*(1+가정!$B$6)),IF(N(H194)&gt;0,H194*가정!$B$3,J194*가정!$B$4))</f>
        <v>37398.9</v>
      </c>
      <c r="M194" s="95" t="n">
        <f aca="false">D194*J194</f>
        <v>20988000</v>
      </c>
      <c r="N194" s="95" t="n">
        <f aca="false">D194*K194</f>
        <v>4701576</v>
      </c>
      <c r="O194" s="95" t="n">
        <f aca="false">D194*L194</f>
        <v>4936654.8</v>
      </c>
      <c r="P194" s="34" t="str">
        <f aca="false">TRIM(IF(N(E194)&lt;=0,"택가보정 ","")&amp;IF(N(F194)&lt;=0,"원가보정 ","")&amp;IF(AND(B194&lt;&gt;"CN",N(H194)&lt;=0),"공급가보정 ","")&amp;IF(AND(B194="CN",N(I194)&lt;=0),"중국공급가=원가+마진 ",""))</f>
        <v>중국공급가=원가+마진</v>
      </c>
    </row>
    <row r="195" customFormat="false" ht="15" hidden="false" customHeight="true" outlineLevel="0" collapsed="false">
      <c r="A195" s="94" t="s">
        <v>1686</v>
      </c>
      <c r="B195" s="34" t="str">
        <f aca="false">IF(A195="100","HK",IF(A195="200","CN",IF(A195="300","TW","홀세일")))</f>
        <v>TW</v>
      </c>
      <c r="C195" s="94" t="s">
        <v>257</v>
      </c>
      <c r="D195" s="95" t="n">
        <v>280</v>
      </c>
      <c r="E195" s="95" t="n">
        <v>159000</v>
      </c>
      <c r="F195" s="95" t="n">
        <v>35618</v>
      </c>
      <c r="G195" s="34" t="n">
        <v>3.83</v>
      </c>
      <c r="H195" s="34" t="n">
        <v>39.8</v>
      </c>
      <c r="J195" s="95" t="n">
        <f aca="false">IF(N(E195)&gt;0,E195,IF(N(F195)&gt;0,F195*가정!$B$5,0))</f>
        <v>159000</v>
      </c>
      <c r="K195" s="95" t="n">
        <f aca="false">IF(N(F195)&gt;0,F195,IF(N(E195)&gt;0,E195/가정!$B$5,0))</f>
        <v>35618</v>
      </c>
      <c r="L195" s="95" t="n">
        <f aca="false">IF(B195="CN",IF(N(I195)&gt;0,I195*가정!$B$3,K195*(1+가정!$B$6)),IF(N(H195)&gt;0,H195*가정!$B$3,J195*가정!$B$4))</f>
        <v>54238.644</v>
      </c>
      <c r="M195" s="95" t="n">
        <f aca="false">D195*J195</f>
        <v>44520000</v>
      </c>
      <c r="N195" s="95" t="n">
        <f aca="false">D195*K195</f>
        <v>9973040</v>
      </c>
      <c r="O195" s="95" t="n">
        <f aca="false">D195*L195</f>
        <v>15186820.32</v>
      </c>
      <c r="P195" s="34" t="str">
        <f aca="false">TRIM(IF(N(E195)&lt;=0,"택가보정 ","")&amp;IF(N(F195)&lt;=0,"원가보정 ","")&amp;IF(AND(B195&lt;&gt;"CN",N(H195)&lt;=0),"공급가보정 ","")&amp;IF(AND(B195="CN",N(I195)&lt;=0),"중국공급가=원가+마진 ",""))</f>
        <v/>
      </c>
    </row>
    <row r="196" customFormat="false" ht="15" hidden="false" customHeight="true" outlineLevel="0" collapsed="false">
      <c r="A196" s="94" t="s">
        <v>1688</v>
      </c>
      <c r="B196" s="34" t="str">
        <f aca="false">IF(A196="100","HK",IF(A196="200","CN",IF(A196="300","TW","홀세일")))</f>
        <v>홀세일</v>
      </c>
      <c r="C196" s="94" t="s">
        <v>257</v>
      </c>
      <c r="D196" s="95" t="n">
        <v>35</v>
      </c>
      <c r="E196" s="95" t="n">
        <v>159000</v>
      </c>
      <c r="F196" s="95" t="n">
        <v>35618</v>
      </c>
      <c r="G196" s="34" t="n">
        <v>3.83</v>
      </c>
      <c r="H196" s="34" t="n">
        <v>39.8</v>
      </c>
      <c r="J196" s="95" t="n">
        <f aca="false">IF(N(E196)&gt;0,E196,IF(N(F196)&gt;0,F196*가정!$B$5,0))</f>
        <v>159000</v>
      </c>
      <c r="K196" s="95" t="n">
        <f aca="false">IF(N(F196)&gt;0,F196,IF(N(E196)&gt;0,E196/가정!$B$5,0))</f>
        <v>35618</v>
      </c>
      <c r="L196" s="95" t="n">
        <f aca="false">IF(B196="CN",IF(N(I196)&gt;0,I196*가정!$B$3,K196*(1+가정!$B$6)),IF(N(H196)&gt;0,H196*가정!$B$3,J196*가정!$B$4))</f>
        <v>54238.644</v>
      </c>
      <c r="M196" s="95" t="n">
        <f aca="false">D196*J196</f>
        <v>5565000</v>
      </c>
      <c r="N196" s="95" t="n">
        <f aca="false">D196*K196</f>
        <v>1246630</v>
      </c>
      <c r="O196" s="95" t="n">
        <f aca="false">D196*L196</f>
        <v>1898352.54</v>
      </c>
      <c r="P196" s="34" t="str">
        <f aca="false">TRIM(IF(N(E196)&lt;=0,"택가보정 ","")&amp;IF(N(F196)&lt;=0,"원가보정 ","")&amp;IF(AND(B196&lt;&gt;"CN",N(H196)&lt;=0),"공급가보정 ","")&amp;IF(AND(B196="CN",N(I196)&lt;=0),"중국공급가=원가+마진 ",""))</f>
        <v/>
      </c>
    </row>
    <row r="197" customFormat="false" ht="15" hidden="false" customHeight="true" outlineLevel="0" collapsed="false">
      <c r="A197" s="94" t="s">
        <v>1686</v>
      </c>
      <c r="B197" s="34" t="str">
        <f aca="false">IF(A197="100","HK",IF(A197="200","CN",IF(A197="300","TW","홀세일")))</f>
        <v>TW</v>
      </c>
      <c r="C197" s="94" t="s">
        <v>259</v>
      </c>
      <c r="D197" s="95" t="n">
        <v>80</v>
      </c>
      <c r="E197" s="95" t="n">
        <v>239000</v>
      </c>
      <c r="F197" s="95" t="n">
        <v>54294</v>
      </c>
      <c r="G197" s="34" t="n">
        <v>4.24</v>
      </c>
      <c r="H197" s="34" t="n">
        <v>63.5</v>
      </c>
      <c r="J197" s="95" t="n">
        <f aca="false">IF(N(E197)&gt;0,E197,IF(N(F197)&gt;0,F197*가정!$B$5,0))</f>
        <v>239000</v>
      </c>
      <c r="K197" s="95" t="n">
        <f aca="false">IF(N(F197)&gt;0,F197,IF(N(E197)&gt;0,E197/가정!$B$5,0))</f>
        <v>54294</v>
      </c>
      <c r="L197" s="95" t="n">
        <f aca="false">IF(B197="CN",IF(N(I197)&gt;0,I197*가정!$B$3,K197*(1+가정!$B$6)),IF(N(H197)&gt;0,H197*가정!$B$3,J197*가정!$B$4))</f>
        <v>86536.53</v>
      </c>
      <c r="M197" s="95" t="n">
        <f aca="false">D197*J197</f>
        <v>19120000</v>
      </c>
      <c r="N197" s="95" t="n">
        <f aca="false">D197*K197</f>
        <v>4343520</v>
      </c>
      <c r="O197" s="95" t="n">
        <f aca="false">D197*L197</f>
        <v>6922922.4</v>
      </c>
      <c r="P197" s="34" t="str">
        <f aca="false">TRIM(IF(N(E197)&lt;=0,"택가보정 ","")&amp;IF(N(F197)&lt;=0,"원가보정 ","")&amp;IF(AND(B197&lt;&gt;"CN",N(H197)&lt;=0),"공급가보정 ","")&amp;IF(AND(B197="CN",N(I197)&lt;=0),"중국공급가=원가+마진 ",""))</f>
        <v/>
      </c>
    </row>
    <row r="198" customFormat="false" ht="15" hidden="false" customHeight="true" outlineLevel="0" collapsed="false">
      <c r="A198" s="94" t="s">
        <v>1692</v>
      </c>
      <c r="B198" s="34" t="str">
        <f aca="false">IF(A198="100","HK",IF(A198="200","CN",IF(A198="300","TW","홀세일")))</f>
        <v>홀세일</v>
      </c>
      <c r="C198" s="94" t="s">
        <v>259</v>
      </c>
      <c r="D198" s="95" t="n">
        <v>51</v>
      </c>
      <c r="E198" s="95" t="n">
        <v>239000</v>
      </c>
      <c r="F198" s="95" t="n">
        <v>54294</v>
      </c>
      <c r="G198" s="34" t="n">
        <v>4.24</v>
      </c>
      <c r="H198" s="34" t="n">
        <v>63.5</v>
      </c>
      <c r="J198" s="95" t="n">
        <f aca="false">IF(N(E198)&gt;0,E198,IF(N(F198)&gt;0,F198*가정!$B$5,0))</f>
        <v>239000</v>
      </c>
      <c r="K198" s="95" t="n">
        <f aca="false">IF(N(F198)&gt;0,F198,IF(N(E198)&gt;0,E198/가정!$B$5,0))</f>
        <v>54294</v>
      </c>
      <c r="L198" s="95" t="n">
        <f aca="false">IF(B198="CN",IF(N(I198)&gt;0,I198*가정!$B$3,K198*(1+가정!$B$6)),IF(N(H198)&gt;0,H198*가정!$B$3,J198*가정!$B$4))</f>
        <v>86536.53</v>
      </c>
      <c r="M198" s="95" t="n">
        <f aca="false">D198*J198</f>
        <v>12189000</v>
      </c>
      <c r="N198" s="95" t="n">
        <f aca="false">D198*K198</f>
        <v>2768994</v>
      </c>
      <c r="O198" s="95" t="n">
        <f aca="false">D198*L198</f>
        <v>4413363.03</v>
      </c>
      <c r="P198" s="34" t="str">
        <f aca="false">TRIM(IF(N(E198)&lt;=0,"택가보정 ","")&amp;IF(N(F198)&lt;=0,"원가보정 ","")&amp;IF(AND(B198&lt;&gt;"CN",N(H198)&lt;=0),"공급가보정 ","")&amp;IF(AND(B198="CN",N(I198)&lt;=0),"중국공급가=원가+마진 ",""))</f>
        <v/>
      </c>
    </row>
    <row r="199" customFormat="false" ht="15" hidden="false" customHeight="true" outlineLevel="0" collapsed="false">
      <c r="A199" s="94" t="s">
        <v>1684</v>
      </c>
      <c r="B199" s="34" t="str">
        <f aca="false">IF(A199="100","HK",IF(A199="200","CN",IF(A199="300","TW","홀세일")))</f>
        <v>HK</v>
      </c>
      <c r="C199" s="94" t="s">
        <v>261</v>
      </c>
      <c r="D199" s="95" t="n">
        <v>490</v>
      </c>
      <c r="E199" s="95" t="n">
        <v>199000</v>
      </c>
      <c r="F199" s="95" t="n">
        <v>36700</v>
      </c>
      <c r="G199" s="34" t="n">
        <v>4.09</v>
      </c>
      <c r="H199" s="34" t="n">
        <v>52.9</v>
      </c>
      <c r="J199" s="95" t="n">
        <f aca="false">IF(N(E199)&gt;0,E199,IF(N(F199)&gt;0,F199*가정!$B$5,0))</f>
        <v>199000</v>
      </c>
      <c r="K199" s="95" t="n">
        <f aca="false">IF(N(F199)&gt;0,F199,IF(N(E199)&gt;0,E199/가정!$B$5,0))</f>
        <v>36700</v>
      </c>
      <c r="L199" s="95" t="n">
        <f aca="false">IF(B199="CN",IF(N(I199)&gt;0,I199*가정!$B$3,K199*(1+가정!$B$6)),IF(N(H199)&gt;0,H199*가정!$B$3,J199*가정!$B$4))</f>
        <v>72091.062</v>
      </c>
      <c r="M199" s="95" t="n">
        <f aca="false">D199*J199</f>
        <v>97510000</v>
      </c>
      <c r="N199" s="95" t="n">
        <f aca="false">D199*K199</f>
        <v>17983000</v>
      </c>
      <c r="O199" s="95" t="n">
        <f aca="false">D199*L199</f>
        <v>35324620.38</v>
      </c>
      <c r="P199" s="34" t="str">
        <f aca="false">TRIM(IF(N(E199)&lt;=0,"택가보정 ","")&amp;IF(N(F199)&lt;=0,"원가보정 ","")&amp;IF(AND(B199&lt;&gt;"CN",N(H199)&lt;=0),"공급가보정 ","")&amp;IF(AND(B199="CN",N(I199)&lt;=0),"중국공급가=원가+마진 ",""))</f>
        <v/>
      </c>
    </row>
    <row r="200" customFormat="false" ht="15" hidden="false" customHeight="true" outlineLevel="0" collapsed="false">
      <c r="A200" s="94" t="s">
        <v>1686</v>
      </c>
      <c r="B200" s="34" t="str">
        <f aca="false">IF(A200="100","HK",IF(A200="200","CN",IF(A200="300","TW","홀세일")))</f>
        <v>TW</v>
      </c>
      <c r="C200" s="94" t="s">
        <v>261</v>
      </c>
      <c r="D200" s="95" t="n">
        <v>120</v>
      </c>
      <c r="E200" s="95" t="n">
        <v>199000</v>
      </c>
      <c r="F200" s="95" t="n">
        <v>36700</v>
      </c>
      <c r="G200" s="34" t="n">
        <v>4.09</v>
      </c>
      <c r="H200" s="34" t="n">
        <v>52.9</v>
      </c>
      <c r="J200" s="95" t="n">
        <f aca="false">IF(N(E200)&gt;0,E200,IF(N(F200)&gt;0,F200*가정!$B$5,0))</f>
        <v>199000</v>
      </c>
      <c r="K200" s="95" t="n">
        <f aca="false">IF(N(F200)&gt;0,F200,IF(N(E200)&gt;0,E200/가정!$B$5,0))</f>
        <v>36700</v>
      </c>
      <c r="L200" s="95" t="n">
        <f aca="false">IF(B200="CN",IF(N(I200)&gt;0,I200*가정!$B$3,K200*(1+가정!$B$6)),IF(N(H200)&gt;0,H200*가정!$B$3,J200*가정!$B$4))</f>
        <v>72091.062</v>
      </c>
      <c r="M200" s="95" t="n">
        <f aca="false">D200*J200</f>
        <v>23880000</v>
      </c>
      <c r="N200" s="95" t="n">
        <f aca="false">D200*K200</f>
        <v>4404000</v>
      </c>
      <c r="O200" s="95" t="n">
        <f aca="false">D200*L200</f>
        <v>8650927.44</v>
      </c>
      <c r="P200" s="34" t="str">
        <f aca="false">TRIM(IF(N(E200)&lt;=0,"택가보정 ","")&amp;IF(N(F200)&lt;=0,"원가보정 ","")&amp;IF(AND(B200&lt;&gt;"CN",N(H200)&lt;=0),"공급가보정 ","")&amp;IF(AND(B200="CN",N(I200)&lt;=0),"중국공급가=원가+마진 ",""))</f>
        <v/>
      </c>
    </row>
    <row r="201" customFormat="false" ht="15" hidden="false" customHeight="true" outlineLevel="0" collapsed="false">
      <c r="A201" s="94" t="s">
        <v>1688</v>
      </c>
      <c r="B201" s="34" t="str">
        <f aca="false">IF(A201="100","HK",IF(A201="200","CN",IF(A201="300","TW","홀세일")))</f>
        <v>홀세일</v>
      </c>
      <c r="C201" s="94" t="s">
        <v>261</v>
      </c>
      <c r="D201" s="95" t="n">
        <v>60</v>
      </c>
      <c r="E201" s="95" t="n">
        <v>199000</v>
      </c>
      <c r="F201" s="95" t="n">
        <v>36700</v>
      </c>
      <c r="G201" s="34" t="n">
        <v>4.09</v>
      </c>
      <c r="H201" s="34" t="n">
        <v>52.9</v>
      </c>
      <c r="J201" s="95" t="n">
        <f aca="false">IF(N(E201)&gt;0,E201,IF(N(F201)&gt;0,F201*가정!$B$5,0))</f>
        <v>199000</v>
      </c>
      <c r="K201" s="95" t="n">
        <f aca="false">IF(N(F201)&gt;0,F201,IF(N(E201)&gt;0,E201/가정!$B$5,0))</f>
        <v>36700</v>
      </c>
      <c r="L201" s="95" t="n">
        <f aca="false">IF(B201="CN",IF(N(I201)&gt;0,I201*가정!$B$3,K201*(1+가정!$B$6)),IF(N(H201)&gt;0,H201*가정!$B$3,J201*가정!$B$4))</f>
        <v>72091.062</v>
      </c>
      <c r="M201" s="95" t="n">
        <f aca="false">D201*J201</f>
        <v>11940000</v>
      </c>
      <c r="N201" s="95" t="n">
        <f aca="false">D201*K201</f>
        <v>2202000</v>
      </c>
      <c r="O201" s="95" t="n">
        <f aca="false">D201*L201</f>
        <v>4325463.72</v>
      </c>
      <c r="P201" s="34" t="str">
        <f aca="false">TRIM(IF(N(E201)&lt;=0,"택가보정 ","")&amp;IF(N(F201)&lt;=0,"원가보정 ","")&amp;IF(AND(B201&lt;&gt;"CN",N(H201)&lt;=0),"공급가보정 ","")&amp;IF(AND(B201="CN",N(I201)&lt;=0),"중국공급가=원가+마진 ",""))</f>
        <v/>
      </c>
    </row>
    <row r="202" customFormat="false" ht="15" hidden="false" customHeight="true" outlineLevel="0" collapsed="false">
      <c r="A202" s="94" t="s">
        <v>1684</v>
      </c>
      <c r="B202" s="34" t="str">
        <f aca="false">IF(A202="100","HK",IF(A202="200","CN",IF(A202="300","TW","홀세일")))</f>
        <v>HK</v>
      </c>
      <c r="C202" s="94" t="s">
        <v>861</v>
      </c>
      <c r="D202" s="95" t="n">
        <v>110</v>
      </c>
      <c r="E202" s="95" t="n">
        <v>219000</v>
      </c>
      <c r="F202" s="95" t="n">
        <v>42100</v>
      </c>
      <c r="G202" s="34" t="n">
        <v>4.14</v>
      </c>
      <c r="H202" s="34" t="n">
        <v>58.2</v>
      </c>
      <c r="J202" s="95" t="n">
        <f aca="false">IF(N(E202)&gt;0,E202,IF(N(F202)&gt;0,F202*가정!$B$5,0))</f>
        <v>219000</v>
      </c>
      <c r="K202" s="95" t="n">
        <f aca="false">IF(N(F202)&gt;0,F202,IF(N(E202)&gt;0,E202/가정!$B$5,0))</f>
        <v>42100</v>
      </c>
      <c r="L202" s="95" t="n">
        <f aca="false">IF(B202="CN",IF(N(I202)&gt;0,I202*가정!$B$3,K202*(1+가정!$B$6)),IF(N(H202)&gt;0,H202*가정!$B$3,J202*가정!$B$4))</f>
        <v>79313.796</v>
      </c>
      <c r="M202" s="95" t="n">
        <f aca="false">D202*J202</f>
        <v>24090000</v>
      </c>
      <c r="N202" s="95" t="n">
        <f aca="false">D202*K202</f>
        <v>4631000</v>
      </c>
      <c r="O202" s="95" t="n">
        <f aca="false">D202*L202</f>
        <v>8724517.56</v>
      </c>
      <c r="P202" s="34" t="str">
        <f aca="false">TRIM(IF(N(E202)&lt;=0,"택가보정 ","")&amp;IF(N(F202)&lt;=0,"원가보정 ","")&amp;IF(AND(B202&lt;&gt;"CN",N(H202)&lt;=0),"공급가보정 ","")&amp;IF(AND(B202="CN",N(I202)&lt;=0),"중국공급가=원가+마진 ",""))</f>
        <v/>
      </c>
    </row>
    <row r="203" customFormat="false" ht="15" hidden="false" customHeight="true" outlineLevel="0" collapsed="false">
      <c r="A203" s="94" t="s">
        <v>1684</v>
      </c>
      <c r="B203" s="34" t="str">
        <f aca="false">IF(A203="100","HK",IF(A203="200","CN",IF(A203="300","TW","홀세일")))</f>
        <v>HK</v>
      </c>
      <c r="C203" s="94" t="s">
        <v>263</v>
      </c>
      <c r="D203" s="95" t="n">
        <v>70</v>
      </c>
      <c r="E203" s="95" t="n">
        <v>149000</v>
      </c>
      <c r="F203" s="95" t="n">
        <v>26600</v>
      </c>
      <c r="G203" s="34" t="n">
        <v>4.37</v>
      </c>
      <c r="H203" s="34" t="n">
        <v>37.3</v>
      </c>
      <c r="J203" s="95" t="n">
        <f aca="false">IF(N(E203)&gt;0,E203,IF(N(F203)&gt;0,F203*가정!$B$5,0))</f>
        <v>149000</v>
      </c>
      <c r="K203" s="95" t="n">
        <f aca="false">IF(N(F203)&gt;0,F203,IF(N(E203)&gt;0,E203/가정!$B$5,0))</f>
        <v>26600</v>
      </c>
      <c r="L203" s="95" t="n">
        <f aca="false">IF(B203="CN",IF(N(I203)&gt;0,I203*가정!$B$3,K203*(1+가정!$B$6)),IF(N(H203)&gt;0,H203*가정!$B$3,J203*가정!$B$4))</f>
        <v>50831.694</v>
      </c>
      <c r="M203" s="95" t="n">
        <f aca="false">D203*J203</f>
        <v>10430000</v>
      </c>
      <c r="N203" s="95" t="n">
        <f aca="false">D203*K203</f>
        <v>1862000</v>
      </c>
      <c r="O203" s="95" t="n">
        <f aca="false">D203*L203</f>
        <v>3558218.58</v>
      </c>
      <c r="P203" s="34" t="str">
        <f aca="false">TRIM(IF(N(E203)&lt;=0,"택가보정 ","")&amp;IF(N(F203)&lt;=0,"원가보정 ","")&amp;IF(AND(B203&lt;&gt;"CN",N(H203)&lt;=0),"공급가보정 ","")&amp;IF(AND(B203="CN",N(I203)&lt;=0),"중국공급가=원가+마진 ",""))</f>
        <v/>
      </c>
    </row>
    <row r="204" customFormat="false" ht="15" hidden="false" customHeight="true" outlineLevel="0" collapsed="false">
      <c r="A204" s="94" t="s">
        <v>1686</v>
      </c>
      <c r="B204" s="34" t="str">
        <f aca="false">IF(A204="100","HK",IF(A204="200","CN",IF(A204="300","TW","홀세일")))</f>
        <v>TW</v>
      </c>
      <c r="C204" s="94" t="s">
        <v>263</v>
      </c>
      <c r="D204" s="95" t="n">
        <v>80</v>
      </c>
      <c r="E204" s="95" t="n">
        <v>149000</v>
      </c>
      <c r="F204" s="95" t="n">
        <v>26600</v>
      </c>
      <c r="G204" s="34" t="n">
        <v>4.37</v>
      </c>
      <c r="H204" s="34" t="n">
        <v>37.3</v>
      </c>
      <c r="J204" s="95" t="n">
        <f aca="false">IF(N(E204)&gt;0,E204,IF(N(F204)&gt;0,F204*가정!$B$5,0))</f>
        <v>149000</v>
      </c>
      <c r="K204" s="95" t="n">
        <f aca="false">IF(N(F204)&gt;0,F204,IF(N(E204)&gt;0,E204/가정!$B$5,0))</f>
        <v>26600</v>
      </c>
      <c r="L204" s="95" t="n">
        <f aca="false">IF(B204="CN",IF(N(I204)&gt;0,I204*가정!$B$3,K204*(1+가정!$B$6)),IF(N(H204)&gt;0,H204*가정!$B$3,J204*가정!$B$4))</f>
        <v>50831.694</v>
      </c>
      <c r="M204" s="95" t="n">
        <f aca="false">D204*J204</f>
        <v>11920000</v>
      </c>
      <c r="N204" s="95" t="n">
        <f aca="false">D204*K204</f>
        <v>2128000</v>
      </c>
      <c r="O204" s="95" t="n">
        <f aca="false">D204*L204</f>
        <v>4066535.52</v>
      </c>
      <c r="P204" s="34" t="str">
        <f aca="false">TRIM(IF(N(E204)&lt;=0,"택가보정 ","")&amp;IF(N(F204)&lt;=0,"원가보정 ","")&amp;IF(AND(B204&lt;&gt;"CN",N(H204)&lt;=0),"공급가보정 ","")&amp;IF(AND(B204="CN",N(I204)&lt;=0),"중국공급가=원가+마진 ",""))</f>
        <v/>
      </c>
    </row>
    <row r="205" customFormat="false" ht="15" hidden="false" customHeight="true" outlineLevel="0" collapsed="false">
      <c r="A205" s="94" t="s">
        <v>1684</v>
      </c>
      <c r="B205" s="34" t="str">
        <f aca="false">IF(A205="100","HK",IF(A205="200","CN",IF(A205="300","TW","홀세일")))</f>
        <v>HK</v>
      </c>
      <c r="C205" s="94" t="s">
        <v>265</v>
      </c>
      <c r="D205" s="95" t="n">
        <v>300</v>
      </c>
      <c r="E205" s="95" t="n">
        <v>189000</v>
      </c>
      <c r="F205" s="95" t="n">
        <v>34635</v>
      </c>
      <c r="G205" s="34" t="n">
        <v>3.87</v>
      </c>
      <c r="H205" s="34" t="n">
        <v>47.3</v>
      </c>
      <c r="J205" s="95" t="n">
        <f aca="false">IF(N(E205)&gt;0,E205,IF(N(F205)&gt;0,F205*가정!$B$5,0))</f>
        <v>189000</v>
      </c>
      <c r="K205" s="95" t="n">
        <f aca="false">IF(N(F205)&gt;0,F205,IF(N(E205)&gt;0,E205/가정!$B$5,0))</f>
        <v>34635</v>
      </c>
      <c r="L205" s="95" t="n">
        <f aca="false">IF(B205="CN",IF(N(I205)&gt;0,I205*가정!$B$3,K205*(1+가정!$B$6)),IF(N(H205)&gt;0,H205*가정!$B$3,J205*가정!$B$4))</f>
        <v>64459.494</v>
      </c>
      <c r="M205" s="95" t="n">
        <f aca="false">D205*J205</f>
        <v>56700000</v>
      </c>
      <c r="N205" s="95" t="n">
        <f aca="false">D205*K205</f>
        <v>10390500</v>
      </c>
      <c r="O205" s="95" t="n">
        <f aca="false">D205*L205</f>
        <v>19337848.2</v>
      </c>
      <c r="P205" s="34" t="str">
        <f aca="false">TRIM(IF(N(E205)&lt;=0,"택가보정 ","")&amp;IF(N(F205)&lt;=0,"원가보정 ","")&amp;IF(AND(B205&lt;&gt;"CN",N(H205)&lt;=0),"공급가보정 ","")&amp;IF(AND(B205="CN",N(I205)&lt;=0),"중국공급가=원가+마진 ",""))</f>
        <v/>
      </c>
    </row>
    <row r="206" customFormat="false" ht="15.75" hidden="false" customHeight="true" outlineLevel="0" collapsed="false">
      <c r="A206" s="94" t="s">
        <v>1685</v>
      </c>
      <c r="B206" s="34" t="str">
        <f aca="false">IF(A206="100","HK",IF(A206="200","CN",IF(A206="300","TW","홀세일")))</f>
        <v>CN</v>
      </c>
      <c r="C206" s="94" t="s">
        <v>265</v>
      </c>
      <c r="D206" s="95" t="n">
        <v>277</v>
      </c>
      <c r="E206" s="95" t="n">
        <v>189000</v>
      </c>
      <c r="F206" s="95" t="n">
        <v>34635</v>
      </c>
      <c r="G206" s="34" t="n">
        <v>3.87</v>
      </c>
      <c r="H206" s="34" t="n">
        <v>47.3</v>
      </c>
      <c r="J206" s="95" t="n">
        <f aca="false">IF(N(E206)&gt;0,E206,IF(N(F206)&gt;0,F206*가정!$B$5,0))</f>
        <v>189000</v>
      </c>
      <c r="K206" s="95" t="n">
        <f aca="false">IF(N(F206)&gt;0,F206,IF(N(E206)&gt;0,E206/가정!$B$5,0))</f>
        <v>34635</v>
      </c>
      <c r="L206" s="95" t="n">
        <f aca="false">IF(B206="CN",IF(N(I206)&gt;0,I206*가정!$B$3,K206*(1+가정!$B$6)),IF(N(H206)&gt;0,H206*가정!$B$3,J206*가정!$B$4))</f>
        <v>36366.75</v>
      </c>
      <c r="M206" s="95" t="n">
        <f aca="false">D206*J206</f>
        <v>52353000</v>
      </c>
      <c r="N206" s="95" t="n">
        <f aca="false">D206*K206</f>
        <v>9593895</v>
      </c>
      <c r="O206" s="95" t="n">
        <f aca="false">D206*L206</f>
        <v>10073589.75</v>
      </c>
      <c r="P206" s="34" t="str">
        <f aca="false">TRIM(IF(N(E206)&lt;=0,"택가보정 ","")&amp;IF(N(F206)&lt;=0,"원가보정 ","")&amp;IF(AND(B206&lt;&gt;"CN",N(H206)&lt;=0),"공급가보정 ","")&amp;IF(AND(B206="CN",N(I206)&lt;=0),"중국공급가=원가+마진 ",""))</f>
        <v>중국공급가=원가+마진</v>
      </c>
    </row>
    <row r="207" customFormat="false" ht="15" hidden="false" customHeight="true" outlineLevel="0" collapsed="false">
      <c r="A207" s="94" t="s">
        <v>1686</v>
      </c>
      <c r="B207" s="34" t="str">
        <f aca="false">IF(A207="100","HK",IF(A207="200","CN",IF(A207="300","TW","홀세일")))</f>
        <v>TW</v>
      </c>
      <c r="C207" s="94" t="s">
        <v>265</v>
      </c>
      <c r="D207" s="95" t="n">
        <v>150</v>
      </c>
      <c r="E207" s="95" t="n">
        <v>189000</v>
      </c>
      <c r="F207" s="95" t="n">
        <v>34635</v>
      </c>
      <c r="G207" s="34" t="n">
        <v>3.87</v>
      </c>
      <c r="H207" s="34" t="n">
        <v>47.3</v>
      </c>
      <c r="J207" s="95" t="n">
        <f aca="false">IF(N(E207)&gt;0,E207,IF(N(F207)&gt;0,F207*가정!$B$5,0))</f>
        <v>189000</v>
      </c>
      <c r="K207" s="95" t="n">
        <f aca="false">IF(N(F207)&gt;0,F207,IF(N(E207)&gt;0,E207/가정!$B$5,0))</f>
        <v>34635</v>
      </c>
      <c r="L207" s="95" t="n">
        <f aca="false">IF(B207="CN",IF(N(I207)&gt;0,I207*가정!$B$3,K207*(1+가정!$B$6)),IF(N(H207)&gt;0,H207*가정!$B$3,J207*가정!$B$4))</f>
        <v>64459.494</v>
      </c>
      <c r="M207" s="95" t="n">
        <f aca="false">D207*J207</f>
        <v>28350000</v>
      </c>
      <c r="N207" s="95" t="n">
        <f aca="false">D207*K207</f>
        <v>5195250</v>
      </c>
      <c r="O207" s="95" t="n">
        <f aca="false">D207*L207</f>
        <v>9668924.1</v>
      </c>
      <c r="P207" s="34" t="str">
        <f aca="false">TRIM(IF(N(E207)&lt;=0,"택가보정 ","")&amp;IF(N(F207)&lt;=0,"원가보정 ","")&amp;IF(AND(B207&lt;&gt;"CN",N(H207)&lt;=0),"공급가보정 ","")&amp;IF(AND(B207="CN",N(I207)&lt;=0),"중국공급가=원가+마진 ",""))</f>
        <v/>
      </c>
    </row>
    <row r="208" customFormat="false" ht="15" hidden="false" customHeight="true" outlineLevel="0" collapsed="false">
      <c r="A208" s="94" t="s">
        <v>1688</v>
      </c>
      <c r="B208" s="34" t="str">
        <f aca="false">IF(A208="100","HK",IF(A208="200","CN",IF(A208="300","TW","홀세일")))</f>
        <v>홀세일</v>
      </c>
      <c r="C208" s="94" t="s">
        <v>265</v>
      </c>
      <c r="D208" s="95" t="n">
        <v>50</v>
      </c>
      <c r="E208" s="95" t="n">
        <v>189000</v>
      </c>
      <c r="F208" s="95" t="n">
        <v>34635</v>
      </c>
      <c r="G208" s="34" t="n">
        <v>3.87</v>
      </c>
      <c r="H208" s="34" t="n">
        <v>47.3</v>
      </c>
      <c r="J208" s="95" t="n">
        <f aca="false">IF(N(E208)&gt;0,E208,IF(N(F208)&gt;0,F208*가정!$B$5,0))</f>
        <v>189000</v>
      </c>
      <c r="K208" s="95" t="n">
        <f aca="false">IF(N(F208)&gt;0,F208,IF(N(E208)&gt;0,E208/가정!$B$5,0))</f>
        <v>34635</v>
      </c>
      <c r="L208" s="95" t="n">
        <f aca="false">IF(B208="CN",IF(N(I208)&gt;0,I208*가정!$B$3,K208*(1+가정!$B$6)),IF(N(H208)&gt;0,H208*가정!$B$3,J208*가정!$B$4))</f>
        <v>64459.494</v>
      </c>
      <c r="M208" s="95" t="n">
        <f aca="false">D208*J208</f>
        <v>9450000</v>
      </c>
      <c r="N208" s="95" t="n">
        <f aca="false">D208*K208</f>
        <v>1731750</v>
      </c>
      <c r="O208" s="95" t="n">
        <f aca="false">D208*L208</f>
        <v>3222974.7</v>
      </c>
      <c r="P208" s="34" t="str">
        <f aca="false">TRIM(IF(N(E208)&lt;=0,"택가보정 ","")&amp;IF(N(F208)&lt;=0,"원가보정 ","")&amp;IF(AND(B208&lt;&gt;"CN",N(H208)&lt;=0),"공급가보정 ","")&amp;IF(AND(B208="CN",N(I208)&lt;=0),"중국공급가=원가+마진 ",""))</f>
        <v/>
      </c>
    </row>
    <row r="209" customFormat="false" ht="15" hidden="false" customHeight="true" outlineLevel="0" collapsed="false">
      <c r="A209" s="94" t="s">
        <v>1684</v>
      </c>
      <c r="B209" s="34" t="str">
        <f aca="false">IF(A209="100","HK",IF(A209="200","CN",IF(A209="300","TW","홀세일")))</f>
        <v>HK</v>
      </c>
      <c r="C209" s="94" t="s">
        <v>267</v>
      </c>
      <c r="D209" s="95" t="n">
        <v>160</v>
      </c>
      <c r="E209" s="95" t="n">
        <v>119000</v>
      </c>
      <c r="F209" s="95" t="n">
        <v>27300</v>
      </c>
      <c r="G209" s="34" t="n">
        <v>3.92</v>
      </c>
      <c r="H209" s="34" t="n">
        <v>29.8</v>
      </c>
      <c r="J209" s="95" t="n">
        <f aca="false">IF(N(E209)&gt;0,E209,IF(N(F209)&gt;0,F209*가정!$B$5,0))</f>
        <v>119000</v>
      </c>
      <c r="K209" s="95" t="n">
        <f aca="false">IF(N(F209)&gt;0,F209,IF(N(E209)&gt;0,E209/가정!$B$5,0))</f>
        <v>27300</v>
      </c>
      <c r="L209" s="95" t="n">
        <f aca="false">IF(B209="CN",IF(N(I209)&gt;0,I209*가정!$B$3,K209*(1+가정!$B$6)),IF(N(H209)&gt;0,H209*가정!$B$3,J209*가정!$B$4))</f>
        <v>40610.844</v>
      </c>
      <c r="M209" s="95" t="n">
        <f aca="false">D209*J209</f>
        <v>19040000</v>
      </c>
      <c r="N209" s="95" t="n">
        <f aca="false">D209*K209</f>
        <v>4368000</v>
      </c>
      <c r="O209" s="95" t="n">
        <f aca="false">D209*L209</f>
        <v>6497735.04</v>
      </c>
      <c r="P209" s="34" t="str">
        <f aca="false">TRIM(IF(N(E209)&lt;=0,"택가보정 ","")&amp;IF(N(F209)&lt;=0,"원가보정 ","")&amp;IF(AND(B209&lt;&gt;"CN",N(H209)&lt;=0),"공급가보정 ","")&amp;IF(AND(B209="CN",N(I209)&lt;=0),"중국공급가=원가+마진 ",""))</f>
        <v/>
      </c>
    </row>
    <row r="210" customFormat="false" ht="15" hidden="false" customHeight="true" outlineLevel="0" collapsed="false">
      <c r="A210" s="94" t="s">
        <v>1686</v>
      </c>
      <c r="B210" s="34" t="str">
        <f aca="false">IF(A210="100","HK",IF(A210="200","CN",IF(A210="300","TW","홀세일")))</f>
        <v>TW</v>
      </c>
      <c r="C210" s="94" t="s">
        <v>267</v>
      </c>
      <c r="D210" s="95" t="n">
        <v>80</v>
      </c>
      <c r="E210" s="95" t="n">
        <v>119000</v>
      </c>
      <c r="F210" s="95" t="n">
        <v>27300</v>
      </c>
      <c r="G210" s="34" t="n">
        <v>3.92</v>
      </c>
      <c r="H210" s="34" t="n">
        <v>29.8</v>
      </c>
      <c r="J210" s="95" t="n">
        <f aca="false">IF(N(E210)&gt;0,E210,IF(N(F210)&gt;0,F210*가정!$B$5,0))</f>
        <v>119000</v>
      </c>
      <c r="K210" s="95" t="n">
        <f aca="false">IF(N(F210)&gt;0,F210,IF(N(E210)&gt;0,E210/가정!$B$5,0))</f>
        <v>27300</v>
      </c>
      <c r="L210" s="95" t="n">
        <f aca="false">IF(B210="CN",IF(N(I210)&gt;0,I210*가정!$B$3,K210*(1+가정!$B$6)),IF(N(H210)&gt;0,H210*가정!$B$3,J210*가정!$B$4))</f>
        <v>40610.844</v>
      </c>
      <c r="M210" s="95" t="n">
        <f aca="false">D210*J210</f>
        <v>9520000</v>
      </c>
      <c r="N210" s="95" t="n">
        <f aca="false">D210*K210</f>
        <v>2184000</v>
      </c>
      <c r="O210" s="95" t="n">
        <f aca="false">D210*L210</f>
        <v>3248867.52</v>
      </c>
      <c r="P210" s="34" t="str">
        <f aca="false">TRIM(IF(N(E210)&lt;=0,"택가보정 ","")&amp;IF(N(F210)&lt;=0,"원가보정 ","")&amp;IF(AND(B210&lt;&gt;"CN",N(H210)&lt;=0),"공급가보정 ","")&amp;IF(AND(B210="CN",N(I210)&lt;=0),"중국공급가=원가+마진 ",""))</f>
        <v/>
      </c>
    </row>
    <row r="211" customFormat="false" ht="15" hidden="false" customHeight="true" outlineLevel="0" collapsed="false">
      <c r="A211" s="94" t="s">
        <v>1688</v>
      </c>
      <c r="B211" s="34" t="str">
        <f aca="false">IF(A211="100","HK",IF(A211="200","CN",IF(A211="300","TW","홀세일")))</f>
        <v>홀세일</v>
      </c>
      <c r="C211" s="94" t="s">
        <v>267</v>
      </c>
      <c r="D211" s="95" t="n">
        <v>30</v>
      </c>
      <c r="E211" s="95" t="n">
        <v>119000</v>
      </c>
      <c r="F211" s="95" t="n">
        <v>27300</v>
      </c>
      <c r="G211" s="34" t="n">
        <v>3.92</v>
      </c>
      <c r="H211" s="34" t="n">
        <v>29.8</v>
      </c>
      <c r="J211" s="95" t="n">
        <f aca="false">IF(N(E211)&gt;0,E211,IF(N(F211)&gt;0,F211*가정!$B$5,0))</f>
        <v>119000</v>
      </c>
      <c r="K211" s="95" t="n">
        <f aca="false">IF(N(F211)&gt;0,F211,IF(N(E211)&gt;0,E211/가정!$B$5,0))</f>
        <v>27300</v>
      </c>
      <c r="L211" s="95" t="n">
        <f aca="false">IF(B211="CN",IF(N(I211)&gt;0,I211*가정!$B$3,K211*(1+가정!$B$6)),IF(N(H211)&gt;0,H211*가정!$B$3,J211*가정!$B$4))</f>
        <v>40610.844</v>
      </c>
      <c r="M211" s="95" t="n">
        <f aca="false">D211*J211</f>
        <v>3570000</v>
      </c>
      <c r="N211" s="95" t="n">
        <f aca="false">D211*K211</f>
        <v>819000</v>
      </c>
      <c r="O211" s="95" t="n">
        <f aca="false">D211*L211</f>
        <v>1218325.32</v>
      </c>
      <c r="P211" s="34" t="str">
        <f aca="false">TRIM(IF(N(E211)&lt;=0,"택가보정 ","")&amp;IF(N(F211)&lt;=0,"원가보정 ","")&amp;IF(AND(B211&lt;&gt;"CN",N(H211)&lt;=0),"공급가보정 ","")&amp;IF(AND(B211="CN",N(I211)&lt;=0),"중국공급가=원가+마진 ",""))</f>
        <v/>
      </c>
    </row>
    <row r="212" customFormat="false" ht="15" hidden="false" customHeight="true" outlineLevel="0" collapsed="false">
      <c r="A212" s="94" t="s">
        <v>1684</v>
      </c>
      <c r="B212" s="34" t="str">
        <f aca="false">IF(A212="100","HK",IF(A212="200","CN",IF(A212="300","TW","홀세일")))</f>
        <v>HK</v>
      </c>
      <c r="C212" s="94" t="s">
        <v>269</v>
      </c>
      <c r="D212" s="95" t="n">
        <v>180</v>
      </c>
      <c r="E212" s="95" t="n">
        <v>99000</v>
      </c>
      <c r="F212" s="95" t="n">
        <v>19845</v>
      </c>
      <c r="G212" s="34" t="n">
        <v>4.64</v>
      </c>
      <c r="H212" s="34" t="n">
        <v>24.8</v>
      </c>
      <c r="J212" s="95" t="n">
        <f aca="false">IF(N(E212)&gt;0,E212,IF(N(F212)&gt;0,F212*가정!$B$5,0))</f>
        <v>99000</v>
      </c>
      <c r="K212" s="95" t="n">
        <f aca="false">IF(N(F212)&gt;0,F212,IF(N(E212)&gt;0,E212/가정!$B$5,0))</f>
        <v>19845</v>
      </c>
      <c r="L212" s="95" t="n">
        <f aca="false">IF(B212="CN",IF(N(I212)&gt;0,I212*가정!$B$3,K212*(1+가정!$B$6)),IF(N(H212)&gt;0,H212*가정!$B$3,J212*가정!$B$4))</f>
        <v>33796.944</v>
      </c>
      <c r="M212" s="95" t="n">
        <f aca="false">D212*J212</f>
        <v>17820000</v>
      </c>
      <c r="N212" s="95" t="n">
        <f aca="false">D212*K212</f>
        <v>3572100</v>
      </c>
      <c r="O212" s="95" t="n">
        <f aca="false">D212*L212</f>
        <v>6083449.92</v>
      </c>
      <c r="P212" s="34" t="str">
        <f aca="false">TRIM(IF(N(E212)&lt;=0,"택가보정 ","")&amp;IF(N(F212)&lt;=0,"원가보정 ","")&amp;IF(AND(B212&lt;&gt;"CN",N(H212)&lt;=0),"공급가보정 ","")&amp;IF(AND(B212="CN",N(I212)&lt;=0),"중국공급가=원가+마진 ",""))</f>
        <v/>
      </c>
    </row>
    <row r="213" customFormat="false" ht="15.75" hidden="false" customHeight="true" outlineLevel="0" collapsed="false">
      <c r="A213" s="94" t="s">
        <v>1685</v>
      </c>
      <c r="B213" s="34" t="str">
        <f aca="false">IF(A213="100","HK",IF(A213="200","CN",IF(A213="300","TW","홀세일")))</f>
        <v>CN</v>
      </c>
      <c r="C213" s="94" t="s">
        <v>269</v>
      </c>
      <c r="D213" s="95" t="n">
        <v>302</v>
      </c>
      <c r="E213" s="95" t="n">
        <v>99000</v>
      </c>
      <c r="F213" s="95" t="n">
        <v>19845</v>
      </c>
      <c r="G213" s="34" t="n">
        <v>4.64</v>
      </c>
      <c r="H213" s="34" t="n">
        <v>24.8</v>
      </c>
      <c r="J213" s="95" t="n">
        <f aca="false">IF(N(E213)&gt;0,E213,IF(N(F213)&gt;0,F213*가정!$B$5,0))</f>
        <v>99000</v>
      </c>
      <c r="K213" s="95" t="n">
        <f aca="false">IF(N(F213)&gt;0,F213,IF(N(E213)&gt;0,E213/가정!$B$5,0))</f>
        <v>19845</v>
      </c>
      <c r="L213" s="95" t="n">
        <f aca="false">IF(B213="CN",IF(N(I213)&gt;0,I213*가정!$B$3,K213*(1+가정!$B$6)),IF(N(H213)&gt;0,H213*가정!$B$3,J213*가정!$B$4))</f>
        <v>20837.25</v>
      </c>
      <c r="M213" s="95" t="n">
        <f aca="false">D213*J213</f>
        <v>29898000</v>
      </c>
      <c r="N213" s="95" t="n">
        <f aca="false">D213*K213</f>
        <v>5993190</v>
      </c>
      <c r="O213" s="95" t="n">
        <f aca="false">D213*L213</f>
        <v>6292849.5</v>
      </c>
      <c r="P213" s="34" t="str">
        <f aca="false">TRIM(IF(N(E213)&lt;=0,"택가보정 ","")&amp;IF(N(F213)&lt;=0,"원가보정 ","")&amp;IF(AND(B213&lt;&gt;"CN",N(H213)&lt;=0),"공급가보정 ","")&amp;IF(AND(B213="CN",N(I213)&lt;=0),"중국공급가=원가+마진 ",""))</f>
        <v>중국공급가=원가+마진</v>
      </c>
    </row>
    <row r="214" customFormat="false" ht="15" hidden="false" customHeight="true" outlineLevel="0" collapsed="false">
      <c r="A214" s="94" t="s">
        <v>1686</v>
      </c>
      <c r="B214" s="34" t="str">
        <f aca="false">IF(A214="100","HK",IF(A214="200","CN",IF(A214="300","TW","홀세일")))</f>
        <v>TW</v>
      </c>
      <c r="C214" s="94" t="s">
        <v>269</v>
      </c>
      <c r="D214" s="95" t="n">
        <v>100</v>
      </c>
      <c r="E214" s="95" t="n">
        <v>99000</v>
      </c>
      <c r="F214" s="95" t="n">
        <v>19845</v>
      </c>
      <c r="G214" s="34" t="n">
        <v>4.64</v>
      </c>
      <c r="H214" s="34" t="n">
        <v>24.8</v>
      </c>
      <c r="J214" s="95" t="n">
        <f aca="false">IF(N(E214)&gt;0,E214,IF(N(F214)&gt;0,F214*가정!$B$5,0))</f>
        <v>99000</v>
      </c>
      <c r="K214" s="95" t="n">
        <f aca="false">IF(N(F214)&gt;0,F214,IF(N(E214)&gt;0,E214/가정!$B$5,0))</f>
        <v>19845</v>
      </c>
      <c r="L214" s="95" t="n">
        <f aca="false">IF(B214="CN",IF(N(I214)&gt;0,I214*가정!$B$3,K214*(1+가정!$B$6)),IF(N(H214)&gt;0,H214*가정!$B$3,J214*가정!$B$4))</f>
        <v>33796.944</v>
      </c>
      <c r="M214" s="95" t="n">
        <f aca="false">D214*J214</f>
        <v>9900000</v>
      </c>
      <c r="N214" s="95" t="n">
        <f aca="false">D214*K214</f>
        <v>1984500</v>
      </c>
      <c r="O214" s="95" t="n">
        <f aca="false">D214*L214</f>
        <v>3379694.4</v>
      </c>
      <c r="P214" s="34" t="str">
        <f aca="false">TRIM(IF(N(E214)&lt;=0,"택가보정 ","")&amp;IF(N(F214)&lt;=0,"원가보정 ","")&amp;IF(AND(B214&lt;&gt;"CN",N(H214)&lt;=0),"공급가보정 ","")&amp;IF(AND(B214="CN",N(I214)&lt;=0),"중국공급가=원가+마진 ",""))</f>
        <v/>
      </c>
    </row>
    <row r="215" customFormat="false" ht="15" hidden="false" customHeight="true" outlineLevel="0" collapsed="false">
      <c r="A215" s="94" t="s">
        <v>1688</v>
      </c>
      <c r="B215" s="34" t="str">
        <f aca="false">IF(A215="100","HK",IF(A215="200","CN",IF(A215="300","TW","홀세일")))</f>
        <v>홀세일</v>
      </c>
      <c r="C215" s="94" t="s">
        <v>269</v>
      </c>
      <c r="D215" s="95" t="n">
        <v>40</v>
      </c>
      <c r="E215" s="95" t="n">
        <v>99000</v>
      </c>
      <c r="F215" s="95" t="n">
        <v>19845</v>
      </c>
      <c r="G215" s="34" t="n">
        <v>4.64</v>
      </c>
      <c r="H215" s="34" t="n">
        <v>24.8</v>
      </c>
      <c r="J215" s="95" t="n">
        <f aca="false">IF(N(E215)&gt;0,E215,IF(N(F215)&gt;0,F215*가정!$B$5,0))</f>
        <v>99000</v>
      </c>
      <c r="K215" s="95" t="n">
        <f aca="false">IF(N(F215)&gt;0,F215,IF(N(E215)&gt;0,E215/가정!$B$5,0))</f>
        <v>19845</v>
      </c>
      <c r="L215" s="95" t="n">
        <f aca="false">IF(B215="CN",IF(N(I215)&gt;0,I215*가정!$B$3,K215*(1+가정!$B$6)),IF(N(H215)&gt;0,H215*가정!$B$3,J215*가정!$B$4))</f>
        <v>33796.944</v>
      </c>
      <c r="M215" s="95" t="n">
        <f aca="false">D215*J215</f>
        <v>3960000</v>
      </c>
      <c r="N215" s="95" t="n">
        <f aca="false">D215*K215</f>
        <v>793800</v>
      </c>
      <c r="O215" s="95" t="n">
        <f aca="false">D215*L215</f>
        <v>1351877.76</v>
      </c>
      <c r="P215" s="34" t="str">
        <f aca="false">TRIM(IF(N(E215)&lt;=0,"택가보정 ","")&amp;IF(N(F215)&lt;=0,"원가보정 ","")&amp;IF(AND(B215&lt;&gt;"CN",N(H215)&lt;=0),"공급가보정 ","")&amp;IF(AND(B215="CN",N(I215)&lt;=0),"중국공급가=원가+마진 ",""))</f>
        <v/>
      </c>
    </row>
    <row r="216" customFormat="false" ht="15" hidden="false" customHeight="true" outlineLevel="0" collapsed="false">
      <c r="A216" s="94" t="s">
        <v>1684</v>
      </c>
      <c r="B216" s="34" t="str">
        <f aca="false">IF(A216="100","HK",IF(A216="200","CN",IF(A216="300","TW","홀세일")))</f>
        <v>HK</v>
      </c>
      <c r="C216" s="94" t="s">
        <v>271</v>
      </c>
      <c r="D216" s="95" t="n">
        <v>180</v>
      </c>
      <c r="E216" s="95" t="n">
        <v>89000</v>
      </c>
      <c r="F216" s="95" t="n">
        <v>14000</v>
      </c>
      <c r="G216" s="34" t="n">
        <v>4.76</v>
      </c>
      <c r="H216" s="34" t="n">
        <v>22.3</v>
      </c>
      <c r="J216" s="95" t="n">
        <f aca="false">IF(N(E216)&gt;0,E216,IF(N(F216)&gt;0,F216*가정!$B$5,0))</f>
        <v>89000</v>
      </c>
      <c r="K216" s="95" t="n">
        <f aca="false">IF(N(F216)&gt;0,F216,IF(N(E216)&gt;0,E216/가정!$B$5,0))</f>
        <v>14000</v>
      </c>
      <c r="L216" s="95" t="n">
        <f aca="false">IF(B216="CN",IF(N(I216)&gt;0,I216*가정!$B$3,K216*(1+가정!$B$6)),IF(N(H216)&gt;0,H216*가정!$B$3,J216*가정!$B$4))</f>
        <v>30389.994</v>
      </c>
      <c r="M216" s="95" t="n">
        <f aca="false">D216*J216</f>
        <v>16020000</v>
      </c>
      <c r="N216" s="95" t="n">
        <f aca="false">D216*K216</f>
        <v>2520000</v>
      </c>
      <c r="O216" s="95" t="n">
        <f aca="false">D216*L216</f>
        <v>5470198.92</v>
      </c>
      <c r="P216" s="34" t="str">
        <f aca="false">TRIM(IF(N(E216)&lt;=0,"택가보정 ","")&amp;IF(N(F216)&lt;=0,"원가보정 ","")&amp;IF(AND(B216&lt;&gt;"CN",N(H216)&lt;=0),"공급가보정 ","")&amp;IF(AND(B216="CN",N(I216)&lt;=0),"중국공급가=원가+마진 ",""))</f>
        <v/>
      </c>
    </row>
    <row r="217" customFormat="false" ht="15" hidden="false" customHeight="true" outlineLevel="0" collapsed="false">
      <c r="A217" s="94" t="s">
        <v>1686</v>
      </c>
      <c r="B217" s="34" t="str">
        <f aca="false">IF(A217="100","HK",IF(A217="200","CN",IF(A217="300","TW","홀세일")))</f>
        <v>TW</v>
      </c>
      <c r="C217" s="94" t="s">
        <v>271</v>
      </c>
      <c r="D217" s="95" t="n">
        <v>100</v>
      </c>
      <c r="E217" s="95" t="n">
        <v>89000</v>
      </c>
      <c r="F217" s="95" t="n">
        <v>14000</v>
      </c>
      <c r="G217" s="34" t="n">
        <v>4.76</v>
      </c>
      <c r="H217" s="34" t="n">
        <v>22.3</v>
      </c>
      <c r="J217" s="95" t="n">
        <f aca="false">IF(N(E217)&gt;0,E217,IF(N(F217)&gt;0,F217*가정!$B$5,0))</f>
        <v>89000</v>
      </c>
      <c r="K217" s="95" t="n">
        <f aca="false">IF(N(F217)&gt;0,F217,IF(N(E217)&gt;0,E217/가정!$B$5,0))</f>
        <v>14000</v>
      </c>
      <c r="L217" s="95" t="n">
        <f aca="false">IF(B217="CN",IF(N(I217)&gt;0,I217*가정!$B$3,K217*(1+가정!$B$6)),IF(N(H217)&gt;0,H217*가정!$B$3,J217*가정!$B$4))</f>
        <v>30389.994</v>
      </c>
      <c r="M217" s="95" t="n">
        <f aca="false">D217*J217</f>
        <v>8900000</v>
      </c>
      <c r="N217" s="95" t="n">
        <f aca="false">D217*K217</f>
        <v>1400000</v>
      </c>
      <c r="O217" s="95" t="n">
        <f aca="false">D217*L217</f>
        <v>3038999.4</v>
      </c>
      <c r="P217" s="34" t="str">
        <f aca="false">TRIM(IF(N(E217)&lt;=0,"택가보정 ","")&amp;IF(N(F217)&lt;=0,"원가보정 ","")&amp;IF(AND(B217&lt;&gt;"CN",N(H217)&lt;=0),"공급가보정 ","")&amp;IF(AND(B217="CN",N(I217)&lt;=0),"중국공급가=원가+마진 ",""))</f>
        <v/>
      </c>
    </row>
    <row r="218" customFormat="false" ht="15" hidden="false" customHeight="true" outlineLevel="0" collapsed="false">
      <c r="A218" s="94" t="s">
        <v>1684</v>
      </c>
      <c r="B218" s="34" t="str">
        <f aca="false">IF(A218="100","HK",IF(A218="200","CN",IF(A218="300","TW","홀세일")))</f>
        <v>HK</v>
      </c>
      <c r="C218" s="94" t="s">
        <v>273</v>
      </c>
      <c r="D218" s="95" t="n">
        <v>90</v>
      </c>
      <c r="E218" s="95" t="n">
        <v>99000</v>
      </c>
      <c r="F218" s="95" t="n">
        <v>17124</v>
      </c>
      <c r="G218" s="34" t="n">
        <v>4.89</v>
      </c>
      <c r="H218" s="34" t="n">
        <v>24.8</v>
      </c>
      <c r="J218" s="95" t="n">
        <f aca="false">IF(N(E218)&gt;0,E218,IF(N(F218)&gt;0,F218*가정!$B$5,0))</f>
        <v>99000</v>
      </c>
      <c r="K218" s="95" t="n">
        <f aca="false">IF(N(F218)&gt;0,F218,IF(N(E218)&gt;0,E218/가정!$B$5,0))</f>
        <v>17124</v>
      </c>
      <c r="L218" s="95" t="n">
        <f aca="false">IF(B218="CN",IF(N(I218)&gt;0,I218*가정!$B$3,K218*(1+가정!$B$6)),IF(N(H218)&gt;0,H218*가정!$B$3,J218*가정!$B$4))</f>
        <v>33796.944</v>
      </c>
      <c r="M218" s="95" t="n">
        <f aca="false">D218*J218</f>
        <v>8910000</v>
      </c>
      <c r="N218" s="95" t="n">
        <f aca="false">D218*K218</f>
        <v>1541160</v>
      </c>
      <c r="O218" s="95" t="n">
        <f aca="false">D218*L218</f>
        <v>3041724.96</v>
      </c>
      <c r="P218" s="34" t="str">
        <f aca="false">TRIM(IF(N(E218)&lt;=0,"택가보정 ","")&amp;IF(N(F218)&lt;=0,"원가보정 ","")&amp;IF(AND(B218&lt;&gt;"CN",N(H218)&lt;=0),"공급가보정 ","")&amp;IF(AND(B218="CN",N(I218)&lt;=0),"중국공급가=원가+마진 ",""))</f>
        <v/>
      </c>
    </row>
    <row r="219" customFormat="false" ht="15.75" hidden="false" customHeight="true" outlineLevel="0" collapsed="false">
      <c r="A219" s="94" t="s">
        <v>1685</v>
      </c>
      <c r="B219" s="34" t="str">
        <f aca="false">IF(A219="100","HK",IF(A219="200","CN",IF(A219="300","TW","홀세일")))</f>
        <v>CN</v>
      </c>
      <c r="C219" s="94" t="s">
        <v>273</v>
      </c>
      <c r="D219" s="95" t="n">
        <v>182</v>
      </c>
      <c r="E219" s="95" t="n">
        <v>99000</v>
      </c>
      <c r="F219" s="95" t="n">
        <v>17124</v>
      </c>
      <c r="G219" s="34" t="n">
        <v>4.89</v>
      </c>
      <c r="H219" s="34" t="n">
        <v>24.8</v>
      </c>
      <c r="J219" s="95" t="n">
        <f aca="false">IF(N(E219)&gt;0,E219,IF(N(F219)&gt;0,F219*가정!$B$5,0))</f>
        <v>99000</v>
      </c>
      <c r="K219" s="95" t="n">
        <f aca="false">IF(N(F219)&gt;0,F219,IF(N(E219)&gt;0,E219/가정!$B$5,0))</f>
        <v>17124</v>
      </c>
      <c r="L219" s="95" t="n">
        <f aca="false">IF(B219="CN",IF(N(I219)&gt;0,I219*가정!$B$3,K219*(1+가정!$B$6)),IF(N(H219)&gt;0,H219*가정!$B$3,J219*가정!$B$4))</f>
        <v>17980.2</v>
      </c>
      <c r="M219" s="95" t="n">
        <f aca="false">D219*J219</f>
        <v>18018000</v>
      </c>
      <c r="N219" s="95" t="n">
        <f aca="false">D219*K219</f>
        <v>3116568</v>
      </c>
      <c r="O219" s="95" t="n">
        <f aca="false">D219*L219</f>
        <v>3272396.4</v>
      </c>
      <c r="P219" s="34" t="str">
        <f aca="false">TRIM(IF(N(E219)&lt;=0,"택가보정 ","")&amp;IF(N(F219)&lt;=0,"원가보정 ","")&amp;IF(AND(B219&lt;&gt;"CN",N(H219)&lt;=0),"공급가보정 ","")&amp;IF(AND(B219="CN",N(I219)&lt;=0),"중국공급가=원가+마진 ",""))</f>
        <v>중국공급가=원가+마진</v>
      </c>
    </row>
    <row r="220" customFormat="false" ht="15" hidden="false" customHeight="true" outlineLevel="0" collapsed="false">
      <c r="A220" s="94" t="s">
        <v>1686</v>
      </c>
      <c r="B220" s="34" t="str">
        <f aca="false">IF(A220="100","HK",IF(A220="200","CN",IF(A220="300","TW","홀세일")))</f>
        <v>TW</v>
      </c>
      <c r="C220" s="94" t="s">
        <v>273</v>
      </c>
      <c r="D220" s="95" t="n">
        <v>80</v>
      </c>
      <c r="E220" s="95" t="n">
        <v>99000</v>
      </c>
      <c r="F220" s="95" t="n">
        <v>17124</v>
      </c>
      <c r="G220" s="34" t="n">
        <v>4.89</v>
      </c>
      <c r="H220" s="34" t="n">
        <v>24.8</v>
      </c>
      <c r="J220" s="95" t="n">
        <f aca="false">IF(N(E220)&gt;0,E220,IF(N(F220)&gt;0,F220*가정!$B$5,0))</f>
        <v>99000</v>
      </c>
      <c r="K220" s="95" t="n">
        <f aca="false">IF(N(F220)&gt;0,F220,IF(N(E220)&gt;0,E220/가정!$B$5,0))</f>
        <v>17124</v>
      </c>
      <c r="L220" s="95" t="n">
        <f aca="false">IF(B220="CN",IF(N(I220)&gt;0,I220*가정!$B$3,K220*(1+가정!$B$6)),IF(N(H220)&gt;0,H220*가정!$B$3,J220*가정!$B$4))</f>
        <v>33796.944</v>
      </c>
      <c r="M220" s="95" t="n">
        <f aca="false">D220*J220</f>
        <v>7920000</v>
      </c>
      <c r="N220" s="95" t="n">
        <f aca="false">D220*K220</f>
        <v>1369920</v>
      </c>
      <c r="O220" s="95" t="n">
        <f aca="false">D220*L220</f>
        <v>2703755.52</v>
      </c>
      <c r="P220" s="34" t="str">
        <f aca="false">TRIM(IF(N(E220)&lt;=0,"택가보정 ","")&amp;IF(N(F220)&lt;=0,"원가보정 ","")&amp;IF(AND(B220&lt;&gt;"CN",N(H220)&lt;=0),"공급가보정 ","")&amp;IF(AND(B220="CN",N(I220)&lt;=0),"중국공급가=원가+마진 ",""))</f>
        <v/>
      </c>
    </row>
    <row r="221" customFormat="false" ht="15" hidden="false" customHeight="true" outlineLevel="0" collapsed="false">
      <c r="A221" s="94" t="s">
        <v>1688</v>
      </c>
      <c r="B221" s="34" t="str">
        <f aca="false">IF(A221="100","HK",IF(A221="200","CN",IF(A221="300","TW","홀세일")))</f>
        <v>홀세일</v>
      </c>
      <c r="C221" s="94" t="s">
        <v>273</v>
      </c>
      <c r="D221" s="95" t="n">
        <v>30</v>
      </c>
      <c r="E221" s="95" t="n">
        <v>99000</v>
      </c>
      <c r="F221" s="95" t="n">
        <v>17124</v>
      </c>
      <c r="G221" s="34" t="n">
        <v>4.89</v>
      </c>
      <c r="H221" s="34" t="n">
        <v>24.8</v>
      </c>
      <c r="J221" s="95" t="n">
        <f aca="false">IF(N(E221)&gt;0,E221,IF(N(F221)&gt;0,F221*가정!$B$5,0))</f>
        <v>99000</v>
      </c>
      <c r="K221" s="95" t="n">
        <f aca="false">IF(N(F221)&gt;0,F221,IF(N(E221)&gt;0,E221/가정!$B$5,0))</f>
        <v>17124</v>
      </c>
      <c r="L221" s="95" t="n">
        <f aca="false">IF(B221="CN",IF(N(I221)&gt;0,I221*가정!$B$3,K221*(1+가정!$B$6)),IF(N(H221)&gt;0,H221*가정!$B$3,J221*가정!$B$4))</f>
        <v>33796.944</v>
      </c>
      <c r="M221" s="95" t="n">
        <f aca="false">D221*J221</f>
        <v>2970000</v>
      </c>
      <c r="N221" s="95" t="n">
        <f aca="false">D221*K221</f>
        <v>513720</v>
      </c>
      <c r="O221" s="95" t="n">
        <f aca="false">D221*L221</f>
        <v>1013908.32</v>
      </c>
      <c r="P221" s="34" t="str">
        <f aca="false">TRIM(IF(N(E221)&lt;=0,"택가보정 ","")&amp;IF(N(F221)&lt;=0,"원가보정 ","")&amp;IF(AND(B221&lt;&gt;"CN",N(H221)&lt;=0),"공급가보정 ","")&amp;IF(AND(B221="CN",N(I221)&lt;=0),"중국공급가=원가+마진 ",""))</f>
        <v/>
      </c>
    </row>
    <row r="222" customFormat="false" ht="15" hidden="false" customHeight="true" outlineLevel="0" collapsed="false">
      <c r="A222" s="94" t="s">
        <v>1686</v>
      </c>
      <c r="B222" s="34" t="str">
        <f aca="false">IF(A222="100","HK",IF(A222="200","CN",IF(A222="300","TW","홀세일")))</f>
        <v>TW</v>
      </c>
      <c r="C222" s="94" t="s">
        <v>275</v>
      </c>
      <c r="D222" s="95" t="n">
        <v>80</v>
      </c>
      <c r="E222" s="95" t="n">
        <v>69000</v>
      </c>
      <c r="F222" s="95" t="n">
        <v>13500</v>
      </c>
      <c r="G222" s="34" t="n">
        <v>3.8</v>
      </c>
      <c r="H222" s="34" t="n">
        <v>17.3</v>
      </c>
      <c r="J222" s="95" t="n">
        <f aca="false">IF(N(E222)&gt;0,E222,IF(N(F222)&gt;0,F222*가정!$B$5,0))</f>
        <v>69000</v>
      </c>
      <c r="K222" s="95" t="n">
        <f aca="false">IF(N(F222)&gt;0,F222,IF(N(E222)&gt;0,E222/가정!$B$5,0))</f>
        <v>13500</v>
      </c>
      <c r="L222" s="95" t="n">
        <f aca="false">IF(B222="CN",IF(N(I222)&gt;0,I222*가정!$B$3,K222*(1+가정!$B$6)),IF(N(H222)&gt;0,H222*가정!$B$3,J222*가정!$B$4))</f>
        <v>23576.094</v>
      </c>
      <c r="M222" s="95" t="n">
        <f aca="false">D222*J222</f>
        <v>5520000</v>
      </c>
      <c r="N222" s="95" t="n">
        <f aca="false">D222*K222</f>
        <v>1080000</v>
      </c>
      <c r="O222" s="95" t="n">
        <f aca="false">D222*L222</f>
        <v>1886087.52</v>
      </c>
      <c r="P222" s="34" t="str">
        <f aca="false">TRIM(IF(N(E222)&lt;=0,"택가보정 ","")&amp;IF(N(F222)&lt;=0,"원가보정 ","")&amp;IF(AND(B222&lt;&gt;"CN",N(H222)&lt;=0),"공급가보정 ","")&amp;IF(AND(B222="CN",N(I222)&lt;=0),"중국공급가=원가+마진 ",""))</f>
        <v/>
      </c>
    </row>
    <row r="223" customFormat="false" ht="15.75" hidden="false" customHeight="true" outlineLevel="0" collapsed="false">
      <c r="A223" s="94" t="s">
        <v>1685</v>
      </c>
      <c r="B223" s="34" t="str">
        <f aca="false">IF(A223="100","HK",IF(A223="200","CN",IF(A223="300","TW","홀세일")))</f>
        <v>CN</v>
      </c>
      <c r="C223" s="94" t="s">
        <v>1327</v>
      </c>
      <c r="D223" s="95" t="n">
        <v>232</v>
      </c>
      <c r="E223" s="95" t="n">
        <v>69000</v>
      </c>
      <c r="F223" s="95" t="n">
        <v>12951</v>
      </c>
      <c r="G223" s="34" t="n">
        <v>5.36</v>
      </c>
      <c r="H223" s="34" t="n">
        <v>17.3</v>
      </c>
      <c r="J223" s="95" t="n">
        <f aca="false">IF(N(E223)&gt;0,E223,IF(N(F223)&gt;0,F223*가정!$B$5,0))</f>
        <v>69000</v>
      </c>
      <c r="K223" s="95" t="n">
        <f aca="false">IF(N(F223)&gt;0,F223,IF(N(E223)&gt;0,E223/가정!$B$5,0))</f>
        <v>12951</v>
      </c>
      <c r="L223" s="95" t="n">
        <f aca="false">IF(B223="CN",IF(N(I223)&gt;0,I223*가정!$B$3,K223*(1+가정!$B$6)),IF(N(H223)&gt;0,H223*가정!$B$3,J223*가정!$B$4))</f>
        <v>13598.55</v>
      </c>
      <c r="M223" s="95" t="n">
        <f aca="false">D223*J223</f>
        <v>16008000</v>
      </c>
      <c r="N223" s="95" t="n">
        <f aca="false">D223*K223</f>
        <v>3004632</v>
      </c>
      <c r="O223" s="95" t="n">
        <f aca="false">D223*L223</f>
        <v>3154863.6</v>
      </c>
      <c r="P223" s="34" t="str">
        <f aca="false">TRIM(IF(N(E223)&lt;=0,"택가보정 ","")&amp;IF(N(F223)&lt;=0,"원가보정 ","")&amp;IF(AND(B223&lt;&gt;"CN",N(H223)&lt;=0),"공급가보정 ","")&amp;IF(AND(B223="CN",N(I223)&lt;=0),"중국공급가=원가+마진 ",""))</f>
        <v>중국공급가=원가+마진</v>
      </c>
    </row>
    <row r="224" customFormat="false" ht="15" hidden="false" customHeight="true" outlineLevel="0" collapsed="false">
      <c r="A224" s="94" t="s">
        <v>1688</v>
      </c>
      <c r="B224" s="34" t="str">
        <f aca="false">IF(A224="100","HK",IF(A224="200","CN",IF(A224="300","TW","홀세일")))</f>
        <v>홀세일</v>
      </c>
      <c r="C224" s="94" t="s">
        <v>1327</v>
      </c>
      <c r="D224" s="95" t="n">
        <v>30</v>
      </c>
      <c r="E224" s="95" t="n">
        <v>69000</v>
      </c>
      <c r="F224" s="95" t="n">
        <v>12951</v>
      </c>
      <c r="G224" s="34" t="n">
        <v>5.36</v>
      </c>
      <c r="H224" s="34" t="n">
        <v>17.3</v>
      </c>
      <c r="J224" s="95" t="n">
        <f aca="false">IF(N(E224)&gt;0,E224,IF(N(F224)&gt;0,F224*가정!$B$5,0))</f>
        <v>69000</v>
      </c>
      <c r="K224" s="95" t="n">
        <f aca="false">IF(N(F224)&gt;0,F224,IF(N(E224)&gt;0,E224/가정!$B$5,0))</f>
        <v>12951</v>
      </c>
      <c r="L224" s="95" t="n">
        <f aca="false">IF(B224="CN",IF(N(I224)&gt;0,I224*가정!$B$3,K224*(1+가정!$B$6)),IF(N(H224)&gt;0,H224*가정!$B$3,J224*가정!$B$4))</f>
        <v>23576.094</v>
      </c>
      <c r="M224" s="95" t="n">
        <f aca="false">D224*J224</f>
        <v>2070000</v>
      </c>
      <c r="N224" s="95" t="n">
        <f aca="false">D224*K224</f>
        <v>388530</v>
      </c>
      <c r="O224" s="95" t="n">
        <f aca="false">D224*L224</f>
        <v>707282.82</v>
      </c>
      <c r="P224" s="34" t="str">
        <f aca="false">TRIM(IF(N(E224)&lt;=0,"택가보정 ","")&amp;IF(N(F224)&lt;=0,"원가보정 ","")&amp;IF(AND(B224&lt;&gt;"CN",N(H224)&lt;=0),"공급가보정 ","")&amp;IF(AND(B224="CN",N(I224)&lt;=0),"중국공급가=원가+마진 ",""))</f>
        <v/>
      </c>
    </row>
    <row r="225" customFormat="false" ht="15" hidden="false" customHeight="true" outlineLevel="0" collapsed="false">
      <c r="A225" s="94" t="s">
        <v>1688</v>
      </c>
      <c r="B225" s="34" t="str">
        <f aca="false">IF(A225="100","HK",IF(A225="200","CN",IF(A225="300","TW","홀세일")))</f>
        <v>홀세일</v>
      </c>
      <c r="C225" s="94" t="s">
        <v>1329</v>
      </c>
      <c r="D225" s="95" t="n">
        <v>10</v>
      </c>
      <c r="E225" s="95" t="n">
        <v>45000</v>
      </c>
      <c r="F225" s="95" t="n">
        <v>10248</v>
      </c>
      <c r="G225" s="34" t="n">
        <v>3.65</v>
      </c>
      <c r="H225" s="34" t="n">
        <v>12</v>
      </c>
      <c r="J225" s="95" t="n">
        <f aca="false">IF(N(E225)&gt;0,E225,IF(N(F225)&gt;0,F225*가정!$B$5,0))</f>
        <v>45000</v>
      </c>
      <c r="K225" s="95" t="n">
        <f aca="false">IF(N(F225)&gt;0,F225,IF(N(E225)&gt;0,E225/가정!$B$5,0))</f>
        <v>10248</v>
      </c>
      <c r="L225" s="95" t="n">
        <f aca="false">IF(B225="CN",IF(N(I225)&gt;0,I225*가정!$B$3,K225*(1+가정!$B$6)),IF(N(H225)&gt;0,H225*가정!$B$3,J225*가정!$B$4))</f>
        <v>16353.36</v>
      </c>
      <c r="M225" s="95" t="n">
        <f aca="false">D225*J225</f>
        <v>450000</v>
      </c>
      <c r="N225" s="95" t="n">
        <f aca="false">D225*K225</f>
        <v>102480</v>
      </c>
      <c r="O225" s="95" t="n">
        <f aca="false">D225*L225</f>
        <v>163533.6</v>
      </c>
      <c r="P225" s="34" t="str">
        <f aca="false">TRIM(IF(N(E225)&lt;=0,"택가보정 ","")&amp;IF(N(F225)&lt;=0,"원가보정 ","")&amp;IF(AND(B225&lt;&gt;"CN",N(H225)&lt;=0),"공급가보정 ","")&amp;IF(AND(B225="CN",N(I225)&lt;=0),"중국공급가=원가+마진 ",""))</f>
        <v/>
      </c>
    </row>
    <row r="226" customFormat="false" ht="15" hidden="false" customHeight="true" outlineLevel="0" collapsed="false">
      <c r="A226" s="94" t="s">
        <v>1692</v>
      </c>
      <c r="B226" s="34" t="str">
        <f aca="false">IF(A226="100","HK",IF(A226="200","CN",IF(A226="300","TW","홀세일")))</f>
        <v>홀세일</v>
      </c>
      <c r="C226" s="94" t="s">
        <v>1329</v>
      </c>
      <c r="D226" s="95" t="n">
        <v>62</v>
      </c>
      <c r="E226" s="95" t="n">
        <v>45000</v>
      </c>
      <c r="F226" s="95" t="n">
        <v>10248</v>
      </c>
      <c r="G226" s="34" t="n">
        <v>3.65</v>
      </c>
      <c r="H226" s="34" t="n">
        <v>12</v>
      </c>
      <c r="J226" s="95" t="n">
        <f aca="false">IF(N(E226)&gt;0,E226,IF(N(F226)&gt;0,F226*가정!$B$5,0))</f>
        <v>45000</v>
      </c>
      <c r="K226" s="95" t="n">
        <f aca="false">IF(N(F226)&gt;0,F226,IF(N(E226)&gt;0,E226/가정!$B$5,0))</f>
        <v>10248</v>
      </c>
      <c r="L226" s="95" t="n">
        <f aca="false">IF(B226="CN",IF(N(I226)&gt;0,I226*가정!$B$3,K226*(1+가정!$B$6)),IF(N(H226)&gt;0,H226*가정!$B$3,J226*가정!$B$4))</f>
        <v>16353.36</v>
      </c>
      <c r="M226" s="95" t="n">
        <f aca="false">D226*J226</f>
        <v>2790000</v>
      </c>
      <c r="N226" s="95" t="n">
        <f aca="false">D226*K226</f>
        <v>635376</v>
      </c>
      <c r="O226" s="95" t="n">
        <f aca="false">D226*L226</f>
        <v>1013908.32</v>
      </c>
      <c r="P226" s="34" t="str">
        <f aca="false">TRIM(IF(N(E226)&lt;=0,"택가보정 ","")&amp;IF(N(F226)&lt;=0,"원가보정 ","")&amp;IF(AND(B226&lt;&gt;"CN",N(H226)&lt;=0),"공급가보정 ","")&amp;IF(AND(B226="CN",N(I226)&lt;=0),"중국공급가=원가+마진 ",""))</f>
        <v/>
      </c>
    </row>
    <row r="227" customFormat="false" ht="15" hidden="false" customHeight="true" outlineLevel="0" collapsed="false">
      <c r="A227" s="94" t="s">
        <v>1689</v>
      </c>
      <c r="B227" s="34" t="str">
        <f aca="false">IF(A227="100","HK",IF(A227="200","CN",IF(A227="300","TW","홀세일")))</f>
        <v>홀세일</v>
      </c>
      <c r="C227" s="94" t="s">
        <v>1329</v>
      </c>
      <c r="D227" s="95" t="n">
        <v>10</v>
      </c>
      <c r="E227" s="95" t="n">
        <v>45000</v>
      </c>
      <c r="F227" s="95" t="n">
        <v>10248</v>
      </c>
      <c r="G227" s="34" t="n">
        <v>3.65</v>
      </c>
      <c r="H227" s="34" t="n">
        <v>12</v>
      </c>
      <c r="J227" s="95" t="n">
        <f aca="false">IF(N(E227)&gt;0,E227,IF(N(F227)&gt;0,F227*가정!$B$5,0))</f>
        <v>45000</v>
      </c>
      <c r="K227" s="95" t="n">
        <f aca="false">IF(N(F227)&gt;0,F227,IF(N(E227)&gt;0,E227/가정!$B$5,0))</f>
        <v>10248</v>
      </c>
      <c r="L227" s="95" t="n">
        <f aca="false">IF(B227="CN",IF(N(I227)&gt;0,I227*가정!$B$3,K227*(1+가정!$B$6)),IF(N(H227)&gt;0,H227*가정!$B$3,J227*가정!$B$4))</f>
        <v>16353.36</v>
      </c>
      <c r="M227" s="95" t="n">
        <f aca="false">D227*J227</f>
        <v>450000</v>
      </c>
      <c r="N227" s="95" t="n">
        <f aca="false">D227*K227</f>
        <v>102480</v>
      </c>
      <c r="O227" s="95" t="n">
        <f aca="false">D227*L227</f>
        <v>163533.6</v>
      </c>
      <c r="P227" s="34" t="str">
        <f aca="false">TRIM(IF(N(E227)&lt;=0,"택가보정 ","")&amp;IF(N(F227)&lt;=0,"원가보정 ","")&amp;IF(AND(B227&lt;&gt;"CN",N(H227)&lt;=0),"공급가보정 ","")&amp;IF(AND(B227="CN",N(I227)&lt;=0),"중국공급가=원가+마진 ",""))</f>
        <v/>
      </c>
    </row>
    <row r="228" customFormat="false" ht="15" hidden="false" customHeight="true" outlineLevel="0" collapsed="false">
      <c r="A228" s="94" t="s">
        <v>1689</v>
      </c>
      <c r="B228" s="34" t="str">
        <f aca="false">IF(A228="100","HK",IF(A228="200","CN",IF(A228="300","TW","홀세일")))</f>
        <v>홀세일</v>
      </c>
      <c r="C228" s="94" t="s">
        <v>1329</v>
      </c>
      <c r="D228" s="95" t="n">
        <v>10</v>
      </c>
      <c r="E228" s="95" t="n">
        <v>45000</v>
      </c>
      <c r="F228" s="95" t="n">
        <v>10248</v>
      </c>
      <c r="G228" s="34" t="n">
        <v>3.65</v>
      </c>
      <c r="H228" s="34" t="n">
        <v>12</v>
      </c>
      <c r="J228" s="95" t="n">
        <f aca="false">IF(N(E228)&gt;0,E228,IF(N(F228)&gt;0,F228*가정!$B$5,0))</f>
        <v>45000</v>
      </c>
      <c r="K228" s="95" t="n">
        <f aca="false">IF(N(F228)&gt;0,F228,IF(N(E228)&gt;0,E228/가정!$B$5,0))</f>
        <v>10248</v>
      </c>
      <c r="L228" s="95" t="n">
        <f aca="false">IF(B228="CN",IF(N(I228)&gt;0,I228*가정!$B$3,K228*(1+가정!$B$6)),IF(N(H228)&gt;0,H228*가정!$B$3,J228*가정!$B$4))</f>
        <v>16353.36</v>
      </c>
      <c r="M228" s="95" t="n">
        <f aca="false">D228*J228</f>
        <v>450000</v>
      </c>
      <c r="N228" s="95" t="n">
        <f aca="false">D228*K228</f>
        <v>102480</v>
      </c>
      <c r="O228" s="95" t="n">
        <f aca="false">D228*L228</f>
        <v>163533.6</v>
      </c>
      <c r="P228" s="34" t="str">
        <f aca="false">TRIM(IF(N(E228)&lt;=0,"택가보정 ","")&amp;IF(N(F228)&lt;=0,"원가보정 ","")&amp;IF(AND(B228&lt;&gt;"CN",N(H228)&lt;=0),"공급가보정 ","")&amp;IF(AND(B228="CN",N(I228)&lt;=0),"중국공급가=원가+마진 ",""))</f>
        <v/>
      </c>
    </row>
    <row r="229" customFormat="false" ht="15" hidden="false" customHeight="true" outlineLevel="0" collapsed="false">
      <c r="A229" s="94" t="s">
        <v>1690</v>
      </c>
      <c r="B229" s="34" t="str">
        <f aca="false">IF(A229="100","HK",IF(A229="200","CN",IF(A229="300","TW","홀세일")))</f>
        <v>홀세일</v>
      </c>
      <c r="C229" s="94" t="s">
        <v>1329</v>
      </c>
      <c r="D229" s="95" t="n">
        <v>168</v>
      </c>
      <c r="E229" s="95" t="n">
        <v>45000</v>
      </c>
      <c r="F229" s="95" t="n">
        <v>10248</v>
      </c>
      <c r="G229" s="34" t="n">
        <v>3.65</v>
      </c>
      <c r="H229" s="34" t="n">
        <v>12</v>
      </c>
      <c r="J229" s="95" t="n">
        <f aca="false">IF(N(E229)&gt;0,E229,IF(N(F229)&gt;0,F229*가정!$B$5,0))</f>
        <v>45000</v>
      </c>
      <c r="K229" s="95" t="n">
        <f aca="false">IF(N(F229)&gt;0,F229,IF(N(E229)&gt;0,E229/가정!$B$5,0))</f>
        <v>10248</v>
      </c>
      <c r="L229" s="95" t="n">
        <f aca="false">IF(B229="CN",IF(N(I229)&gt;0,I229*가정!$B$3,K229*(1+가정!$B$6)),IF(N(H229)&gt;0,H229*가정!$B$3,J229*가정!$B$4))</f>
        <v>16353.36</v>
      </c>
      <c r="M229" s="95" t="n">
        <f aca="false">D229*J229</f>
        <v>7560000</v>
      </c>
      <c r="N229" s="95" t="n">
        <f aca="false">D229*K229</f>
        <v>1721664</v>
      </c>
      <c r="O229" s="95" t="n">
        <f aca="false">D229*L229</f>
        <v>2747364.48</v>
      </c>
      <c r="P229" s="34" t="str">
        <f aca="false">TRIM(IF(N(E229)&lt;=0,"택가보정 ","")&amp;IF(N(F229)&lt;=0,"원가보정 ","")&amp;IF(AND(B229&lt;&gt;"CN",N(H229)&lt;=0),"공급가보정 ","")&amp;IF(AND(B229="CN",N(I229)&lt;=0),"중국공급가=원가+마진 ",""))</f>
        <v/>
      </c>
    </row>
    <row r="230" customFormat="false" ht="15" hidden="false" customHeight="true" outlineLevel="0" collapsed="false">
      <c r="A230" s="94" t="s">
        <v>1691</v>
      </c>
      <c r="B230" s="34" t="str">
        <f aca="false">IF(A230="100","HK",IF(A230="200","CN",IF(A230="300","TW","홀세일")))</f>
        <v>홀세일</v>
      </c>
      <c r="C230" s="94" t="s">
        <v>1329</v>
      </c>
      <c r="D230" s="95" t="n">
        <v>400</v>
      </c>
      <c r="E230" s="95" t="n">
        <v>45000</v>
      </c>
      <c r="F230" s="95" t="n">
        <v>10248</v>
      </c>
      <c r="G230" s="34" t="n">
        <v>3.65</v>
      </c>
      <c r="H230" s="34" t="n">
        <v>12</v>
      </c>
      <c r="J230" s="95" t="n">
        <f aca="false">IF(N(E230)&gt;0,E230,IF(N(F230)&gt;0,F230*가정!$B$5,0))</f>
        <v>45000</v>
      </c>
      <c r="K230" s="95" t="n">
        <f aca="false">IF(N(F230)&gt;0,F230,IF(N(E230)&gt;0,E230/가정!$B$5,0))</f>
        <v>10248</v>
      </c>
      <c r="L230" s="95" t="n">
        <f aca="false">IF(B230="CN",IF(N(I230)&gt;0,I230*가정!$B$3,K230*(1+가정!$B$6)),IF(N(H230)&gt;0,H230*가정!$B$3,J230*가정!$B$4))</f>
        <v>16353.36</v>
      </c>
      <c r="M230" s="95" t="n">
        <f aca="false">D230*J230</f>
        <v>18000000</v>
      </c>
      <c r="N230" s="95" t="n">
        <f aca="false">D230*K230</f>
        <v>4099200</v>
      </c>
      <c r="O230" s="95" t="n">
        <f aca="false">D230*L230</f>
        <v>6541344</v>
      </c>
      <c r="P230" s="34" t="str">
        <f aca="false">TRIM(IF(N(E230)&lt;=0,"택가보정 ","")&amp;IF(N(F230)&lt;=0,"원가보정 ","")&amp;IF(AND(B230&lt;&gt;"CN",N(H230)&lt;=0),"공급가보정 ","")&amp;IF(AND(B230="CN",N(I230)&lt;=0),"중국공급가=원가+마진 ",""))</f>
        <v/>
      </c>
    </row>
    <row r="231" customFormat="false" ht="15.75" hidden="false" customHeight="true" outlineLevel="0" collapsed="false">
      <c r="A231" s="94" t="s">
        <v>1685</v>
      </c>
      <c r="B231" s="34" t="str">
        <f aca="false">IF(A231="100","HK",IF(A231="200","CN",IF(A231="300","TW","홀세일")))</f>
        <v>CN</v>
      </c>
      <c r="C231" s="94" t="s">
        <v>1094</v>
      </c>
      <c r="D231" s="95" t="n">
        <v>61</v>
      </c>
      <c r="E231" s="95" t="n">
        <v>65000</v>
      </c>
      <c r="F231" s="95" t="n">
        <v>16127</v>
      </c>
      <c r="G231" s="34" t="n">
        <v>3.76</v>
      </c>
      <c r="H231" s="34" t="n">
        <v>17.3</v>
      </c>
      <c r="J231" s="95" t="n">
        <f aca="false">IF(N(E231)&gt;0,E231,IF(N(F231)&gt;0,F231*가정!$B$5,0))</f>
        <v>65000</v>
      </c>
      <c r="K231" s="95" t="n">
        <f aca="false">IF(N(F231)&gt;0,F231,IF(N(E231)&gt;0,E231/가정!$B$5,0))</f>
        <v>16127</v>
      </c>
      <c r="L231" s="95" t="n">
        <f aca="false">IF(B231="CN",IF(N(I231)&gt;0,I231*가정!$B$3,K231*(1+가정!$B$6)),IF(N(H231)&gt;0,H231*가정!$B$3,J231*가정!$B$4))</f>
        <v>16933.35</v>
      </c>
      <c r="M231" s="95" t="n">
        <f aca="false">D231*J231</f>
        <v>3965000</v>
      </c>
      <c r="N231" s="95" t="n">
        <f aca="false">D231*K231</f>
        <v>983747</v>
      </c>
      <c r="O231" s="95" t="n">
        <f aca="false">D231*L231</f>
        <v>1032934.35</v>
      </c>
      <c r="P231" s="34" t="str">
        <f aca="false">TRIM(IF(N(E231)&lt;=0,"택가보정 ","")&amp;IF(N(F231)&lt;=0,"원가보정 ","")&amp;IF(AND(B231&lt;&gt;"CN",N(H231)&lt;=0),"공급가보정 ","")&amp;IF(AND(B231="CN",N(I231)&lt;=0),"중국공급가=원가+마진 ",""))</f>
        <v>중국공급가=원가+마진</v>
      </c>
    </row>
    <row r="232" customFormat="false" ht="15" hidden="false" customHeight="true" outlineLevel="0" collapsed="false">
      <c r="A232" s="94" t="s">
        <v>1688</v>
      </c>
      <c r="B232" s="34" t="str">
        <f aca="false">IF(A232="100","HK",IF(A232="200","CN",IF(A232="300","TW","홀세일")))</f>
        <v>홀세일</v>
      </c>
      <c r="C232" s="94" t="s">
        <v>1094</v>
      </c>
      <c r="D232" s="95" t="n">
        <v>10</v>
      </c>
      <c r="E232" s="95" t="n">
        <v>65000</v>
      </c>
      <c r="F232" s="95" t="n">
        <v>16127</v>
      </c>
      <c r="G232" s="34" t="n">
        <v>3.76</v>
      </c>
      <c r="H232" s="34" t="n">
        <v>17.3</v>
      </c>
      <c r="J232" s="95" t="n">
        <f aca="false">IF(N(E232)&gt;0,E232,IF(N(F232)&gt;0,F232*가정!$B$5,0))</f>
        <v>65000</v>
      </c>
      <c r="K232" s="95" t="n">
        <f aca="false">IF(N(F232)&gt;0,F232,IF(N(E232)&gt;0,E232/가정!$B$5,0))</f>
        <v>16127</v>
      </c>
      <c r="L232" s="95" t="n">
        <f aca="false">IF(B232="CN",IF(N(I232)&gt;0,I232*가정!$B$3,K232*(1+가정!$B$6)),IF(N(H232)&gt;0,H232*가정!$B$3,J232*가정!$B$4))</f>
        <v>23576.094</v>
      </c>
      <c r="M232" s="95" t="n">
        <f aca="false">D232*J232</f>
        <v>650000</v>
      </c>
      <c r="N232" s="95" t="n">
        <f aca="false">D232*K232</f>
        <v>161270</v>
      </c>
      <c r="O232" s="95" t="n">
        <f aca="false">D232*L232</f>
        <v>235760.94</v>
      </c>
      <c r="P232" s="34" t="str">
        <f aca="false">TRIM(IF(N(E232)&lt;=0,"택가보정 ","")&amp;IF(N(F232)&lt;=0,"원가보정 ","")&amp;IF(AND(B232&lt;&gt;"CN",N(H232)&lt;=0),"공급가보정 ","")&amp;IF(AND(B232="CN",N(I232)&lt;=0),"중국공급가=원가+마진 ",""))</f>
        <v/>
      </c>
    </row>
    <row r="233" customFormat="false" ht="15" hidden="false" customHeight="true" outlineLevel="0" collapsed="false">
      <c r="A233" s="94" t="s">
        <v>1688</v>
      </c>
      <c r="B233" s="34" t="str">
        <f aca="false">IF(A233="100","HK",IF(A233="200","CN",IF(A233="300","TW","홀세일")))</f>
        <v>홀세일</v>
      </c>
      <c r="C233" s="94" t="s">
        <v>1331</v>
      </c>
      <c r="D233" s="95" t="n">
        <v>75</v>
      </c>
      <c r="E233" s="95" t="n">
        <v>79000</v>
      </c>
      <c r="F233" s="95" t="n">
        <v>20400</v>
      </c>
      <c r="G233" s="34" t="n">
        <v>3.95</v>
      </c>
      <c r="H233" s="34" t="n">
        <v>19.8</v>
      </c>
      <c r="J233" s="95" t="n">
        <f aca="false">IF(N(E233)&gt;0,E233,IF(N(F233)&gt;0,F233*가정!$B$5,0))</f>
        <v>79000</v>
      </c>
      <c r="K233" s="95" t="n">
        <f aca="false">IF(N(F233)&gt;0,F233,IF(N(E233)&gt;0,E233/가정!$B$5,0))</f>
        <v>20400</v>
      </c>
      <c r="L233" s="95" t="n">
        <f aca="false">IF(B233="CN",IF(N(I233)&gt;0,I233*가정!$B$3,K233*(1+가정!$B$6)),IF(N(H233)&gt;0,H233*가정!$B$3,J233*가정!$B$4))</f>
        <v>26983.044</v>
      </c>
      <c r="M233" s="95" t="n">
        <f aca="false">D233*J233</f>
        <v>5925000</v>
      </c>
      <c r="N233" s="95" t="n">
        <f aca="false">D233*K233</f>
        <v>1530000</v>
      </c>
      <c r="O233" s="95" t="n">
        <f aca="false">D233*L233</f>
        <v>2023728.3</v>
      </c>
      <c r="P233" s="34" t="str">
        <f aca="false">TRIM(IF(N(E233)&lt;=0,"택가보정 ","")&amp;IF(N(F233)&lt;=0,"원가보정 ","")&amp;IF(AND(B233&lt;&gt;"CN",N(H233)&lt;=0),"공급가보정 ","")&amp;IF(AND(B233="CN",N(I233)&lt;=0),"중국공급가=원가+마진 ",""))</f>
        <v/>
      </c>
    </row>
    <row r="234" customFormat="false" ht="15" hidden="false" customHeight="true" outlineLevel="0" collapsed="false">
      <c r="A234" s="94" t="s">
        <v>1690</v>
      </c>
      <c r="B234" s="34" t="str">
        <f aca="false">IF(A234="100","HK",IF(A234="200","CN",IF(A234="300","TW","홀세일")))</f>
        <v>홀세일</v>
      </c>
      <c r="C234" s="94" t="s">
        <v>1331</v>
      </c>
      <c r="D234" s="95" t="n">
        <v>204</v>
      </c>
      <c r="E234" s="95" t="n">
        <v>79000</v>
      </c>
      <c r="F234" s="95" t="n">
        <v>20400</v>
      </c>
      <c r="G234" s="34" t="n">
        <v>3.95</v>
      </c>
      <c r="H234" s="34" t="n">
        <v>19.8</v>
      </c>
      <c r="J234" s="95" t="n">
        <f aca="false">IF(N(E234)&gt;0,E234,IF(N(F234)&gt;0,F234*가정!$B$5,0))</f>
        <v>79000</v>
      </c>
      <c r="K234" s="95" t="n">
        <f aca="false">IF(N(F234)&gt;0,F234,IF(N(E234)&gt;0,E234/가정!$B$5,0))</f>
        <v>20400</v>
      </c>
      <c r="L234" s="95" t="n">
        <f aca="false">IF(B234="CN",IF(N(I234)&gt;0,I234*가정!$B$3,K234*(1+가정!$B$6)),IF(N(H234)&gt;0,H234*가정!$B$3,J234*가정!$B$4))</f>
        <v>26983.044</v>
      </c>
      <c r="M234" s="95" t="n">
        <f aca="false">D234*J234</f>
        <v>16116000</v>
      </c>
      <c r="N234" s="95" t="n">
        <f aca="false">D234*K234</f>
        <v>4161600</v>
      </c>
      <c r="O234" s="95" t="n">
        <f aca="false">D234*L234</f>
        <v>5504540.976</v>
      </c>
      <c r="P234" s="34" t="str">
        <f aca="false">TRIM(IF(N(E234)&lt;=0,"택가보정 ","")&amp;IF(N(F234)&lt;=0,"원가보정 ","")&amp;IF(AND(B234&lt;&gt;"CN",N(H234)&lt;=0),"공급가보정 ","")&amp;IF(AND(B234="CN",N(I234)&lt;=0),"중국공급가=원가+마진 ",""))</f>
        <v/>
      </c>
    </row>
    <row r="235" customFormat="false" ht="15" hidden="false" customHeight="true" outlineLevel="0" collapsed="false">
      <c r="A235" s="94" t="s">
        <v>1686</v>
      </c>
      <c r="B235" s="34" t="str">
        <f aca="false">IF(A235="100","HK",IF(A235="200","CN",IF(A235="300","TW","홀세일")))</f>
        <v>TW</v>
      </c>
      <c r="C235" s="94" t="s">
        <v>284</v>
      </c>
      <c r="D235" s="95" t="n">
        <v>350</v>
      </c>
      <c r="E235" s="95" t="n">
        <v>89000</v>
      </c>
      <c r="F235" s="95" t="n">
        <v>15800</v>
      </c>
      <c r="G235" s="34" t="n">
        <v>4.33</v>
      </c>
      <c r="H235" s="34" t="n">
        <v>22.3</v>
      </c>
      <c r="J235" s="95" t="n">
        <f aca="false">IF(N(E235)&gt;0,E235,IF(N(F235)&gt;0,F235*가정!$B$5,0))</f>
        <v>89000</v>
      </c>
      <c r="K235" s="95" t="n">
        <f aca="false">IF(N(F235)&gt;0,F235,IF(N(E235)&gt;0,E235/가정!$B$5,0))</f>
        <v>15800</v>
      </c>
      <c r="L235" s="95" t="n">
        <f aca="false">IF(B235="CN",IF(N(I235)&gt;0,I235*가정!$B$3,K235*(1+가정!$B$6)),IF(N(H235)&gt;0,H235*가정!$B$3,J235*가정!$B$4))</f>
        <v>30389.994</v>
      </c>
      <c r="M235" s="95" t="n">
        <f aca="false">D235*J235</f>
        <v>31150000</v>
      </c>
      <c r="N235" s="95" t="n">
        <f aca="false">D235*K235</f>
        <v>5530000</v>
      </c>
      <c r="O235" s="95" t="n">
        <f aca="false">D235*L235</f>
        <v>10636497.9</v>
      </c>
      <c r="P235" s="34" t="str">
        <f aca="false">TRIM(IF(N(E235)&lt;=0,"택가보정 ","")&amp;IF(N(F235)&lt;=0,"원가보정 ","")&amp;IF(AND(B235&lt;&gt;"CN",N(H235)&lt;=0),"공급가보정 ","")&amp;IF(AND(B235="CN",N(I235)&lt;=0),"중국공급가=원가+마진 ",""))</f>
        <v/>
      </c>
    </row>
    <row r="236" customFormat="false" ht="15" hidden="false" customHeight="true" outlineLevel="0" collapsed="false">
      <c r="A236" s="94" t="s">
        <v>1689</v>
      </c>
      <c r="B236" s="34" t="str">
        <f aca="false">IF(A236="100","HK",IF(A236="200","CN",IF(A236="300","TW","홀세일")))</f>
        <v>홀세일</v>
      </c>
      <c r="C236" s="94" t="s">
        <v>284</v>
      </c>
      <c r="D236" s="95" t="n">
        <v>60</v>
      </c>
      <c r="E236" s="95" t="n">
        <v>89000</v>
      </c>
      <c r="F236" s="95" t="n">
        <v>15800</v>
      </c>
      <c r="G236" s="34" t="n">
        <v>4.33</v>
      </c>
      <c r="H236" s="34" t="n">
        <v>22.3</v>
      </c>
      <c r="J236" s="95" t="n">
        <f aca="false">IF(N(E236)&gt;0,E236,IF(N(F236)&gt;0,F236*가정!$B$5,0))</f>
        <v>89000</v>
      </c>
      <c r="K236" s="95" t="n">
        <f aca="false">IF(N(F236)&gt;0,F236,IF(N(E236)&gt;0,E236/가정!$B$5,0))</f>
        <v>15800</v>
      </c>
      <c r="L236" s="95" t="n">
        <f aca="false">IF(B236="CN",IF(N(I236)&gt;0,I236*가정!$B$3,K236*(1+가정!$B$6)),IF(N(H236)&gt;0,H236*가정!$B$3,J236*가정!$B$4))</f>
        <v>30389.994</v>
      </c>
      <c r="M236" s="95" t="n">
        <f aca="false">D236*J236</f>
        <v>5340000</v>
      </c>
      <c r="N236" s="95" t="n">
        <f aca="false">D236*K236</f>
        <v>948000</v>
      </c>
      <c r="O236" s="95" t="n">
        <f aca="false">D236*L236</f>
        <v>1823399.64</v>
      </c>
      <c r="P236" s="34" t="str">
        <f aca="false">TRIM(IF(N(E236)&lt;=0,"택가보정 ","")&amp;IF(N(F236)&lt;=0,"원가보정 ","")&amp;IF(AND(B236&lt;&gt;"CN",N(H236)&lt;=0),"공급가보정 ","")&amp;IF(AND(B236="CN",N(I236)&lt;=0),"중국공급가=원가+마진 ",""))</f>
        <v/>
      </c>
    </row>
    <row r="237" customFormat="false" ht="15" hidden="false" customHeight="true" outlineLevel="0" collapsed="false">
      <c r="A237" s="94" t="s">
        <v>1686</v>
      </c>
      <c r="B237" s="34" t="str">
        <f aca="false">IF(A237="100","HK",IF(A237="200","CN",IF(A237="300","TW","홀세일")))</f>
        <v>TW</v>
      </c>
      <c r="C237" s="94" t="s">
        <v>278</v>
      </c>
      <c r="D237" s="95" t="n">
        <v>300</v>
      </c>
      <c r="E237" s="95" t="n">
        <v>89000</v>
      </c>
      <c r="F237" s="95" t="n">
        <v>16700</v>
      </c>
      <c r="G237" s="34" t="n">
        <v>4.33</v>
      </c>
      <c r="H237" s="34" t="n">
        <v>22.3</v>
      </c>
      <c r="J237" s="95" t="n">
        <f aca="false">IF(N(E237)&gt;0,E237,IF(N(F237)&gt;0,F237*가정!$B$5,0))</f>
        <v>89000</v>
      </c>
      <c r="K237" s="95" t="n">
        <f aca="false">IF(N(F237)&gt;0,F237,IF(N(E237)&gt;0,E237/가정!$B$5,0))</f>
        <v>16700</v>
      </c>
      <c r="L237" s="95" t="n">
        <f aca="false">IF(B237="CN",IF(N(I237)&gt;0,I237*가정!$B$3,K237*(1+가정!$B$6)),IF(N(H237)&gt;0,H237*가정!$B$3,J237*가정!$B$4))</f>
        <v>30389.994</v>
      </c>
      <c r="M237" s="95" t="n">
        <f aca="false">D237*J237</f>
        <v>26700000</v>
      </c>
      <c r="N237" s="95" t="n">
        <f aca="false">D237*K237</f>
        <v>5010000</v>
      </c>
      <c r="O237" s="95" t="n">
        <f aca="false">D237*L237</f>
        <v>9116998.2</v>
      </c>
      <c r="P237" s="34" t="str">
        <f aca="false">TRIM(IF(N(E237)&lt;=0,"택가보정 ","")&amp;IF(N(F237)&lt;=0,"원가보정 ","")&amp;IF(AND(B237&lt;&gt;"CN",N(H237)&lt;=0),"공급가보정 ","")&amp;IF(AND(B237="CN",N(I237)&lt;=0),"중국공급가=원가+마진 ",""))</f>
        <v/>
      </c>
    </row>
    <row r="238" customFormat="false" ht="15.75" hidden="false" customHeight="true" outlineLevel="0" collapsed="false">
      <c r="A238" s="94" t="s">
        <v>1685</v>
      </c>
      <c r="B238" s="34" t="str">
        <f aca="false">IF(A238="100","HK",IF(A238="200","CN",IF(A238="300","TW","홀세일")))</f>
        <v>CN</v>
      </c>
      <c r="C238" s="94" t="s">
        <v>1096</v>
      </c>
      <c r="D238" s="95" t="n">
        <v>101</v>
      </c>
      <c r="E238" s="95" t="n">
        <v>89000</v>
      </c>
      <c r="F238" s="95" t="n">
        <v>24517</v>
      </c>
      <c r="G238" s="34" t="n">
        <v>3.16</v>
      </c>
      <c r="H238" s="34" t="n">
        <v>22.3</v>
      </c>
      <c r="J238" s="95" t="n">
        <f aca="false">IF(N(E238)&gt;0,E238,IF(N(F238)&gt;0,F238*가정!$B$5,0))</f>
        <v>89000</v>
      </c>
      <c r="K238" s="95" t="n">
        <f aca="false">IF(N(F238)&gt;0,F238,IF(N(E238)&gt;0,E238/가정!$B$5,0))</f>
        <v>24517</v>
      </c>
      <c r="L238" s="95" t="n">
        <f aca="false">IF(B238="CN",IF(N(I238)&gt;0,I238*가정!$B$3,K238*(1+가정!$B$6)),IF(N(H238)&gt;0,H238*가정!$B$3,J238*가정!$B$4))</f>
        <v>25742.85</v>
      </c>
      <c r="M238" s="95" t="n">
        <f aca="false">D238*J238</f>
        <v>8989000</v>
      </c>
      <c r="N238" s="95" t="n">
        <f aca="false">D238*K238</f>
        <v>2476217</v>
      </c>
      <c r="O238" s="95" t="n">
        <f aca="false">D238*L238</f>
        <v>2600027.85</v>
      </c>
      <c r="P238" s="34" t="str">
        <f aca="false">TRIM(IF(N(E238)&lt;=0,"택가보정 ","")&amp;IF(N(F238)&lt;=0,"원가보정 ","")&amp;IF(AND(B238&lt;&gt;"CN",N(H238)&lt;=0),"공급가보정 ","")&amp;IF(AND(B238="CN",N(I238)&lt;=0),"중국공급가=원가+마진 ",""))</f>
        <v>중국공급가=원가+마진</v>
      </c>
    </row>
    <row r="239" customFormat="false" ht="15.75" hidden="false" customHeight="true" outlineLevel="0" collapsed="false">
      <c r="A239" s="94" t="s">
        <v>1685</v>
      </c>
      <c r="B239" s="34" t="str">
        <f aca="false">IF(A239="100","HK",IF(A239="200","CN",IF(A239="300","TW","홀세일")))</f>
        <v>CN</v>
      </c>
      <c r="C239" s="94" t="s">
        <v>280</v>
      </c>
      <c r="D239" s="95" t="n">
        <v>202</v>
      </c>
      <c r="E239" s="95" t="n">
        <v>129000</v>
      </c>
      <c r="F239" s="95" t="n">
        <v>31225</v>
      </c>
      <c r="G239" s="34" t="n">
        <v>3.43</v>
      </c>
      <c r="H239" s="34" t="n">
        <v>32.3</v>
      </c>
      <c r="J239" s="95" t="n">
        <f aca="false">IF(N(E239)&gt;0,E239,IF(N(F239)&gt;0,F239*가정!$B$5,0))</f>
        <v>129000</v>
      </c>
      <c r="K239" s="95" t="n">
        <f aca="false">IF(N(F239)&gt;0,F239,IF(N(E239)&gt;0,E239/가정!$B$5,0))</f>
        <v>31225</v>
      </c>
      <c r="L239" s="95" t="n">
        <f aca="false">IF(B239="CN",IF(N(I239)&gt;0,I239*가정!$B$3,K239*(1+가정!$B$6)),IF(N(H239)&gt;0,H239*가정!$B$3,J239*가정!$B$4))</f>
        <v>32786.25</v>
      </c>
      <c r="M239" s="95" t="n">
        <f aca="false">D239*J239</f>
        <v>26058000</v>
      </c>
      <c r="N239" s="95" t="n">
        <f aca="false">D239*K239</f>
        <v>6307450</v>
      </c>
      <c r="O239" s="95" t="n">
        <f aca="false">D239*L239</f>
        <v>6622822.5</v>
      </c>
      <c r="P239" s="34" t="str">
        <f aca="false">TRIM(IF(N(E239)&lt;=0,"택가보정 ","")&amp;IF(N(F239)&lt;=0,"원가보정 ","")&amp;IF(AND(B239&lt;&gt;"CN",N(H239)&lt;=0),"공급가보정 ","")&amp;IF(AND(B239="CN",N(I239)&lt;=0),"중국공급가=원가+마진 ",""))</f>
        <v>중국공급가=원가+마진</v>
      </c>
    </row>
    <row r="240" customFormat="false" ht="15" hidden="false" customHeight="true" outlineLevel="0" collapsed="false">
      <c r="A240" s="94" t="s">
        <v>1686</v>
      </c>
      <c r="B240" s="34" t="str">
        <f aca="false">IF(A240="100","HK",IF(A240="200","CN",IF(A240="300","TW","홀세일")))</f>
        <v>TW</v>
      </c>
      <c r="C240" s="94" t="s">
        <v>280</v>
      </c>
      <c r="D240" s="95" t="n">
        <v>200</v>
      </c>
      <c r="E240" s="95" t="n">
        <v>129000</v>
      </c>
      <c r="F240" s="95" t="n">
        <v>31225</v>
      </c>
      <c r="G240" s="34" t="n">
        <v>3.43</v>
      </c>
      <c r="H240" s="34" t="n">
        <v>32.3</v>
      </c>
      <c r="J240" s="95" t="n">
        <f aca="false">IF(N(E240)&gt;0,E240,IF(N(F240)&gt;0,F240*가정!$B$5,0))</f>
        <v>129000</v>
      </c>
      <c r="K240" s="95" t="n">
        <f aca="false">IF(N(F240)&gt;0,F240,IF(N(E240)&gt;0,E240/가정!$B$5,0))</f>
        <v>31225</v>
      </c>
      <c r="L240" s="95" t="n">
        <f aca="false">IF(B240="CN",IF(N(I240)&gt;0,I240*가정!$B$3,K240*(1+가정!$B$6)),IF(N(H240)&gt;0,H240*가정!$B$3,J240*가정!$B$4))</f>
        <v>44017.794</v>
      </c>
      <c r="M240" s="95" t="n">
        <f aca="false">D240*J240</f>
        <v>25800000</v>
      </c>
      <c r="N240" s="95" t="n">
        <f aca="false">D240*K240</f>
        <v>6245000</v>
      </c>
      <c r="O240" s="95" t="n">
        <f aca="false">D240*L240</f>
        <v>8803558.8</v>
      </c>
      <c r="P240" s="34" t="str">
        <f aca="false">TRIM(IF(N(E240)&lt;=0,"택가보정 ","")&amp;IF(N(F240)&lt;=0,"원가보정 ","")&amp;IF(AND(B240&lt;&gt;"CN",N(H240)&lt;=0),"공급가보정 ","")&amp;IF(AND(B240="CN",N(I240)&lt;=0),"중국공급가=원가+마진 ",""))</f>
        <v/>
      </c>
    </row>
    <row r="241" customFormat="false" ht="15" hidden="false" customHeight="true" outlineLevel="0" collapsed="false">
      <c r="A241" s="94" t="s">
        <v>1692</v>
      </c>
      <c r="B241" s="34" t="str">
        <f aca="false">IF(A241="100","HK",IF(A241="200","CN",IF(A241="300","TW","홀세일")))</f>
        <v>홀세일</v>
      </c>
      <c r="C241" s="94" t="s">
        <v>280</v>
      </c>
      <c r="D241" s="95" t="n">
        <v>41</v>
      </c>
      <c r="E241" s="95" t="n">
        <v>129000</v>
      </c>
      <c r="F241" s="95" t="n">
        <v>31225</v>
      </c>
      <c r="G241" s="34" t="n">
        <v>3.43</v>
      </c>
      <c r="H241" s="34" t="n">
        <v>32.3</v>
      </c>
      <c r="J241" s="95" t="n">
        <f aca="false">IF(N(E241)&gt;0,E241,IF(N(F241)&gt;0,F241*가정!$B$5,0))</f>
        <v>129000</v>
      </c>
      <c r="K241" s="95" t="n">
        <f aca="false">IF(N(F241)&gt;0,F241,IF(N(E241)&gt;0,E241/가정!$B$5,0))</f>
        <v>31225</v>
      </c>
      <c r="L241" s="95" t="n">
        <f aca="false">IF(B241="CN",IF(N(I241)&gt;0,I241*가정!$B$3,K241*(1+가정!$B$6)),IF(N(H241)&gt;0,H241*가정!$B$3,J241*가정!$B$4))</f>
        <v>44017.794</v>
      </c>
      <c r="M241" s="95" t="n">
        <f aca="false">D241*J241</f>
        <v>5289000</v>
      </c>
      <c r="N241" s="95" t="n">
        <f aca="false">D241*K241</f>
        <v>1280225</v>
      </c>
      <c r="O241" s="95" t="n">
        <f aca="false">D241*L241</f>
        <v>1804729.554</v>
      </c>
      <c r="P241" s="34" t="str">
        <f aca="false">TRIM(IF(N(E241)&lt;=0,"택가보정 ","")&amp;IF(N(F241)&lt;=0,"원가보정 ","")&amp;IF(AND(B241&lt;&gt;"CN",N(H241)&lt;=0),"공급가보정 ","")&amp;IF(AND(B241="CN",N(I241)&lt;=0),"중국공급가=원가+마진 ",""))</f>
        <v/>
      </c>
    </row>
    <row r="242" customFormat="false" ht="15" hidden="false" customHeight="true" outlineLevel="0" collapsed="false">
      <c r="A242" s="94" t="s">
        <v>1689</v>
      </c>
      <c r="B242" s="34" t="str">
        <f aca="false">IF(A242="100","HK",IF(A242="200","CN",IF(A242="300","TW","홀세일")))</f>
        <v>홀세일</v>
      </c>
      <c r="C242" s="94" t="s">
        <v>280</v>
      </c>
      <c r="D242" s="95" t="n">
        <v>40</v>
      </c>
      <c r="E242" s="95" t="n">
        <v>129000</v>
      </c>
      <c r="F242" s="95" t="n">
        <v>31225</v>
      </c>
      <c r="G242" s="34" t="n">
        <v>3.43</v>
      </c>
      <c r="H242" s="34" t="n">
        <v>32.3</v>
      </c>
      <c r="J242" s="95" t="n">
        <f aca="false">IF(N(E242)&gt;0,E242,IF(N(F242)&gt;0,F242*가정!$B$5,0))</f>
        <v>129000</v>
      </c>
      <c r="K242" s="95" t="n">
        <f aca="false">IF(N(F242)&gt;0,F242,IF(N(E242)&gt;0,E242/가정!$B$5,0))</f>
        <v>31225</v>
      </c>
      <c r="L242" s="95" t="n">
        <f aca="false">IF(B242="CN",IF(N(I242)&gt;0,I242*가정!$B$3,K242*(1+가정!$B$6)),IF(N(H242)&gt;0,H242*가정!$B$3,J242*가정!$B$4))</f>
        <v>44017.794</v>
      </c>
      <c r="M242" s="95" t="n">
        <f aca="false">D242*J242</f>
        <v>5160000</v>
      </c>
      <c r="N242" s="95" t="n">
        <f aca="false">D242*K242</f>
        <v>1249000</v>
      </c>
      <c r="O242" s="95" t="n">
        <f aca="false">D242*L242</f>
        <v>1760711.76</v>
      </c>
      <c r="P242" s="34" t="str">
        <f aca="false">TRIM(IF(N(E242)&lt;=0,"택가보정 ","")&amp;IF(N(F242)&lt;=0,"원가보정 ","")&amp;IF(AND(B242&lt;&gt;"CN",N(H242)&lt;=0),"공급가보정 ","")&amp;IF(AND(B242="CN",N(I242)&lt;=0),"중국공급가=원가+마진 ",""))</f>
        <v/>
      </c>
    </row>
    <row r="243" customFormat="false" ht="15" hidden="false" customHeight="true" outlineLevel="0" collapsed="false">
      <c r="A243" s="94" t="s">
        <v>1684</v>
      </c>
      <c r="B243" s="34" t="str">
        <f aca="false">IF(A243="100","HK",IF(A243="200","CN",IF(A243="300","TW","홀세일")))</f>
        <v>HK</v>
      </c>
      <c r="C243" s="94" t="s">
        <v>282</v>
      </c>
      <c r="D243" s="95" t="n">
        <v>170</v>
      </c>
      <c r="E243" s="95" t="n">
        <v>109000</v>
      </c>
      <c r="F243" s="95" t="n">
        <v>25612</v>
      </c>
      <c r="G243" s="34" t="n">
        <v>3.27</v>
      </c>
      <c r="H243" s="34" t="n">
        <v>27.3</v>
      </c>
      <c r="J243" s="95" t="n">
        <f aca="false">IF(N(E243)&gt;0,E243,IF(N(F243)&gt;0,F243*가정!$B$5,0))</f>
        <v>109000</v>
      </c>
      <c r="K243" s="95" t="n">
        <f aca="false">IF(N(F243)&gt;0,F243,IF(N(E243)&gt;0,E243/가정!$B$5,0))</f>
        <v>25612</v>
      </c>
      <c r="L243" s="95" t="n">
        <f aca="false">IF(B243="CN",IF(N(I243)&gt;0,I243*가정!$B$3,K243*(1+가정!$B$6)),IF(N(H243)&gt;0,H243*가정!$B$3,J243*가정!$B$4))</f>
        <v>37203.894</v>
      </c>
      <c r="M243" s="95" t="n">
        <f aca="false">D243*J243</f>
        <v>18530000</v>
      </c>
      <c r="N243" s="95" t="n">
        <f aca="false">D243*K243</f>
        <v>4354040</v>
      </c>
      <c r="O243" s="95" t="n">
        <f aca="false">D243*L243</f>
        <v>6324661.98</v>
      </c>
      <c r="P243" s="34" t="str">
        <f aca="false">TRIM(IF(N(E243)&lt;=0,"택가보정 ","")&amp;IF(N(F243)&lt;=0,"원가보정 ","")&amp;IF(AND(B243&lt;&gt;"CN",N(H243)&lt;=0),"공급가보정 ","")&amp;IF(AND(B243="CN",N(I243)&lt;=0),"중국공급가=원가+마진 ",""))</f>
        <v/>
      </c>
    </row>
    <row r="244" customFormat="false" ht="15.75" hidden="false" customHeight="true" outlineLevel="0" collapsed="false">
      <c r="A244" s="94" t="s">
        <v>1685</v>
      </c>
      <c r="B244" s="34" t="str">
        <f aca="false">IF(A244="100","HK",IF(A244="200","CN",IF(A244="300","TW","홀세일")))</f>
        <v>CN</v>
      </c>
      <c r="C244" s="94" t="s">
        <v>282</v>
      </c>
      <c r="D244" s="95" t="n">
        <v>106</v>
      </c>
      <c r="E244" s="95" t="n">
        <v>109000</v>
      </c>
      <c r="F244" s="95" t="n">
        <v>25612</v>
      </c>
      <c r="G244" s="34" t="n">
        <v>3.27</v>
      </c>
      <c r="H244" s="34" t="n">
        <v>27.3</v>
      </c>
      <c r="J244" s="95" t="n">
        <f aca="false">IF(N(E244)&gt;0,E244,IF(N(F244)&gt;0,F244*가정!$B$5,0))</f>
        <v>109000</v>
      </c>
      <c r="K244" s="95" t="n">
        <f aca="false">IF(N(F244)&gt;0,F244,IF(N(E244)&gt;0,E244/가정!$B$5,0))</f>
        <v>25612</v>
      </c>
      <c r="L244" s="95" t="n">
        <f aca="false">IF(B244="CN",IF(N(I244)&gt;0,I244*가정!$B$3,K244*(1+가정!$B$6)),IF(N(H244)&gt;0,H244*가정!$B$3,J244*가정!$B$4))</f>
        <v>26892.6</v>
      </c>
      <c r="M244" s="95" t="n">
        <f aca="false">D244*J244</f>
        <v>11554000</v>
      </c>
      <c r="N244" s="95" t="n">
        <f aca="false">D244*K244</f>
        <v>2714872</v>
      </c>
      <c r="O244" s="95" t="n">
        <f aca="false">D244*L244</f>
        <v>2850615.6</v>
      </c>
      <c r="P244" s="34" t="str">
        <f aca="false">TRIM(IF(N(E244)&lt;=0,"택가보정 ","")&amp;IF(N(F244)&lt;=0,"원가보정 ","")&amp;IF(AND(B244&lt;&gt;"CN",N(H244)&lt;=0),"공급가보정 ","")&amp;IF(AND(B244="CN",N(I244)&lt;=0),"중국공급가=원가+마진 ",""))</f>
        <v>중국공급가=원가+마진</v>
      </c>
    </row>
    <row r="245" customFormat="false" ht="15" hidden="false" customHeight="true" outlineLevel="0" collapsed="false">
      <c r="A245" s="94" t="s">
        <v>1686</v>
      </c>
      <c r="B245" s="34" t="str">
        <f aca="false">IF(A245="100","HK",IF(A245="200","CN",IF(A245="300","TW","홀세일")))</f>
        <v>TW</v>
      </c>
      <c r="C245" s="94" t="s">
        <v>282</v>
      </c>
      <c r="D245" s="95" t="n">
        <v>400</v>
      </c>
      <c r="E245" s="95" t="n">
        <v>109000</v>
      </c>
      <c r="F245" s="95" t="n">
        <v>25612</v>
      </c>
      <c r="G245" s="34" t="n">
        <v>3.27</v>
      </c>
      <c r="H245" s="34" t="n">
        <v>27.3</v>
      </c>
      <c r="J245" s="95" t="n">
        <f aca="false">IF(N(E245)&gt;0,E245,IF(N(F245)&gt;0,F245*가정!$B$5,0))</f>
        <v>109000</v>
      </c>
      <c r="K245" s="95" t="n">
        <f aca="false">IF(N(F245)&gt;0,F245,IF(N(E245)&gt;0,E245/가정!$B$5,0))</f>
        <v>25612</v>
      </c>
      <c r="L245" s="95" t="n">
        <f aca="false">IF(B245="CN",IF(N(I245)&gt;0,I245*가정!$B$3,K245*(1+가정!$B$6)),IF(N(H245)&gt;0,H245*가정!$B$3,J245*가정!$B$4))</f>
        <v>37203.894</v>
      </c>
      <c r="M245" s="95" t="n">
        <f aca="false">D245*J245</f>
        <v>43600000</v>
      </c>
      <c r="N245" s="95" t="n">
        <f aca="false">D245*K245</f>
        <v>10244800</v>
      </c>
      <c r="O245" s="95" t="n">
        <f aca="false">D245*L245</f>
        <v>14881557.6</v>
      </c>
      <c r="P245" s="34" t="str">
        <f aca="false">TRIM(IF(N(E245)&lt;=0,"택가보정 ","")&amp;IF(N(F245)&lt;=0,"원가보정 ","")&amp;IF(AND(B245&lt;&gt;"CN",N(H245)&lt;=0),"공급가보정 ","")&amp;IF(AND(B245="CN",N(I245)&lt;=0),"중국공급가=원가+마진 ",""))</f>
        <v/>
      </c>
    </row>
    <row r="246" customFormat="false" ht="15" hidden="false" customHeight="true" outlineLevel="0" collapsed="false">
      <c r="A246" s="94" t="s">
        <v>1687</v>
      </c>
      <c r="B246" s="34" t="str">
        <f aca="false">IF(A246="100","HK",IF(A246="200","CN",IF(A246="300","TW","홀세일")))</f>
        <v>홀세일</v>
      </c>
      <c r="C246" s="94" t="s">
        <v>282</v>
      </c>
      <c r="D246" s="95" t="n">
        <v>50</v>
      </c>
      <c r="E246" s="95" t="n">
        <v>109000</v>
      </c>
      <c r="F246" s="95" t="n">
        <v>25612</v>
      </c>
      <c r="G246" s="34" t="n">
        <v>3.27</v>
      </c>
      <c r="H246" s="34" t="n">
        <v>27.3</v>
      </c>
      <c r="J246" s="95" t="n">
        <f aca="false">IF(N(E246)&gt;0,E246,IF(N(F246)&gt;0,F246*가정!$B$5,0))</f>
        <v>109000</v>
      </c>
      <c r="K246" s="95" t="n">
        <f aca="false">IF(N(F246)&gt;0,F246,IF(N(E246)&gt;0,E246/가정!$B$5,0))</f>
        <v>25612</v>
      </c>
      <c r="L246" s="95" t="n">
        <f aca="false">IF(B246="CN",IF(N(I246)&gt;0,I246*가정!$B$3,K246*(1+가정!$B$6)),IF(N(H246)&gt;0,H246*가정!$B$3,J246*가정!$B$4))</f>
        <v>37203.894</v>
      </c>
      <c r="M246" s="95" t="n">
        <f aca="false">D246*J246</f>
        <v>5450000</v>
      </c>
      <c r="N246" s="95" t="n">
        <f aca="false">D246*K246</f>
        <v>1280600</v>
      </c>
      <c r="O246" s="95" t="n">
        <f aca="false">D246*L246</f>
        <v>1860194.7</v>
      </c>
      <c r="P246" s="34" t="str">
        <f aca="false">TRIM(IF(N(E246)&lt;=0,"택가보정 ","")&amp;IF(N(F246)&lt;=0,"원가보정 ","")&amp;IF(AND(B246&lt;&gt;"CN",N(H246)&lt;=0),"공급가보정 ","")&amp;IF(AND(B246="CN",N(I246)&lt;=0),"중국공급가=원가+마진 ",""))</f>
        <v/>
      </c>
    </row>
    <row r="247" customFormat="false" ht="15" hidden="false" customHeight="true" outlineLevel="0" collapsed="false">
      <c r="A247" s="94" t="s">
        <v>1684</v>
      </c>
      <c r="B247" s="34" t="str">
        <f aca="false">IF(A247="100","HK",IF(A247="200","CN",IF(A247="300","TW","홀세일")))</f>
        <v>HK</v>
      </c>
      <c r="C247" s="94" t="s">
        <v>863</v>
      </c>
      <c r="D247" s="95" t="n">
        <v>400</v>
      </c>
      <c r="E247" s="95" t="n">
        <v>159000</v>
      </c>
      <c r="F247" s="95" t="n">
        <v>31531</v>
      </c>
      <c r="G247" s="34" t="n">
        <v>4.07</v>
      </c>
      <c r="H247" s="34" t="n">
        <v>39.8</v>
      </c>
      <c r="J247" s="95" t="n">
        <f aca="false">IF(N(E247)&gt;0,E247,IF(N(F247)&gt;0,F247*가정!$B$5,0))</f>
        <v>159000</v>
      </c>
      <c r="K247" s="95" t="n">
        <f aca="false">IF(N(F247)&gt;0,F247,IF(N(E247)&gt;0,E247/가정!$B$5,0))</f>
        <v>31531</v>
      </c>
      <c r="L247" s="95" t="n">
        <f aca="false">IF(B247="CN",IF(N(I247)&gt;0,I247*가정!$B$3,K247*(1+가정!$B$6)),IF(N(H247)&gt;0,H247*가정!$B$3,J247*가정!$B$4))</f>
        <v>54238.644</v>
      </c>
      <c r="M247" s="95" t="n">
        <f aca="false">D247*J247</f>
        <v>63600000</v>
      </c>
      <c r="N247" s="95" t="n">
        <f aca="false">D247*K247</f>
        <v>12612400</v>
      </c>
      <c r="O247" s="95" t="n">
        <f aca="false">D247*L247</f>
        <v>21695457.6</v>
      </c>
      <c r="P247" s="34" t="str">
        <f aca="false">TRIM(IF(N(E247)&lt;=0,"택가보정 ","")&amp;IF(N(F247)&lt;=0,"원가보정 ","")&amp;IF(AND(B247&lt;&gt;"CN",N(H247)&lt;=0),"공급가보정 ","")&amp;IF(AND(B247="CN",N(I247)&lt;=0),"중국공급가=원가+마진 ",""))</f>
        <v/>
      </c>
    </row>
    <row r="248" customFormat="false" ht="15.75" hidden="false" customHeight="true" outlineLevel="0" collapsed="false">
      <c r="A248" s="94" t="s">
        <v>1685</v>
      </c>
      <c r="B248" s="34" t="str">
        <f aca="false">IF(A248="100","HK",IF(A248="200","CN",IF(A248="300","TW","홀세일")))</f>
        <v>CN</v>
      </c>
      <c r="C248" s="94" t="s">
        <v>863</v>
      </c>
      <c r="D248" s="95" t="n">
        <v>768</v>
      </c>
      <c r="E248" s="95" t="n">
        <v>159000</v>
      </c>
      <c r="F248" s="95" t="n">
        <v>31531</v>
      </c>
      <c r="G248" s="34" t="n">
        <v>4.07</v>
      </c>
      <c r="H248" s="34" t="n">
        <v>39.8</v>
      </c>
      <c r="J248" s="95" t="n">
        <f aca="false">IF(N(E248)&gt;0,E248,IF(N(F248)&gt;0,F248*가정!$B$5,0))</f>
        <v>159000</v>
      </c>
      <c r="K248" s="95" t="n">
        <f aca="false">IF(N(F248)&gt;0,F248,IF(N(E248)&gt;0,E248/가정!$B$5,0))</f>
        <v>31531</v>
      </c>
      <c r="L248" s="95" t="n">
        <f aca="false">IF(B248="CN",IF(N(I248)&gt;0,I248*가정!$B$3,K248*(1+가정!$B$6)),IF(N(H248)&gt;0,H248*가정!$B$3,J248*가정!$B$4))</f>
        <v>33107.55</v>
      </c>
      <c r="M248" s="95" t="n">
        <f aca="false">D248*J248</f>
        <v>122112000</v>
      </c>
      <c r="N248" s="95" t="n">
        <f aca="false">D248*K248</f>
        <v>24215808</v>
      </c>
      <c r="O248" s="95" t="n">
        <f aca="false">D248*L248</f>
        <v>25426598.4</v>
      </c>
      <c r="P248" s="34" t="str">
        <f aca="false">TRIM(IF(N(E248)&lt;=0,"택가보정 ","")&amp;IF(N(F248)&lt;=0,"원가보정 ","")&amp;IF(AND(B248&lt;&gt;"CN",N(H248)&lt;=0),"공급가보정 ","")&amp;IF(AND(B248="CN",N(I248)&lt;=0),"중국공급가=원가+마진 ",""))</f>
        <v>중국공급가=원가+마진</v>
      </c>
    </row>
    <row r="249" customFormat="false" ht="15" hidden="false" customHeight="true" outlineLevel="0" collapsed="false">
      <c r="A249" s="94" t="s">
        <v>1687</v>
      </c>
      <c r="B249" s="34" t="str">
        <f aca="false">IF(A249="100","HK",IF(A249="200","CN",IF(A249="300","TW","홀세일")))</f>
        <v>홀세일</v>
      </c>
      <c r="C249" s="94" t="s">
        <v>863</v>
      </c>
      <c r="D249" s="95" t="n">
        <v>40</v>
      </c>
      <c r="E249" s="95" t="n">
        <v>159000</v>
      </c>
      <c r="F249" s="95" t="n">
        <v>31531</v>
      </c>
      <c r="G249" s="34" t="n">
        <v>4.07</v>
      </c>
      <c r="H249" s="34" t="n">
        <v>39.8</v>
      </c>
      <c r="J249" s="95" t="n">
        <f aca="false">IF(N(E249)&gt;0,E249,IF(N(F249)&gt;0,F249*가정!$B$5,0))</f>
        <v>159000</v>
      </c>
      <c r="K249" s="95" t="n">
        <f aca="false">IF(N(F249)&gt;0,F249,IF(N(E249)&gt;0,E249/가정!$B$5,0))</f>
        <v>31531</v>
      </c>
      <c r="L249" s="95" t="n">
        <f aca="false">IF(B249="CN",IF(N(I249)&gt;0,I249*가정!$B$3,K249*(1+가정!$B$6)),IF(N(H249)&gt;0,H249*가정!$B$3,J249*가정!$B$4))</f>
        <v>54238.644</v>
      </c>
      <c r="M249" s="95" t="n">
        <f aca="false">D249*J249</f>
        <v>6360000</v>
      </c>
      <c r="N249" s="95" t="n">
        <f aca="false">D249*K249</f>
        <v>1261240</v>
      </c>
      <c r="O249" s="95" t="n">
        <f aca="false">D249*L249</f>
        <v>2169545.76</v>
      </c>
      <c r="P249" s="34" t="str">
        <f aca="false">TRIM(IF(N(E249)&lt;=0,"택가보정 ","")&amp;IF(N(F249)&lt;=0,"원가보정 ","")&amp;IF(AND(B249&lt;&gt;"CN",N(H249)&lt;=0),"공급가보정 ","")&amp;IF(AND(B249="CN",N(I249)&lt;=0),"중국공급가=원가+마진 ",""))</f>
        <v/>
      </c>
    </row>
    <row r="250" customFormat="false" ht="15" hidden="false" customHeight="true" outlineLevel="0" collapsed="false">
      <c r="A250" s="94" t="s">
        <v>1688</v>
      </c>
      <c r="B250" s="34" t="str">
        <f aca="false">IF(A250="100","HK",IF(A250="200","CN",IF(A250="300","TW","홀세일")))</f>
        <v>홀세일</v>
      </c>
      <c r="C250" s="94" t="s">
        <v>863</v>
      </c>
      <c r="D250" s="95" t="n">
        <v>80</v>
      </c>
      <c r="E250" s="95" t="n">
        <v>159000</v>
      </c>
      <c r="F250" s="95" t="n">
        <v>31531</v>
      </c>
      <c r="G250" s="34" t="n">
        <v>4.07</v>
      </c>
      <c r="H250" s="34" t="n">
        <v>39.8</v>
      </c>
      <c r="J250" s="95" t="n">
        <f aca="false">IF(N(E250)&gt;0,E250,IF(N(F250)&gt;0,F250*가정!$B$5,0))</f>
        <v>159000</v>
      </c>
      <c r="K250" s="95" t="n">
        <f aca="false">IF(N(F250)&gt;0,F250,IF(N(E250)&gt;0,E250/가정!$B$5,0))</f>
        <v>31531</v>
      </c>
      <c r="L250" s="95" t="n">
        <f aca="false">IF(B250="CN",IF(N(I250)&gt;0,I250*가정!$B$3,K250*(1+가정!$B$6)),IF(N(H250)&gt;0,H250*가정!$B$3,J250*가정!$B$4))</f>
        <v>54238.644</v>
      </c>
      <c r="M250" s="95" t="n">
        <f aca="false">D250*J250</f>
        <v>12720000</v>
      </c>
      <c r="N250" s="95" t="n">
        <f aca="false">D250*K250</f>
        <v>2522480</v>
      </c>
      <c r="O250" s="95" t="n">
        <f aca="false">D250*L250</f>
        <v>4339091.52</v>
      </c>
      <c r="P250" s="34" t="str">
        <f aca="false">TRIM(IF(N(E250)&lt;=0,"택가보정 ","")&amp;IF(N(F250)&lt;=0,"원가보정 ","")&amp;IF(AND(B250&lt;&gt;"CN",N(H250)&lt;=0),"공급가보정 ","")&amp;IF(AND(B250="CN",N(I250)&lt;=0),"중국공급가=원가+마진 ",""))</f>
        <v/>
      </c>
    </row>
    <row r="251" customFormat="false" ht="15" hidden="false" customHeight="true" outlineLevel="0" collapsed="false">
      <c r="A251" s="94" t="s">
        <v>1692</v>
      </c>
      <c r="B251" s="34" t="str">
        <f aca="false">IF(A251="100","HK",IF(A251="200","CN",IF(A251="300","TW","홀세일")))</f>
        <v>홀세일</v>
      </c>
      <c r="C251" s="94" t="s">
        <v>863</v>
      </c>
      <c r="D251" s="95" t="n">
        <v>97</v>
      </c>
      <c r="E251" s="95" t="n">
        <v>159000</v>
      </c>
      <c r="F251" s="95" t="n">
        <v>31531</v>
      </c>
      <c r="G251" s="34" t="n">
        <v>4.07</v>
      </c>
      <c r="H251" s="34" t="n">
        <v>39.8</v>
      </c>
      <c r="J251" s="95" t="n">
        <f aca="false">IF(N(E251)&gt;0,E251,IF(N(F251)&gt;0,F251*가정!$B$5,0))</f>
        <v>159000</v>
      </c>
      <c r="K251" s="95" t="n">
        <f aca="false">IF(N(F251)&gt;0,F251,IF(N(E251)&gt;0,E251/가정!$B$5,0))</f>
        <v>31531</v>
      </c>
      <c r="L251" s="95" t="n">
        <f aca="false">IF(B251="CN",IF(N(I251)&gt;0,I251*가정!$B$3,K251*(1+가정!$B$6)),IF(N(H251)&gt;0,H251*가정!$B$3,J251*가정!$B$4))</f>
        <v>54238.644</v>
      </c>
      <c r="M251" s="95" t="n">
        <f aca="false">D251*J251</f>
        <v>15423000</v>
      </c>
      <c r="N251" s="95" t="n">
        <f aca="false">D251*K251</f>
        <v>3058507</v>
      </c>
      <c r="O251" s="95" t="n">
        <f aca="false">D251*L251</f>
        <v>5261148.468</v>
      </c>
      <c r="P251" s="34" t="str">
        <f aca="false">TRIM(IF(N(E251)&lt;=0,"택가보정 ","")&amp;IF(N(F251)&lt;=0,"원가보정 ","")&amp;IF(AND(B251&lt;&gt;"CN",N(H251)&lt;=0),"공급가보정 ","")&amp;IF(AND(B251="CN",N(I251)&lt;=0),"중국공급가=원가+마진 ",""))</f>
        <v/>
      </c>
    </row>
    <row r="252" customFormat="false" ht="15" hidden="false" customHeight="true" outlineLevel="0" collapsed="false">
      <c r="A252" s="94" t="s">
        <v>1684</v>
      </c>
      <c r="B252" s="34" t="str">
        <f aca="false">IF(A252="100","HK",IF(A252="200","CN",IF(A252="300","TW","홀세일")))</f>
        <v>HK</v>
      </c>
      <c r="C252" s="94" t="s">
        <v>867</v>
      </c>
      <c r="D252" s="95" t="n">
        <v>330</v>
      </c>
      <c r="E252" s="95" t="n">
        <v>139000</v>
      </c>
      <c r="F252" s="95" t="n">
        <v>27703</v>
      </c>
      <c r="G252" s="34" t="n">
        <v>4.36</v>
      </c>
      <c r="H252" s="34" t="n">
        <v>34.8</v>
      </c>
      <c r="J252" s="95" t="n">
        <f aca="false">IF(N(E252)&gt;0,E252,IF(N(F252)&gt;0,F252*가정!$B$5,0))</f>
        <v>139000</v>
      </c>
      <c r="K252" s="95" t="n">
        <f aca="false">IF(N(F252)&gt;0,F252,IF(N(E252)&gt;0,E252/가정!$B$5,0))</f>
        <v>27703</v>
      </c>
      <c r="L252" s="95" t="n">
        <f aca="false">IF(B252="CN",IF(N(I252)&gt;0,I252*가정!$B$3,K252*(1+가정!$B$6)),IF(N(H252)&gt;0,H252*가정!$B$3,J252*가정!$B$4))</f>
        <v>47424.744</v>
      </c>
      <c r="M252" s="95" t="n">
        <f aca="false">D252*J252</f>
        <v>45870000</v>
      </c>
      <c r="N252" s="95" t="n">
        <f aca="false">D252*K252</f>
        <v>9141990</v>
      </c>
      <c r="O252" s="95" t="n">
        <f aca="false">D252*L252</f>
        <v>15650165.52</v>
      </c>
      <c r="P252" s="34" t="str">
        <f aca="false">TRIM(IF(N(E252)&lt;=0,"택가보정 ","")&amp;IF(N(F252)&lt;=0,"원가보정 ","")&amp;IF(AND(B252&lt;&gt;"CN",N(H252)&lt;=0),"공급가보정 ","")&amp;IF(AND(B252="CN",N(I252)&lt;=0),"중국공급가=원가+마진 ",""))</f>
        <v/>
      </c>
    </row>
    <row r="253" customFormat="false" ht="15" hidden="false" customHeight="true" outlineLevel="0" collapsed="false">
      <c r="A253" s="94" t="s">
        <v>1692</v>
      </c>
      <c r="B253" s="34" t="str">
        <f aca="false">IF(A253="100","HK",IF(A253="200","CN",IF(A253="300","TW","홀세일")))</f>
        <v>홀세일</v>
      </c>
      <c r="C253" s="94" t="s">
        <v>867</v>
      </c>
      <c r="D253" s="95" t="n">
        <v>112</v>
      </c>
      <c r="E253" s="95" t="n">
        <v>139000</v>
      </c>
      <c r="F253" s="95" t="n">
        <v>27703</v>
      </c>
      <c r="G253" s="34" t="n">
        <v>4.36</v>
      </c>
      <c r="H253" s="34" t="n">
        <v>34.8</v>
      </c>
      <c r="J253" s="95" t="n">
        <f aca="false">IF(N(E253)&gt;0,E253,IF(N(F253)&gt;0,F253*가정!$B$5,0))</f>
        <v>139000</v>
      </c>
      <c r="K253" s="95" t="n">
        <f aca="false">IF(N(F253)&gt;0,F253,IF(N(E253)&gt;0,E253/가정!$B$5,0))</f>
        <v>27703</v>
      </c>
      <c r="L253" s="95" t="n">
        <f aca="false">IF(B253="CN",IF(N(I253)&gt;0,I253*가정!$B$3,K253*(1+가정!$B$6)),IF(N(H253)&gt;0,H253*가정!$B$3,J253*가정!$B$4))</f>
        <v>47424.744</v>
      </c>
      <c r="M253" s="95" t="n">
        <f aca="false">D253*J253</f>
        <v>15568000</v>
      </c>
      <c r="N253" s="95" t="n">
        <f aca="false">D253*K253</f>
        <v>3102736</v>
      </c>
      <c r="O253" s="95" t="n">
        <f aca="false">D253*L253</f>
        <v>5311571.328</v>
      </c>
      <c r="P253" s="34" t="str">
        <f aca="false">TRIM(IF(N(E253)&lt;=0,"택가보정 ","")&amp;IF(N(F253)&lt;=0,"원가보정 ","")&amp;IF(AND(B253&lt;&gt;"CN",N(H253)&lt;=0),"공급가보정 ","")&amp;IF(AND(B253="CN",N(I253)&lt;=0),"중국공급가=원가+마진 ",""))</f>
        <v/>
      </c>
    </row>
    <row r="254" customFormat="false" ht="15" hidden="false" customHeight="true" outlineLevel="0" collapsed="false">
      <c r="A254" s="94" t="s">
        <v>1684</v>
      </c>
      <c r="B254" s="34" t="str">
        <f aca="false">IF(A254="100","HK",IF(A254="200","CN",IF(A254="300","TW","홀세일")))</f>
        <v>HK</v>
      </c>
      <c r="C254" s="94" t="s">
        <v>869</v>
      </c>
      <c r="D254" s="95" t="n">
        <v>260</v>
      </c>
      <c r="E254" s="95" t="n">
        <v>139000</v>
      </c>
      <c r="F254" s="95" t="n">
        <v>30200</v>
      </c>
      <c r="G254" s="34" t="n">
        <v>4.06</v>
      </c>
      <c r="H254" s="34" t="n">
        <v>34.8</v>
      </c>
      <c r="J254" s="95" t="n">
        <f aca="false">IF(N(E254)&gt;0,E254,IF(N(F254)&gt;0,F254*가정!$B$5,0))</f>
        <v>139000</v>
      </c>
      <c r="K254" s="95" t="n">
        <f aca="false">IF(N(F254)&gt;0,F254,IF(N(E254)&gt;0,E254/가정!$B$5,0))</f>
        <v>30200</v>
      </c>
      <c r="L254" s="95" t="n">
        <f aca="false">IF(B254="CN",IF(N(I254)&gt;0,I254*가정!$B$3,K254*(1+가정!$B$6)),IF(N(H254)&gt;0,H254*가정!$B$3,J254*가정!$B$4))</f>
        <v>47424.744</v>
      </c>
      <c r="M254" s="95" t="n">
        <f aca="false">D254*J254</f>
        <v>36140000</v>
      </c>
      <c r="N254" s="95" t="n">
        <f aca="false">D254*K254</f>
        <v>7852000</v>
      </c>
      <c r="O254" s="95" t="n">
        <f aca="false">D254*L254</f>
        <v>12330433.44</v>
      </c>
      <c r="P254" s="34" t="str">
        <f aca="false">TRIM(IF(N(E254)&lt;=0,"택가보정 ","")&amp;IF(N(F254)&lt;=0,"원가보정 ","")&amp;IF(AND(B254&lt;&gt;"CN",N(H254)&lt;=0),"공급가보정 ","")&amp;IF(AND(B254="CN",N(I254)&lt;=0),"중국공급가=원가+마진 ",""))</f>
        <v/>
      </c>
    </row>
    <row r="255" customFormat="false" ht="15" hidden="false" customHeight="true" outlineLevel="0" collapsed="false">
      <c r="A255" s="94" t="s">
        <v>1684</v>
      </c>
      <c r="B255" s="34" t="str">
        <f aca="false">IF(A255="100","HK",IF(A255="200","CN",IF(A255="300","TW","홀세일")))</f>
        <v>HK</v>
      </c>
      <c r="C255" s="94" t="s">
        <v>865</v>
      </c>
      <c r="D255" s="95" t="n">
        <v>360</v>
      </c>
      <c r="E255" s="95" t="n">
        <v>169000</v>
      </c>
      <c r="F255" s="95" t="n">
        <v>34900</v>
      </c>
      <c r="G255" s="34" t="n">
        <v>4.28</v>
      </c>
      <c r="H255" s="34" t="n">
        <v>42.3</v>
      </c>
      <c r="J255" s="95" t="n">
        <f aca="false">IF(N(E255)&gt;0,E255,IF(N(F255)&gt;0,F255*가정!$B$5,0))</f>
        <v>169000</v>
      </c>
      <c r="K255" s="95" t="n">
        <f aca="false">IF(N(F255)&gt;0,F255,IF(N(E255)&gt;0,E255/가정!$B$5,0))</f>
        <v>34900</v>
      </c>
      <c r="L255" s="95" t="n">
        <f aca="false">IF(B255="CN",IF(N(I255)&gt;0,I255*가정!$B$3,K255*(1+가정!$B$6)),IF(N(H255)&gt;0,H255*가정!$B$3,J255*가정!$B$4))</f>
        <v>57645.594</v>
      </c>
      <c r="M255" s="95" t="n">
        <f aca="false">D255*J255</f>
        <v>60840000</v>
      </c>
      <c r="N255" s="95" t="n">
        <f aca="false">D255*K255</f>
        <v>12564000</v>
      </c>
      <c r="O255" s="95" t="n">
        <f aca="false">D255*L255</f>
        <v>20752413.84</v>
      </c>
      <c r="P255" s="34" t="str">
        <f aca="false">TRIM(IF(N(E255)&lt;=0,"택가보정 ","")&amp;IF(N(F255)&lt;=0,"원가보정 ","")&amp;IF(AND(B255&lt;&gt;"CN",N(H255)&lt;=0),"공급가보정 ","")&amp;IF(AND(B255="CN",N(I255)&lt;=0),"중국공급가=원가+마진 ",""))</f>
        <v/>
      </c>
    </row>
    <row r="256" customFormat="false" ht="15" hidden="false" customHeight="true" outlineLevel="0" collapsed="false">
      <c r="A256" s="94" t="s">
        <v>1692</v>
      </c>
      <c r="B256" s="34" t="str">
        <f aca="false">IF(A256="100","HK",IF(A256="200","CN",IF(A256="300","TW","홀세일")))</f>
        <v>홀세일</v>
      </c>
      <c r="C256" s="94" t="s">
        <v>865</v>
      </c>
      <c r="D256" s="95" t="n">
        <v>41</v>
      </c>
      <c r="E256" s="95" t="n">
        <v>169000</v>
      </c>
      <c r="F256" s="95" t="n">
        <v>34900</v>
      </c>
      <c r="G256" s="34" t="n">
        <v>4.28</v>
      </c>
      <c r="H256" s="34" t="n">
        <v>42.3</v>
      </c>
      <c r="J256" s="95" t="n">
        <f aca="false">IF(N(E256)&gt;0,E256,IF(N(F256)&gt;0,F256*가정!$B$5,0))</f>
        <v>169000</v>
      </c>
      <c r="K256" s="95" t="n">
        <f aca="false">IF(N(F256)&gt;0,F256,IF(N(E256)&gt;0,E256/가정!$B$5,0))</f>
        <v>34900</v>
      </c>
      <c r="L256" s="95" t="n">
        <f aca="false">IF(B256="CN",IF(N(I256)&gt;0,I256*가정!$B$3,K256*(1+가정!$B$6)),IF(N(H256)&gt;0,H256*가정!$B$3,J256*가정!$B$4))</f>
        <v>57645.594</v>
      </c>
      <c r="M256" s="95" t="n">
        <f aca="false">D256*J256</f>
        <v>6929000</v>
      </c>
      <c r="N256" s="95" t="n">
        <f aca="false">D256*K256</f>
        <v>1430900</v>
      </c>
      <c r="O256" s="95" t="n">
        <f aca="false">D256*L256</f>
        <v>2363469.354</v>
      </c>
      <c r="P256" s="34" t="str">
        <f aca="false">TRIM(IF(N(E256)&lt;=0,"택가보정 ","")&amp;IF(N(F256)&lt;=0,"원가보정 ","")&amp;IF(AND(B256&lt;&gt;"CN",N(H256)&lt;=0),"공급가보정 ","")&amp;IF(AND(B256="CN",N(I256)&lt;=0),"중국공급가=원가+마진 ",""))</f>
        <v/>
      </c>
    </row>
    <row r="257" customFormat="false" ht="15.75" hidden="false" customHeight="true" outlineLevel="0" collapsed="false">
      <c r="A257" s="94" t="s">
        <v>1685</v>
      </c>
      <c r="B257" s="34" t="str">
        <f aca="false">IF(A257="100","HK",IF(A257="200","CN",IF(A257="300","TW","홀세일")))</f>
        <v>CN</v>
      </c>
      <c r="C257" s="94" t="s">
        <v>1098</v>
      </c>
      <c r="D257" s="95" t="n">
        <v>112</v>
      </c>
      <c r="E257" s="95" t="n">
        <v>219000</v>
      </c>
      <c r="F257" s="95" t="n">
        <v>43226</v>
      </c>
      <c r="G257" s="34" t="n">
        <v>4</v>
      </c>
      <c r="H257" s="34" t="n">
        <v>58.2</v>
      </c>
      <c r="J257" s="95" t="n">
        <f aca="false">IF(N(E257)&gt;0,E257,IF(N(F257)&gt;0,F257*가정!$B$5,0))</f>
        <v>219000</v>
      </c>
      <c r="K257" s="95" t="n">
        <f aca="false">IF(N(F257)&gt;0,F257,IF(N(E257)&gt;0,E257/가정!$B$5,0))</f>
        <v>43226</v>
      </c>
      <c r="L257" s="95" t="n">
        <f aca="false">IF(B257="CN",IF(N(I257)&gt;0,I257*가정!$B$3,K257*(1+가정!$B$6)),IF(N(H257)&gt;0,H257*가정!$B$3,J257*가정!$B$4))</f>
        <v>45387.3</v>
      </c>
      <c r="M257" s="95" t="n">
        <f aca="false">D257*J257</f>
        <v>24528000</v>
      </c>
      <c r="N257" s="95" t="n">
        <f aca="false">D257*K257</f>
        <v>4841312</v>
      </c>
      <c r="O257" s="95" t="n">
        <f aca="false">D257*L257</f>
        <v>5083377.6</v>
      </c>
      <c r="P257" s="34" t="str">
        <f aca="false">TRIM(IF(N(E257)&lt;=0,"택가보정 ","")&amp;IF(N(F257)&lt;=0,"원가보정 ","")&amp;IF(AND(B257&lt;&gt;"CN",N(H257)&lt;=0),"공급가보정 ","")&amp;IF(AND(B257="CN",N(I257)&lt;=0),"중국공급가=원가+마진 ",""))</f>
        <v>중국공급가=원가+마진</v>
      </c>
    </row>
    <row r="258" customFormat="false" ht="15" hidden="false" customHeight="true" outlineLevel="0" collapsed="false">
      <c r="A258" s="94" t="s">
        <v>1688</v>
      </c>
      <c r="B258" s="34" t="str">
        <f aca="false">IF(A258="100","HK",IF(A258="200","CN",IF(A258="300","TW","홀세일")))</f>
        <v>홀세일</v>
      </c>
      <c r="C258" s="94" t="s">
        <v>1098</v>
      </c>
      <c r="D258" s="95" t="n">
        <v>15</v>
      </c>
      <c r="E258" s="95" t="n">
        <v>219000</v>
      </c>
      <c r="F258" s="95" t="n">
        <v>43226</v>
      </c>
      <c r="G258" s="34" t="n">
        <v>4</v>
      </c>
      <c r="H258" s="34" t="n">
        <v>58.2</v>
      </c>
      <c r="J258" s="95" t="n">
        <f aca="false">IF(N(E258)&gt;0,E258,IF(N(F258)&gt;0,F258*가정!$B$5,0))</f>
        <v>219000</v>
      </c>
      <c r="K258" s="95" t="n">
        <f aca="false">IF(N(F258)&gt;0,F258,IF(N(E258)&gt;0,E258/가정!$B$5,0))</f>
        <v>43226</v>
      </c>
      <c r="L258" s="95" t="n">
        <f aca="false">IF(B258="CN",IF(N(I258)&gt;0,I258*가정!$B$3,K258*(1+가정!$B$6)),IF(N(H258)&gt;0,H258*가정!$B$3,J258*가정!$B$4))</f>
        <v>79313.796</v>
      </c>
      <c r="M258" s="95" t="n">
        <f aca="false">D258*J258</f>
        <v>3285000</v>
      </c>
      <c r="N258" s="95" t="n">
        <f aca="false">D258*K258</f>
        <v>648390</v>
      </c>
      <c r="O258" s="95" t="n">
        <f aca="false">D258*L258</f>
        <v>1189706.94</v>
      </c>
      <c r="P258" s="34" t="str">
        <f aca="false">TRIM(IF(N(E258)&lt;=0,"택가보정 ","")&amp;IF(N(F258)&lt;=0,"원가보정 ","")&amp;IF(AND(B258&lt;&gt;"CN",N(H258)&lt;=0),"공급가보정 ","")&amp;IF(AND(B258="CN",N(I258)&lt;=0),"중국공급가=원가+마진 ",""))</f>
        <v/>
      </c>
    </row>
    <row r="259" customFormat="false" ht="15" hidden="false" customHeight="true" outlineLevel="0" collapsed="false">
      <c r="A259" s="94" t="s">
        <v>1692</v>
      </c>
      <c r="B259" s="34" t="str">
        <f aca="false">IF(A259="100","HK",IF(A259="200","CN",IF(A259="300","TW","홀세일")))</f>
        <v>홀세일</v>
      </c>
      <c r="C259" s="94" t="s">
        <v>1098</v>
      </c>
      <c r="D259" s="95" t="n">
        <v>41</v>
      </c>
      <c r="E259" s="95" t="n">
        <v>219000</v>
      </c>
      <c r="F259" s="95" t="n">
        <v>43226</v>
      </c>
      <c r="G259" s="34" t="n">
        <v>4</v>
      </c>
      <c r="H259" s="34" t="n">
        <v>58.2</v>
      </c>
      <c r="J259" s="95" t="n">
        <f aca="false">IF(N(E259)&gt;0,E259,IF(N(F259)&gt;0,F259*가정!$B$5,0))</f>
        <v>219000</v>
      </c>
      <c r="K259" s="95" t="n">
        <f aca="false">IF(N(F259)&gt;0,F259,IF(N(E259)&gt;0,E259/가정!$B$5,0))</f>
        <v>43226</v>
      </c>
      <c r="L259" s="95" t="n">
        <f aca="false">IF(B259="CN",IF(N(I259)&gt;0,I259*가정!$B$3,K259*(1+가정!$B$6)),IF(N(H259)&gt;0,H259*가정!$B$3,J259*가정!$B$4))</f>
        <v>79313.796</v>
      </c>
      <c r="M259" s="95" t="n">
        <f aca="false">D259*J259</f>
        <v>8979000</v>
      </c>
      <c r="N259" s="95" t="n">
        <f aca="false">D259*K259</f>
        <v>1772266</v>
      </c>
      <c r="O259" s="95" t="n">
        <f aca="false">D259*L259</f>
        <v>3251865.636</v>
      </c>
      <c r="P259" s="34" t="str">
        <f aca="false">TRIM(IF(N(E259)&lt;=0,"택가보정 ","")&amp;IF(N(F259)&lt;=0,"원가보정 ","")&amp;IF(AND(B259&lt;&gt;"CN",N(H259)&lt;=0),"공급가보정 ","")&amp;IF(AND(B259="CN",N(I259)&lt;=0),"중국공급가=원가+마진 ",""))</f>
        <v/>
      </c>
    </row>
    <row r="260" customFormat="false" ht="15" hidden="false" customHeight="true" outlineLevel="0" collapsed="false">
      <c r="A260" s="94" t="s">
        <v>1690</v>
      </c>
      <c r="B260" s="34" t="str">
        <f aca="false">IF(A260="100","HK",IF(A260="200","CN",IF(A260="300","TW","홀세일")))</f>
        <v>홀세일</v>
      </c>
      <c r="C260" s="94" t="s">
        <v>1098</v>
      </c>
      <c r="D260" s="95" t="n">
        <v>216</v>
      </c>
      <c r="E260" s="95" t="n">
        <v>219000</v>
      </c>
      <c r="F260" s="95" t="n">
        <v>43226</v>
      </c>
      <c r="G260" s="34" t="n">
        <v>4</v>
      </c>
      <c r="H260" s="34" t="n">
        <v>58.2</v>
      </c>
      <c r="J260" s="95" t="n">
        <f aca="false">IF(N(E260)&gt;0,E260,IF(N(F260)&gt;0,F260*가정!$B$5,0))</f>
        <v>219000</v>
      </c>
      <c r="K260" s="95" t="n">
        <f aca="false">IF(N(F260)&gt;0,F260,IF(N(E260)&gt;0,E260/가정!$B$5,0))</f>
        <v>43226</v>
      </c>
      <c r="L260" s="95" t="n">
        <f aca="false">IF(B260="CN",IF(N(I260)&gt;0,I260*가정!$B$3,K260*(1+가정!$B$6)),IF(N(H260)&gt;0,H260*가정!$B$3,J260*가정!$B$4))</f>
        <v>79313.796</v>
      </c>
      <c r="M260" s="95" t="n">
        <f aca="false">D260*J260</f>
        <v>47304000</v>
      </c>
      <c r="N260" s="95" t="n">
        <f aca="false">D260*K260</f>
        <v>9336816</v>
      </c>
      <c r="O260" s="95" t="n">
        <f aca="false">D260*L260</f>
        <v>17131779.936</v>
      </c>
      <c r="P260" s="34" t="str">
        <f aca="false">TRIM(IF(N(E260)&lt;=0,"택가보정 ","")&amp;IF(N(F260)&lt;=0,"원가보정 ","")&amp;IF(AND(B260&lt;&gt;"CN",N(H260)&lt;=0),"공급가보정 ","")&amp;IF(AND(B260="CN",N(I260)&lt;=0),"중국공급가=원가+마진 ",""))</f>
        <v/>
      </c>
    </row>
    <row r="261" customFormat="false" ht="15" hidden="false" customHeight="true" outlineLevel="0" collapsed="false">
      <c r="A261" s="94" t="s">
        <v>1684</v>
      </c>
      <c r="B261" s="34" t="str">
        <f aca="false">IF(A261="100","HK",IF(A261="200","CN",IF(A261="300","TW","홀세일")))</f>
        <v>HK</v>
      </c>
      <c r="C261" s="94" t="s">
        <v>873</v>
      </c>
      <c r="D261" s="95" t="n">
        <v>250</v>
      </c>
      <c r="E261" s="95" t="n">
        <v>129000</v>
      </c>
      <c r="F261" s="95" t="n">
        <v>31400</v>
      </c>
      <c r="G261" s="34" t="n">
        <v>4.16</v>
      </c>
      <c r="H261" s="34" t="n">
        <v>34.3</v>
      </c>
      <c r="J261" s="95" t="n">
        <f aca="false">IF(N(E261)&gt;0,E261,IF(N(F261)&gt;0,F261*가정!$B$5,0))</f>
        <v>129000</v>
      </c>
      <c r="K261" s="95" t="n">
        <f aca="false">IF(N(F261)&gt;0,F261,IF(N(E261)&gt;0,E261/가정!$B$5,0))</f>
        <v>31400</v>
      </c>
      <c r="L261" s="95" t="n">
        <f aca="false">IF(B261="CN",IF(N(I261)&gt;0,I261*가정!$B$3,K261*(1+가정!$B$6)),IF(N(H261)&gt;0,H261*가정!$B$3,J261*가정!$B$4))</f>
        <v>46743.354</v>
      </c>
      <c r="M261" s="95" t="n">
        <f aca="false">D261*J261</f>
        <v>32250000</v>
      </c>
      <c r="N261" s="95" t="n">
        <f aca="false">D261*K261</f>
        <v>7850000</v>
      </c>
      <c r="O261" s="95" t="n">
        <f aca="false">D261*L261</f>
        <v>11685838.5</v>
      </c>
      <c r="P261" s="34" t="str">
        <f aca="false">TRIM(IF(N(E261)&lt;=0,"택가보정 ","")&amp;IF(N(F261)&lt;=0,"원가보정 ","")&amp;IF(AND(B261&lt;&gt;"CN",N(H261)&lt;=0),"공급가보정 ","")&amp;IF(AND(B261="CN",N(I261)&lt;=0),"중국공급가=원가+마진 ",""))</f>
        <v/>
      </c>
    </row>
    <row r="262" customFormat="false" ht="15" hidden="false" customHeight="true" outlineLevel="0" collapsed="false">
      <c r="A262" s="94" t="s">
        <v>1689</v>
      </c>
      <c r="B262" s="34" t="str">
        <f aca="false">IF(A262="100","HK",IF(A262="200","CN",IF(A262="300","TW","홀세일")))</f>
        <v>홀세일</v>
      </c>
      <c r="C262" s="94" t="s">
        <v>873</v>
      </c>
      <c r="D262" s="95" t="n">
        <v>30</v>
      </c>
      <c r="E262" s="95" t="n">
        <v>129000</v>
      </c>
      <c r="F262" s="95" t="n">
        <v>31400</v>
      </c>
      <c r="G262" s="34" t="n">
        <v>4.16</v>
      </c>
      <c r="H262" s="34" t="n">
        <v>34.3</v>
      </c>
      <c r="J262" s="95" t="n">
        <f aca="false">IF(N(E262)&gt;0,E262,IF(N(F262)&gt;0,F262*가정!$B$5,0))</f>
        <v>129000</v>
      </c>
      <c r="K262" s="95" t="n">
        <f aca="false">IF(N(F262)&gt;0,F262,IF(N(E262)&gt;0,E262/가정!$B$5,0))</f>
        <v>31400</v>
      </c>
      <c r="L262" s="95" t="n">
        <f aca="false">IF(B262="CN",IF(N(I262)&gt;0,I262*가정!$B$3,K262*(1+가정!$B$6)),IF(N(H262)&gt;0,H262*가정!$B$3,J262*가정!$B$4))</f>
        <v>46743.354</v>
      </c>
      <c r="M262" s="95" t="n">
        <f aca="false">D262*J262</f>
        <v>3870000</v>
      </c>
      <c r="N262" s="95" t="n">
        <f aca="false">D262*K262</f>
        <v>942000</v>
      </c>
      <c r="O262" s="95" t="n">
        <f aca="false">D262*L262</f>
        <v>1402300.62</v>
      </c>
      <c r="P262" s="34" t="str">
        <f aca="false">TRIM(IF(N(E262)&lt;=0,"택가보정 ","")&amp;IF(N(F262)&lt;=0,"원가보정 ","")&amp;IF(AND(B262&lt;&gt;"CN",N(H262)&lt;=0),"공급가보정 ","")&amp;IF(AND(B262="CN",N(I262)&lt;=0),"중국공급가=원가+마진 ",""))</f>
        <v/>
      </c>
    </row>
    <row r="263" customFormat="false" ht="15" hidden="false" customHeight="true" outlineLevel="0" collapsed="false">
      <c r="A263" s="94" t="s">
        <v>1684</v>
      </c>
      <c r="B263" s="34" t="str">
        <f aca="false">IF(A263="100","HK",IF(A263="200","CN",IF(A263="300","TW","홀세일")))</f>
        <v>HK</v>
      </c>
      <c r="C263" s="94" t="s">
        <v>871</v>
      </c>
      <c r="D263" s="95" t="n">
        <v>300</v>
      </c>
      <c r="E263" s="95" t="n">
        <v>199000</v>
      </c>
      <c r="F263" s="95" t="n">
        <v>50641</v>
      </c>
      <c r="G263" s="34" t="n">
        <v>3.45</v>
      </c>
      <c r="H263" s="34" t="n">
        <v>52.9</v>
      </c>
      <c r="J263" s="95" t="n">
        <f aca="false">IF(N(E263)&gt;0,E263,IF(N(F263)&gt;0,F263*가정!$B$5,0))</f>
        <v>199000</v>
      </c>
      <c r="K263" s="95" t="n">
        <f aca="false">IF(N(F263)&gt;0,F263,IF(N(E263)&gt;0,E263/가정!$B$5,0))</f>
        <v>50641</v>
      </c>
      <c r="L263" s="95" t="n">
        <f aca="false">IF(B263="CN",IF(N(I263)&gt;0,I263*가정!$B$3,K263*(1+가정!$B$6)),IF(N(H263)&gt;0,H263*가정!$B$3,J263*가정!$B$4))</f>
        <v>72091.062</v>
      </c>
      <c r="M263" s="95" t="n">
        <f aca="false">D263*J263</f>
        <v>59700000</v>
      </c>
      <c r="N263" s="95" t="n">
        <f aca="false">D263*K263</f>
        <v>15192300</v>
      </c>
      <c r="O263" s="95" t="n">
        <f aca="false">D263*L263</f>
        <v>21627318.6</v>
      </c>
      <c r="P263" s="34" t="str">
        <f aca="false">TRIM(IF(N(E263)&lt;=0,"택가보정 ","")&amp;IF(N(F263)&lt;=0,"원가보정 ","")&amp;IF(AND(B263&lt;&gt;"CN",N(H263)&lt;=0),"공급가보정 ","")&amp;IF(AND(B263="CN",N(I263)&lt;=0),"중국공급가=원가+마진 ",""))</f>
        <v/>
      </c>
    </row>
    <row r="264" customFormat="false" ht="15.75" hidden="false" customHeight="true" outlineLevel="0" collapsed="false">
      <c r="A264" s="94" t="s">
        <v>1685</v>
      </c>
      <c r="B264" s="34" t="str">
        <f aca="false">IF(A264="100","HK",IF(A264="200","CN",IF(A264="300","TW","홀세일")))</f>
        <v>CN</v>
      </c>
      <c r="C264" s="94" t="s">
        <v>871</v>
      </c>
      <c r="D264" s="95" t="n">
        <v>196</v>
      </c>
      <c r="E264" s="95" t="n">
        <v>199000</v>
      </c>
      <c r="F264" s="95" t="n">
        <v>50641</v>
      </c>
      <c r="G264" s="34" t="n">
        <v>3.45</v>
      </c>
      <c r="H264" s="34" t="n">
        <v>52.9</v>
      </c>
      <c r="J264" s="95" t="n">
        <f aca="false">IF(N(E264)&gt;0,E264,IF(N(F264)&gt;0,F264*가정!$B$5,0))</f>
        <v>199000</v>
      </c>
      <c r="K264" s="95" t="n">
        <f aca="false">IF(N(F264)&gt;0,F264,IF(N(E264)&gt;0,E264/가정!$B$5,0))</f>
        <v>50641</v>
      </c>
      <c r="L264" s="95" t="n">
        <f aca="false">IF(B264="CN",IF(N(I264)&gt;0,I264*가정!$B$3,K264*(1+가정!$B$6)),IF(N(H264)&gt;0,H264*가정!$B$3,J264*가정!$B$4))</f>
        <v>53173.05</v>
      </c>
      <c r="M264" s="95" t="n">
        <f aca="false">D264*J264</f>
        <v>39004000</v>
      </c>
      <c r="N264" s="95" t="n">
        <f aca="false">D264*K264</f>
        <v>9925636</v>
      </c>
      <c r="O264" s="95" t="n">
        <f aca="false">D264*L264</f>
        <v>10421917.8</v>
      </c>
      <c r="P264" s="34" t="str">
        <f aca="false">TRIM(IF(N(E264)&lt;=0,"택가보정 ","")&amp;IF(N(F264)&lt;=0,"원가보정 ","")&amp;IF(AND(B264&lt;&gt;"CN",N(H264)&lt;=0),"공급가보정 ","")&amp;IF(AND(B264="CN",N(I264)&lt;=0),"중국공급가=원가+마진 ",""))</f>
        <v>중국공급가=원가+마진</v>
      </c>
    </row>
    <row r="265" customFormat="false" ht="15" hidden="false" customHeight="true" outlineLevel="0" collapsed="false">
      <c r="A265" s="94" t="s">
        <v>1688</v>
      </c>
      <c r="B265" s="34" t="str">
        <f aca="false">IF(A265="100","HK",IF(A265="200","CN",IF(A265="300","TW","홀세일")))</f>
        <v>홀세일</v>
      </c>
      <c r="C265" s="94" t="s">
        <v>871</v>
      </c>
      <c r="D265" s="95" t="n">
        <v>15</v>
      </c>
      <c r="E265" s="95" t="n">
        <v>199000</v>
      </c>
      <c r="F265" s="95" t="n">
        <v>50641</v>
      </c>
      <c r="G265" s="34" t="n">
        <v>3.45</v>
      </c>
      <c r="H265" s="34" t="n">
        <v>52.9</v>
      </c>
      <c r="J265" s="95" t="n">
        <f aca="false">IF(N(E265)&gt;0,E265,IF(N(F265)&gt;0,F265*가정!$B$5,0))</f>
        <v>199000</v>
      </c>
      <c r="K265" s="95" t="n">
        <f aca="false">IF(N(F265)&gt;0,F265,IF(N(E265)&gt;0,E265/가정!$B$5,0))</f>
        <v>50641</v>
      </c>
      <c r="L265" s="95" t="n">
        <f aca="false">IF(B265="CN",IF(N(I265)&gt;0,I265*가정!$B$3,K265*(1+가정!$B$6)),IF(N(H265)&gt;0,H265*가정!$B$3,J265*가정!$B$4))</f>
        <v>72091.062</v>
      </c>
      <c r="M265" s="95" t="n">
        <f aca="false">D265*J265</f>
        <v>2985000</v>
      </c>
      <c r="N265" s="95" t="n">
        <f aca="false">D265*K265</f>
        <v>759615</v>
      </c>
      <c r="O265" s="95" t="n">
        <f aca="false">D265*L265</f>
        <v>1081365.93</v>
      </c>
      <c r="P265" s="34" t="str">
        <f aca="false">TRIM(IF(N(E265)&lt;=0,"택가보정 ","")&amp;IF(N(F265)&lt;=0,"원가보정 ","")&amp;IF(AND(B265&lt;&gt;"CN",N(H265)&lt;=0),"공급가보정 ","")&amp;IF(AND(B265="CN",N(I265)&lt;=0),"중국공급가=원가+마진 ",""))</f>
        <v/>
      </c>
    </row>
    <row r="266" customFormat="false" ht="15" hidden="false" customHeight="true" outlineLevel="0" collapsed="false">
      <c r="A266" s="94" t="s">
        <v>1692</v>
      </c>
      <c r="B266" s="34" t="str">
        <f aca="false">IF(A266="100","HK",IF(A266="200","CN",IF(A266="300","TW","홀세일")))</f>
        <v>홀세일</v>
      </c>
      <c r="C266" s="94" t="s">
        <v>871</v>
      </c>
      <c r="D266" s="95" t="n">
        <v>51</v>
      </c>
      <c r="E266" s="95" t="n">
        <v>199000</v>
      </c>
      <c r="F266" s="95" t="n">
        <v>50641</v>
      </c>
      <c r="G266" s="34" t="n">
        <v>3.45</v>
      </c>
      <c r="H266" s="34" t="n">
        <v>52.9</v>
      </c>
      <c r="J266" s="95" t="n">
        <f aca="false">IF(N(E266)&gt;0,E266,IF(N(F266)&gt;0,F266*가정!$B$5,0))</f>
        <v>199000</v>
      </c>
      <c r="K266" s="95" t="n">
        <f aca="false">IF(N(F266)&gt;0,F266,IF(N(E266)&gt;0,E266/가정!$B$5,0))</f>
        <v>50641</v>
      </c>
      <c r="L266" s="95" t="n">
        <f aca="false">IF(B266="CN",IF(N(I266)&gt;0,I266*가정!$B$3,K266*(1+가정!$B$6)),IF(N(H266)&gt;0,H266*가정!$B$3,J266*가정!$B$4))</f>
        <v>72091.062</v>
      </c>
      <c r="M266" s="95" t="n">
        <f aca="false">D266*J266</f>
        <v>10149000</v>
      </c>
      <c r="N266" s="95" t="n">
        <f aca="false">D266*K266</f>
        <v>2582691</v>
      </c>
      <c r="O266" s="95" t="n">
        <f aca="false">D266*L266</f>
        <v>3676644.162</v>
      </c>
      <c r="P266" s="34" t="str">
        <f aca="false">TRIM(IF(N(E266)&lt;=0,"택가보정 ","")&amp;IF(N(F266)&lt;=0,"원가보정 ","")&amp;IF(AND(B266&lt;&gt;"CN",N(H266)&lt;=0),"공급가보정 ","")&amp;IF(AND(B266="CN",N(I266)&lt;=0),"중국공급가=원가+마진 ",""))</f>
        <v/>
      </c>
    </row>
    <row r="267" customFormat="false" ht="15" hidden="false" customHeight="true" outlineLevel="0" collapsed="false">
      <c r="A267" s="94" t="s">
        <v>1689</v>
      </c>
      <c r="B267" s="34" t="str">
        <f aca="false">IF(A267="100","HK",IF(A267="200","CN",IF(A267="300","TW","홀세일")))</f>
        <v>홀세일</v>
      </c>
      <c r="C267" s="94" t="s">
        <v>871</v>
      </c>
      <c r="D267" s="95" t="n">
        <v>30</v>
      </c>
      <c r="E267" s="95" t="n">
        <v>199000</v>
      </c>
      <c r="F267" s="95" t="n">
        <v>50641</v>
      </c>
      <c r="G267" s="34" t="n">
        <v>3.45</v>
      </c>
      <c r="H267" s="34" t="n">
        <v>52.9</v>
      </c>
      <c r="J267" s="95" t="n">
        <f aca="false">IF(N(E267)&gt;0,E267,IF(N(F267)&gt;0,F267*가정!$B$5,0))</f>
        <v>199000</v>
      </c>
      <c r="K267" s="95" t="n">
        <f aca="false">IF(N(F267)&gt;0,F267,IF(N(E267)&gt;0,E267/가정!$B$5,0))</f>
        <v>50641</v>
      </c>
      <c r="L267" s="95" t="n">
        <f aca="false">IF(B267="CN",IF(N(I267)&gt;0,I267*가정!$B$3,K267*(1+가정!$B$6)),IF(N(H267)&gt;0,H267*가정!$B$3,J267*가정!$B$4))</f>
        <v>72091.062</v>
      </c>
      <c r="M267" s="95" t="n">
        <f aca="false">D267*J267</f>
        <v>5970000</v>
      </c>
      <c r="N267" s="95" t="n">
        <f aca="false">D267*K267</f>
        <v>1519230</v>
      </c>
      <c r="O267" s="95" t="n">
        <f aca="false">D267*L267</f>
        <v>2162731.86</v>
      </c>
      <c r="P267" s="34" t="str">
        <f aca="false">TRIM(IF(N(E267)&lt;=0,"택가보정 ","")&amp;IF(N(F267)&lt;=0,"원가보정 ","")&amp;IF(AND(B267&lt;&gt;"CN",N(H267)&lt;=0),"공급가보정 ","")&amp;IF(AND(B267="CN",N(I267)&lt;=0),"중국공급가=원가+마진 ",""))</f>
        <v/>
      </c>
    </row>
    <row r="268" customFormat="false" ht="15" hidden="false" customHeight="true" outlineLevel="0" collapsed="false">
      <c r="A268" s="94" t="s">
        <v>1684</v>
      </c>
      <c r="B268" s="34" t="str">
        <f aca="false">IF(A268="100","HK",IF(A268="200","CN",IF(A268="300","TW","홀세일")))</f>
        <v>HK</v>
      </c>
      <c r="C268" s="94" t="s">
        <v>875</v>
      </c>
      <c r="D268" s="95" t="n">
        <v>180</v>
      </c>
      <c r="E268" s="95" t="n">
        <v>169000</v>
      </c>
      <c r="F268" s="95" t="n">
        <v>37600</v>
      </c>
      <c r="G268" s="34" t="n">
        <v>4.09</v>
      </c>
      <c r="H268" s="34" t="n">
        <v>42.3</v>
      </c>
      <c r="J268" s="95" t="n">
        <f aca="false">IF(N(E268)&gt;0,E268,IF(N(F268)&gt;0,F268*가정!$B$5,0))</f>
        <v>169000</v>
      </c>
      <c r="K268" s="95" t="n">
        <f aca="false">IF(N(F268)&gt;0,F268,IF(N(E268)&gt;0,E268/가정!$B$5,0))</f>
        <v>37600</v>
      </c>
      <c r="L268" s="95" t="n">
        <f aca="false">IF(B268="CN",IF(N(I268)&gt;0,I268*가정!$B$3,K268*(1+가정!$B$6)),IF(N(H268)&gt;0,H268*가정!$B$3,J268*가정!$B$4))</f>
        <v>57645.594</v>
      </c>
      <c r="M268" s="95" t="n">
        <f aca="false">D268*J268</f>
        <v>30420000</v>
      </c>
      <c r="N268" s="95" t="n">
        <f aca="false">D268*K268</f>
        <v>6768000</v>
      </c>
      <c r="O268" s="95" t="n">
        <f aca="false">D268*L268</f>
        <v>10376206.92</v>
      </c>
      <c r="P268" s="34" t="str">
        <f aca="false">TRIM(IF(N(E268)&lt;=0,"택가보정 ","")&amp;IF(N(F268)&lt;=0,"원가보정 ","")&amp;IF(AND(B268&lt;&gt;"CN",N(H268)&lt;=0),"공급가보정 ","")&amp;IF(AND(B268="CN",N(I268)&lt;=0),"중국공급가=원가+마진 ",""))</f>
        <v/>
      </c>
    </row>
    <row r="269" customFormat="false" ht="15" hidden="false" customHeight="true" outlineLevel="0" collapsed="false">
      <c r="A269" s="94" t="s">
        <v>1692</v>
      </c>
      <c r="B269" s="34" t="str">
        <f aca="false">IF(A269="100","HK",IF(A269="200","CN",IF(A269="300","TW","홀세일")))</f>
        <v>홀세일</v>
      </c>
      <c r="C269" s="94" t="s">
        <v>875</v>
      </c>
      <c r="D269" s="95" t="n">
        <v>51</v>
      </c>
      <c r="E269" s="95" t="n">
        <v>169000</v>
      </c>
      <c r="F269" s="95" t="n">
        <v>37600</v>
      </c>
      <c r="G269" s="34" t="n">
        <v>4.09</v>
      </c>
      <c r="H269" s="34" t="n">
        <v>42.3</v>
      </c>
      <c r="J269" s="95" t="n">
        <f aca="false">IF(N(E269)&gt;0,E269,IF(N(F269)&gt;0,F269*가정!$B$5,0))</f>
        <v>169000</v>
      </c>
      <c r="K269" s="95" t="n">
        <f aca="false">IF(N(F269)&gt;0,F269,IF(N(E269)&gt;0,E269/가정!$B$5,0))</f>
        <v>37600</v>
      </c>
      <c r="L269" s="95" t="n">
        <f aca="false">IF(B269="CN",IF(N(I269)&gt;0,I269*가정!$B$3,K269*(1+가정!$B$6)),IF(N(H269)&gt;0,H269*가정!$B$3,J269*가정!$B$4))</f>
        <v>57645.594</v>
      </c>
      <c r="M269" s="95" t="n">
        <f aca="false">D269*J269</f>
        <v>8619000</v>
      </c>
      <c r="N269" s="95" t="n">
        <f aca="false">D269*K269</f>
        <v>1917600</v>
      </c>
      <c r="O269" s="95" t="n">
        <f aca="false">D269*L269</f>
        <v>2939925.294</v>
      </c>
      <c r="P269" s="34" t="str">
        <f aca="false">TRIM(IF(N(E269)&lt;=0,"택가보정 ","")&amp;IF(N(F269)&lt;=0,"원가보정 ","")&amp;IF(AND(B269&lt;&gt;"CN",N(H269)&lt;=0),"공급가보정 ","")&amp;IF(AND(B269="CN",N(I269)&lt;=0),"중국공급가=원가+마진 ",""))</f>
        <v/>
      </c>
    </row>
    <row r="270" customFormat="false" ht="15" hidden="false" customHeight="true" outlineLevel="0" collapsed="false">
      <c r="A270" s="94" t="s">
        <v>1684</v>
      </c>
      <c r="B270" s="34" t="str">
        <f aca="false">IF(A270="100","HK",IF(A270="200","CN",IF(A270="300","TW","홀세일")))</f>
        <v>HK</v>
      </c>
      <c r="C270" s="94" t="s">
        <v>286</v>
      </c>
      <c r="D270" s="95" t="n">
        <v>430</v>
      </c>
      <c r="E270" s="95" t="n">
        <v>89000</v>
      </c>
      <c r="F270" s="95" t="n">
        <v>20680</v>
      </c>
      <c r="G270" s="34" t="n">
        <v>3.69</v>
      </c>
      <c r="H270" s="34" t="n">
        <v>22.3</v>
      </c>
      <c r="J270" s="95" t="n">
        <f aca="false">IF(N(E270)&gt;0,E270,IF(N(F270)&gt;0,F270*가정!$B$5,0))</f>
        <v>89000</v>
      </c>
      <c r="K270" s="95" t="n">
        <f aca="false">IF(N(F270)&gt;0,F270,IF(N(E270)&gt;0,E270/가정!$B$5,0))</f>
        <v>20680</v>
      </c>
      <c r="L270" s="95" t="n">
        <f aca="false">IF(B270="CN",IF(N(I270)&gt;0,I270*가정!$B$3,K270*(1+가정!$B$6)),IF(N(H270)&gt;0,H270*가정!$B$3,J270*가정!$B$4))</f>
        <v>30389.994</v>
      </c>
      <c r="M270" s="95" t="n">
        <f aca="false">D270*J270</f>
        <v>38270000</v>
      </c>
      <c r="N270" s="95" t="n">
        <f aca="false">D270*K270</f>
        <v>8892400</v>
      </c>
      <c r="O270" s="95" t="n">
        <f aca="false">D270*L270</f>
        <v>13067697.42</v>
      </c>
      <c r="P270" s="34" t="str">
        <f aca="false">TRIM(IF(N(E270)&lt;=0,"택가보정 ","")&amp;IF(N(F270)&lt;=0,"원가보정 ","")&amp;IF(AND(B270&lt;&gt;"CN",N(H270)&lt;=0),"공급가보정 ","")&amp;IF(AND(B270="CN",N(I270)&lt;=0),"중국공급가=원가+마진 ",""))</f>
        <v/>
      </c>
    </row>
    <row r="271" customFormat="false" ht="15.75" hidden="false" customHeight="true" outlineLevel="0" collapsed="false">
      <c r="A271" s="94" t="s">
        <v>1685</v>
      </c>
      <c r="B271" s="34" t="str">
        <f aca="false">IF(A271="100","HK",IF(A271="200","CN",IF(A271="300","TW","홀세일")))</f>
        <v>CN</v>
      </c>
      <c r="C271" s="94" t="s">
        <v>286</v>
      </c>
      <c r="D271" s="95" t="n">
        <v>764</v>
      </c>
      <c r="E271" s="95" t="n">
        <v>89000</v>
      </c>
      <c r="F271" s="95" t="n">
        <v>20680</v>
      </c>
      <c r="G271" s="34" t="n">
        <v>3.69</v>
      </c>
      <c r="H271" s="34" t="n">
        <v>22.3</v>
      </c>
      <c r="J271" s="95" t="n">
        <f aca="false">IF(N(E271)&gt;0,E271,IF(N(F271)&gt;0,F271*가정!$B$5,0))</f>
        <v>89000</v>
      </c>
      <c r="K271" s="95" t="n">
        <f aca="false">IF(N(F271)&gt;0,F271,IF(N(E271)&gt;0,E271/가정!$B$5,0))</f>
        <v>20680</v>
      </c>
      <c r="L271" s="95" t="n">
        <f aca="false">IF(B271="CN",IF(N(I271)&gt;0,I271*가정!$B$3,K271*(1+가정!$B$6)),IF(N(H271)&gt;0,H271*가정!$B$3,J271*가정!$B$4))</f>
        <v>21714</v>
      </c>
      <c r="M271" s="95" t="n">
        <f aca="false">D271*J271</f>
        <v>67996000</v>
      </c>
      <c r="N271" s="95" t="n">
        <f aca="false">D271*K271</f>
        <v>15799520</v>
      </c>
      <c r="O271" s="95" t="n">
        <f aca="false">D271*L271</f>
        <v>16589496</v>
      </c>
      <c r="P271" s="34" t="str">
        <f aca="false">TRIM(IF(N(E271)&lt;=0,"택가보정 ","")&amp;IF(N(F271)&lt;=0,"원가보정 ","")&amp;IF(AND(B271&lt;&gt;"CN",N(H271)&lt;=0),"공급가보정 ","")&amp;IF(AND(B271="CN",N(I271)&lt;=0),"중국공급가=원가+마진 ",""))</f>
        <v>중국공급가=원가+마진</v>
      </c>
    </row>
    <row r="272" customFormat="false" ht="15" hidden="false" customHeight="true" outlineLevel="0" collapsed="false">
      <c r="A272" s="94" t="s">
        <v>1686</v>
      </c>
      <c r="B272" s="34" t="str">
        <f aca="false">IF(A272="100","HK",IF(A272="200","CN",IF(A272="300","TW","홀세일")))</f>
        <v>TW</v>
      </c>
      <c r="C272" s="94" t="s">
        <v>286</v>
      </c>
      <c r="D272" s="95" t="n">
        <v>230</v>
      </c>
      <c r="E272" s="95" t="n">
        <v>89000</v>
      </c>
      <c r="F272" s="95" t="n">
        <v>20680</v>
      </c>
      <c r="G272" s="34" t="n">
        <v>3.69</v>
      </c>
      <c r="H272" s="34" t="n">
        <v>22.3</v>
      </c>
      <c r="J272" s="95" t="n">
        <f aca="false">IF(N(E272)&gt;0,E272,IF(N(F272)&gt;0,F272*가정!$B$5,0))</f>
        <v>89000</v>
      </c>
      <c r="K272" s="95" t="n">
        <f aca="false">IF(N(F272)&gt;0,F272,IF(N(E272)&gt;0,E272/가정!$B$5,0))</f>
        <v>20680</v>
      </c>
      <c r="L272" s="95" t="n">
        <f aca="false">IF(B272="CN",IF(N(I272)&gt;0,I272*가정!$B$3,K272*(1+가정!$B$6)),IF(N(H272)&gt;0,H272*가정!$B$3,J272*가정!$B$4))</f>
        <v>30389.994</v>
      </c>
      <c r="M272" s="95" t="n">
        <f aca="false">D272*J272</f>
        <v>20470000</v>
      </c>
      <c r="N272" s="95" t="n">
        <f aca="false">D272*K272</f>
        <v>4756400</v>
      </c>
      <c r="O272" s="95" t="n">
        <f aca="false">D272*L272</f>
        <v>6989698.62</v>
      </c>
      <c r="P272" s="34" t="str">
        <f aca="false">TRIM(IF(N(E272)&lt;=0,"택가보정 ","")&amp;IF(N(F272)&lt;=0,"원가보정 ","")&amp;IF(AND(B272&lt;&gt;"CN",N(H272)&lt;=0),"공급가보정 ","")&amp;IF(AND(B272="CN",N(I272)&lt;=0),"중국공급가=원가+마진 ",""))</f>
        <v/>
      </c>
    </row>
    <row r="273" customFormat="false" ht="15" hidden="false" customHeight="true" outlineLevel="0" collapsed="false">
      <c r="A273" s="94" t="s">
        <v>1688</v>
      </c>
      <c r="B273" s="34" t="str">
        <f aca="false">IF(A273="100","HK",IF(A273="200","CN",IF(A273="300","TW","홀세일")))</f>
        <v>홀세일</v>
      </c>
      <c r="C273" s="94" t="s">
        <v>286</v>
      </c>
      <c r="D273" s="95" t="n">
        <v>90</v>
      </c>
      <c r="E273" s="95" t="n">
        <v>89000</v>
      </c>
      <c r="F273" s="95" t="n">
        <v>20680</v>
      </c>
      <c r="G273" s="34" t="n">
        <v>3.69</v>
      </c>
      <c r="H273" s="34" t="n">
        <v>22.3</v>
      </c>
      <c r="J273" s="95" t="n">
        <f aca="false">IF(N(E273)&gt;0,E273,IF(N(F273)&gt;0,F273*가정!$B$5,0))</f>
        <v>89000</v>
      </c>
      <c r="K273" s="95" t="n">
        <f aca="false">IF(N(F273)&gt;0,F273,IF(N(E273)&gt;0,E273/가정!$B$5,0))</f>
        <v>20680</v>
      </c>
      <c r="L273" s="95" t="n">
        <f aca="false">IF(B273="CN",IF(N(I273)&gt;0,I273*가정!$B$3,K273*(1+가정!$B$6)),IF(N(H273)&gt;0,H273*가정!$B$3,J273*가정!$B$4))</f>
        <v>30389.994</v>
      </c>
      <c r="M273" s="95" t="n">
        <f aca="false">D273*J273</f>
        <v>8010000</v>
      </c>
      <c r="N273" s="95" t="n">
        <f aca="false">D273*K273</f>
        <v>1861200</v>
      </c>
      <c r="O273" s="95" t="n">
        <f aca="false">D273*L273</f>
        <v>2735099.46</v>
      </c>
      <c r="P273" s="34" t="str">
        <f aca="false">TRIM(IF(N(E273)&lt;=0,"택가보정 ","")&amp;IF(N(F273)&lt;=0,"원가보정 ","")&amp;IF(AND(B273&lt;&gt;"CN",N(H273)&lt;=0),"공급가보정 ","")&amp;IF(AND(B273="CN",N(I273)&lt;=0),"중국공급가=원가+마진 ",""))</f>
        <v/>
      </c>
    </row>
    <row r="274" customFormat="false" ht="15" hidden="false" customHeight="true" outlineLevel="0" collapsed="false">
      <c r="A274" s="94" t="s">
        <v>1692</v>
      </c>
      <c r="B274" s="34" t="str">
        <f aca="false">IF(A274="100","HK",IF(A274="200","CN",IF(A274="300","TW","홀세일")))</f>
        <v>홀세일</v>
      </c>
      <c r="C274" s="94" t="s">
        <v>286</v>
      </c>
      <c r="D274" s="95" t="n">
        <v>288</v>
      </c>
      <c r="E274" s="95" t="n">
        <v>89000</v>
      </c>
      <c r="F274" s="95" t="n">
        <v>20680</v>
      </c>
      <c r="G274" s="34" t="n">
        <v>3.69</v>
      </c>
      <c r="H274" s="34" t="n">
        <v>22.3</v>
      </c>
      <c r="J274" s="95" t="n">
        <f aca="false">IF(N(E274)&gt;0,E274,IF(N(F274)&gt;0,F274*가정!$B$5,0))</f>
        <v>89000</v>
      </c>
      <c r="K274" s="95" t="n">
        <f aca="false">IF(N(F274)&gt;0,F274,IF(N(E274)&gt;0,E274/가정!$B$5,0))</f>
        <v>20680</v>
      </c>
      <c r="L274" s="95" t="n">
        <f aca="false">IF(B274="CN",IF(N(I274)&gt;0,I274*가정!$B$3,K274*(1+가정!$B$6)),IF(N(H274)&gt;0,H274*가정!$B$3,J274*가정!$B$4))</f>
        <v>30389.994</v>
      </c>
      <c r="M274" s="95" t="n">
        <f aca="false">D274*J274</f>
        <v>25632000</v>
      </c>
      <c r="N274" s="95" t="n">
        <f aca="false">D274*K274</f>
        <v>5955840</v>
      </c>
      <c r="O274" s="95" t="n">
        <f aca="false">D274*L274</f>
        <v>8752318.272</v>
      </c>
      <c r="P274" s="34" t="str">
        <f aca="false">TRIM(IF(N(E274)&lt;=0,"택가보정 ","")&amp;IF(N(F274)&lt;=0,"원가보정 ","")&amp;IF(AND(B274&lt;&gt;"CN",N(H274)&lt;=0),"공급가보정 ","")&amp;IF(AND(B274="CN",N(I274)&lt;=0),"중국공급가=원가+마진 ",""))</f>
        <v/>
      </c>
    </row>
    <row r="275" customFormat="false" ht="15" hidden="false" customHeight="true" outlineLevel="0" collapsed="false">
      <c r="A275" s="94" t="s">
        <v>1689</v>
      </c>
      <c r="B275" s="34" t="str">
        <f aca="false">IF(A275="100","HK",IF(A275="200","CN",IF(A275="300","TW","홀세일")))</f>
        <v>홀세일</v>
      </c>
      <c r="C275" s="94" t="s">
        <v>286</v>
      </c>
      <c r="D275" s="95" t="n">
        <v>85</v>
      </c>
      <c r="E275" s="95" t="n">
        <v>89000</v>
      </c>
      <c r="F275" s="95" t="n">
        <v>20680</v>
      </c>
      <c r="G275" s="34" t="n">
        <v>3.69</v>
      </c>
      <c r="H275" s="34" t="n">
        <v>22.3</v>
      </c>
      <c r="J275" s="95" t="n">
        <f aca="false">IF(N(E275)&gt;0,E275,IF(N(F275)&gt;0,F275*가정!$B$5,0))</f>
        <v>89000</v>
      </c>
      <c r="K275" s="95" t="n">
        <f aca="false">IF(N(F275)&gt;0,F275,IF(N(E275)&gt;0,E275/가정!$B$5,0))</f>
        <v>20680</v>
      </c>
      <c r="L275" s="95" t="n">
        <f aca="false">IF(B275="CN",IF(N(I275)&gt;0,I275*가정!$B$3,K275*(1+가정!$B$6)),IF(N(H275)&gt;0,H275*가정!$B$3,J275*가정!$B$4))</f>
        <v>30389.994</v>
      </c>
      <c r="M275" s="95" t="n">
        <f aca="false">D275*J275</f>
        <v>7565000</v>
      </c>
      <c r="N275" s="95" t="n">
        <f aca="false">D275*K275</f>
        <v>1757800</v>
      </c>
      <c r="O275" s="95" t="n">
        <f aca="false">D275*L275</f>
        <v>2583149.49</v>
      </c>
      <c r="P275" s="34" t="str">
        <f aca="false">TRIM(IF(N(E275)&lt;=0,"택가보정 ","")&amp;IF(N(F275)&lt;=0,"원가보정 ","")&amp;IF(AND(B275&lt;&gt;"CN",N(H275)&lt;=0),"공급가보정 ","")&amp;IF(AND(B275="CN",N(I275)&lt;=0),"중국공급가=원가+마진 ",""))</f>
        <v/>
      </c>
    </row>
    <row r="276" customFormat="false" ht="15" hidden="false" customHeight="true" outlineLevel="0" collapsed="false">
      <c r="A276" s="94" t="s">
        <v>1684</v>
      </c>
      <c r="B276" s="34" t="str">
        <f aca="false">IF(A276="100","HK",IF(A276="200","CN",IF(A276="300","TW","홀세일")))</f>
        <v>HK</v>
      </c>
      <c r="C276" s="94" t="s">
        <v>288</v>
      </c>
      <c r="D276" s="95" t="n">
        <v>390</v>
      </c>
      <c r="E276" s="95" t="n">
        <v>109000</v>
      </c>
      <c r="F276" s="95" t="n">
        <v>24226</v>
      </c>
      <c r="G276" s="34" t="n">
        <v>3.89</v>
      </c>
      <c r="H276" s="34" t="n">
        <v>27.3</v>
      </c>
      <c r="J276" s="95" t="n">
        <f aca="false">IF(N(E276)&gt;0,E276,IF(N(F276)&gt;0,F276*가정!$B$5,0))</f>
        <v>109000</v>
      </c>
      <c r="K276" s="95" t="n">
        <f aca="false">IF(N(F276)&gt;0,F276,IF(N(E276)&gt;0,E276/가정!$B$5,0))</f>
        <v>24226</v>
      </c>
      <c r="L276" s="95" t="n">
        <f aca="false">IF(B276="CN",IF(N(I276)&gt;0,I276*가정!$B$3,K276*(1+가정!$B$6)),IF(N(H276)&gt;0,H276*가정!$B$3,J276*가정!$B$4))</f>
        <v>37203.894</v>
      </c>
      <c r="M276" s="95" t="n">
        <f aca="false">D276*J276</f>
        <v>42510000</v>
      </c>
      <c r="N276" s="95" t="n">
        <f aca="false">D276*K276</f>
        <v>9448140</v>
      </c>
      <c r="O276" s="95" t="n">
        <f aca="false">D276*L276</f>
        <v>14509518.66</v>
      </c>
      <c r="P276" s="34" t="str">
        <f aca="false">TRIM(IF(N(E276)&lt;=0,"택가보정 ","")&amp;IF(N(F276)&lt;=0,"원가보정 ","")&amp;IF(AND(B276&lt;&gt;"CN",N(H276)&lt;=0),"공급가보정 ","")&amp;IF(AND(B276="CN",N(I276)&lt;=0),"중국공급가=원가+마진 ",""))</f>
        <v/>
      </c>
    </row>
    <row r="277" customFormat="false" ht="15.75" hidden="false" customHeight="true" outlineLevel="0" collapsed="false">
      <c r="A277" s="94" t="s">
        <v>1685</v>
      </c>
      <c r="B277" s="34" t="str">
        <f aca="false">IF(A277="100","HK",IF(A277="200","CN",IF(A277="300","TW","홀세일")))</f>
        <v>CN</v>
      </c>
      <c r="C277" s="94" t="s">
        <v>288</v>
      </c>
      <c r="D277" s="95" t="n">
        <v>1199</v>
      </c>
      <c r="E277" s="95" t="n">
        <v>109000</v>
      </c>
      <c r="F277" s="95" t="n">
        <v>24226</v>
      </c>
      <c r="G277" s="34" t="n">
        <v>3.89</v>
      </c>
      <c r="H277" s="34" t="n">
        <v>27.3</v>
      </c>
      <c r="J277" s="95" t="n">
        <f aca="false">IF(N(E277)&gt;0,E277,IF(N(F277)&gt;0,F277*가정!$B$5,0))</f>
        <v>109000</v>
      </c>
      <c r="K277" s="95" t="n">
        <f aca="false">IF(N(F277)&gt;0,F277,IF(N(E277)&gt;0,E277/가정!$B$5,0))</f>
        <v>24226</v>
      </c>
      <c r="L277" s="95" t="n">
        <f aca="false">IF(B277="CN",IF(N(I277)&gt;0,I277*가정!$B$3,K277*(1+가정!$B$6)),IF(N(H277)&gt;0,H277*가정!$B$3,J277*가정!$B$4))</f>
        <v>25437.3</v>
      </c>
      <c r="M277" s="95" t="n">
        <f aca="false">D277*J277</f>
        <v>130691000</v>
      </c>
      <c r="N277" s="95" t="n">
        <f aca="false">D277*K277</f>
        <v>29046974</v>
      </c>
      <c r="O277" s="95" t="n">
        <f aca="false">D277*L277</f>
        <v>30499322.7</v>
      </c>
      <c r="P277" s="34" t="str">
        <f aca="false">TRIM(IF(N(E277)&lt;=0,"택가보정 ","")&amp;IF(N(F277)&lt;=0,"원가보정 ","")&amp;IF(AND(B277&lt;&gt;"CN",N(H277)&lt;=0),"공급가보정 ","")&amp;IF(AND(B277="CN",N(I277)&lt;=0),"중국공급가=원가+마진 ",""))</f>
        <v>중국공급가=원가+마진</v>
      </c>
    </row>
    <row r="278" customFormat="false" ht="15" hidden="false" customHeight="true" outlineLevel="0" collapsed="false">
      <c r="A278" s="94" t="s">
        <v>1686</v>
      </c>
      <c r="B278" s="34" t="str">
        <f aca="false">IF(A278="100","HK",IF(A278="200","CN",IF(A278="300","TW","홀세일")))</f>
        <v>TW</v>
      </c>
      <c r="C278" s="94" t="s">
        <v>288</v>
      </c>
      <c r="D278" s="95" t="n">
        <v>300</v>
      </c>
      <c r="E278" s="95" t="n">
        <v>109000</v>
      </c>
      <c r="F278" s="95" t="n">
        <v>24226</v>
      </c>
      <c r="G278" s="34" t="n">
        <v>3.89</v>
      </c>
      <c r="H278" s="34" t="n">
        <v>27.3</v>
      </c>
      <c r="J278" s="95" t="n">
        <f aca="false">IF(N(E278)&gt;0,E278,IF(N(F278)&gt;0,F278*가정!$B$5,0))</f>
        <v>109000</v>
      </c>
      <c r="K278" s="95" t="n">
        <f aca="false">IF(N(F278)&gt;0,F278,IF(N(E278)&gt;0,E278/가정!$B$5,0))</f>
        <v>24226</v>
      </c>
      <c r="L278" s="95" t="n">
        <f aca="false">IF(B278="CN",IF(N(I278)&gt;0,I278*가정!$B$3,K278*(1+가정!$B$6)),IF(N(H278)&gt;0,H278*가정!$B$3,J278*가정!$B$4))</f>
        <v>37203.894</v>
      </c>
      <c r="M278" s="95" t="n">
        <f aca="false">D278*J278</f>
        <v>32700000</v>
      </c>
      <c r="N278" s="95" t="n">
        <f aca="false">D278*K278</f>
        <v>7267800</v>
      </c>
      <c r="O278" s="95" t="n">
        <f aca="false">D278*L278</f>
        <v>11161168.2</v>
      </c>
      <c r="P278" s="34" t="str">
        <f aca="false">TRIM(IF(N(E278)&lt;=0,"택가보정 ","")&amp;IF(N(F278)&lt;=0,"원가보정 ","")&amp;IF(AND(B278&lt;&gt;"CN",N(H278)&lt;=0),"공급가보정 ","")&amp;IF(AND(B278="CN",N(I278)&lt;=0),"중국공급가=원가+마진 ",""))</f>
        <v/>
      </c>
    </row>
    <row r="279" customFormat="false" ht="15" hidden="false" customHeight="true" outlineLevel="0" collapsed="false">
      <c r="A279" s="94" t="s">
        <v>1688</v>
      </c>
      <c r="B279" s="34" t="str">
        <f aca="false">IF(A279="100","HK",IF(A279="200","CN",IF(A279="300","TW","홀세일")))</f>
        <v>홀세일</v>
      </c>
      <c r="C279" s="94" t="s">
        <v>288</v>
      </c>
      <c r="D279" s="95" t="n">
        <v>115</v>
      </c>
      <c r="E279" s="95" t="n">
        <v>109000</v>
      </c>
      <c r="F279" s="95" t="n">
        <v>24226</v>
      </c>
      <c r="G279" s="34" t="n">
        <v>3.89</v>
      </c>
      <c r="H279" s="34" t="n">
        <v>27.3</v>
      </c>
      <c r="J279" s="95" t="n">
        <f aca="false">IF(N(E279)&gt;0,E279,IF(N(F279)&gt;0,F279*가정!$B$5,0))</f>
        <v>109000</v>
      </c>
      <c r="K279" s="95" t="n">
        <f aca="false">IF(N(F279)&gt;0,F279,IF(N(E279)&gt;0,E279/가정!$B$5,0))</f>
        <v>24226</v>
      </c>
      <c r="L279" s="95" t="n">
        <f aca="false">IF(B279="CN",IF(N(I279)&gt;0,I279*가정!$B$3,K279*(1+가정!$B$6)),IF(N(H279)&gt;0,H279*가정!$B$3,J279*가정!$B$4))</f>
        <v>37203.894</v>
      </c>
      <c r="M279" s="95" t="n">
        <f aca="false">D279*J279</f>
        <v>12535000</v>
      </c>
      <c r="N279" s="95" t="n">
        <f aca="false">D279*K279</f>
        <v>2785990</v>
      </c>
      <c r="O279" s="95" t="n">
        <f aca="false">D279*L279</f>
        <v>4278447.81</v>
      </c>
      <c r="P279" s="34" t="str">
        <f aca="false">TRIM(IF(N(E279)&lt;=0,"택가보정 ","")&amp;IF(N(F279)&lt;=0,"원가보정 ","")&amp;IF(AND(B279&lt;&gt;"CN",N(H279)&lt;=0),"공급가보정 ","")&amp;IF(AND(B279="CN",N(I279)&lt;=0),"중국공급가=원가+마진 ",""))</f>
        <v/>
      </c>
    </row>
    <row r="280" customFormat="false" ht="15" hidden="false" customHeight="true" outlineLevel="0" collapsed="false">
      <c r="A280" s="94" t="s">
        <v>1692</v>
      </c>
      <c r="B280" s="34" t="str">
        <f aca="false">IF(A280="100","HK",IF(A280="200","CN",IF(A280="300","TW","홀세일")))</f>
        <v>홀세일</v>
      </c>
      <c r="C280" s="94" t="s">
        <v>288</v>
      </c>
      <c r="D280" s="95" t="n">
        <v>237</v>
      </c>
      <c r="E280" s="95" t="n">
        <v>109000</v>
      </c>
      <c r="F280" s="95" t="n">
        <v>24226</v>
      </c>
      <c r="G280" s="34" t="n">
        <v>3.89</v>
      </c>
      <c r="H280" s="34" t="n">
        <v>27.3</v>
      </c>
      <c r="J280" s="95" t="n">
        <f aca="false">IF(N(E280)&gt;0,E280,IF(N(F280)&gt;0,F280*가정!$B$5,0))</f>
        <v>109000</v>
      </c>
      <c r="K280" s="95" t="n">
        <f aca="false">IF(N(F280)&gt;0,F280,IF(N(E280)&gt;0,E280/가정!$B$5,0))</f>
        <v>24226</v>
      </c>
      <c r="L280" s="95" t="n">
        <f aca="false">IF(B280="CN",IF(N(I280)&gt;0,I280*가정!$B$3,K280*(1+가정!$B$6)),IF(N(H280)&gt;0,H280*가정!$B$3,J280*가정!$B$4))</f>
        <v>37203.894</v>
      </c>
      <c r="M280" s="95" t="n">
        <f aca="false">D280*J280</f>
        <v>25833000</v>
      </c>
      <c r="N280" s="95" t="n">
        <f aca="false">D280*K280</f>
        <v>5741562</v>
      </c>
      <c r="O280" s="95" t="n">
        <f aca="false">D280*L280</f>
        <v>8817322.878</v>
      </c>
      <c r="P280" s="34" t="str">
        <f aca="false">TRIM(IF(N(E280)&lt;=0,"택가보정 ","")&amp;IF(N(F280)&lt;=0,"원가보정 ","")&amp;IF(AND(B280&lt;&gt;"CN",N(H280)&lt;=0),"공급가보정 ","")&amp;IF(AND(B280="CN",N(I280)&lt;=0),"중국공급가=원가+마진 ",""))</f>
        <v/>
      </c>
    </row>
    <row r="281" customFormat="false" ht="15" hidden="false" customHeight="true" outlineLevel="0" collapsed="false">
      <c r="A281" s="94" t="s">
        <v>1688</v>
      </c>
      <c r="B281" s="34" t="str">
        <f aca="false">IF(A281="100","HK",IF(A281="200","CN",IF(A281="300","TW","홀세일")))</f>
        <v>홀세일</v>
      </c>
      <c r="C281" s="94" t="s">
        <v>1333</v>
      </c>
      <c r="D281" s="95" t="n">
        <v>40</v>
      </c>
      <c r="E281" s="95" t="n">
        <v>109000</v>
      </c>
      <c r="F281" s="95" t="n">
        <v>17900</v>
      </c>
      <c r="G281" s="34" t="n">
        <v>5.22</v>
      </c>
      <c r="H281" s="34" t="n">
        <v>27.3</v>
      </c>
      <c r="J281" s="95" t="n">
        <f aca="false">IF(N(E281)&gt;0,E281,IF(N(F281)&gt;0,F281*가정!$B$5,0))</f>
        <v>109000</v>
      </c>
      <c r="K281" s="95" t="n">
        <f aca="false">IF(N(F281)&gt;0,F281,IF(N(E281)&gt;0,E281/가정!$B$5,0))</f>
        <v>17900</v>
      </c>
      <c r="L281" s="95" t="n">
        <f aca="false">IF(B281="CN",IF(N(I281)&gt;0,I281*가정!$B$3,K281*(1+가정!$B$6)),IF(N(H281)&gt;0,H281*가정!$B$3,J281*가정!$B$4))</f>
        <v>37203.894</v>
      </c>
      <c r="M281" s="95" t="n">
        <f aca="false">D281*J281</f>
        <v>4360000</v>
      </c>
      <c r="N281" s="95" t="n">
        <f aca="false">D281*K281</f>
        <v>716000</v>
      </c>
      <c r="O281" s="95" t="n">
        <f aca="false">D281*L281</f>
        <v>1488155.76</v>
      </c>
      <c r="P281" s="34" t="str">
        <f aca="false">TRIM(IF(N(E281)&lt;=0,"택가보정 ","")&amp;IF(N(F281)&lt;=0,"원가보정 ","")&amp;IF(AND(B281&lt;&gt;"CN",N(H281)&lt;=0),"공급가보정 ","")&amp;IF(AND(B281="CN",N(I281)&lt;=0),"중국공급가=원가+마진 ",""))</f>
        <v/>
      </c>
    </row>
    <row r="282" customFormat="false" ht="15" hidden="false" customHeight="true" outlineLevel="0" collapsed="false">
      <c r="A282" s="94" t="s">
        <v>1690</v>
      </c>
      <c r="B282" s="34" t="str">
        <f aca="false">IF(A282="100","HK",IF(A282="200","CN",IF(A282="300","TW","홀세일")))</f>
        <v>홀세일</v>
      </c>
      <c r="C282" s="94" t="s">
        <v>1333</v>
      </c>
      <c r="D282" s="95" t="n">
        <v>216</v>
      </c>
      <c r="E282" s="95" t="n">
        <v>109000</v>
      </c>
      <c r="F282" s="95" t="n">
        <v>17900</v>
      </c>
      <c r="G282" s="34" t="n">
        <v>5.22</v>
      </c>
      <c r="H282" s="34" t="n">
        <v>27.3</v>
      </c>
      <c r="J282" s="95" t="n">
        <f aca="false">IF(N(E282)&gt;0,E282,IF(N(F282)&gt;0,F282*가정!$B$5,0))</f>
        <v>109000</v>
      </c>
      <c r="K282" s="95" t="n">
        <f aca="false">IF(N(F282)&gt;0,F282,IF(N(E282)&gt;0,E282/가정!$B$5,0))</f>
        <v>17900</v>
      </c>
      <c r="L282" s="95" t="n">
        <f aca="false">IF(B282="CN",IF(N(I282)&gt;0,I282*가정!$B$3,K282*(1+가정!$B$6)),IF(N(H282)&gt;0,H282*가정!$B$3,J282*가정!$B$4))</f>
        <v>37203.894</v>
      </c>
      <c r="M282" s="95" t="n">
        <f aca="false">D282*J282</f>
        <v>23544000</v>
      </c>
      <c r="N282" s="95" t="n">
        <f aca="false">D282*K282</f>
        <v>3866400</v>
      </c>
      <c r="O282" s="95" t="n">
        <f aca="false">D282*L282</f>
        <v>8036041.104</v>
      </c>
      <c r="P282" s="34" t="str">
        <f aca="false">TRIM(IF(N(E282)&lt;=0,"택가보정 ","")&amp;IF(N(F282)&lt;=0,"원가보정 ","")&amp;IF(AND(B282&lt;&gt;"CN",N(H282)&lt;=0),"공급가보정 ","")&amp;IF(AND(B282="CN",N(I282)&lt;=0),"중국공급가=원가+마진 ",""))</f>
        <v/>
      </c>
    </row>
    <row r="283" customFormat="false" ht="15" hidden="false" customHeight="true" outlineLevel="0" collapsed="false">
      <c r="A283" s="94" t="s">
        <v>1689</v>
      </c>
      <c r="B283" s="34" t="str">
        <f aca="false">IF(A283="100","HK",IF(A283="200","CN",IF(A283="300","TW","홀세일")))</f>
        <v>홀세일</v>
      </c>
      <c r="C283" s="94" t="s">
        <v>1698</v>
      </c>
      <c r="D283" s="95" t="n">
        <v>40</v>
      </c>
      <c r="E283" s="95" t="n">
        <v>139000</v>
      </c>
      <c r="F283" s="95" t="n">
        <v>27900</v>
      </c>
      <c r="G283" s="34" t="n">
        <v>4.04</v>
      </c>
      <c r="H283" s="34" t="n">
        <v>34.8</v>
      </c>
      <c r="J283" s="95" t="n">
        <f aca="false">IF(N(E283)&gt;0,E283,IF(N(F283)&gt;0,F283*가정!$B$5,0))</f>
        <v>139000</v>
      </c>
      <c r="K283" s="95" t="n">
        <f aca="false">IF(N(F283)&gt;0,F283,IF(N(E283)&gt;0,E283/가정!$B$5,0))</f>
        <v>27900</v>
      </c>
      <c r="L283" s="95" t="n">
        <f aca="false">IF(B283="CN",IF(N(I283)&gt;0,I283*가정!$B$3,K283*(1+가정!$B$6)),IF(N(H283)&gt;0,H283*가정!$B$3,J283*가정!$B$4))</f>
        <v>47424.744</v>
      </c>
      <c r="M283" s="95" t="n">
        <f aca="false">D283*J283</f>
        <v>5560000</v>
      </c>
      <c r="N283" s="95" t="n">
        <f aca="false">D283*K283</f>
        <v>1116000</v>
      </c>
      <c r="O283" s="95" t="n">
        <f aca="false">D283*L283</f>
        <v>1896989.76</v>
      </c>
      <c r="P283" s="34" t="str">
        <f aca="false">TRIM(IF(N(E283)&lt;=0,"택가보정 ","")&amp;IF(N(F283)&lt;=0,"원가보정 ","")&amp;IF(AND(B283&lt;&gt;"CN",N(H283)&lt;=0),"공급가보정 ","")&amp;IF(AND(B283="CN",N(I283)&lt;=0),"중국공급가=원가+마진 ",""))</f>
        <v/>
      </c>
    </row>
    <row r="284" customFormat="false" ht="15" hidden="false" customHeight="true" outlineLevel="0" collapsed="false">
      <c r="A284" s="94" t="s">
        <v>1684</v>
      </c>
      <c r="B284" s="34" t="str">
        <f aca="false">IF(A284="100","HK",IF(A284="200","CN",IF(A284="300","TW","홀세일")))</f>
        <v>HK</v>
      </c>
      <c r="C284" s="94" t="s">
        <v>290</v>
      </c>
      <c r="D284" s="95" t="n">
        <v>180</v>
      </c>
      <c r="E284" s="95" t="n">
        <v>149000</v>
      </c>
      <c r="F284" s="95" t="n">
        <v>28214</v>
      </c>
      <c r="G284" s="34" t="n">
        <v>4.17</v>
      </c>
      <c r="H284" s="34" t="n">
        <v>37.3</v>
      </c>
      <c r="J284" s="95" t="n">
        <f aca="false">IF(N(E284)&gt;0,E284,IF(N(F284)&gt;0,F284*가정!$B$5,0))</f>
        <v>149000</v>
      </c>
      <c r="K284" s="95" t="n">
        <f aca="false">IF(N(F284)&gt;0,F284,IF(N(E284)&gt;0,E284/가정!$B$5,0))</f>
        <v>28214</v>
      </c>
      <c r="L284" s="95" t="n">
        <f aca="false">IF(B284="CN",IF(N(I284)&gt;0,I284*가정!$B$3,K284*(1+가정!$B$6)),IF(N(H284)&gt;0,H284*가정!$B$3,J284*가정!$B$4))</f>
        <v>50831.694</v>
      </c>
      <c r="M284" s="95" t="n">
        <f aca="false">D284*J284</f>
        <v>26820000</v>
      </c>
      <c r="N284" s="95" t="n">
        <f aca="false">D284*K284</f>
        <v>5078520</v>
      </c>
      <c r="O284" s="95" t="n">
        <f aca="false">D284*L284</f>
        <v>9149704.92</v>
      </c>
      <c r="P284" s="34" t="str">
        <f aca="false">TRIM(IF(N(E284)&lt;=0,"택가보정 ","")&amp;IF(N(F284)&lt;=0,"원가보정 ","")&amp;IF(AND(B284&lt;&gt;"CN",N(H284)&lt;=0),"공급가보정 ","")&amp;IF(AND(B284="CN",N(I284)&lt;=0),"중국공급가=원가+마진 ",""))</f>
        <v/>
      </c>
    </row>
    <row r="285" customFormat="false" ht="15.75" hidden="false" customHeight="true" outlineLevel="0" collapsed="false">
      <c r="A285" s="94" t="s">
        <v>1685</v>
      </c>
      <c r="B285" s="34" t="str">
        <f aca="false">IF(A285="100","HK",IF(A285="200","CN",IF(A285="300","TW","홀세일")))</f>
        <v>CN</v>
      </c>
      <c r="C285" s="94" t="s">
        <v>290</v>
      </c>
      <c r="D285" s="95" t="n">
        <v>101</v>
      </c>
      <c r="E285" s="95" t="n">
        <v>149000</v>
      </c>
      <c r="F285" s="95" t="n">
        <v>28214</v>
      </c>
      <c r="G285" s="34" t="n">
        <v>4.17</v>
      </c>
      <c r="H285" s="34" t="n">
        <v>37.3</v>
      </c>
      <c r="J285" s="95" t="n">
        <f aca="false">IF(N(E285)&gt;0,E285,IF(N(F285)&gt;0,F285*가정!$B$5,0))</f>
        <v>149000</v>
      </c>
      <c r="K285" s="95" t="n">
        <f aca="false">IF(N(F285)&gt;0,F285,IF(N(E285)&gt;0,E285/가정!$B$5,0))</f>
        <v>28214</v>
      </c>
      <c r="L285" s="95" t="n">
        <f aca="false">IF(B285="CN",IF(N(I285)&gt;0,I285*가정!$B$3,K285*(1+가정!$B$6)),IF(N(H285)&gt;0,H285*가정!$B$3,J285*가정!$B$4))</f>
        <v>29624.7</v>
      </c>
      <c r="M285" s="95" t="n">
        <f aca="false">D285*J285</f>
        <v>15049000</v>
      </c>
      <c r="N285" s="95" t="n">
        <f aca="false">D285*K285</f>
        <v>2849614</v>
      </c>
      <c r="O285" s="95" t="n">
        <f aca="false">D285*L285</f>
        <v>2992094.7</v>
      </c>
      <c r="P285" s="34" t="str">
        <f aca="false">TRIM(IF(N(E285)&lt;=0,"택가보정 ","")&amp;IF(N(F285)&lt;=0,"원가보정 ","")&amp;IF(AND(B285&lt;&gt;"CN",N(H285)&lt;=0),"공급가보정 ","")&amp;IF(AND(B285="CN",N(I285)&lt;=0),"중국공급가=원가+마진 ",""))</f>
        <v>중국공급가=원가+마진</v>
      </c>
    </row>
    <row r="286" customFormat="false" ht="15" hidden="false" customHeight="true" outlineLevel="0" collapsed="false">
      <c r="A286" s="94" t="s">
        <v>1686</v>
      </c>
      <c r="B286" s="34" t="str">
        <f aca="false">IF(A286="100","HK",IF(A286="200","CN",IF(A286="300","TW","홀세일")))</f>
        <v>TW</v>
      </c>
      <c r="C286" s="94" t="s">
        <v>290</v>
      </c>
      <c r="D286" s="95" t="n">
        <v>200</v>
      </c>
      <c r="E286" s="95" t="n">
        <v>149000</v>
      </c>
      <c r="F286" s="95" t="n">
        <v>28214</v>
      </c>
      <c r="G286" s="34" t="n">
        <v>4.17</v>
      </c>
      <c r="H286" s="34" t="n">
        <v>37.3</v>
      </c>
      <c r="J286" s="95" t="n">
        <f aca="false">IF(N(E286)&gt;0,E286,IF(N(F286)&gt;0,F286*가정!$B$5,0))</f>
        <v>149000</v>
      </c>
      <c r="K286" s="95" t="n">
        <f aca="false">IF(N(F286)&gt;0,F286,IF(N(E286)&gt;0,E286/가정!$B$5,0))</f>
        <v>28214</v>
      </c>
      <c r="L286" s="95" t="n">
        <f aca="false">IF(B286="CN",IF(N(I286)&gt;0,I286*가정!$B$3,K286*(1+가정!$B$6)),IF(N(H286)&gt;0,H286*가정!$B$3,J286*가정!$B$4))</f>
        <v>50831.694</v>
      </c>
      <c r="M286" s="95" t="n">
        <f aca="false">D286*J286</f>
        <v>29800000</v>
      </c>
      <c r="N286" s="95" t="n">
        <f aca="false">D286*K286</f>
        <v>5642800</v>
      </c>
      <c r="O286" s="95" t="n">
        <f aca="false">D286*L286</f>
        <v>10166338.8</v>
      </c>
      <c r="P286" s="34" t="str">
        <f aca="false">TRIM(IF(N(E286)&lt;=0,"택가보정 ","")&amp;IF(N(F286)&lt;=0,"원가보정 ","")&amp;IF(AND(B286&lt;&gt;"CN",N(H286)&lt;=0),"공급가보정 ","")&amp;IF(AND(B286="CN",N(I286)&lt;=0),"중국공급가=원가+마진 ",""))</f>
        <v/>
      </c>
    </row>
    <row r="287" customFormat="false" ht="15" hidden="false" customHeight="true" outlineLevel="0" collapsed="false">
      <c r="A287" s="94" t="s">
        <v>1688</v>
      </c>
      <c r="B287" s="34" t="str">
        <f aca="false">IF(A287="100","HK",IF(A287="200","CN",IF(A287="300","TW","홀세일")))</f>
        <v>홀세일</v>
      </c>
      <c r="C287" s="94" t="s">
        <v>290</v>
      </c>
      <c r="D287" s="95" t="n">
        <v>35</v>
      </c>
      <c r="E287" s="95" t="n">
        <v>149000</v>
      </c>
      <c r="F287" s="95" t="n">
        <v>28214</v>
      </c>
      <c r="G287" s="34" t="n">
        <v>4.17</v>
      </c>
      <c r="H287" s="34" t="n">
        <v>37.3</v>
      </c>
      <c r="J287" s="95" t="n">
        <f aca="false">IF(N(E287)&gt;0,E287,IF(N(F287)&gt;0,F287*가정!$B$5,0))</f>
        <v>149000</v>
      </c>
      <c r="K287" s="95" t="n">
        <f aca="false">IF(N(F287)&gt;0,F287,IF(N(E287)&gt;0,E287/가정!$B$5,0))</f>
        <v>28214</v>
      </c>
      <c r="L287" s="95" t="n">
        <f aca="false">IF(B287="CN",IF(N(I287)&gt;0,I287*가정!$B$3,K287*(1+가정!$B$6)),IF(N(H287)&gt;0,H287*가정!$B$3,J287*가정!$B$4))</f>
        <v>50831.694</v>
      </c>
      <c r="M287" s="95" t="n">
        <f aca="false">D287*J287</f>
        <v>5215000</v>
      </c>
      <c r="N287" s="95" t="n">
        <f aca="false">D287*K287</f>
        <v>987490</v>
      </c>
      <c r="O287" s="95" t="n">
        <f aca="false">D287*L287</f>
        <v>1779109.29</v>
      </c>
      <c r="P287" s="34" t="str">
        <f aca="false">TRIM(IF(N(E287)&lt;=0,"택가보정 ","")&amp;IF(N(F287)&lt;=0,"원가보정 ","")&amp;IF(AND(B287&lt;&gt;"CN",N(H287)&lt;=0),"공급가보정 ","")&amp;IF(AND(B287="CN",N(I287)&lt;=0),"중국공급가=원가+마진 ",""))</f>
        <v/>
      </c>
    </row>
    <row r="288" customFormat="false" ht="15" hidden="false" customHeight="true" outlineLevel="0" collapsed="false">
      <c r="A288" s="94" t="s">
        <v>1692</v>
      </c>
      <c r="B288" s="34" t="str">
        <f aca="false">IF(A288="100","HK",IF(A288="200","CN",IF(A288="300","TW","홀세일")))</f>
        <v>홀세일</v>
      </c>
      <c r="C288" s="94" t="s">
        <v>290</v>
      </c>
      <c r="D288" s="95" t="n">
        <v>51</v>
      </c>
      <c r="E288" s="95" t="n">
        <v>149000</v>
      </c>
      <c r="F288" s="95" t="n">
        <v>28214</v>
      </c>
      <c r="G288" s="34" t="n">
        <v>4.17</v>
      </c>
      <c r="H288" s="34" t="n">
        <v>37.3</v>
      </c>
      <c r="J288" s="95" t="n">
        <f aca="false">IF(N(E288)&gt;0,E288,IF(N(F288)&gt;0,F288*가정!$B$5,0))</f>
        <v>149000</v>
      </c>
      <c r="K288" s="95" t="n">
        <f aca="false">IF(N(F288)&gt;0,F288,IF(N(E288)&gt;0,E288/가정!$B$5,0))</f>
        <v>28214</v>
      </c>
      <c r="L288" s="95" t="n">
        <f aca="false">IF(B288="CN",IF(N(I288)&gt;0,I288*가정!$B$3,K288*(1+가정!$B$6)),IF(N(H288)&gt;0,H288*가정!$B$3,J288*가정!$B$4))</f>
        <v>50831.694</v>
      </c>
      <c r="M288" s="95" t="n">
        <f aca="false">D288*J288</f>
        <v>7599000</v>
      </c>
      <c r="N288" s="95" t="n">
        <f aca="false">D288*K288</f>
        <v>1438914</v>
      </c>
      <c r="O288" s="95" t="n">
        <f aca="false">D288*L288</f>
        <v>2592416.394</v>
      </c>
      <c r="P288" s="34" t="str">
        <f aca="false">TRIM(IF(N(E288)&lt;=0,"택가보정 ","")&amp;IF(N(F288)&lt;=0,"원가보정 ","")&amp;IF(AND(B288&lt;&gt;"CN",N(H288)&lt;=0),"공급가보정 ","")&amp;IF(AND(B288="CN",N(I288)&lt;=0),"중국공급가=원가+마진 ",""))</f>
        <v/>
      </c>
    </row>
    <row r="289" customFormat="false" ht="15" hidden="false" customHeight="true" outlineLevel="0" collapsed="false">
      <c r="A289" s="94" t="s">
        <v>1688</v>
      </c>
      <c r="B289" s="34" t="str">
        <f aca="false">IF(A289="100","HK",IF(A289="200","CN",IF(A289="300","TW","홀세일")))</f>
        <v>홀세일</v>
      </c>
      <c r="C289" s="94" t="s">
        <v>1335</v>
      </c>
      <c r="D289" s="95" t="n">
        <v>10</v>
      </c>
      <c r="E289" s="95" t="n">
        <v>109000</v>
      </c>
      <c r="F289" s="95" t="n">
        <v>24800</v>
      </c>
      <c r="G289" s="34" t="n">
        <v>4.55</v>
      </c>
      <c r="H289" s="34" t="n">
        <v>27.3</v>
      </c>
      <c r="J289" s="95" t="n">
        <f aca="false">IF(N(E289)&gt;0,E289,IF(N(F289)&gt;0,F289*가정!$B$5,0))</f>
        <v>109000</v>
      </c>
      <c r="K289" s="95" t="n">
        <f aca="false">IF(N(F289)&gt;0,F289,IF(N(E289)&gt;0,E289/가정!$B$5,0))</f>
        <v>24800</v>
      </c>
      <c r="L289" s="95" t="n">
        <f aca="false">IF(B289="CN",IF(N(I289)&gt;0,I289*가정!$B$3,K289*(1+가정!$B$6)),IF(N(H289)&gt;0,H289*가정!$B$3,J289*가정!$B$4))</f>
        <v>37203.894</v>
      </c>
      <c r="M289" s="95" t="n">
        <f aca="false">D289*J289</f>
        <v>1090000</v>
      </c>
      <c r="N289" s="95" t="n">
        <f aca="false">D289*K289</f>
        <v>248000</v>
      </c>
      <c r="O289" s="95" t="n">
        <f aca="false">D289*L289</f>
        <v>372038.94</v>
      </c>
      <c r="P289" s="34" t="str">
        <f aca="false">TRIM(IF(N(E289)&lt;=0,"택가보정 ","")&amp;IF(N(F289)&lt;=0,"원가보정 ","")&amp;IF(AND(B289&lt;&gt;"CN",N(H289)&lt;=0),"공급가보정 ","")&amp;IF(AND(B289="CN",N(I289)&lt;=0),"중국공급가=원가+마진 ",""))</f>
        <v/>
      </c>
    </row>
    <row r="290" customFormat="false" ht="15" hidden="false" customHeight="true" outlineLevel="0" collapsed="false">
      <c r="A290" s="94" t="s">
        <v>1692</v>
      </c>
      <c r="B290" s="34" t="str">
        <f aca="false">IF(A290="100","HK",IF(A290="200","CN",IF(A290="300","TW","홀세일")))</f>
        <v>홀세일</v>
      </c>
      <c r="C290" s="94" t="s">
        <v>1335</v>
      </c>
      <c r="D290" s="95" t="n">
        <v>92</v>
      </c>
      <c r="E290" s="95" t="n">
        <v>109000</v>
      </c>
      <c r="F290" s="95" t="n">
        <v>24800</v>
      </c>
      <c r="G290" s="34" t="n">
        <v>4.55</v>
      </c>
      <c r="H290" s="34" t="n">
        <v>27.3</v>
      </c>
      <c r="J290" s="95" t="n">
        <f aca="false">IF(N(E290)&gt;0,E290,IF(N(F290)&gt;0,F290*가정!$B$5,0))</f>
        <v>109000</v>
      </c>
      <c r="K290" s="95" t="n">
        <f aca="false">IF(N(F290)&gt;0,F290,IF(N(E290)&gt;0,E290/가정!$B$5,0))</f>
        <v>24800</v>
      </c>
      <c r="L290" s="95" t="n">
        <f aca="false">IF(B290="CN",IF(N(I290)&gt;0,I290*가정!$B$3,K290*(1+가정!$B$6)),IF(N(H290)&gt;0,H290*가정!$B$3,J290*가정!$B$4))</f>
        <v>37203.894</v>
      </c>
      <c r="M290" s="95" t="n">
        <f aca="false">D290*J290</f>
        <v>10028000</v>
      </c>
      <c r="N290" s="95" t="n">
        <f aca="false">D290*K290</f>
        <v>2281600</v>
      </c>
      <c r="O290" s="95" t="n">
        <f aca="false">D290*L290</f>
        <v>3422758.248</v>
      </c>
      <c r="P290" s="34" t="str">
        <f aca="false">TRIM(IF(N(E290)&lt;=0,"택가보정 ","")&amp;IF(N(F290)&lt;=0,"원가보정 ","")&amp;IF(AND(B290&lt;&gt;"CN",N(H290)&lt;=0),"공급가보정 ","")&amp;IF(AND(B290="CN",N(I290)&lt;=0),"중국공급가=원가+마진 ",""))</f>
        <v/>
      </c>
    </row>
    <row r="291" customFormat="false" ht="15" hidden="false" customHeight="true" outlineLevel="0" collapsed="false">
      <c r="A291" s="94" t="s">
        <v>1684</v>
      </c>
      <c r="B291" s="34" t="str">
        <f aca="false">IF(A291="100","HK",IF(A291="200","CN",IF(A291="300","TW","홀세일")))</f>
        <v>HK</v>
      </c>
      <c r="C291" s="94" t="s">
        <v>877</v>
      </c>
      <c r="D291" s="95" t="n">
        <v>100</v>
      </c>
      <c r="E291" s="95" t="n">
        <v>159000</v>
      </c>
      <c r="F291" s="95" t="n">
        <v>35223</v>
      </c>
      <c r="G291" s="34" t="n">
        <v>3.83</v>
      </c>
      <c r="H291" s="34" t="n">
        <v>39.8</v>
      </c>
      <c r="J291" s="95" t="n">
        <f aca="false">IF(N(E291)&gt;0,E291,IF(N(F291)&gt;0,F291*가정!$B$5,0))</f>
        <v>159000</v>
      </c>
      <c r="K291" s="95" t="n">
        <f aca="false">IF(N(F291)&gt;0,F291,IF(N(E291)&gt;0,E291/가정!$B$5,0))</f>
        <v>35223</v>
      </c>
      <c r="L291" s="95" t="n">
        <f aca="false">IF(B291="CN",IF(N(I291)&gt;0,I291*가정!$B$3,K291*(1+가정!$B$6)),IF(N(H291)&gt;0,H291*가정!$B$3,J291*가정!$B$4))</f>
        <v>54238.644</v>
      </c>
      <c r="M291" s="95" t="n">
        <f aca="false">D291*J291</f>
        <v>15900000</v>
      </c>
      <c r="N291" s="95" t="n">
        <f aca="false">D291*K291</f>
        <v>3522300</v>
      </c>
      <c r="O291" s="95" t="n">
        <f aca="false">D291*L291</f>
        <v>5423864.4</v>
      </c>
      <c r="P291" s="34" t="str">
        <f aca="false">TRIM(IF(N(E291)&lt;=0,"택가보정 ","")&amp;IF(N(F291)&lt;=0,"원가보정 ","")&amp;IF(AND(B291&lt;&gt;"CN",N(H291)&lt;=0),"공급가보정 ","")&amp;IF(AND(B291="CN",N(I291)&lt;=0),"중국공급가=원가+마진 ",""))</f>
        <v/>
      </c>
    </row>
    <row r="292" customFormat="false" ht="15.75" hidden="false" customHeight="true" outlineLevel="0" collapsed="false">
      <c r="A292" s="94" t="s">
        <v>1685</v>
      </c>
      <c r="B292" s="34" t="str">
        <f aca="false">IF(A292="100","HK",IF(A292="200","CN",IF(A292="300","TW","홀세일")))</f>
        <v>CN</v>
      </c>
      <c r="C292" s="94" t="s">
        <v>877</v>
      </c>
      <c r="D292" s="95" t="n">
        <v>142</v>
      </c>
      <c r="E292" s="95" t="n">
        <v>159000</v>
      </c>
      <c r="F292" s="95" t="n">
        <v>35223</v>
      </c>
      <c r="G292" s="34" t="n">
        <v>3.83</v>
      </c>
      <c r="H292" s="34" t="n">
        <v>39.8</v>
      </c>
      <c r="J292" s="95" t="n">
        <f aca="false">IF(N(E292)&gt;0,E292,IF(N(F292)&gt;0,F292*가정!$B$5,0))</f>
        <v>159000</v>
      </c>
      <c r="K292" s="95" t="n">
        <f aca="false">IF(N(F292)&gt;0,F292,IF(N(E292)&gt;0,E292/가정!$B$5,0))</f>
        <v>35223</v>
      </c>
      <c r="L292" s="95" t="n">
        <f aca="false">IF(B292="CN",IF(N(I292)&gt;0,I292*가정!$B$3,K292*(1+가정!$B$6)),IF(N(H292)&gt;0,H292*가정!$B$3,J292*가정!$B$4))</f>
        <v>36984.15</v>
      </c>
      <c r="M292" s="95" t="n">
        <f aca="false">D292*J292</f>
        <v>22578000</v>
      </c>
      <c r="N292" s="95" t="n">
        <f aca="false">D292*K292</f>
        <v>5001666</v>
      </c>
      <c r="O292" s="95" t="n">
        <f aca="false">D292*L292</f>
        <v>5251749.3</v>
      </c>
      <c r="P292" s="34" t="str">
        <f aca="false">TRIM(IF(N(E292)&lt;=0,"택가보정 ","")&amp;IF(N(F292)&lt;=0,"원가보정 ","")&amp;IF(AND(B292&lt;&gt;"CN",N(H292)&lt;=0),"공급가보정 ","")&amp;IF(AND(B292="CN",N(I292)&lt;=0),"중국공급가=원가+마진 ",""))</f>
        <v>중국공급가=원가+마진</v>
      </c>
    </row>
    <row r="293" customFormat="false" ht="15" hidden="false" customHeight="true" outlineLevel="0" collapsed="false">
      <c r="A293" s="94" t="s">
        <v>1684</v>
      </c>
      <c r="B293" s="34" t="str">
        <f aca="false">IF(A293="100","HK",IF(A293="200","CN",IF(A293="300","TW","홀세일")))</f>
        <v>HK</v>
      </c>
      <c r="C293" s="94" t="s">
        <v>292</v>
      </c>
      <c r="D293" s="95" t="n">
        <v>750</v>
      </c>
      <c r="E293" s="95" t="n">
        <v>59000</v>
      </c>
      <c r="F293" s="95" t="n">
        <v>14700</v>
      </c>
      <c r="G293" s="34" t="n">
        <v>3.94</v>
      </c>
      <c r="H293" s="34" t="n">
        <v>14.8</v>
      </c>
      <c r="J293" s="95" t="n">
        <f aca="false">IF(N(E293)&gt;0,E293,IF(N(F293)&gt;0,F293*가정!$B$5,0))</f>
        <v>59000</v>
      </c>
      <c r="K293" s="95" t="n">
        <f aca="false">IF(N(F293)&gt;0,F293,IF(N(E293)&gt;0,E293/가정!$B$5,0))</f>
        <v>14700</v>
      </c>
      <c r="L293" s="95" t="n">
        <f aca="false">IF(B293="CN",IF(N(I293)&gt;0,I293*가정!$B$3,K293*(1+가정!$B$6)),IF(N(H293)&gt;0,H293*가정!$B$3,J293*가정!$B$4))</f>
        <v>20169.144</v>
      </c>
      <c r="M293" s="95" t="n">
        <f aca="false">D293*J293</f>
        <v>44250000</v>
      </c>
      <c r="N293" s="95" t="n">
        <f aca="false">D293*K293</f>
        <v>11025000</v>
      </c>
      <c r="O293" s="95" t="n">
        <f aca="false">D293*L293</f>
        <v>15126858</v>
      </c>
      <c r="P293" s="34" t="str">
        <f aca="false">TRIM(IF(N(E293)&lt;=0,"택가보정 ","")&amp;IF(N(F293)&lt;=0,"원가보정 ","")&amp;IF(AND(B293&lt;&gt;"CN",N(H293)&lt;=0),"공급가보정 ","")&amp;IF(AND(B293="CN",N(I293)&lt;=0),"중국공급가=원가+마진 ",""))</f>
        <v/>
      </c>
    </row>
    <row r="294" customFormat="false" ht="15" hidden="false" customHeight="true" outlineLevel="0" collapsed="false">
      <c r="A294" s="94" t="s">
        <v>1686</v>
      </c>
      <c r="B294" s="34" t="str">
        <f aca="false">IF(A294="100","HK",IF(A294="200","CN",IF(A294="300","TW","홀세일")))</f>
        <v>TW</v>
      </c>
      <c r="C294" s="94" t="s">
        <v>292</v>
      </c>
      <c r="D294" s="95" t="n">
        <v>370</v>
      </c>
      <c r="E294" s="95" t="n">
        <v>59000</v>
      </c>
      <c r="F294" s="95" t="n">
        <v>14700</v>
      </c>
      <c r="G294" s="34" t="n">
        <v>3.94</v>
      </c>
      <c r="H294" s="34" t="n">
        <v>14.8</v>
      </c>
      <c r="J294" s="95" t="n">
        <f aca="false">IF(N(E294)&gt;0,E294,IF(N(F294)&gt;0,F294*가정!$B$5,0))</f>
        <v>59000</v>
      </c>
      <c r="K294" s="95" t="n">
        <f aca="false">IF(N(F294)&gt;0,F294,IF(N(E294)&gt;0,E294/가정!$B$5,0))</f>
        <v>14700</v>
      </c>
      <c r="L294" s="95" t="n">
        <f aca="false">IF(B294="CN",IF(N(I294)&gt;0,I294*가정!$B$3,K294*(1+가정!$B$6)),IF(N(H294)&gt;0,H294*가정!$B$3,J294*가정!$B$4))</f>
        <v>20169.144</v>
      </c>
      <c r="M294" s="95" t="n">
        <f aca="false">D294*J294</f>
        <v>21830000</v>
      </c>
      <c r="N294" s="95" t="n">
        <f aca="false">D294*K294</f>
        <v>5439000</v>
      </c>
      <c r="O294" s="95" t="n">
        <f aca="false">D294*L294</f>
        <v>7462583.28</v>
      </c>
      <c r="P294" s="34" t="str">
        <f aca="false">TRIM(IF(N(E294)&lt;=0,"택가보정 ","")&amp;IF(N(F294)&lt;=0,"원가보정 ","")&amp;IF(AND(B294&lt;&gt;"CN",N(H294)&lt;=0),"공급가보정 ","")&amp;IF(AND(B294="CN",N(I294)&lt;=0),"중국공급가=원가+마진 ",""))</f>
        <v/>
      </c>
    </row>
    <row r="295" customFormat="false" ht="15" hidden="false" customHeight="true" outlineLevel="0" collapsed="false">
      <c r="A295" s="94" t="s">
        <v>1688</v>
      </c>
      <c r="B295" s="34" t="str">
        <f aca="false">IF(A295="100","HK",IF(A295="200","CN",IF(A295="300","TW","홀세일")))</f>
        <v>홀세일</v>
      </c>
      <c r="C295" s="94" t="s">
        <v>292</v>
      </c>
      <c r="D295" s="95" t="n">
        <v>60</v>
      </c>
      <c r="E295" s="95" t="n">
        <v>59000</v>
      </c>
      <c r="F295" s="95" t="n">
        <v>14700</v>
      </c>
      <c r="G295" s="34" t="n">
        <v>3.94</v>
      </c>
      <c r="H295" s="34" t="n">
        <v>14.8</v>
      </c>
      <c r="J295" s="95" t="n">
        <f aca="false">IF(N(E295)&gt;0,E295,IF(N(F295)&gt;0,F295*가정!$B$5,0))</f>
        <v>59000</v>
      </c>
      <c r="K295" s="95" t="n">
        <f aca="false">IF(N(F295)&gt;0,F295,IF(N(E295)&gt;0,E295/가정!$B$5,0))</f>
        <v>14700</v>
      </c>
      <c r="L295" s="95" t="n">
        <f aca="false">IF(B295="CN",IF(N(I295)&gt;0,I295*가정!$B$3,K295*(1+가정!$B$6)),IF(N(H295)&gt;0,H295*가정!$B$3,J295*가정!$B$4))</f>
        <v>20169.144</v>
      </c>
      <c r="M295" s="95" t="n">
        <f aca="false">D295*J295</f>
        <v>3540000</v>
      </c>
      <c r="N295" s="95" t="n">
        <f aca="false">D295*K295</f>
        <v>882000</v>
      </c>
      <c r="O295" s="95" t="n">
        <f aca="false">D295*L295</f>
        <v>1210148.64</v>
      </c>
      <c r="P295" s="34" t="str">
        <f aca="false">TRIM(IF(N(E295)&lt;=0,"택가보정 ","")&amp;IF(N(F295)&lt;=0,"원가보정 ","")&amp;IF(AND(B295&lt;&gt;"CN",N(H295)&lt;=0),"공급가보정 ","")&amp;IF(AND(B295="CN",N(I295)&lt;=0),"중국공급가=원가+마진 ",""))</f>
        <v/>
      </c>
    </row>
    <row r="296" customFormat="false" ht="15" hidden="false" customHeight="true" outlineLevel="0" collapsed="false">
      <c r="A296" s="94" t="s">
        <v>1684</v>
      </c>
      <c r="B296" s="34" t="str">
        <f aca="false">IF(A296="100","HK",IF(A296="200","CN",IF(A296="300","TW","홀세일")))</f>
        <v>HK</v>
      </c>
      <c r="C296" s="94" t="s">
        <v>881</v>
      </c>
      <c r="D296" s="95" t="n">
        <v>340</v>
      </c>
      <c r="E296" s="95" t="n">
        <v>69000</v>
      </c>
      <c r="F296" s="95" t="n">
        <v>15109</v>
      </c>
      <c r="G296" s="34" t="n">
        <v>4.02</v>
      </c>
      <c r="H296" s="34" t="n">
        <v>17.3</v>
      </c>
      <c r="J296" s="95" t="n">
        <f aca="false">IF(N(E296)&gt;0,E296,IF(N(F296)&gt;0,F296*가정!$B$5,0))</f>
        <v>69000</v>
      </c>
      <c r="K296" s="95" t="n">
        <f aca="false">IF(N(F296)&gt;0,F296,IF(N(E296)&gt;0,E296/가정!$B$5,0))</f>
        <v>15109</v>
      </c>
      <c r="L296" s="95" t="n">
        <f aca="false">IF(B296="CN",IF(N(I296)&gt;0,I296*가정!$B$3,K296*(1+가정!$B$6)),IF(N(H296)&gt;0,H296*가정!$B$3,J296*가정!$B$4))</f>
        <v>23576.094</v>
      </c>
      <c r="M296" s="95" t="n">
        <f aca="false">D296*J296</f>
        <v>23460000</v>
      </c>
      <c r="N296" s="95" t="n">
        <f aca="false">D296*K296</f>
        <v>5137060</v>
      </c>
      <c r="O296" s="95" t="n">
        <f aca="false">D296*L296</f>
        <v>8015871.96</v>
      </c>
      <c r="P296" s="34" t="str">
        <f aca="false">TRIM(IF(N(E296)&lt;=0,"택가보정 ","")&amp;IF(N(F296)&lt;=0,"원가보정 ","")&amp;IF(AND(B296&lt;&gt;"CN",N(H296)&lt;=0),"공급가보정 ","")&amp;IF(AND(B296="CN",N(I296)&lt;=0),"중국공급가=원가+마진 ",""))</f>
        <v/>
      </c>
    </row>
    <row r="297" customFormat="false" ht="15" hidden="false" customHeight="true" outlineLevel="0" collapsed="false">
      <c r="A297" s="94" t="s">
        <v>1689</v>
      </c>
      <c r="B297" s="34" t="str">
        <f aca="false">IF(A297="100","HK",IF(A297="200","CN",IF(A297="300","TW","홀세일")))</f>
        <v>홀세일</v>
      </c>
      <c r="C297" s="94" t="s">
        <v>881</v>
      </c>
      <c r="D297" s="95" t="n">
        <v>45</v>
      </c>
      <c r="E297" s="95" t="n">
        <v>69000</v>
      </c>
      <c r="F297" s="95" t="n">
        <v>15109</v>
      </c>
      <c r="G297" s="34" t="n">
        <v>4.02</v>
      </c>
      <c r="H297" s="34" t="n">
        <v>17.3</v>
      </c>
      <c r="J297" s="95" t="n">
        <f aca="false">IF(N(E297)&gt;0,E297,IF(N(F297)&gt;0,F297*가정!$B$5,0))</f>
        <v>69000</v>
      </c>
      <c r="K297" s="95" t="n">
        <f aca="false">IF(N(F297)&gt;0,F297,IF(N(E297)&gt;0,E297/가정!$B$5,0))</f>
        <v>15109</v>
      </c>
      <c r="L297" s="95" t="n">
        <f aca="false">IF(B297="CN",IF(N(I297)&gt;0,I297*가정!$B$3,K297*(1+가정!$B$6)),IF(N(H297)&gt;0,H297*가정!$B$3,J297*가정!$B$4))</f>
        <v>23576.094</v>
      </c>
      <c r="M297" s="95" t="n">
        <f aca="false">D297*J297</f>
        <v>3105000</v>
      </c>
      <c r="N297" s="95" t="n">
        <f aca="false">D297*K297</f>
        <v>679905</v>
      </c>
      <c r="O297" s="95" t="n">
        <f aca="false">D297*L297</f>
        <v>1060924.23</v>
      </c>
      <c r="P297" s="34" t="str">
        <f aca="false">TRIM(IF(N(E297)&lt;=0,"택가보정 ","")&amp;IF(N(F297)&lt;=0,"원가보정 ","")&amp;IF(AND(B297&lt;&gt;"CN",N(H297)&lt;=0),"공급가보정 ","")&amp;IF(AND(B297="CN",N(I297)&lt;=0),"중국공급가=원가+마진 ",""))</f>
        <v/>
      </c>
    </row>
    <row r="298" customFormat="false" ht="15" hidden="false" customHeight="true" outlineLevel="0" collapsed="false">
      <c r="A298" s="94" t="s">
        <v>1684</v>
      </c>
      <c r="B298" s="34" t="str">
        <f aca="false">IF(A298="100","HK",IF(A298="200","CN",IF(A298="300","TW","홀세일")))</f>
        <v>HK</v>
      </c>
      <c r="C298" s="94" t="s">
        <v>302</v>
      </c>
      <c r="D298" s="95" t="n">
        <v>660</v>
      </c>
      <c r="E298" s="95" t="n">
        <v>79000</v>
      </c>
      <c r="F298" s="95" t="n">
        <v>18726</v>
      </c>
      <c r="G298" s="34" t="n">
        <v>3.49</v>
      </c>
      <c r="H298" s="34" t="n">
        <v>19.8</v>
      </c>
      <c r="J298" s="95" t="n">
        <f aca="false">IF(N(E298)&gt;0,E298,IF(N(F298)&gt;0,F298*가정!$B$5,0))</f>
        <v>79000</v>
      </c>
      <c r="K298" s="95" t="n">
        <f aca="false">IF(N(F298)&gt;0,F298,IF(N(E298)&gt;0,E298/가정!$B$5,0))</f>
        <v>18726</v>
      </c>
      <c r="L298" s="95" t="n">
        <f aca="false">IF(B298="CN",IF(N(I298)&gt;0,I298*가정!$B$3,K298*(1+가정!$B$6)),IF(N(H298)&gt;0,H298*가정!$B$3,J298*가정!$B$4))</f>
        <v>26983.044</v>
      </c>
      <c r="M298" s="95" t="n">
        <f aca="false">D298*J298</f>
        <v>52140000</v>
      </c>
      <c r="N298" s="95" t="n">
        <f aca="false">D298*K298</f>
        <v>12359160</v>
      </c>
      <c r="O298" s="95" t="n">
        <f aca="false">D298*L298</f>
        <v>17808809.04</v>
      </c>
      <c r="P298" s="34" t="str">
        <f aca="false">TRIM(IF(N(E298)&lt;=0,"택가보정 ","")&amp;IF(N(F298)&lt;=0,"원가보정 ","")&amp;IF(AND(B298&lt;&gt;"CN",N(H298)&lt;=0),"공급가보정 ","")&amp;IF(AND(B298="CN",N(I298)&lt;=0),"중국공급가=원가+마진 ",""))</f>
        <v/>
      </c>
    </row>
    <row r="299" customFormat="false" ht="15.75" hidden="false" customHeight="true" outlineLevel="0" collapsed="false">
      <c r="A299" s="94" t="s">
        <v>1685</v>
      </c>
      <c r="B299" s="34" t="str">
        <f aca="false">IF(A299="100","HK",IF(A299="200","CN",IF(A299="300","TW","홀세일")))</f>
        <v>CN</v>
      </c>
      <c r="C299" s="94" t="s">
        <v>302</v>
      </c>
      <c r="D299" s="95" t="n">
        <v>1184</v>
      </c>
      <c r="E299" s="95" t="n">
        <v>79000</v>
      </c>
      <c r="F299" s="95" t="n">
        <v>18726</v>
      </c>
      <c r="G299" s="34" t="n">
        <v>3.49</v>
      </c>
      <c r="H299" s="34" t="n">
        <v>19.8</v>
      </c>
      <c r="J299" s="95" t="n">
        <f aca="false">IF(N(E299)&gt;0,E299,IF(N(F299)&gt;0,F299*가정!$B$5,0))</f>
        <v>79000</v>
      </c>
      <c r="K299" s="95" t="n">
        <f aca="false">IF(N(F299)&gt;0,F299,IF(N(E299)&gt;0,E299/가정!$B$5,0))</f>
        <v>18726</v>
      </c>
      <c r="L299" s="95" t="n">
        <f aca="false">IF(B299="CN",IF(N(I299)&gt;0,I299*가정!$B$3,K299*(1+가정!$B$6)),IF(N(H299)&gt;0,H299*가정!$B$3,J299*가정!$B$4))</f>
        <v>19662.3</v>
      </c>
      <c r="M299" s="95" t="n">
        <f aca="false">D299*J299</f>
        <v>93536000</v>
      </c>
      <c r="N299" s="95" t="n">
        <f aca="false">D299*K299</f>
        <v>22171584</v>
      </c>
      <c r="O299" s="95" t="n">
        <f aca="false">D299*L299</f>
        <v>23280163.2</v>
      </c>
      <c r="P299" s="34" t="str">
        <f aca="false">TRIM(IF(N(E299)&lt;=0,"택가보정 ","")&amp;IF(N(F299)&lt;=0,"원가보정 ","")&amp;IF(AND(B299&lt;&gt;"CN",N(H299)&lt;=0),"공급가보정 ","")&amp;IF(AND(B299="CN",N(I299)&lt;=0),"중국공급가=원가+마진 ",""))</f>
        <v>중국공급가=원가+마진</v>
      </c>
    </row>
    <row r="300" customFormat="false" ht="15.75" hidden="false" customHeight="true" outlineLevel="0" collapsed="false">
      <c r="A300" s="94" t="s">
        <v>1685</v>
      </c>
      <c r="B300" s="34" t="str">
        <f aca="false">IF(A300="100","HK",IF(A300="200","CN",IF(A300="300","TW","홀세일")))</f>
        <v>CN</v>
      </c>
      <c r="C300" s="94" t="s">
        <v>302</v>
      </c>
      <c r="D300" s="95" t="n">
        <v>1184</v>
      </c>
      <c r="E300" s="95" t="n">
        <v>79000</v>
      </c>
      <c r="F300" s="95" t="n">
        <v>18726</v>
      </c>
      <c r="G300" s="34" t="n">
        <v>3.49</v>
      </c>
      <c r="H300" s="34" t="n">
        <v>19.8</v>
      </c>
      <c r="J300" s="95" t="n">
        <f aca="false">IF(N(E300)&gt;0,E300,IF(N(F300)&gt;0,F300*가정!$B$5,0))</f>
        <v>79000</v>
      </c>
      <c r="K300" s="95" t="n">
        <f aca="false">IF(N(F300)&gt;0,F300,IF(N(E300)&gt;0,E300/가정!$B$5,0))</f>
        <v>18726</v>
      </c>
      <c r="L300" s="95" t="n">
        <f aca="false">IF(B300="CN",IF(N(I300)&gt;0,I300*가정!$B$3,K300*(1+가정!$B$6)),IF(N(H300)&gt;0,H300*가정!$B$3,J300*가정!$B$4))</f>
        <v>19662.3</v>
      </c>
      <c r="M300" s="95" t="n">
        <f aca="false">D300*J300</f>
        <v>93536000</v>
      </c>
      <c r="N300" s="95" t="n">
        <f aca="false">D300*K300</f>
        <v>22171584</v>
      </c>
      <c r="O300" s="95" t="n">
        <f aca="false">D300*L300</f>
        <v>23280163.2</v>
      </c>
      <c r="P300" s="34" t="str">
        <f aca="false">TRIM(IF(N(E300)&lt;=0,"택가보정 ","")&amp;IF(N(F300)&lt;=0,"원가보정 ","")&amp;IF(AND(B300&lt;&gt;"CN",N(H300)&lt;=0),"공급가보정 ","")&amp;IF(AND(B300="CN",N(I300)&lt;=0),"중국공급가=원가+마진 ",""))</f>
        <v>중국공급가=원가+마진</v>
      </c>
    </row>
    <row r="301" customFormat="false" ht="15" hidden="false" customHeight="true" outlineLevel="0" collapsed="false">
      <c r="A301" s="94" t="s">
        <v>1686</v>
      </c>
      <c r="B301" s="34" t="str">
        <f aca="false">IF(A301="100","HK",IF(A301="200","CN",IF(A301="300","TW","홀세일")))</f>
        <v>TW</v>
      </c>
      <c r="C301" s="94" t="s">
        <v>302</v>
      </c>
      <c r="D301" s="95" t="n">
        <v>450</v>
      </c>
      <c r="E301" s="95" t="n">
        <v>79000</v>
      </c>
      <c r="F301" s="95" t="n">
        <v>18726</v>
      </c>
      <c r="G301" s="34" t="n">
        <v>3.49</v>
      </c>
      <c r="H301" s="34" t="n">
        <v>19.8</v>
      </c>
      <c r="J301" s="95" t="n">
        <f aca="false">IF(N(E301)&gt;0,E301,IF(N(F301)&gt;0,F301*가정!$B$5,0))</f>
        <v>79000</v>
      </c>
      <c r="K301" s="95" t="n">
        <f aca="false">IF(N(F301)&gt;0,F301,IF(N(E301)&gt;0,E301/가정!$B$5,0))</f>
        <v>18726</v>
      </c>
      <c r="L301" s="95" t="n">
        <f aca="false">IF(B301="CN",IF(N(I301)&gt;0,I301*가정!$B$3,K301*(1+가정!$B$6)),IF(N(H301)&gt;0,H301*가정!$B$3,J301*가정!$B$4))</f>
        <v>26983.044</v>
      </c>
      <c r="M301" s="95" t="n">
        <f aca="false">D301*J301</f>
        <v>35550000</v>
      </c>
      <c r="N301" s="95" t="n">
        <f aca="false">D301*K301</f>
        <v>8426700</v>
      </c>
      <c r="O301" s="95" t="n">
        <f aca="false">D301*L301</f>
        <v>12142369.8</v>
      </c>
      <c r="P301" s="34" t="str">
        <f aca="false">TRIM(IF(N(E301)&lt;=0,"택가보정 ","")&amp;IF(N(F301)&lt;=0,"원가보정 ","")&amp;IF(AND(B301&lt;&gt;"CN",N(H301)&lt;=0),"공급가보정 ","")&amp;IF(AND(B301="CN",N(I301)&lt;=0),"중국공급가=원가+마진 ",""))</f>
        <v/>
      </c>
    </row>
    <row r="302" customFormat="false" ht="15" hidden="false" customHeight="true" outlineLevel="0" collapsed="false">
      <c r="A302" s="94" t="s">
        <v>1688</v>
      </c>
      <c r="B302" s="34" t="str">
        <f aca="false">IF(A302="100","HK",IF(A302="200","CN",IF(A302="300","TW","홀세일")))</f>
        <v>홀세일</v>
      </c>
      <c r="C302" s="94" t="s">
        <v>302</v>
      </c>
      <c r="D302" s="95" t="n">
        <v>40</v>
      </c>
      <c r="E302" s="95" t="n">
        <v>79000</v>
      </c>
      <c r="F302" s="95" t="n">
        <v>18726</v>
      </c>
      <c r="G302" s="34" t="n">
        <v>3.49</v>
      </c>
      <c r="H302" s="34" t="n">
        <v>19.8</v>
      </c>
      <c r="J302" s="95" t="n">
        <f aca="false">IF(N(E302)&gt;0,E302,IF(N(F302)&gt;0,F302*가정!$B$5,0))</f>
        <v>79000</v>
      </c>
      <c r="K302" s="95" t="n">
        <f aca="false">IF(N(F302)&gt;0,F302,IF(N(E302)&gt;0,E302/가정!$B$5,0))</f>
        <v>18726</v>
      </c>
      <c r="L302" s="95" t="n">
        <f aca="false">IF(B302="CN",IF(N(I302)&gt;0,I302*가정!$B$3,K302*(1+가정!$B$6)),IF(N(H302)&gt;0,H302*가정!$B$3,J302*가정!$B$4))</f>
        <v>26983.044</v>
      </c>
      <c r="M302" s="95" t="n">
        <f aca="false">D302*J302</f>
        <v>3160000</v>
      </c>
      <c r="N302" s="95" t="n">
        <f aca="false">D302*K302</f>
        <v>749040</v>
      </c>
      <c r="O302" s="95" t="n">
        <f aca="false">D302*L302</f>
        <v>1079321.76</v>
      </c>
      <c r="P302" s="34" t="str">
        <f aca="false">TRIM(IF(N(E302)&lt;=0,"택가보정 ","")&amp;IF(N(F302)&lt;=0,"원가보정 ","")&amp;IF(AND(B302&lt;&gt;"CN",N(H302)&lt;=0),"공급가보정 ","")&amp;IF(AND(B302="CN",N(I302)&lt;=0),"중국공급가=원가+마진 ",""))</f>
        <v/>
      </c>
    </row>
    <row r="303" customFormat="false" ht="15" hidden="false" customHeight="true" outlineLevel="0" collapsed="false">
      <c r="A303" s="94" t="s">
        <v>1692</v>
      </c>
      <c r="B303" s="34" t="str">
        <f aca="false">IF(A303="100","HK",IF(A303="200","CN",IF(A303="300","TW","홀세일")))</f>
        <v>홀세일</v>
      </c>
      <c r="C303" s="94" t="s">
        <v>302</v>
      </c>
      <c r="D303" s="95" t="n">
        <v>178</v>
      </c>
      <c r="E303" s="95" t="n">
        <v>79000</v>
      </c>
      <c r="F303" s="95" t="n">
        <v>18726</v>
      </c>
      <c r="G303" s="34" t="n">
        <v>3.49</v>
      </c>
      <c r="H303" s="34" t="n">
        <v>19.8</v>
      </c>
      <c r="J303" s="95" t="n">
        <f aca="false">IF(N(E303)&gt;0,E303,IF(N(F303)&gt;0,F303*가정!$B$5,0))</f>
        <v>79000</v>
      </c>
      <c r="K303" s="95" t="n">
        <f aca="false">IF(N(F303)&gt;0,F303,IF(N(E303)&gt;0,E303/가정!$B$5,0))</f>
        <v>18726</v>
      </c>
      <c r="L303" s="95" t="n">
        <f aca="false">IF(B303="CN",IF(N(I303)&gt;0,I303*가정!$B$3,K303*(1+가정!$B$6)),IF(N(H303)&gt;0,H303*가정!$B$3,J303*가정!$B$4))</f>
        <v>26983.044</v>
      </c>
      <c r="M303" s="95" t="n">
        <f aca="false">D303*J303</f>
        <v>14062000</v>
      </c>
      <c r="N303" s="95" t="n">
        <f aca="false">D303*K303</f>
        <v>3333228</v>
      </c>
      <c r="O303" s="95" t="n">
        <f aca="false">D303*L303</f>
        <v>4802981.832</v>
      </c>
      <c r="P303" s="34" t="str">
        <f aca="false">TRIM(IF(N(E303)&lt;=0,"택가보정 ","")&amp;IF(N(F303)&lt;=0,"원가보정 ","")&amp;IF(AND(B303&lt;&gt;"CN",N(H303)&lt;=0),"공급가보정 ","")&amp;IF(AND(B303="CN",N(I303)&lt;=0),"중국공급가=원가+마진 ",""))</f>
        <v/>
      </c>
    </row>
    <row r="304" customFormat="false" ht="15" hidden="false" customHeight="true" outlineLevel="0" collapsed="false">
      <c r="A304" s="94" t="s">
        <v>1689</v>
      </c>
      <c r="B304" s="34" t="str">
        <f aca="false">IF(A304="100","HK",IF(A304="200","CN",IF(A304="300","TW","홀세일")))</f>
        <v>홀세일</v>
      </c>
      <c r="C304" s="94" t="s">
        <v>302</v>
      </c>
      <c r="D304" s="95" t="n">
        <v>95</v>
      </c>
      <c r="E304" s="95" t="n">
        <v>79000</v>
      </c>
      <c r="F304" s="95" t="n">
        <v>18726</v>
      </c>
      <c r="G304" s="34" t="n">
        <v>3.49</v>
      </c>
      <c r="H304" s="34" t="n">
        <v>19.8</v>
      </c>
      <c r="J304" s="95" t="n">
        <f aca="false">IF(N(E304)&gt;0,E304,IF(N(F304)&gt;0,F304*가정!$B$5,0))</f>
        <v>79000</v>
      </c>
      <c r="K304" s="95" t="n">
        <f aca="false">IF(N(F304)&gt;0,F304,IF(N(E304)&gt;0,E304/가정!$B$5,0))</f>
        <v>18726</v>
      </c>
      <c r="L304" s="95" t="n">
        <f aca="false">IF(B304="CN",IF(N(I304)&gt;0,I304*가정!$B$3,K304*(1+가정!$B$6)),IF(N(H304)&gt;0,H304*가정!$B$3,J304*가정!$B$4))</f>
        <v>26983.044</v>
      </c>
      <c r="M304" s="95" t="n">
        <f aca="false">D304*J304</f>
        <v>7505000</v>
      </c>
      <c r="N304" s="95" t="n">
        <f aca="false">D304*K304</f>
        <v>1778970</v>
      </c>
      <c r="O304" s="95" t="n">
        <f aca="false">D304*L304</f>
        <v>2563389.18</v>
      </c>
      <c r="P304" s="34" t="str">
        <f aca="false">TRIM(IF(N(E304)&lt;=0,"택가보정 ","")&amp;IF(N(F304)&lt;=0,"원가보정 ","")&amp;IF(AND(B304&lt;&gt;"CN",N(H304)&lt;=0),"공급가보정 ","")&amp;IF(AND(B304="CN",N(I304)&lt;=0),"중국공급가=원가+마진 ",""))</f>
        <v/>
      </c>
    </row>
    <row r="305" customFormat="false" ht="15" hidden="false" customHeight="true" outlineLevel="0" collapsed="false">
      <c r="A305" s="94" t="s">
        <v>1689</v>
      </c>
      <c r="B305" s="34" t="str">
        <f aca="false">IF(A305="100","HK",IF(A305="200","CN",IF(A305="300","TW","홀세일")))</f>
        <v>홀세일</v>
      </c>
      <c r="C305" s="94" t="s">
        <v>1699</v>
      </c>
      <c r="D305" s="95" t="n">
        <v>60</v>
      </c>
      <c r="E305" s="95" t="n">
        <v>69000</v>
      </c>
      <c r="F305" s="95" t="n">
        <v>16700</v>
      </c>
      <c r="G305" s="34" t="n">
        <v>3.56</v>
      </c>
      <c r="H305" s="34" t="n">
        <v>17.3</v>
      </c>
      <c r="J305" s="95" t="n">
        <f aca="false">IF(N(E305)&gt;0,E305,IF(N(F305)&gt;0,F305*가정!$B$5,0))</f>
        <v>69000</v>
      </c>
      <c r="K305" s="95" t="n">
        <f aca="false">IF(N(F305)&gt;0,F305,IF(N(E305)&gt;0,E305/가정!$B$5,0))</f>
        <v>16700</v>
      </c>
      <c r="L305" s="95" t="n">
        <f aca="false">IF(B305="CN",IF(N(I305)&gt;0,I305*가정!$B$3,K305*(1+가정!$B$6)),IF(N(H305)&gt;0,H305*가정!$B$3,J305*가정!$B$4))</f>
        <v>23576.094</v>
      </c>
      <c r="M305" s="95" t="n">
        <f aca="false">D305*J305</f>
        <v>4140000</v>
      </c>
      <c r="N305" s="95" t="n">
        <f aca="false">D305*K305</f>
        <v>1002000</v>
      </c>
      <c r="O305" s="95" t="n">
        <f aca="false">D305*L305</f>
        <v>1414565.64</v>
      </c>
      <c r="P305" s="34" t="str">
        <f aca="false">TRIM(IF(N(E305)&lt;=0,"택가보정 ","")&amp;IF(N(F305)&lt;=0,"원가보정 ","")&amp;IF(AND(B305&lt;&gt;"CN",N(H305)&lt;=0),"공급가보정 ","")&amp;IF(AND(B305="CN",N(I305)&lt;=0),"중국공급가=원가+마진 ",""))</f>
        <v/>
      </c>
    </row>
    <row r="306" customFormat="false" ht="15" hidden="false" customHeight="true" outlineLevel="0" collapsed="false">
      <c r="A306" s="94" t="s">
        <v>1684</v>
      </c>
      <c r="B306" s="34" t="str">
        <f aca="false">IF(A306="100","HK",IF(A306="200","CN",IF(A306="300","TW","홀세일")))</f>
        <v>HK</v>
      </c>
      <c r="C306" s="94" t="s">
        <v>294</v>
      </c>
      <c r="D306" s="95" t="n">
        <v>80</v>
      </c>
      <c r="E306" s="95" t="n">
        <v>79000</v>
      </c>
      <c r="F306" s="95" t="n">
        <v>22234</v>
      </c>
      <c r="G306" s="34" t="n">
        <v>3.29</v>
      </c>
      <c r="H306" s="34" t="n">
        <v>19.8</v>
      </c>
      <c r="J306" s="95" t="n">
        <f aca="false">IF(N(E306)&gt;0,E306,IF(N(F306)&gt;0,F306*가정!$B$5,0))</f>
        <v>79000</v>
      </c>
      <c r="K306" s="95" t="n">
        <f aca="false">IF(N(F306)&gt;0,F306,IF(N(E306)&gt;0,E306/가정!$B$5,0))</f>
        <v>22234</v>
      </c>
      <c r="L306" s="95" t="n">
        <f aca="false">IF(B306="CN",IF(N(I306)&gt;0,I306*가정!$B$3,K306*(1+가정!$B$6)),IF(N(H306)&gt;0,H306*가정!$B$3,J306*가정!$B$4))</f>
        <v>26983.044</v>
      </c>
      <c r="M306" s="95" t="n">
        <f aca="false">D306*J306</f>
        <v>6320000</v>
      </c>
      <c r="N306" s="95" t="n">
        <f aca="false">D306*K306</f>
        <v>1778720</v>
      </c>
      <c r="O306" s="95" t="n">
        <f aca="false">D306*L306</f>
        <v>2158643.52</v>
      </c>
      <c r="P306" s="34" t="str">
        <f aca="false">TRIM(IF(N(E306)&lt;=0,"택가보정 ","")&amp;IF(N(F306)&lt;=0,"원가보정 ","")&amp;IF(AND(B306&lt;&gt;"CN",N(H306)&lt;=0),"공급가보정 ","")&amp;IF(AND(B306="CN",N(I306)&lt;=0),"중국공급가=원가+마진 ",""))</f>
        <v/>
      </c>
    </row>
    <row r="307" customFormat="false" ht="15.75" hidden="false" customHeight="true" outlineLevel="0" collapsed="false">
      <c r="A307" s="94" t="s">
        <v>1685</v>
      </c>
      <c r="B307" s="34" t="str">
        <f aca="false">IF(A307="100","HK",IF(A307="200","CN",IF(A307="300","TW","홀세일")))</f>
        <v>CN</v>
      </c>
      <c r="C307" s="94" t="s">
        <v>294</v>
      </c>
      <c r="D307" s="95" t="n">
        <v>202</v>
      </c>
      <c r="E307" s="95" t="n">
        <v>79000</v>
      </c>
      <c r="F307" s="95" t="n">
        <v>22234</v>
      </c>
      <c r="G307" s="34" t="n">
        <v>3.29</v>
      </c>
      <c r="H307" s="34" t="n">
        <v>19.8</v>
      </c>
      <c r="J307" s="95" t="n">
        <f aca="false">IF(N(E307)&gt;0,E307,IF(N(F307)&gt;0,F307*가정!$B$5,0))</f>
        <v>79000</v>
      </c>
      <c r="K307" s="95" t="n">
        <f aca="false">IF(N(F307)&gt;0,F307,IF(N(E307)&gt;0,E307/가정!$B$5,0))</f>
        <v>22234</v>
      </c>
      <c r="L307" s="95" t="n">
        <f aca="false">IF(B307="CN",IF(N(I307)&gt;0,I307*가정!$B$3,K307*(1+가정!$B$6)),IF(N(H307)&gt;0,H307*가정!$B$3,J307*가정!$B$4))</f>
        <v>23345.7</v>
      </c>
      <c r="M307" s="95" t="n">
        <f aca="false">D307*J307</f>
        <v>15958000</v>
      </c>
      <c r="N307" s="95" t="n">
        <f aca="false">D307*K307</f>
        <v>4491268</v>
      </c>
      <c r="O307" s="95" t="n">
        <f aca="false">D307*L307</f>
        <v>4715831.4</v>
      </c>
      <c r="P307" s="34" t="str">
        <f aca="false">TRIM(IF(N(E307)&lt;=0,"택가보정 ","")&amp;IF(N(F307)&lt;=0,"원가보정 ","")&amp;IF(AND(B307&lt;&gt;"CN",N(H307)&lt;=0),"공급가보정 ","")&amp;IF(AND(B307="CN",N(I307)&lt;=0),"중국공급가=원가+마진 ",""))</f>
        <v>중국공급가=원가+마진</v>
      </c>
    </row>
    <row r="308" customFormat="false" ht="15" hidden="false" customHeight="true" outlineLevel="0" collapsed="false">
      <c r="A308" s="94" t="s">
        <v>1686</v>
      </c>
      <c r="B308" s="34" t="str">
        <f aca="false">IF(A308="100","HK",IF(A308="200","CN",IF(A308="300","TW","홀세일")))</f>
        <v>TW</v>
      </c>
      <c r="C308" s="94" t="s">
        <v>294</v>
      </c>
      <c r="D308" s="95" t="n">
        <v>350</v>
      </c>
      <c r="E308" s="95" t="n">
        <v>79000</v>
      </c>
      <c r="F308" s="95" t="n">
        <v>22234</v>
      </c>
      <c r="G308" s="34" t="n">
        <v>3.29</v>
      </c>
      <c r="H308" s="34" t="n">
        <v>19.8</v>
      </c>
      <c r="J308" s="95" t="n">
        <f aca="false">IF(N(E308)&gt;0,E308,IF(N(F308)&gt;0,F308*가정!$B$5,0))</f>
        <v>79000</v>
      </c>
      <c r="K308" s="95" t="n">
        <f aca="false">IF(N(F308)&gt;0,F308,IF(N(E308)&gt;0,E308/가정!$B$5,0))</f>
        <v>22234</v>
      </c>
      <c r="L308" s="95" t="n">
        <f aca="false">IF(B308="CN",IF(N(I308)&gt;0,I308*가정!$B$3,K308*(1+가정!$B$6)),IF(N(H308)&gt;0,H308*가정!$B$3,J308*가정!$B$4))</f>
        <v>26983.044</v>
      </c>
      <c r="M308" s="95" t="n">
        <f aca="false">D308*J308</f>
        <v>27650000</v>
      </c>
      <c r="N308" s="95" t="n">
        <f aca="false">D308*K308</f>
        <v>7781900</v>
      </c>
      <c r="O308" s="95" t="n">
        <f aca="false">D308*L308</f>
        <v>9444065.4</v>
      </c>
      <c r="P308" s="34" t="str">
        <f aca="false">TRIM(IF(N(E308)&lt;=0,"택가보정 ","")&amp;IF(N(F308)&lt;=0,"원가보정 ","")&amp;IF(AND(B308&lt;&gt;"CN",N(H308)&lt;=0),"공급가보정 ","")&amp;IF(AND(B308="CN",N(I308)&lt;=0),"중국공급가=원가+마진 ",""))</f>
        <v/>
      </c>
    </row>
    <row r="309" customFormat="false" ht="15" hidden="false" customHeight="true" outlineLevel="0" collapsed="false">
      <c r="A309" s="94" t="s">
        <v>1684</v>
      </c>
      <c r="B309" s="34" t="str">
        <f aca="false">IF(A309="100","HK",IF(A309="200","CN",IF(A309="300","TW","홀세일")))</f>
        <v>HK</v>
      </c>
      <c r="C309" s="94" t="s">
        <v>296</v>
      </c>
      <c r="D309" s="95" t="n">
        <v>80</v>
      </c>
      <c r="E309" s="95" t="n">
        <v>79000</v>
      </c>
      <c r="F309" s="95" t="n">
        <v>17322</v>
      </c>
      <c r="G309" s="34" t="n">
        <v>3.76</v>
      </c>
      <c r="H309" s="34" t="n">
        <v>19.8</v>
      </c>
      <c r="J309" s="95" t="n">
        <f aca="false">IF(N(E309)&gt;0,E309,IF(N(F309)&gt;0,F309*가정!$B$5,0))</f>
        <v>79000</v>
      </c>
      <c r="K309" s="95" t="n">
        <f aca="false">IF(N(F309)&gt;0,F309,IF(N(E309)&gt;0,E309/가정!$B$5,0))</f>
        <v>17322</v>
      </c>
      <c r="L309" s="95" t="n">
        <f aca="false">IF(B309="CN",IF(N(I309)&gt;0,I309*가정!$B$3,K309*(1+가정!$B$6)),IF(N(H309)&gt;0,H309*가정!$B$3,J309*가정!$B$4))</f>
        <v>26983.044</v>
      </c>
      <c r="M309" s="95" t="n">
        <f aca="false">D309*J309</f>
        <v>6320000</v>
      </c>
      <c r="N309" s="95" t="n">
        <f aca="false">D309*K309</f>
        <v>1385760</v>
      </c>
      <c r="O309" s="95" t="n">
        <f aca="false">D309*L309</f>
        <v>2158643.52</v>
      </c>
      <c r="P309" s="34" t="str">
        <f aca="false">TRIM(IF(N(E309)&lt;=0,"택가보정 ","")&amp;IF(N(F309)&lt;=0,"원가보정 ","")&amp;IF(AND(B309&lt;&gt;"CN",N(H309)&lt;=0),"공급가보정 ","")&amp;IF(AND(B309="CN",N(I309)&lt;=0),"중국공급가=원가+마진 ",""))</f>
        <v/>
      </c>
    </row>
    <row r="310" customFormat="false" ht="15.75" hidden="false" customHeight="true" outlineLevel="0" collapsed="false">
      <c r="A310" s="94" t="s">
        <v>1685</v>
      </c>
      <c r="B310" s="34" t="str">
        <f aca="false">IF(A310="100","HK",IF(A310="200","CN",IF(A310="300","TW","홀세일")))</f>
        <v>CN</v>
      </c>
      <c r="C310" s="94" t="s">
        <v>296</v>
      </c>
      <c r="D310" s="95" t="n">
        <v>242</v>
      </c>
      <c r="E310" s="95" t="n">
        <v>79000</v>
      </c>
      <c r="F310" s="95" t="n">
        <v>17322</v>
      </c>
      <c r="G310" s="34" t="n">
        <v>3.76</v>
      </c>
      <c r="H310" s="34" t="n">
        <v>19.8</v>
      </c>
      <c r="J310" s="95" t="n">
        <f aca="false">IF(N(E310)&gt;0,E310,IF(N(F310)&gt;0,F310*가정!$B$5,0))</f>
        <v>79000</v>
      </c>
      <c r="K310" s="95" t="n">
        <f aca="false">IF(N(F310)&gt;0,F310,IF(N(E310)&gt;0,E310/가정!$B$5,0))</f>
        <v>17322</v>
      </c>
      <c r="L310" s="95" t="n">
        <f aca="false">IF(B310="CN",IF(N(I310)&gt;0,I310*가정!$B$3,K310*(1+가정!$B$6)),IF(N(H310)&gt;0,H310*가정!$B$3,J310*가정!$B$4))</f>
        <v>18188.1</v>
      </c>
      <c r="M310" s="95" t="n">
        <f aca="false">D310*J310</f>
        <v>19118000</v>
      </c>
      <c r="N310" s="95" t="n">
        <f aca="false">D310*K310</f>
        <v>4191924</v>
      </c>
      <c r="O310" s="95" t="n">
        <f aca="false">D310*L310</f>
        <v>4401520.2</v>
      </c>
      <c r="P310" s="34" t="str">
        <f aca="false">TRIM(IF(N(E310)&lt;=0,"택가보정 ","")&amp;IF(N(F310)&lt;=0,"원가보정 ","")&amp;IF(AND(B310&lt;&gt;"CN",N(H310)&lt;=0),"공급가보정 ","")&amp;IF(AND(B310="CN",N(I310)&lt;=0),"중국공급가=원가+마진 ",""))</f>
        <v>중국공급가=원가+마진</v>
      </c>
    </row>
    <row r="311" customFormat="false" ht="15" hidden="false" customHeight="true" outlineLevel="0" collapsed="false">
      <c r="A311" s="94" t="s">
        <v>1686</v>
      </c>
      <c r="B311" s="34" t="str">
        <f aca="false">IF(A311="100","HK",IF(A311="200","CN",IF(A311="300","TW","홀세일")))</f>
        <v>TW</v>
      </c>
      <c r="C311" s="94" t="s">
        <v>296</v>
      </c>
      <c r="D311" s="95" t="n">
        <v>150</v>
      </c>
      <c r="E311" s="95" t="n">
        <v>79000</v>
      </c>
      <c r="F311" s="95" t="n">
        <v>17322</v>
      </c>
      <c r="G311" s="34" t="n">
        <v>3.76</v>
      </c>
      <c r="H311" s="34" t="n">
        <v>19.8</v>
      </c>
      <c r="J311" s="95" t="n">
        <f aca="false">IF(N(E311)&gt;0,E311,IF(N(F311)&gt;0,F311*가정!$B$5,0))</f>
        <v>79000</v>
      </c>
      <c r="K311" s="95" t="n">
        <f aca="false">IF(N(F311)&gt;0,F311,IF(N(E311)&gt;0,E311/가정!$B$5,0))</f>
        <v>17322</v>
      </c>
      <c r="L311" s="95" t="n">
        <f aca="false">IF(B311="CN",IF(N(I311)&gt;0,I311*가정!$B$3,K311*(1+가정!$B$6)),IF(N(H311)&gt;0,H311*가정!$B$3,J311*가정!$B$4))</f>
        <v>26983.044</v>
      </c>
      <c r="M311" s="95" t="n">
        <f aca="false">D311*J311</f>
        <v>11850000</v>
      </c>
      <c r="N311" s="95" t="n">
        <f aca="false">D311*K311</f>
        <v>2598300</v>
      </c>
      <c r="O311" s="95" t="n">
        <f aca="false">D311*L311</f>
        <v>4047456.6</v>
      </c>
      <c r="P311" s="34" t="str">
        <f aca="false">TRIM(IF(N(E311)&lt;=0,"택가보정 ","")&amp;IF(N(F311)&lt;=0,"원가보정 ","")&amp;IF(AND(B311&lt;&gt;"CN",N(H311)&lt;=0),"공급가보정 ","")&amp;IF(AND(B311="CN",N(I311)&lt;=0),"중국공급가=원가+마진 ",""))</f>
        <v/>
      </c>
    </row>
    <row r="312" customFormat="false" ht="15" hidden="false" customHeight="true" outlineLevel="0" collapsed="false">
      <c r="A312" s="94" t="s">
        <v>1684</v>
      </c>
      <c r="B312" s="34" t="str">
        <f aca="false">IF(A312="100","HK",IF(A312="200","CN",IF(A312="300","TW","홀세일")))</f>
        <v>HK</v>
      </c>
      <c r="C312" s="94" t="s">
        <v>298</v>
      </c>
      <c r="D312" s="95" t="n">
        <v>210</v>
      </c>
      <c r="E312" s="95" t="n">
        <v>69000</v>
      </c>
      <c r="F312" s="95" t="n">
        <v>16584</v>
      </c>
      <c r="G312" s="34" t="n">
        <v>3.58</v>
      </c>
      <c r="H312" s="34" t="n">
        <v>17.3</v>
      </c>
      <c r="J312" s="95" t="n">
        <f aca="false">IF(N(E312)&gt;0,E312,IF(N(F312)&gt;0,F312*가정!$B$5,0))</f>
        <v>69000</v>
      </c>
      <c r="K312" s="95" t="n">
        <f aca="false">IF(N(F312)&gt;0,F312,IF(N(E312)&gt;0,E312/가정!$B$5,0))</f>
        <v>16584</v>
      </c>
      <c r="L312" s="95" t="n">
        <f aca="false">IF(B312="CN",IF(N(I312)&gt;0,I312*가정!$B$3,K312*(1+가정!$B$6)),IF(N(H312)&gt;0,H312*가정!$B$3,J312*가정!$B$4))</f>
        <v>23576.094</v>
      </c>
      <c r="M312" s="95" t="n">
        <f aca="false">D312*J312</f>
        <v>14490000</v>
      </c>
      <c r="N312" s="95" t="n">
        <f aca="false">D312*K312</f>
        <v>3482640</v>
      </c>
      <c r="O312" s="95" t="n">
        <f aca="false">D312*L312</f>
        <v>4950979.74</v>
      </c>
      <c r="P312" s="34" t="str">
        <f aca="false">TRIM(IF(N(E312)&lt;=0,"택가보정 ","")&amp;IF(N(F312)&lt;=0,"원가보정 ","")&amp;IF(AND(B312&lt;&gt;"CN",N(H312)&lt;=0),"공급가보정 ","")&amp;IF(AND(B312="CN",N(I312)&lt;=0),"중국공급가=원가+마진 ",""))</f>
        <v/>
      </c>
    </row>
    <row r="313" customFormat="false" ht="15.75" hidden="false" customHeight="true" outlineLevel="0" collapsed="false">
      <c r="A313" s="94" t="s">
        <v>1685</v>
      </c>
      <c r="B313" s="34" t="str">
        <f aca="false">IF(A313="100","HK",IF(A313="200","CN",IF(A313="300","TW","홀세일")))</f>
        <v>CN</v>
      </c>
      <c r="C313" s="94" t="s">
        <v>298</v>
      </c>
      <c r="D313" s="95" t="n">
        <v>202</v>
      </c>
      <c r="E313" s="95" t="n">
        <v>69000</v>
      </c>
      <c r="F313" s="95" t="n">
        <v>16584</v>
      </c>
      <c r="G313" s="34" t="n">
        <v>3.58</v>
      </c>
      <c r="H313" s="34" t="n">
        <v>17.3</v>
      </c>
      <c r="J313" s="95" t="n">
        <f aca="false">IF(N(E313)&gt;0,E313,IF(N(F313)&gt;0,F313*가정!$B$5,0))</f>
        <v>69000</v>
      </c>
      <c r="K313" s="95" t="n">
        <f aca="false">IF(N(F313)&gt;0,F313,IF(N(E313)&gt;0,E313/가정!$B$5,0))</f>
        <v>16584</v>
      </c>
      <c r="L313" s="95" t="n">
        <f aca="false">IF(B313="CN",IF(N(I313)&gt;0,I313*가정!$B$3,K313*(1+가정!$B$6)),IF(N(H313)&gt;0,H313*가정!$B$3,J313*가정!$B$4))</f>
        <v>17413.2</v>
      </c>
      <c r="M313" s="95" t="n">
        <f aca="false">D313*J313</f>
        <v>13938000</v>
      </c>
      <c r="N313" s="95" t="n">
        <f aca="false">D313*K313</f>
        <v>3349968</v>
      </c>
      <c r="O313" s="95" t="n">
        <f aca="false">D313*L313</f>
        <v>3517466.4</v>
      </c>
      <c r="P313" s="34" t="str">
        <f aca="false">TRIM(IF(N(E313)&lt;=0,"택가보정 ","")&amp;IF(N(F313)&lt;=0,"원가보정 ","")&amp;IF(AND(B313&lt;&gt;"CN",N(H313)&lt;=0),"공급가보정 ","")&amp;IF(AND(B313="CN",N(I313)&lt;=0),"중국공급가=원가+마진 ",""))</f>
        <v>중국공급가=원가+마진</v>
      </c>
    </row>
    <row r="314" customFormat="false" ht="15" hidden="false" customHeight="true" outlineLevel="0" collapsed="false">
      <c r="A314" s="94" t="s">
        <v>1686</v>
      </c>
      <c r="B314" s="34" t="str">
        <f aca="false">IF(A314="100","HK",IF(A314="200","CN",IF(A314="300","TW","홀세일")))</f>
        <v>TW</v>
      </c>
      <c r="C314" s="94" t="s">
        <v>298</v>
      </c>
      <c r="D314" s="95" t="n">
        <v>400</v>
      </c>
      <c r="E314" s="95" t="n">
        <v>69000</v>
      </c>
      <c r="F314" s="95" t="n">
        <v>16584</v>
      </c>
      <c r="G314" s="34" t="n">
        <v>3.58</v>
      </c>
      <c r="H314" s="34" t="n">
        <v>17.3</v>
      </c>
      <c r="J314" s="95" t="n">
        <f aca="false">IF(N(E314)&gt;0,E314,IF(N(F314)&gt;0,F314*가정!$B$5,0))</f>
        <v>69000</v>
      </c>
      <c r="K314" s="95" t="n">
        <f aca="false">IF(N(F314)&gt;0,F314,IF(N(E314)&gt;0,E314/가정!$B$5,0))</f>
        <v>16584</v>
      </c>
      <c r="L314" s="95" t="n">
        <f aca="false">IF(B314="CN",IF(N(I314)&gt;0,I314*가정!$B$3,K314*(1+가정!$B$6)),IF(N(H314)&gt;0,H314*가정!$B$3,J314*가정!$B$4))</f>
        <v>23576.094</v>
      </c>
      <c r="M314" s="95" t="n">
        <f aca="false">D314*J314</f>
        <v>27600000</v>
      </c>
      <c r="N314" s="95" t="n">
        <f aca="false">D314*K314</f>
        <v>6633600</v>
      </c>
      <c r="O314" s="95" t="n">
        <f aca="false">D314*L314</f>
        <v>9430437.6</v>
      </c>
      <c r="P314" s="34" t="str">
        <f aca="false">TRIM(IF(N(E314)&lt;=0,"택가보정 ","")&amp;IF(N(F314)&lt;=0,"원가보정 ","")&amp;IF(AND(B314&lt;&gt;"CN",N(H314)&lt;=0),"공급가보정 ","")&amp;IF(AND(B314="CN",N(I314)&lt;=0),"중국공급가=원가+마진 ",""))</f>
        <v/>
      </c>
    </row>
    <row r="315" customFormat="false" ht="15" hidden="false" customHeight="true" outlineLevel="0" collapsed="false">
      <c r="A315" s="94" t="s">
        <v>1687</v>
      </c>
      <c r="B315" s="34" t="str">
        <f aca="false">IF(A315="100","HK",IF(A315="200","CN",IF(A315="300","TW","홀세일")))</f>
        <v>홀세일</v>
      </c>
      <c r="C315" s="94" t="s">
        <v>298</v>
      </c>
      <c r="D315" s="95" t="n">
        <v>75</v>
      </c>
      <c r="E315" s="95" t="n">
        <v>69000</v>
      </c>
      <c r="F315" s="95" t="n">
        <v>16584</v>
      </c>
      <c r="G315" s="34" t="n">
        <v>3.58</v>
      </c>
      <c r="H315" s="34" t="n">
        <v>17.3</v>
      </c>
      <c r="J315" s="95" t="n">
        <f aca="false">IF(N(E315)&gt;0,E315,IF(N(F315)&gt;0,F315*가정!$B$5,0))</f>
        <v>69000</v>
      </c>
      <c r="K315" s="95" t="n">
        <f aca="false">IF(N(F315)&gt;0,F315,IF(N(E315)&gt;0,E315/가정!$B$5,0))</f>
        <v>16584</v>
      </c>
      <c r="L315" s="95" t="n">
        <f aca="false">IF(B315="CN",IF(N(I315)&gt;0,I315*가정!$B$3,K315*(1+가정!$B$6)),IF(N(H315)&gt;0,H315*가정!$B$3,J315*가정!$B$4))</f>
        <v>23576.094</v>
      </c>
      <c r="M315" s="95" t="n">
        <f aca="false">D315*J315</f>
        <v>5175000</v>
      </c>
      <c r="N315" s="95" t="n">
        <f aca="false">D315*K315</f>
        <v>1243800</v>
      </c>
      <c r="O315" s="95" t="n">
        <f aca="false">D315*L315</f>
        <v>1768207.05</v>
      </c>
      <c r="P315" s="34" t="str">
        <f aca="false">TRIM(IF(N(E315)&lt;=0,"택가보정 ","")&amp;IF(N(F315)&lt;=0,"원가보정 ","")&amp;IF(AND(B315&lt;&gt;"CN",N(H315)&lt;=0),"공급가보정 ","")&amp;IF(AND(B315="CN",N(I315)&lt;=0),"중국공급가=원가+마진 ",""))</f>
        <v/>
      </c>
    </row>
    <row r="316" customFormat="false" ht="15" hidden="false" customHeight="true" outlineLevel="0" collapsed="false">
      <c r="A316" s="94" t="s">
        <v>1688</v>
      </c>
      <c r="B316" s="34" t="str">
        <f aca="false">IF(A316="100","HK",IF(A316="200","CN",IF(A316="300","TW","홀세일")))</f>
        <v>홀세일</v>
      </c>
      <c r="C316" s="94" t="s">
        <v>298</v>
      </c>
      <c r="D316" s="95" t="n">
        <v>120</v>
      </c>
      <c r="E316" s="95" t="n">
        <v>69000</v>
      </c>
      <c r="F316" s="95" t="n">
        <v>16584</v>
      </c>
      <c r="G316" s="34" t="n">
        <v>3.58</v>
      </c>
      <c r="H316" s="34" t="n">
        <v>17.3</v>
      </c>
      <c r="J316" s="95" t="n">
        <f aca="false">IF(N(E316)&gt;0,E316,IF(N(F316)&gt;0,F316*가정!$B$5,0))</f>
        <v>69000</v>
      </c>
      <c r="K316" s="95" t="n">
        <f aca="false">IF(N(F316)&gt;0,F316,IF(N(E316)&gt;0,E316/가정!$B$5,0))</f>
        <v>16584</v>
      </c>
      <c r="L316" s="95" t="n">
        <f aca="false">IF(B316="CN",IF(N(I316)&gt;0,I316*가정!$B$3,K316*(1+가정!$B$6)),IF(N(H316)&gt;0,H316*가정!$B$3,J316*가정!$B$4))</f>
        <v>23576.094</v>
      </c>
      <c r="M316" s="95" t="n">
        <f aca="false">D316*J316</f>
        <v>8280000</v>
      </c>
      <c r="N316" s="95" t="n">
        <f aca="false">D316*K316</f>
        <v>1990080</v>
      </c>
      <c r="O316" s="95" t="n">
        <f aca="false">D316*L316</f>
        <v>2829131.28</v>
      </c>
      <c r="P316" s="34" t="str">
        <f aca="false">TRIM(IF(N(E316)&lt;=0,"택가보정 ","")&amp;IF(N(F316)&lt;=0,"원가보정 ","")&amp;IF(AND(B316&lt;&gt;"CN",N(H316)&lt;=0),"공급가보정 ","")&amp;IF(AND(B316="CN",N(I316)&lt;=0),"중국공급가=원가+마진 ",""))</f>
        <v/>
      </c>
    </row>
    <row r="317" customFormat="false" ht="15" hidden="false" customHeight="true" outlineLevel="0" collapsed="false">
      <c r="A317" s="94" t="s">
        <v>1690</v>
      </c>
      <c r="B317" s="34" t="str">
        <f aca="false">IF(A317="100","HK",IF(A317="200","CN",IF(A317="300","TW","홀세일")))</f>
        <v>홀세일</v>
      </c>
      <c r="C317" s="94" t="s">
        <v>298</v>
      </c>
      <c r="D317" s="95" t="n">
        <v>432</v>
      </c>
      <c r="E317" s="95" t="n">
        <v>69000</v>
      </c>
      <c r="F317" s="95" t="n">
        <v>16584</v>
      </c>
      <c r="G317" s="34" t="n">
        <v>3.58</v>
      </c>
      <c r="H317" s="34" t="n">
        <v>17.3</v>
      </c>
      <c r="J317" s="95" t="n">
        <f aca="false">IF(N(E317)&gt;0,E317,IF(N(F317)&gt;0,F317*가정!$B$5,0))</f>
        <v>69000</v>
      </c>
      <c r="K317" s="95" t="n">
        <f aca="false">IF(N(F317)&gt;0,F317,IF(N(E317)&gt;0,E317/가정!$B$5,0))</f>
        <v>16584</v>
      </c>
      <c r="L317" s="95" t="n">
        <f aca="false">IF(B317="CN",IF(N(I317)&gt;0,I317*가정!$B$3,K317*(1+가정!$B$6)),IF(N(H317)&gt;0,H317*가정!$B$3,J317*가정!$B$4))</f>
        <v>23576.094</v>
      </c>
      <c r="M317" s="95" t="n">
        <f aca="false">D317*J317</f>
        <v>29808000</v>
      </c>
      <c r="N317" s="95" t="n">
        <f aca="false">D317*K317</f>
        <v>7164288</v>
      </c>
      <c r="O317" s="95" t="n">
        <f aca="false">D317*L317</f>
        <v>10184872.608</v>
      </c>
      <c r="P317" s="34" t="str">
        <f aca="false">TRIM(IF(N(E317)&lt;=0,"택가보정 ","")&amp;IF(N(F317)&lt;=0,"원가보정 ","")&amp;IF(AND(B317&lt;&gt;"CN",N(H317)&lt;=0),"공급가보정 ","")&amp;IF(AND(B317="CN",N(I317)&lt;=0),"중국공급가=원가+마진 ",""))</f>
        <v/>
      </c>
    </row>
    <row r="318" customFormat="false" ht="15" hidden="false" customHeight="true" outlineLevel="0" collapsed="false">
      <c r="A318" s="94" t="s">
        <v>1690</v>
      </c>
      <c r="B318" s="34" t="str">
        <f aca="false">IF(A318="100","HK",IF(A318="200","CN",IF(A318="300","TW","홀세일")))</f>
        <v>홀세일</v>
      </c>
      <c r="C318" s="94" t="s">
        <v>298</v>
      </c>
      <c r="D318" s="95" t="n">
        <v>432</v>
      </c>
      <c r="E318" s="95" t="n">
        <v>69000</v>
      </c>
      <c r="F318" s="95" t="n">
        <v>16584</v>
      </c>
      <c r="G318" s="34" t="n">
        <v>3.58</v>
      </c>
      <c r="H318" s="34" t="n">
        <v>17.3</v>
      </c>
      <c r="J318" s="95" t="n">
        <f aca="false">IF(N(E318)&gt;0,E318,IF(N(F318)&gt;0,F318*가정!$B$5,0))</f>
        <v>69000</v>
      </c>
      <c r="K318" s="95" t="n">
        <f aca="false">IF(N(F318)&gt;0,F318,IF(N(E318)&gt;0,E318/가정!$B$5,0))</f>
        <v>16584</v>
      </c>
      <c r="L318" s="95" t="n">
        <f aca="false">IF(B318="CN",IF(N(I318)&gt;0,I318*가정!$B$3,K318*(1+가정!$B$6)),IF(N(H318)&gt;0,H318*가정!$B$3,J318*가정!$B$4))</f>
        <v>23576.094</v>
      </c>
      <c r="M318" s="95" t="n">
        <f aca="false">D318*J318</f>
        <v>29808000</v>
      </c>
      <c r="N318" s="95" t="n">
        <f aca="false">D318*K318</f>
        <v>7164288</v>
      </c>
      <c r="O318" s="95" t="n">
        <f aca="false">D318*L318</f>
        <v>10184872.608</v>
      </c>
      <c r="P318" s="34" t="str">
        <f aca="false">TRIM(IF(N(E318)&lt;=0,"택가보정 ","")&amp;IF(N(F318)&lt;=0,"원가보정 ","")&amp;IF(AND(B318&lt;&gt;"CN",N(H318)&lt;=0),"공급가보정 ","")&amp;IF(AND(B318="CN",N(I318)&lt;=0),"중국공급가=원가+마진 ",""))</f>
        <v/>
      </c>
    </row>
    <row r="319" customFormat="false" ht="15" hidden="false" customHeight="true" outlineLevel="0" collapsed="false">
      <c r="A319" s="94" t="s">
        <v>1684</v>
      </c>
      <c r="B319" s="34" t="str">
        <f aca="false">IF(A319="100","HK",IF(A319="200","CN",IF(A319="300","TW","홀세일")))</f>
        <v>HK</v>
      </c>
      <c r="C319" s="94" t="s">
        <v>879</v>
      </c>
      <c r="D319" s="95" t="n">
        <v>340</v>
      </c>
      <c r="E319" s="95" t="n">
        <v>59000</v>
      </c>
      <c r="F319" s="95" t="n">
        <v>14700</v>
      </c>
      <c r="G319" s="34" t="n">
        <v>3.89</v>
      </c>
      <c r="H319" s="34" t="n">
        <v>14.8</v>
      </c>
      <c r="J319" s="95" t="n">
        <f aca="false">IF(N(E319)&gt;0,E319,IF(N(F319)&gt;0,F319*가정!$B$5,0))</f>
        <v>59000</v>
      </c>
      <c r="K319" s="95" t="n">
        <f aca="false">IF(N(F319)&gt;0,F319,IF(N(E319)&gt;0,E319/가정!$B$5,0))</f>
        <v>14700</v>
      </c>
      <c r="L319" s="95" t="n">
        <f aca="false">IF(B319="CN",IF(N(I319)&gt;0,I319*가정!$B$3,K319*(1+가정!$B$6)),IF(N(H319)&gt;0,H319*가정!$B$3,J319*가정!$B$4))</f>
        <v>20169.144</v>
      </c>
      <c r="M319" s="95" t="n">
        <f aca="false">D319*J319</f>
        <v>20060000</v>
      </c>
      <c r="N319" s="95" t="n">
        <f aca="false">D319*K319</f>
        <v>4998000</v>
      </c>
      <c r="O319" s="95" t="n">
        <f aca="false">D319*L319</f>
        <v>6857508.96</v>
      </c>
      <c r="P319" s="34" t="str">
        <f aca="false">TRIM(IF(N(E319)&lt;=0,"택가보정 ","")&amp;IF(N(F319)&lt;=0,"원가보정 ","")&amp;IF(AND(B319&lt;&gt;"CN",N(H319)&lt;=0),"공급가보정 ","")&amp;IF(AND(B319="CN",N(I319)&lt;=0),"중국공급가=원가+마진 ",""))</f>
        <v/>
      </c>
    </row>
    <row r="320" customFormat="false" ht="15" hidden="false" customHeight="true" outlineLevel="0" collapsed="false">
      <c r="A320" s="94" t="s">
        <v>1689</v>
      </c>
      <c r="B320" s="34" t="str">
        <f aca="false">IF(A320="100","HK",IF(A320="200","CN",IF(A320="300","TW","홀세일")))</f>
        <v>홀세일</v>
      </c>
      <c r="C320" s="94" t="s">
        <v>879</v>
      </c>
      <c r="D320" s="95" t="n">
        <v>90</v>
      </c>
      <c r="E320" s="95" t="n">
        <v>59000</v>
      </c>
      <c r="F320" s="95" t="n">
        <v>14700</v>
      </c>
      <c r="G320" s="34" t="n">
        <v>3.89</v>
      </c>
      <c r="H320" s="34" t="n">
        <v>14.8</v>
      </c>
      <c r="J320" s="95" t="n">
        <f aca="false">IF(N(E320)&gt;0,E320,IF(N(F320)&gt;0,F320*가정!$B$5,0))</f>
        <v>59000</v>
      </c>
      <c r="K320" s="95" t="n">
        <f aca="false">IF(N(F320)&gt;0,F320,IF(N(E320)&gt;0,E320/가정!$B$5,0))</f>
        <v>14700</v>
      </c>
      <c r="L320" s="95" t="n">
        <f aca="false">IF(B320="CN",IF(N(I320)&gt;0,I320*가정!$B$3,K320*(1+가정!$B$6)),IF(N(H320)&gt;0,H320*가정!$B$3,J320*가정!$B$4))</f>
        <v>20169.144</v>
      </c>
      <c r="M320" s="95" t="n">
        <f aca="false">D320*J320</f>
        <v>5310000</v>
      </c>
      <c r="N320" s="95" t="n">
        <f aca="false">D320*K320</f>
        <v>1323000</v>
      </c>
      <c r="O320" s="95" t="n">
        <f aca="false">D320*L320</f>
        <v>1815222.96</v>
      </c>
      <c r="P320" s="34" t="str">
        <f aca="false">TRIM(IF(N(E320)&lt;=0,"택가보정 ","")&amp;IF(N(F320)&lt;=0,"원가보정 ","")&amp;IF(AND(B320&lt;&gt;"CN",N(H320)&lt;=0),"공급가보정 ","")&amp;IF(AND(B320="CN",N(I320)&lt;=0),"중국공급가=원가+마진 ",""))</f>
        <v/>
      </c>
    </row>
    <row r="321" customFormat="false" ht="15" hidden="false" customHeight="true" outlineLevel="0" collapsed="false">
      <c r="A321" s="94" t="s">
        <v>1684</v>
      </c>
      <c r="B321" s="34" t="str">
        <f aca="false">IF(A321="100","HK",IF(A321="200","CN",IF(A321="300","TW","홀세일")))</f>
        <v>HK</v>
      </c>
      <c r="C321" s="94" t="s">
        <v>300</v>
      </c>
      <c r="D321" s="95" t="n">
        <v>80</v>
      </c>
      <c r="E321" s="95" t="n">
        <v>79000</v>
      </c>
      <c r="F321" s="95" t="n">
        <v>18500</v>
      </c>
      <c r="G321" s="34" t="n">
        <v>3.78</v>
      </c>
      <c r="H321" s="34" t="n">
        <v>19.8</v>
      </c>
      <c r="J321" s="95" t="n">
        <f aca="false">IF(N(E321)&gt;0,E321,IF(N(F321)&gt;0,F321*가정!$B$5,0))</f>
        <v>79000</v>
      </c>
      <c r="K321" s="95" t="n">
        <f aca="false">IF(N(F321)&gt;0,F321,IF(N(E321)&gt;0,E321/가정!$B$5,0))</f>
        <v>18500</v>
      </c>
      <c r="L321" s="95" t="n">
        <f aca="false">IF(B321="CN",IF(N(I321)&gt;0,I321*가정!$B$3,K321*(1+가정!$B$6)),IF(N(H321)&gt;0,H321*가정!$B$3,J321*가정!$B$4))</f>
        <v>26983.044</v>
      </c>
      <c r="M321" s="95" t="n">
        <f aca="false">D321*J321</f>
        <v>6320000</v>
      </c>
      <c r="N321" s="95" t="n">
        <f aca="false">D321*K321</f>
        <v>1480000</v>
      </c>
      <c r="O321" s="95" t="n">
        <f aca="false">D321*L321</f>
        <v>2158643.52</v>
      </c>
      <c r="P321" s="34" t="str">
        <f aca="false">TRIM(IF(N(E321)&lt;=0,"택가보정 ","")&amp;IF(N(F321)&lt;=0,"원가보정 ","")&amp;IF(AND(B321&lt;&gt;"CN",N(H321)&lt;=0),"공급가보정 ","")&amp;IF(AND(B321="CN",N(I321)&lt;=0),"중국공급가=원가+마진 ",""))</f>
        <v/>
      </c>
    </row>
    <row r="322" customFormat="false" ht="15" hidden="false" customHeight="true" outlineLevel="0" collapsed="false">
      <c r="A322" s="94" t="s">
        <v>1686</v>
      </c>
      <c r="B322" s="34" t="str">
        <f aca="false">IF(A322="100","HK",IF(A322="200","CN",IF(A322="300","TW","홀세일")))</f>
        <v>TW</v>
      </c>
      <c r="C322" s="94" t="s">
        <v>300</v>
      </c>
      <c r="D322" s="95" t="n">
        <v>350</v>
      </c>
      <c r="E322" s="95" t="n">
        <v>79000</v>
      </c>
      <c r="F322" s="95" t="n">
        <v>18500</v>
      </c>
      <c r="G322" s="34" t="n">
        <v>3.78</v>
      </c>
      <c r="H322" s="34" t="n">
        <v>19.8</v>
      </c>
      <c r="J322" s="95" t="n">
        <f aca="false">IF(N(E322)&gt;0,E322,IF(N(F322)&gt;0,F322*가정!$B$5,0))</f>
        <v>79000</v>
      </c>
      <c r="K322" s="95" t="n">
        <f aca="false">IF(N(F322)&gt;0,F322,IF(N(E322)&gt;0,E322/가정!$B$5,0))</f>
        <v>18500</v>
      </c>
      <c r="L322" s="95" t="n">
        <f aca="false">IF(B322="CN",IF(N(I322)&gt;0,I322*가정!$B$3,K322*(1+가정!$B$6)),IF(N(H322)&gt;0,H322*가정!$B$3,J322*가정!$B$4))</f>
        <v>26983.044</v>
      </c>
      <c r="M322" s="95" t="n">
        <f aca="false">D322*J322</f>
        <v>27650000</v>
      </c>
      <c r="N322" s="95" t="n">
        <f aca="false">D322*K322</f>
        <v>6475000</v>
      </c>
      <c r="O322" s="95" t="n">
        <f aca="false">D322*L322</f>
        <v>9444065.4</v>
      </c>
      <c r="P322" s="34" t="str">
        <f aca="false">TRIM(IF(N(E322)&lt;=0,"택가보정 ","")&amp;IF(N(F322)&lt;=0,"원가보정 ","")&amp;IF(AND(B322&lt;&gt;"CN",N(H322)&lt;=0),"공급가보정 ","")&amp;IF(AND(B322="CN",N(I322)&lt;=0),"중국공급가=원가+마진 ",""))</f>
        <v/>
      </c>
    </row>
    <row r="323" customFormat="false" ht="15" hidden="false" customHeight="true" outlineLevel="0" collapsed="false">
      <c r="A323" s="94" t="s">
        <v>1687</v>
      </c>
      <c r="B323" s="34" t="str">
        <f aca="false">IF(A323="100","HK",IF(A323="200","CN",IF(A323="300","TW","홀세일")))</f>
        <v>홀세일</v>
      </c>
      <c r="C323" s="94" t="s">
        <v>300</v>
      </c>
      <c r="D323" s="95" t="n">
        <v>50</v>
      </c>
      <c r="E323" s="95" t="n">
        <v>79000</v>
      </c>
      <c r="F323" s="95" t="n">
        <v>18500</v>
      </c>
      <c r="G323" s="34" t="n">
        <v>3.78</v>
      </c>
      <c r="H323" s="34" t="n">
        <v>19.8</v>
      </c>
      <c r="J323" s="95" t="n">
        <f aca="false">IF(N(E323)&gt;0,E323,IF(N(F323)&gt;0,F323*가정!$B$5,0))</f>
        <v>79000</v>
      </c>
      <c r="K323" s="95" t="n">
        <f aca="false">IF(N(F323)&gt;0,F323,IF(N(E323)&gt;0,E323/가정!$B$5,0))</f>
        <v>18500</v>
      </c>
      <c r="L323" s="95" t="n">
        <f aca="false">IF(B323="CN",IF(N(I323)&gt;0,I323*가정!$B$3,K323*(1+가정!$B$6)),IF(N(H323)&gt;0,H323*가정!$B$3,J323*가정!$B$4))</f>
        <v>26983.044</v>
      </c>
      <c r="M323" s="95" t="n">
        <f aca="false">D323*J323</f>
        <v>3950000</v>
      </c>
      <c r="N323" s="95" t="n">
        <f aca="false">D323*K323</f>
        <v>925000</v>
      </c>
      <c r="O323" s="95" t="n">
        <f aca="false">D323*L323</f>
        <v>1349152.2</v>
      </c>
      <c r="P323" s="34" t="str">
        <f aca="false">TRIM(IF(N(E323)&lt;=0,"택가보정 ","")&amp;IF(N(F323)&lt;=0,"원가보정 ","")&amp;IF(AND(B323&lt;&gt;"CN",N(H323)&lt;=0),"공급가보정 ","")&amp;IF(AND(B323="CN",N(I323)&lt;=0),"중국공급가=원가+마진 ",""))</f>
        <v/>
      </c>
    </row>
    <row r="324" customFormat="false" ht="15" hidden="false" customHeight="true" outlineLevel="0" collapsed="false">
      <c r="A324" s="94" t="s">
        <v>1688</v>
      </c>
      <c r="B324" s="34" t="str">
        <f aca="false">IF(A324="100","HK",IF(A324="200","CN",IF(A324="300","TW","홀세일")))</f>
        <v>홀세일</v>
      </c>
      <c r="C324" s="94" t="s">
        <v>300</v>
      </c>
      <c r="D324" s="95" t="n">
        <v>100</v>
      </c>
      <c r="E324" s="95" t="n">
        <v>79000</v>
      </c>
      <c r="F324" s="95" t="n">
        <v>18500</v>
      </c>
      <c r="G324" s="34" t="n">
        <v>3.78</v>
      </c>
      <c r="H324" s="34" t="n">
        <v>19.8</v>
      </c>
      <c r="J324" s="95" t="n">
        <f aca="false">IF(N(E324)&gt;0,E324,IF(N(F324)&gt;0,F324*가정!$B$5,0))</f>
        <v>79000</v>
      </c>
      <c r="K324" s="95" t="n">
        <f aca="false">IF(N(F324)&gt;0,F324,IF(N(E324)&gt;0,E324/가정!$B$5,0))</f>
        <v>18500</v>
      </c>
      <c r="L324" s="95" t="n">
        <f aca="false">IF(B324="CN",IF(N(I324)&gt;0,I324*가정!$B$3,K324*(1+가정!$B$6)),IF(N(H324)&gt;0,H324*가정!$B$3,J324*가정!$B$4))</f>
        <v>26983.044</v>
      </c>
      <c r="M324" s="95" t="n">
        <f aca="false">D324*J324</f>
        <v>7900000</v>
      </c>
      <c r="N324" s="95" t="n">
        <f aca="false">D324*K324</f>
        <v>1850000</v>
      </c>
      <c r="O324" s="95" t="n">
        <f aca="false">D324*L324</f>
        <v>2698304.4</v>
      </c>
      <c r="P324" s="34" t="str">
        <f aca="false">TRIM(IF(N(E324)&lt;=0,"택가보정 ","")&amp;IF(N(F324)&lt;=0,"원가보정 ","")&amp;IF(AND(B324&lt;&gt;"CN",N(H324)&lt;=0),"공급가보정 ","")&amp;IF(AND(B324="CN",N(I324)&lt;=0),"중국공급가=원가+마진 ",""))</f>
        <v/>
      </c>
    </row>
    <row r="325" customFormat="false" ht="15" hidden="false" customHeight="true" outlineLevel="0" collapsed="false">
      <c r="A325" s="94" t="s">
        <v>1692</v>
      </c>
      <c r="B325" s="34" t="str">
        <f aca="false">IF(A325="100","HK",IF(A325="200","CN",IF(A325="300","TW","홀세일")))</f>
        <v>홀세일</v>
      </c>
      <c r="C325" s="94" t="s">
        <v>300</v>
      </c>
      <c r="D325" s="95" t="n">
        <v>76</v>
      </c>
      <c r="E325" s="95" t="n">
        <v>79000</v>
      </c>
      <c r="F325" s="95" t="n">
        <v>18500</v>
      </c>
      <c r="G325" s="34" t="n">
        <v>3.78</v>
      </c>
      <c r="H325" s="34" t="n">
        <v>19.8</v>
      </c>
      <c r="J325" s="95" t="n">
        <f aca="false">IF(N(E325)&gt;0,E325,IF(N(F325)&gt;0,F325*가정!$B$5,0))</f>
        <v>79000</v>
      </c>
      <c r="K325" s="95" t="n">
        <f aca="false">IF(N(F325)&gt;0,F325,IF(N(E325)&gt;0,E325/가정!$B$5,0))</f>
        <v>18500</v>
      </c>
      <c r="L325" s="95" t="n">
        <f aca="false">IF(B325="CN",IF(N(I325)&gt;0,I325*가정!$B$3,K325*(1+가정!$B$6)),IF(N(H325)&gt;0,H325*가정!$B$3,J325*가정!$B$4))</f>
        <v>26983.044</v>
      </c>
      <c r="M325" s="95" t="n">
        <f aca="false">D325*J325</f>
        <v>6004000</v>
      </c>
      <c r="N325" s="95" t="n">
        <f aca="false">D325*K325</f>
        <v>1406000</v>
      </c>
      <c r="O325" s="95" t="n">
        <f aca="false">D325*L325</f>
        <v>2050711.344</v>
      </c>
      <c r="P325" s="34" t="str">
        <f aca="false">TRIM(IF(N(E325)&lt;=0,"택가보정 ","")&amp;IF(N(F325)&lt;=0,"원가보정 ","")&amp;IF(AND(B325&lt;&gt;"CN",N(H325)&lt;=0),"공급가보정 ","")&amp;IF(AND(B325="CN",N(I325)&lt;=0),"중국공급가=원가+마진 ",""))</f>
        <v/>
      </c>
    </row>
    <row r="326" customFormat="false" ht="15" hidden="false" customHeight="true" outlineLevel="0" collapsed="false">
      <c r="A326" s="94" t="s">
        <v>1689</v>
      </c>
      <c r="B326" s="34" t="str">
        <f aca="false">IF(A326="100","HK",IF(A326="200","CN",IF(A326="300","TW","홀세일")))</f>
        <v>홀세일</v>
      </c>
      <c r="C326" s="94" t="s">
        <v>300</v>
      </c>
      <c r="D326" s="95" t="n">
        <v>60</v>
      </c>
      <c r="E326" s="95" t="n">
        <v>79000</v>
      </c>
      <c r="F326" s="95" t="n">
        <v>18500</v>
      </c>
      <c r="G326" s="34" t="n">
        <v>3.78</v>
      </c>
      <c r="H326" s="34" t="n">
        <v>19.8</v>
      </c>
      <c r="J326" s="95" t="n">
        <f aca="false">IF(N(E326)&gt;0,E326,IF(N(F326)&gt;0,F326*가정!$B$5,0))</f>
        <v>79000</v>
      </c>
      <c r="K326" s="95" t="n">
        <f aca="false">IF(N(F326)&gt;0,F326,IF(N(E326)&gt;0,E326/가정!$B$5,0))</f>
        <v>18500</v>
      </c>
      <c r="L326" s="95" t="n">
        <f aca="false">IF(B326="CN",IF(N(I326)&gt;0,I326*가정!$B$3,K326*(1+가정!$B$6)),IF(N(H326)&gt;0,H326*가정!$B$3,J326*가정!$B$4))</f>
        <v>26983.044</v>
      </c>
      <c r="M326" s="95" t="n">
        <f aca="false">D326*J326</f>
        <v>4740000</v>
      </c>
      <c r="N326" s="95" t="n">
        <f aca="false">D326*K326</f>
        <v>1110000</v>
      </c>
      <c r="O326" s="95" t="n">
        <f aca="false">D326*L326</f>
        <v>1618982.64</v>
      </c>
      <c r="P326" s="34" t="str">
        <f aca="false">TRIM(IF(N(E326)&lt;=0,"택가보정 ","")&amp;IF(N(F326)&lt;=0,"원가보정 ","")&amp;IF(AND(B326&lt;&gt;"CN",N(H326)&lt;=0),"공급가보정 ","")&amp;IF(AND(B326="CN",N(I326)&lt;=0),"중국공급가=원가+마진 ",""))</f>
        <v/>
      </c>
    </row>
    <row r="327" customFormat="false" ht="15" hidden="false" customHeight="true" outlineLevel="0" collapsed="false">
      <c r="A327" s="94" t="s">
        <v>1684</v>
      </c>
      <c r="B327" s="34" t="str">
        <f aca="false">IF(A327="100","HK",IF(A327="200","CN",IF(A327="300","TW","홀세일")))</f>
        <v>HK</v>
      </c>
      <c r="C327" s="94" t="s">
        <v>304</v>
      </c>
      <c r="D327" s="95" t="n">
        <v>260</v>
      </c>
      <c r="E327" s="95" t="n">
        <v>79000</v>
      </c>
      <c r="F327" s="95" t="n">
        <v>18000</v>
      </c>
      <c r="G327" s="34" t="n">
        <v>4.18</v>
      </c>
      <c r="H327" s="34" t="n">
        <v>19.8</v>
      </c>
      <c r="J327" s="95" t="n">
        <f aca="false">IF(N(E327)&gt;0,E327,IF(N(F327)&gt;0,F327*가정!$B$5,0))</f>
        <v>79000</v>
      </c>
      <c r="K327" s="95" t="n">
        <f aca="false">IF(N(F327)&gt;0,F327,IF(N(E327)&gt;0,E327/가정!$B$5,0))</f>
        <v>18000</v>
      </c>
      <c r="L327" s="95" t="n">
        <f aca="false">IF(B327="CN",IF(N(I327)&gt;0,I327*가정!$B$3,K327*(1+가정!$B$6)),IF(N(H327)&gt;0,H327*가정!$B$3,J327*가정!$B$4))</f>
        <v>26983.044</v>
      </c>
      <c r="M327" s="95" t="n">
        <f aca="false">D327*J327</f>
        <v>20540000</v>
      </c>
      <c r="N327" s="95" t="n">
        <f aca="false">D327*K327</f>
        <v>4680000</v>
      </c>
      <c r="O327" s="95" t="n">
        <f aca="false">D327*L327</f>
        <v>7015591.44</v>
      </c>
      <c r="P327" s="34" t="str">
        <f aca="false">TRIM(IF(N(E327)&lt;=0,"택가보정 ","")&amp;IF(N(F327)&lt;=0,"원가보정 ","")&amp;IF(AND(B327&lt;&gt;"CN",N(H327)&lt;=0),"공급가보정 ","")&amp;IF(AND(B327="CN",N(I327)&lt;=0),"중국공급가=원가+마진 ",""))</f>
        <v/>
      </c>
    </row>
    <row r="328" customFormat="false" ht="15" hidden="false" customHeight="true" outlineLevel="0" collapsed="false">
      <c r="A328" s="94" t="s">
        <v>1686</v>
      </c>
      <c r="B328" s="34" t="str">
        <f aca="false">IF(A328="100","HK",IF(A328="200","CN",IF(A328="300","TW","홀세일")))</f>
        <v>TW</v>
      </c>
      <c r="C328" s="94" t="s">
        <v>304</v>
      </c>
      <c r="D328" s="95" t="n">
        <v>350</v>
      </c>
      <c r="E328" s="95" t="n">
        <v>79000</v>
      </c>
      <c r="F328" s="95" t="n">
        <v>18000</v>
      </c>
      <c r="G328" s="34" t="n">
        <v>4.18</v>
      </c>
      <c r="H328" s="34" t="n">
        <v>19.8</v>
      </c>
      <c r="J328" s="95" t="n">
        <f aca="false">IF(N(E328)&gt;0,E328,IF(N(F328)&gt;0,F328*가정!$B$5,0))</f>
        <v>79000</v>
      </c>
      <c r="K328" s="95" t="n">
        <f aca="false">IF(N(F328)&gt;0,F328,IF(N(E328)&gt;0,E328/가정!$B$5,0))</f>
        <v>18000</v>
      </c>
      <c r="L328" s="95" t="n">
        <f aca="false">IF(B328="CN",IF(N(I328)&gt;0,I328*가정!$B$3,K328*(1+가정!$B$6)),IF(N(H328)&gt;0,H328*가정!$B$3,J328*가정!$B$4))</f>
        <v>26983.044</v>
      </c>
      <c r="M328" s="95" t="n">
        <f aca="false">D328*J328</f>
        <v>27650000</v>
      </c>
      <c r="N328" s="95" t="n">
        <f aca="false">D328*K328</f>
        <v>6300000</v>
      </c>
      <c r="O328" s="95" t="n">
        <f aca="false">D328*L328</f>
        <v>9444065.4</v>
      </c>
      <c r="P328" s="34" t="str">
        <f aca="false">TRIM(IF(N(E328)&lt;=0,"택가보정 ","")&amp;IF(N(F328)&lt;=0,"원가보정 ","")&amp;IF(AND(B328&lt;&gt;"CN",N(H328)&lt;=0),"공급가보정 ","")&amp;IF(AND(B328="CN",N(I328)&lt;=0),"중국공급가=원가+마진 ",""))</f>
        <v/>
      </c>
    </row>
    <row r="329" customFormat="false" ht="15" hidden="false" customHeight="true" outlineLevel="0" collapsed="false">
      <c r="A329" s="94" t="s">
        <v>1688</v>
      </c>
      <c r="B329" s="34" t="str">
        <f aca="false">IF(A329="100","HK",IF(A329="200","CN",IF(A329="300","TW","홀세일")))</f>
        <v>홀세일</v>
      </c>
      <c r="C329" s="94" t="s">
        <v>304</v>
      </c>
      <c r="D329" s="95" t="n">
        <v>70</v>
      </c>
      <c r="E329" s="95" t="n">
        <v>79000</v>
      </c>
      <c r="F329" s="95" t="n">
        <v>18000</v>
      </c>
      <c r="G329" s="34" t="n">
        <v>4.18</v>
      </c>
      <c r="H329" s="34" t="n">
        <v>19.8</v>
      </c>
      <c r="J329" s="95" t="n">
        <f aca="false">IF(N(E329)&gt;0,E329,IF(N(F329)&gt;0,F329*가정!$B$5,0))</f>
        <v>79000</v>
      </c>
      <c r="K329" s="95" t="n">
        <f aca="false">IF(N(F329)&gt;0,F329,IF(N(E329)&gt;0,E329/가정!$B$5,0))</f>
        <v>18000</v>
      </c>
      <c r="L329" s="95" t="n">
        <f aca="false">IF(B329="CN",IF(N(I329)&gt;0,I329*가정!$B$3,K329*(1+가정!$B$6)),IF(N(H329)&gt;0,H329*가정!$B$3,J329*가정!$B$4))</f>
        <v>26983.044</v>
      </c>
      <c r="M329" s="95" t="n">
        <f aca="false">D329*J329</f>
        <v>5530000</v>
      </c>
      <c r="N329" s="95" t="n">
        <f aca="false">D329*K329</f>
        <v>1260000</v>
      </c>
      <c r="O329" s="95" t="n">
        <f aca="false">D329*L329</f>
        <v>1888813.08</v>
      </c>
      <c r="P329" s="34" t="str">
        <f aca="false">TRIM(IF(N(E329)&lt;=0,"택가보정 ","")&amp;IF(N(F329)&lt;=0,"원가보정 ","")&amp;IF(AND(B329&lt;&gt;"CN",N(H329)&lt;=0),"공급가보정 ","")&amp;IF(AND(B329="CN",N(I329)&lt;=0),"중국공급가=원가+마진 ",""))</f>
        <v/>
      </c>
    </row>
    <row r="330" customFormat="false" ht="15" hidden="false" customHeight="true" outlineLevel="0" collapsed="false">
      <c r="A330" s="94" t="s">
        <v>1690</v>
      </c>
      <c r="B330" s="34" t="str">
        <f aca="false">IF(A330="100","HK",IF(A330="200","CN",IF(A330="300","TW","홀세일")))</f>
        <v>홀세일</v>
      </c>
      <c r="C330" s="94" t="s">
        <v>304</v>
      </c>
      <c r="D330" s="95" t="n">
        <v>228</v>
      </c>
      <c r="E330" s="95" t="n">
        <v>79000</v>
      </c>
      <c r="F330" s="95" t="n">
        <v>18000</v>
      </c>
      <c r="G330" s="34" t="n">
        <v>4.18</v>
      </c>
      <c r="H330" s="34" t="n">
        <v>19.8</v>
      </c>
      <c r="J330" s="95" t="n">
        <f aca="false">IF(N(E330)&gt;0,E330,IF(N(F330)&gt;0,F330*가정!$B$5,0))</f>
        <v>79000</v>
      </c>
      <c r="K330" s="95" t="n">
        <f aca="false">IF(N(F330)&gt;0,F330,IF(N(E330)&gt;0,E330/가정!$B$5,0))</f>
        <v>18000</v>
      </c>
      <c r="L330" s="95" t="n">
        <f aca="false">IF(B330="CN",IF(N(I330)&gt;0,I330*가정!$B$3,K330*(1+가정!$B$6)),IF(N(H330)&gt;0,H330*가정!$B$3,J330*가정!$B$4))</f>
        <v>26983.044</v>
      </c>
      <c r="M330" s="95" t="n">
        <f aca="false">D330*J330</f>
        <v>18012000</v>
      </c>
      <c r="N330" s="95" t="n">
        <f aca="false">D330*K330</f>
        <v>4104000</v>
      </c>
      <c r="O330" s="95" t="n">
        <f aca="false">D330*L330</f>
        <v>6152134.032</v>
      </c>
      <c r="P330" s="34" t="str">
        <f aca="false">TRIM(IF(N(E330)&lt;=0,"택가보정 ","")&amp;IF(N(F330)&lt;=0,"원가보정 ","")&amp;IF(AND(B330&lt;&gt;"CN",N(H330)&lt;=0),"공급가보정 ","")&amp;IF(AND(B330="CN",N(I330)&lt;=0),"중국공급가=원가+마진 ",""))</f>
        <v/>
      </c>
    </row>
    <row r="331" customFormat="false" ht="15" hidden="false" customHeight="true" outlineLevel="0" collapsed="false">
      <c r="A331" s="94" t="s">
        <v>1684</v>
      </c>
      <c r="B331" s="34" t="str">
        <f aca="false">IF(A331="100","HK",IF(A331="200","CN",IF(A331="300","TW","홀세일")))</f>
        <v>HK</v>
      </c>
      <c r="C331" s="94" t="s">
        <v>306</v>
      </c>
      <c r="D331" s="95" t="n">
        <v>380</v>
      </c>
      <c r="E331" s="95" t="n">
        <v>99000</v>
      </c>
      <c r="F331" s="95" t="n">
        <v>28600</v>
      </c>
      <c r="G331" s="34" t="n">
        <v>3.21</v>
      </c>
      <c r="H331" s="34" t="n">
        <v>24.8</v>
      </c>
      <c r="J331" s="95" t="n">
        <f aca="false">IF(N(E331)&gt;0,E331,IF(N(F331)&gt;0,F331*가정!$B$5,0))</f>
        <v>99000</v>
      </c>
      <c r="K331" s="95" t="n">
        <f aca="false">IF(N(F331)&gt;0,F331,IF(N(E331)&gt;0,E331/가정!$B$5,0))</f>
        <v>28600</v>
      </c>
      <c r="L331" s="95" t="n">
        <f aca="false">IF(B331="CN",IF(N(I331)&gt;0,I331*가정!$B$3,K331*(1+가정!$B$6)),IF(N(H331)&gt;0,H331*가정!$B$3,J331*가정!$B$4))</f>
        <v>33796.944</v>
      </c>
      <c r="M331" s="95" t="n">
        <f aca="false">D331*J331</f>
        <v>37620000</v>
      </c>
      <c r="N331" s="95" t="n">
        <f aca="false">D331*K331</f>
        <v>10868000</v>
      </c>
      <c r="O331" s="95" t="n">
        <f aca="false">D331*L331</f>
        <v>12842838.72</v>
      </c>
      <c r="P331" s="34" t="str">
        <f aca="false">TRIM(IF(N(E331)&lt;=0,"택가보정 ","")&amp;IF(N(F331)&lt;=0,"원가보정 ","")&amp;IF(AND(B331&lt;&gt;"CN",N(H331)&lt;=0),"공급가보정 ","")&amp;IF(AND(B331="CN",N(I331)&lt;=0),"중국공급가=원가+마진 ",""))</f>
        <v/>
      </c>
    </row>
    <row r="332" customFormat="false" ht="15" hidden="false" customHeight="true" outlineLevel="0" collapsed="false">
      <c r="A332" s="94" t="s">
        <v>1686</v>
      </c>
      <c r="B332" s="34" t="str">
        <f aca="false">IF(A332="100","HK",IF(A332="200","CN",IF(A332="300","TW","홀세일")))</f>
        <v>TW</v>
      </c>
      <c r="C332" s="94" t="s">
        <v>306</v>
      </c>
      <c r="D332" s="95" t="n">
        <v>320</v>
      </c>
      <c r="E332" s="95" t="n">
        <v>99000</v>
      </c>
      <c r="F332" s="95" t="n">
        <v>28600</v>
      </c>
      <c r="G332" s="34" t="n">
        <v>3.21</v>
      </c>
      <c r="H332" s="34" t="n">
        <v>24.8</v>
      </c>
      <c r="J332" s="95" t="n">
        <f aca="false">IF(N(E332)&gt;0,E332,IF(N(F332)&gt;0,F332*가정!$B$5,0))</f>
        <v>99000</v>
      </c>
      <c r="K332" s="95" t="n">
        <f aca="false">IF(N(F332)&gt;0,F332,IF(N(E332)&gt;0,E332/가정!$B$5,0))</f>
        <v>28600</v>
      </c>
      <c r="L332" s="95" t="n">
        <f aca="false">IF(B332="CN",IF(N(I332)&gt;0,I332*가정!$B$3,K332*(1+가정!$B$6)),IF(N(H332)&gt;0,H332*가정!$B$3,J332*가정!$B$4))</f>
        <v>33796.944</v>
      </c>
      <c r="M332" s="95" t="n">
        <f aca="false">D332*J332</f>
        <v>31680000</v>
      </c>
      <c r="N332" s="95" t="n">
        <f aca="false">D332*K332</f>
        <v>9152000</v>
      </c>
      <c r="O332" s="95" t="n">
        <f aca="false">D332*L332</f>
        <v>10815022.08</v>
      </c>
      <c r="P332" s="34" t="str">
        <f aca="false">TRIM(IF(N(E332)&lt;=0,"택가보정 ","")&amp;IF(N(F332)&lt;=0,"원가보정 ","")&amp;IF(AND(B332&lt;&gt;"CN",N(H332)&lt;=0),"공급가보정 ","")&amp;IF(AND(B332="CN",N(I332)&lt;=0),"중국공급가=원가+마진 ",""))</f>
        <v/>
      </c>
    </row>
    <row r="333" customFormat="false" ht="15" hidden="false" customHeight="true" outlineLevel="0" collapsed="false">
      <c r="A333" s="94" t="s">
        <v>1687</v>
      </c>
      <c r="B333" s="34" t="str">
        <f aca="false">IF(A333="100","HK",IF(A333="200","CN",IF(A333="300","TW","홀세일")))</f>
        <v>홀세일</v>
      </c>
      <c r="C333" s="94" t="s">
        <v>306</v>
      </c>
      <c r="D333" s="95" t="n">
        <v>50</v>
      </c>
      <c r="E333" s="95" t="n">
        <v>99000</v>
      </c>
      <c r="F333" s="95" t="n">
        <v>28600</v>
      </c>
      <c r="G333" s="34" t="n">
        <v>3.21</v>
      </c>
      <c r="H333" s="34" t="n">
        <v>24.8</v>
      </c>
      <c r="J333" s="95" t="n">
        <f aca="false">IF(N(E333)&gt;0,E333,IF(N(F333)&gt;0,F333*가정!$B$5,0))</f>
        <v>99000</v>
      </c>
      <c r="K333" s="95" t="n">
        <f aca="false">IF(N(F333)&gt;0,F333,IF(N(E333)&gt;0,E333/가정!$B$5,0))</f>
        <v>28600</v>
      </c>
      <c r="L333" s="95" t="n">
        <f aca="false">IF(B333="CN",IF(N(I333)&gt;0,I333*가정!$B$3,K333*(1+가정!$B$6)),IF(N(H333)&gt;0,H333*가정!$B$3,J333*가정!$B$4))</f>
        <v>33796.944</v>
      </c>
      <c r="M333" s="95" t="n">
        <f aca="false">D333*J333</f>
        <v>4950000</v>
      </c>
      <c r="N333" s="95" t="n">
        <f aca="false">D333*K333</f>
        <v>1430000</v>
      </c>
      <c r="O333" s="95" t="n">
        <f aca="false">D333*L333</f>
        <v>1689847.2</v>
      </c>
      <c r="P333" s="34" t="str">
        <f aca="false">TRIM(IF(N(E333)&lt;=0,"택가보정 ","")&amp;IF(N(F333)&lt;=0,"원가보정 ","")&amp;IF(AND(B333&lt;&gt;"CN",N(H333)&lt;=0),"공급가보정 ","")&amp;IF(AND(B333="CN",N(I333)&lt;=0),"중국공급가=원가+마진 ",""))</f>
        <v/>
      </c>
    </row>
    <row r="334" customFormat="false" ht="15" hidden="false" customHeight="true" outlineLevel="0" collapsed="false">
      <c r="A334" s="94" t="s">
        <v>1688</v>
      </c>
      <c r="B334" s="34" t="str">
        <f aca="false">IF(A334="100","HK",IF(A334="200","CN",IF(A334="300","TW","홀세일")))</f>
        <v>홀세일</v>
      </c>
      <c r="C334" s="94" t="s">
        <v>306</v>
      </c>
      <c r="D334" s="95" t="n">
        <v>70</v>
      </c>
      <c r="E334" s="95" t="n">
        <v>99000</v>
      </c>
      <c r="F334" s="95" t="n">
        <v>28600</v>
      </c>
      <c r="G334" s="34" t="n">
        <v>3.21</v>
      </c>
      <c r="H334" s="34" t="n">
        <v>24.8</v>
      </c>
      <c r="J334" s="95" t="n">
        <f aca="false">IF(N(E334)&gt;0,E334,IF(N(F334)&gt;0,F334*가정!$B$5,0))</f>
        <v>99000</v>
      </c>
      <c r="K334" s="95" t="n">
        <f aca="false">IF(N(F334)&gt;0,F334,IF(N(E334)&gt;0,E334/가정!$B$5,0))</f>
        <v>28600</v>
      </c>
      <c r="L334" s="95" t="n">
        <f aca="false">IF(B334="CN",IF(N(I334)&gt;0,I334*가정!$B$3,K334*(1+가정!$B$6)),IF(N(H334)&gt;0,H334*가정!$B$3,J334*가정!$B$4))</f>
        <v>33796.944</v>
      </c>
      <c r="M334" s="95" t="n">
        <f aca="false">D334*J334</f>
        <v>6930000</v>
      </c>
      <c r="N334" s="95" t="n">
        <f aca="false">D334*K334</f>
        <v>2002000</v>
      </c>
      <c r="O334" s="95" t="n">
        <f aca="false">D334*L334</f>
        <v>2365786.08</v>
      </c>
      <c r="P334" s="34" t="str">
        <f aca="false">TRIM(IF(N(E334)&lt;=0,"택가보정 ","")&amp;IF(N(F334)&lt;=0,"원가보정 ","")&amp;IF(AND(B334&lt;&gt;"CN",N(H334)&lt;=0),"공급가보정 ","")&amp;IF(AND(B334="CN",N(I334)&lt;=0),"중국공급가=원가+마진 ",""))</f>
        <v/>
      </c>
    </row>
    <row r="335" customFormat="false" ht="15" hidden="false" customHeight="true" outlineLevel="0" collapsed="false">
      <c r="A335" s="94" t="s">
        <v>1689</v>
      </c>
      <c r="B335" s="34" t="str">
        <f aca="false">IF(A335="100","HK",IF(A335="200","CN",IF(A335="300","TW","홀세일")))</f>
        <v>홀세일</v>
      </c>
      <c r="C335" s="94" t="s">
        <v>306</v>
      </c>
      <c r="D335" s="95" t="n">
        <v>70</v>
      </c>
      <c r="E335" s="95" t="n">
        <v>99000</v>
      </c>
      <c r="F335" s="95" t="n">
        <v>28600</v>
      </c>
      <c r="G335" s="34" t="n">
        <v>3.21</v>
      </c>
      <c r="H335" s="34" t="n">
        <v>24.8</v>
      </c>
      <c r="J335" s="95" t="n">
        <f aca="false">IF(N(E335)&gt;0,E335,IF(N(F335)&gt;0,F335*가정!$B$5,0))</f>
        <v>99000</v>
      </c>
      <c r="K335" s="95" t="n">
        <f aca="false">IF(N(F335)&gt;0,F335,IF(N(E335)&gt;0,E335/가정!$B$5,0))</f>
        <v>28600</v>
      </c>
      <c r="L335" s="95" t="n">
        <f aca="false">IF(B335="CN",IF(N(I335)&gt;0,I335*가정!$B$3,K335*(1+가정!$B$6)),IF(N(H335)&gt;0,H335*가정!$B$3,J335*가정!$B$4))</f>
        <v>33796.944</v>
      </c>
      <c r="M335" s="95" t="n">
        <f aca="false">D335*J335</f>
        <v>6930000</v>
      </c>
      <c r="N335" s="95" t="n">
        <f aca="false">D335*K335</f>
        <v>2002000</v>
      </c>
      <c r="O335" s="95" t="n">
        <f aca="false">D335*L335</f>
        <v>2365786.08</v>
      </c>
      <c r="P335" s="34" t="str">
        <f aca="false">TRIM(IF(N(E335)&lt;=0,"택가보정 ","")&amp;IF(N(F335)&lt;=0,"원가보정 ","")&amp;IF(AND(B335&lt;&gt;"CN",N(H335)&lt;=0),"공급가보정 ","")&amp;IF(AND(B335="CN",N(I335)&lt;=0),"중국공급가=원가+마진 ",""))</f>
        <v/>
      </c>
    </row>
    <row r="336" customFormat="false" ht="15.75" hidden="false" customHeight="true" outlineLevel="0" collapsed="false">
      <c r="A336" s="94" t="s">
        <v>1685</v>
      </c>
      <c r="B336" s="34" t="str">
        <f aca="false">IF(A336="100","HK",IF(A336="200","CN",IF(A336="300","TW","홀세일")))</f>
        <v>CN</v>
      </c>
      <c r="C336" s="94" t="s">
        <v>1100</v>
      </c>
      <c r="D336" s="95" t="n">
        <v>332</v>
      </c>
      <c r="E336" s="95" t="n">
        <v>79000</v>
      </c>
      <c r="F336" s="95" t="n">
        <v>16814</v>
      </c>
      <c r="G336" s="34" t="n">
        <v>3.92</v>
      </c>
      <c r="H336" s="34" t="n">
        <v>19.8</v>
      </c>
      <c r="J336" s="95" t="n">
        <f aca="false">IF(N(E336)&gt;0,E336,IF(N(F336)&gt;0,F336*가정!$B$5,0))</f>
        <v>79000</v>
      </c>
      <c r="K336" s="95" t="n">
        <f aca="false">IF(N(F336)&gt;0,F336,IF(N(E336)&gt;0,E336/가정!$B$5,0))</f>
        <v>16814</v>
      </c>
      <c r="L336" s="95" t="n">
        <f aca="false">IF(B336="CN",IF(N(I336)&gt;0,I336*가정!$B$3,K336*(1+가정!$B$6)),IF(N(H336)&gt;0,H336*가정!$B$3,J336*가정!$B$4))</f>
        <v>17654.7</v>
      </c>
      <c r="M336" s="95" t="n">
        <f aca="false">D336*J336</f>
        <v>26228000</v>
      </c>
      <c r="N336" s="95" t="n">
        <f aca="false">D336*K336</f>
        <v>5582248</v>
      </c>
      <c r="O336" s="95" t="n">
        <f aca="false">D336*L336</f>
        <v>5861360.4</v>
      </c>
      <c r="P336" s="34" t="str">
        <f aca="false">TRIM(IF(N(E336)&lt;=0,"택가보정 ","")&amp;IF(N(F336)&lt;=0,"원가보정 ","")&amp;IF(AND(B336&lt;&gt;"CN",N(H336)&lt;=0),"공급가보정 ","")&amp;IF(AND(B336="CN",N(I336)&lt;=0),"중국공급가=원가+마진 ",""))</f>
        <v>중국공급가=원가+마진</v>
      </c>
    </row>
    <row r="337" customFormat="false" ht="15" hidden="false" customHeight="true" outlineLevel="0" collapsed="false">
      <c r="A337" s="94" t="s">
        <v>1684</v>
      </c>
      <c r="B337" s="34" t="str">
        <f aca="false">IF(A337="100","HK",IF(A337="200","CN",IF(A337="300","TW","홀세일")))</f>
        <v>HK</v>
      </c>
      <c r="C337" s="94" t="s">
        <v>308</v>
      </c>
      <c r="D337" s="95" t="n">
        <v>550</v>
      </c>
      <c r="E337" s="95" t="n">
        <v>89000</v>
      </c>
      <c r="F337" s="95" t="n">
        <v>22400</v>
      </c>
      <c r="G337" s="34" t="n">
        <v>3.63</v>
      </c>
      <c r="H337" s="34" t="n">
        <v>22.3</v>
      </c>
      <c r="J337" s="95" t="n">
        <f aca="false">IF(N(E337)&gt;0,E337,IF(N(F337)&gt;0,F337*가정!$B$5,0))</f>
        <v>89000</v>
      </c>
      <c r="K337" s="95" t="n">
        <f aca="false">IF(N(F337)&gt;0,F337,IF(N(E337)&gt;0,E337/가정!$B$5,0))</f>
        <v>22400</v>
      </c>
      <c r="L337" s="95" t="n">
        <f aca="false">IF(B337="CN",IF(N(I337)&gt;0,I337*가정!$B$3,K337*(1+가정!$B$6)),IF(N(H337)&gt;0,H337*가정!$B$3,J337*가정!$B$4))</f>
        <v>30389.994</v>
      </c>
      <c r="M337" s="95" t="n">
        <f aca="false">D337*J337</f>
        <v>48950000</v>
      </c>
      <c r="N337" s="95" t="n">
        <f aca="false">D337*K337</f>
        <v>12320000</v>
      </c>
      <c r="O337" s="95" t="n">
        <f aca="false">D337*L337</f>
        <v>16714496.7</v>
      </c>
      <c r="P337" s="34" t="str">
        <f aca="false">TRIM(IF(N(E337)&lt;=0,"택가보정 ","")&amp;IF(N(F337)&lt;=0,"원가보정 ","")&amp;IF(AND(B337&lt;&gt;"CN",N(H337)&lt;=0),"공급가보정 ","")&amp;IF(AND(B337="CN",N(I337)&lt;=0),"중국공급가=원가+마진 ",""))</f>
        <v/>
      </c>
    </row>
    <row r="338" customFormat="false" ht="15" hidden="false" customHeight="true" outlineLevel="0" collapsed="false">
      <c r="A338" s="94" t="s">
        <v>1686</v>
      </c>
      <c r="B338" s="34" t="str">
        <f aca="false">IF(A338="100","HK",IF(A338="200","CN",IF(A338="300","TW","홀세일")))</f>
        <v>TW</v>
      </c>
      <c r="C338" s="94" t="s">
        <v>308</v>
      </c>
      <c r="D338" s="95" t="n">
        <v>1390</v>
      </c>
      <c r="E338" s="95" t="n">
        <v>89000</v>
      </c>
      <c r="F338" s="95" t="n">
        <v>22400</v>
      </c>
      <c r="G338" s="34" t="n">
        <v>3.63</v>
      </c>
      <c r="H338" s="34" t="n">
        <v>22.3</v>
      </c>
      <c r="J338" s="95" t="n">
        <f aca="false">IF(N(E338)&gt;0,E338,IF(N(F338)&gt;0,F338*가정!$B$5,0))</f>
        <v>89000</v>
      </c>
      <c r="K338" s="95" t="n">
        <f aca="false">IF(N(F338)&gt;0,F338,IF(N(E338)&gt;0,E338/가정!$B$5,0))</f>
        <v>22400</v>
      </c>
      <c r="L338" s="95" t="n">
        <f aca="false">IF(B338="CN",IF(N(I338)&gt;0,I338*가정!$B$3,K338*(1+가정!$B$6)),IF(N(H338)&gt;0,H338*가정!$B$3,J338*가정!$B$4))</f>
        <v>30389.994</v>
      </c>
      <c r="M338" s="95" t="n">
        <f aca="false">D338*J338</f>
        <v>123710000</v>
      </c>
      <c r="N338" s="95" t="n">
        <f aca="false">D338*K338</f>
        <v>31136000</v>
      </c>
      <c r="O338" s="95" t="n">
        <f aca="false">D338*L338</f>
        <v>42242091.66</v>
      </c>
      <c r="P338" s="34" t="str">
        <f aca="false">TRIM(IF(N(E338)&lt;=0,"택가보정 ","")&amp;IF(N(F338)&lt;=0,"원가보정 ","")&amp;IF(AND(B338&lt;&gt;"CN",N(H338)&lt;=0),"공급가보정 ","")&amp;IF(AND(B338="CN",N(I338)&lt;=0),"중국공급가=원가+마진 ",""))</f>
        <v/>
      </c>
    </row>
    <row r="339" customFormat="false" ht="15" hidden="false" customHeight="true" outlineLevel="0" collapsed="false">
      <c r="A339" s="94" t="s">
        <v>1688</v>
      </c>
      <c r="B339" s="34" t="str">
        <f aca="false">IF(A339="100","HK",IF(A339="200","CN",IF(A339="300","TW","홀세일")))</f>
        <v>홀세일</v>
      </c>
      <c r="C339" s="94" t="s">
        <v>308</v>
      </c>
      <c r="D339" s="95" t="n">
        <v>85</v>
      </c>
      <c r="E339" s="95" t="n">
        <v>89000</v>
      </c>
      <c r="F339" s="95" t="n">
        <v>22400</v>
      </c>
      <c r="G339" s="34" t="n">
        <v>3.63</v>
      </c>
      <c r="H339" s="34" t="n">
        <v>22.3</v>
      </c>
      <c r="J339" s="95" t="n">
        <f aca="false">IF(N(E339)&gt;0,E339,IF(N(F339)&gt;0,F339*가정!$B$5,0))</f>
        <v>89000</v>
      </c>
      <c r="K339" s="95" t="n">
        <f aca="false">IF(N(F339)&gt;0,F339,IF(N(E339)&gt;0,E339/가정!$B$5,0))</f>
        <v>22400</v>
      </c>
      <c r="L339" s="95" t="n">
        <f aca="false">IF(B339="CN",IF(N(I339)&gt;0,I339*가정!$B$3,K339*(1+가정!$B$6)),IF(N(H339)&gt;0,H339*가정!$B$3,J339*가정!$B$4))</f>
        <v>30389.994</v>
      </c>
      <c r="M339" s="95" t="n">
        <f aca="false">D339*J339</f>
        <v>7565000</v>
      </c>
      <c r="N339" s="95" t="n">
        <f aca="false">D339*K339</f>
        <v>1904000</v>
      </c>
      <c r="O339" s="95" t="n">
        <f aca="false">D339*L339</f>
        <v>2583149.49</v>
      </c>
      <c r="P339" s="34" t="str">
        <f aca="false">TRIM(IF(N(E339)&lt;=0,"택가보정 ","")&amp;IF(N(F339)&lt;=0,"원가보정 ","")&amp;IF(AND(B339&lt;&gt;"CN",N(H339)&lt;=0),"공급가보정 ","")&amp;IF(AND(B339="CN",N(I339)&lt;=0),"중국공급가=원가+마진 ",""))</f>
        <v/>
      </c>
    </row>
    <row r="340" customFormat="false" ht="15" hidden="false" customHeight="true" outlineLevel="0" collapsed="false">
      <c r="A340" s="94" t="s">
        <v>1689</v>
      </c>
      <c r="B340" s="34" t="str">
        <f aca="false">IF(A340="100","HK",IF(A340="200","CN",IF(A340="300","TW","홀세일")))</f>
        <v>홀세일</v>
      </c>
      <c r="C340" s="94" t="s">
        <v>308</v>
      </c>
      <c r="D340" s="95" t="n">
        <v>115</v>
      </c>
      <c r="E340" s="95" t="n">
        <v>89000</v>
      </c>
      <c r="F340" s="95" t="n">
        <v>22400</v>
      </c>
      <c r="G340" s="34" t="n">
        <v>3.63</v>
      </c>
      <c r="H340" s="34" t="n">
        <v>22.3</v>
      </c>
      <c r="J340" s="95" t="n">
        <f aca="false">IF(N(E340)&gt;0,E340,IF(N(F340)&gt;0,F340*가정!$B$5,0))</f>
        <v>89000</v>
      </c>
      <c r="K340" s="95" t="n">
        <f aca="false">IF(N(F340)&gt;0,F340,IF(N(E340)&gt;0,E340/가정!$B$5,0))</f>
        <v>22400</v>
      </c>
      <c r="L340" s="95" t="n">
        <f aca="false">IF(B340="CN",IF(N(I340)&gt;0,I340*가정!$B$3,K340*(1+가정!$B$6)),IF(N(H340)&gt;0,H340*가정!$B$3,J340*가정!$B$4))</f>
        <v>30389.994</v>
      </c>
      <c r="M340" s="95" t="n">
        <f aca="false">D340*J340</f>
        <v>10235000</v>
      </c>
      <c r="N340" s="95" t="n">
        <f aca="false">D340*K340</f>
        <v>2576000</v>
      </c>
      <c r="O340" s="95" t="n">
        <f aca="false">D340*L340</f>
        <v>3494849.31</v>
      </c>
      <c r="P340" s="34" t="str">
        <f aca="false">TRIM(IF(N(E340)&lt;=0,"택가보정 ","")&amp;IF(N(F340)&lt;=0,"원가보정 ","")&amp;IF(AND(B340&lt;&gt;"CN",N(H340)&lt;=0),"공급가보정 ","")&amp;IF(AND(B340="CN",N(I340)&lt;=0),"중국공급가=원가+마진 ",""))</f>
        <v/>
      </c>
    </row>
    <row r="341" customFormat="false" ht="15" hidden="false" customHeight="true" outlineLevel="0" collapsed="false">
      <c r="A341" s="94" t="s">
        <v>1690</v>
      </c>
      <c r="B341" s="34" t="str">
        <f aca="false">IF(A341="100","HK",IF(A341="200","CN",IF(A341="300","TW","홀세일")))</f>
        <v>홀세일</v>
      </c>
      <c r="C341" s="94" t="s">
        <v>308</v>
      </c>
      <c r="D341" s="95" t="n">
        <v>228</v>
      </c>
      <c r="E341" s="95" t="n">
        <v>89000</v>
      </c>
      <c r="F341" s="95" t="n">
        <v>22400</v>
      </c>
      <c r="G341" s="34" t="n">
        <v>3.63</v>
      </c>
      <c r="H341" s="34" t="n">
        <v>22.3</v>
      </c>
      <c r="J341" s="95" t="n">
        <f aca="false">IF(N(E341)&gt;0,E341,IF(N(F341)&gt;0,F341*가정!$B$5,0))</f>
        <v>89000</v>
      </c>
      <c r="K341" s="95" t="n">
        <f aca="false">IF(N(F341)&gt;0,F341,IF(N(E341)&gt;0,E341/가정!$B$5,0))</f>
        <v>22400</v>
      </c>
      <c r="L341" s="95" t="n">
        <f aca="false">IF(B341="CN",IF(N(I341)&gt;0,I341*가정!$B$3,K341*(1+가정!$B$6)),IF(N(H341)&gt;0,H341*가정!$B$3,J341*가정!$B$4))</f>
        <v>30389.994</v>
      </c>
      <c r="M341" s="95" t="n">
        <f aca="false">D341*J341</f>
        <v>20292000</v>
      </c>
      <c r="N341" s="95" t="n">
        <f aca="false">D341*K341</f>
        <v>5107200</v>
      </c>
      <c r="O341" s="95" t="n">
        <f aca="false">D341*L341</f>
        <v>6928918.632</v>
      </c>
      <c r="P341" s="34" t="str">
        <f aca="false">TRIM(IF(N(E341)&lt;=0,"택가보정 ","")&amp;IF(N(F341)&lt;=0,"원가보정 ","")&amp;IF(AND(B341&lt;&gt;"CN",N(H341)&lt;=0),"공급가보정 ","")&amp;IF(AND(B341="CN",N(I341)&lt;=0),"중국공급가=원가+마진 ",""))</f>
        <v/>
      </c>
    </row>
    <row r="342" customFormat="false" ht="15" hidden="false" customHeight="true" outlineLevel="0" collapsed="false">
      <c r="A342" s="94" t="s">
        <v>1684</v>
      </c>
      <c r="B342" s="34" t="str">
        <f aca="false">IF(A342="100","HK",IF(A342="200","CN",IF(A342="300","TW","홀세일")))</f>
        <v>HK</v>
      </c>
      <c r="C342" s="94" t="s">
        <v>310</v>
      </c>
      <c r="D342" s="95" t="n">
        <v>340</v>
      </c>
      <c r="E342" s="95" t="n">
        <v>79000</v>
      </c>
      <c r="F342" s="95" t="n">
        <v>16600</v>
      </c>
      <c r="G342" s="34" t="n">
        <v>3.72</v>
      </c>
      <c r="H342" s="34" t="n">
        <v>19.8</v>
      </c>
      <c r="J342" s="95" t="n">
        <f aca="false">IF(N(E342)&gt;0,E342,IF(N(F342)&gt;0,F342*가정!$B$5,0))</f>
        <v>79000</v>
      </c>
      <c r="K342" s="95" t="n">
        <f aca="false">IF(N(F342)&gt;0,F342,IF(N(E342)&gt;0,E342/가정!$B$5,0))</f>
        <v>16600</v>
      </c>
      <c r="L342" s="95" t="n">
        <f aca="false">IF(B342="CN",IF(N(I342)&gt;0,I342*가정!$B$3,K342*(1+가정!$B$6)),IF(N(H342)&gt;0,H342*가정!$B$3,J342*가정!$B$4))</f>
        <v>26983.044</v>
      </c>
      <c r="M342" s="95" t="n">
        <f aca="false">D342*J342</f>
        <v>26860000</v>
      </c>
      <c r="N342" s="95" t="n">
        <f aca="false">D342*K342</f>
        <v>5644000</v>
      </c>
      <c r="O342" s="95" t="n">
        <f aca="false">D342*L342</f>
        <v>9174234.96</v>
      </c>
      <c r="P342" s="34" t="str">
        <f aca="false">TRIM(IF(N(E342)&lt;=0,"택가보정 ","")&amp;IF(N(F342)&lt;=0,"원가보정 ","")&amp;IF(AND(B342&lt;&gt;"CN",N(H342)&lt;=0),"공급가보정 ","")&amp;IF(AND(B342="CN",N(I342)&lt;=0),"중국공급가=원가+마진 ",""))</f>
        <v/>
      </c>
    </row>
    <row r="343" customFormat="false" ht="15" hidden="false" customHeight="true" outlineLevel="0" collapsed="false">
      <c r="A343" s="94" t="s">
        <v>1686</v>
      </c>
      <c r="B343" s="34" t="str">
        <f aca="false">IF(A343="100","HK",IF(A343="200","CN",IF(A343="300","TW","홀세일")))</f>
        <v>TW</v>
      </c>
      <c r="C343" s="94" t="s">
        <v>310</v>
      </c>
      <c r="D343" s="95" t="n">
        <v>350</v>
      </c>
      <c r="E343" s="95" t="n">
        <v>79000</v>
      </c>
      <c r="F343" s="95" t="n">
        <v>16600</v>
      </c>
      <c r="G343" s="34" t="n">
        <v>3.72</v>
      </c>
      <c r="H343" s="34" t="n">
        <v>19.8</v>
      </c>
      <c r="J343" s="95" t="n">
        <f aca="false">IF(N(E343)&gt;0,E343,IF(N(F343)&gt;0,F343*가정!$B$5,0))</f>
        <v>79000</v>
      </c>
      <c r="K343" s="95" t="n">
        <f aca="false">IF(N(F343)&gt;0,F343,IF(N(E343)&gt;0,E343/가정!$B$5,0))</f>
        <v>16600</v>
      </c>
      <c r="L343" s="95" t="n">
        <f aca="false">IF(B343="CN",IF(N(I343)&gt;0,I343*가정!$B$3,K343*(1+가정!$B$6)),IF(N(H343)&gt;0,H343*가정!$B$3,J343*가정!$B$4))</f>
        <v>26983.044</v>
      </c>
      <c r="M343" s="95" t="n">
        <f aca="false">D343*J343</f>
        <v>27650000</v>
      </c>
      <c r="N343" s="95" t="n">
        <f aca="false">D343*K343</f>
        <v>5810000</v>
      </c>
      <c r="O343" s="95" t="n">
        <f aca="false">D343*L343</f>
        <v>9444065.4</v>
      </c>
      <c r="P343" s="34" t="str">
        <f aca="false">TRIM(IF(N(E343)&lt;=0,"택가보정 ","")&amp;IF(N(F343)&lt;=0,"원가보정 ","")&amp;IF(AND(B343&lt;&gt;"CN",N(H343)&lt;=0),"공급가보정 ","")&amp;IF(AND(B343="CN",N(I343)&lt;=0),"중국공급가=원가+마진 ",""))</f>
        <v/>
      </c>
    </row>
    <row r="344" customFormat="false" ht="15" hidden="false" customHeight="true" outlineLevel="0" collapsed="false">
      <c r="A344" s="94" t="s">
        <v>1688</v>
      </c>
      <c r="B344" s="34" t="str">
        <f aca="false">IF(A344="100","HK",IF(A344="200","CN",IF(A344="300","TW","홀세일")))</f>
        <v>홀세일</v>
      </c>
      <c r="C344" s="94" t="s">
        <v>310</v>
      </c>
      <c r="D344" s="95" t="n">
        <v>45</v>
      </c>
      <c r="E344" s="95" t="n">
        <v>79000</v>
      </c>
      <c r="F344" s="95" t="n">
        <v>16600</v>
      </c>
      <c r="G344" s="34" t="n">
        <v>3.72</v>
      </c>
      <c r="H344" s="34" t="n">
        <v>19.8</v>
      </c>
      <c r="J344" s="95" t="n">
        <f aca="false">IF(N(E344)&gt;0,E344,IF(N(F344)&gt;0,F344*가정!$B$5,0))</f>
        <v>79000</v>
      </c>
      <c r="K344" s="95" t="n">
        <f aca="false">IF(N(F344)&gt;0,F344,IF(N(E344)&gt;0,E344/가정!$B$5,0))</f>
        <v>16600</v>
      </c>
      <c r="L344" s="95" t="n">
        <f aca="false">IF(B344="CN",IF(N(I344)&gt;0,I344*가정!$B$3,K344*(1+가정!$B$6)),IF(N(H344)&gt;0,H344*가정!$B$3,J344*가정!$B$4))</f>
        <v>26983.044</v>
      </c>
      <c r="M344" s="95" t="n">
        <f aca="false">D344*J344</f>
        <v>3555000</v>
      </c>
      <c r="N344" s="95" t="n">
        <f aca="false">D344*K344</f>
        <v>747000</v>
      </c>
      <c r="O344" s="95" t="n">
        <f aca="false">D344*L344</f>
        <v>1214236.98</v>
      </c>
      <c r="P344" s="34" t="str">
        <f aca="false">TRIM(IF(N(E344)&lt;=0,"택가보정 ","")&amp;IF(N(F344)&lt;=0,"원가보정 ","")&amp;IF(AND(B344&lt;&gt;"CN",N(H344)&lt;=0),"공급가보정 ","")&amp;IF(AND(B344="CN",N(I344)&lt;=0),"중국공급가=원가+마진 ",""))</f>
        <v/>
      </c>
    </row>
    <row r="345" customFormat="false" ht="15" hidden="false" customHeight="true" outlineLevel="0" collapsed="false">
      <c r="A345" s="94" t="s">
        <v>1684</v>
      </c>
      <c r="B345" s="34" t="str">
        <f aca="false">IF(A345="100","HK",IF(A345="200","CN",IF(A345="300","TW","홀세일")))</f>
        <v>HK</v>
      </c>
      <c r="C345" s="94" t="s">
        <v>312</v>
      </c>
      <c r="D345" s="95" t="n">
        <v>510</v>
      </c>
      <c r="E345" s="95" t="n">
        <v>79000</v>
      </c>
      <c r="F345" s="95" t="n">
        <v>17400</v>
      </c>
      <c r="G345" s="34" t="n">
        <v>3.72</v>
      </c>
      <c r="H345" s="34" t="n">
        <v>19.8</v>
      </c>
      <c r="J345" s="95" t="n">
        <f aca="false">IF(N(E345)&gt;0,E345,IF(N(F345)&gt;0,F345*가정!$B$5,0))</f>
        <v>79000</v>
      </c>
      <c r="K345" s="95" t="n">
        <f aca="false">IF(N(F345)&gt;0,F345,IF(N(E345)&gt;0,E345/가정!$B$5,0))</f>
        <v>17400</v>
      </c>
      <c r="L345" s="95" t="n">
        <f aca="false">IF(B345="CN",IF(N(I345)&gt;0,I345*가정!$B$3,K345*(1+가정!$B$6)),IF(N(H345)&gt;0,H345*가정!$B$3,J345*가정!$B$4))</f>
        <v>26983.044</v>
      </c>
      <c r="M345" s="95" t="n">
        <f aca="false">D345*J345</f>
        <v>40290000</v>
      </c>
      <c r="N345" s="95" t="n">
        <f aca="false">D345*K345</f>
        <v>8874000</v>
      </c>
      <c r="O345" s="95" t="n">
        <f aca="false">D345*L345</f>
        <v>13761352.44</v>
      </c>
      <c r="P345" s="34" t="str">
        <f aca="false">TRIM(IF(N(E345)&lt;=0,"택가보정 ","")&amp;IF(N(F345)&lt;=0,"원가보정 ","")&amp;IF(AND(B345&lt;&gt;"CN",N(H345)&lt;=0),"공급가보정 ","")&amp;IF(AND(B345="CN",N(I345)&lt;=0),"중국공급가=원가+마진 ",""))</f>
        <v/>
      </c>
    </row>
    <row r="346" customFormat="false" ht="15" hidden="false" customHeight="true" outlineLevel="0" collapsed="false">
      <c r="A346" s="94" t="s">
        <v>1686</v>
      </c>
      <c r="B346" s="34" t="str">
        <f aca="false">IF(A346="100","HK",IF(A346="200","CN",IF(A346="300","TW","홀세일")))</f>
        <v>TW</v>
      </c>
      <c r="C346" s="94" t="s">
        <v>312</v>
      </c>
      <c r="D346" s="95" t="n">
        <v>400</v>
      </c>
      <c r="E346" s="95" t="n">
        <v>79000</v>
      </c>
      <c r="F346" s="95" t="n">
        <v>17400</v>
      </c>
      <c r="G346" s="34" t="n">
        <v>3.72</v>
      </c>
      <c r="H346" s="34" t="n">
        <v>19.8</v>
      </c>
      <c r="J346" s="95" t="n">
        <f aca="false">IF(N(E346)&gt;0,E346,IF(N(F346)&gt;0,F346*가정!$B$5,0))</f>
        <v>79000</v>
      </c>
      <c r="K346" s="95" t="n">
        <f aca="false">IF(N(F346)&gt;0,F346,IF(N(E346)&gt;0,E346/가정!$B$5,0))</f>
        <v>17400</v>
      </c>
      <c r="L346" s="95" t="n">
        <f aca="false">IF(B346="CN",IF(N(I346)&gt;0,I346*가정!$B$3,K346*(1+가정!$B$6)),IF(N(H346)&gt;0,H346*가정!$B$3,J346*가정!$B$4))</f>
        <v>26983.044</v>
      </c>
      <c r="M346" s="95" t="n">
        <f aca="false">D346*J346</f>
        <v>31600000</v>
      </c>
      <c r="N346" s="95" t="n">
        <f aca="false">D346*K346</f>
        <v>6960000</v>
      </c>
      <c r="O346" s="95" t="n">
        <f aca="false">D346*L346</f>
        <v>10793217.6</v>
      </c>
      <c r="P346" s="34" t="str">
        <f aca="false">TRIM(IF(N(E346)&lt;=0,"택가보정 ","")&amp;IF(N(F346)&lt;=0,"원가보정 ","")&amp;IF(AND(B346&lt;&gt;"CN",N(H346)&lt;=0),"공급가보정 ","")&amp;IF(AND(B346="CN",N(I346)&lt;=0),"중국공급가=원가+마진 ",""))</f>
        <v/>
      </c>
    </row>
    <row r="347" customFormat="false" ht="15" hidden="false" customHeight="true" outlineLevel="0" collapsed="false">
      <c r="A347" s="94" t="s">
        <v>1688</v>
      </c>
      <c r="B347" s="34" t="str">
        <f aca="false">IF(A347="100","HK",IF(A347="200","CN",IF(A347="300","TW","홀세일")))</f>
        <v>홀세일</v>
      </c>
      <c r="C347" s="94" t="s">
        <v>312</v>
      </c>
      <c r="D347" s="95" t="n">
        <v>105</v>
      </c>
      <c r="E347" s="95" t="n">
        <v>79000</v>
      </c>
      <c r="F347" s="95" t="n">
        <v>17400</v>
      </c>
      <c r="G347" s="34" t="n">
        <v>3.72</v>
      </c>
      <c r="H347" s="34" t="n">
        <v>19.8</v>
      </c>
      <c r="J347" s="95" t="n">
        <f aca="false">IF(N(E347)&gt;0,E347,IF(N(F347)&gt;0,F347*가정!$B$5,0))</f>
        <v>79000</v>
      </c>
      <c r="K347" s="95" t="n">
        <f aca="false">IF(N(F347)&gt;0,F347,IF(N(E347)&gt;0,E347/가정!$B$5,0))</f>
        <v>17400</v>
      </c>
      <c r="L347" s="95" t="n">
        <f aca="false">IF(B347="CN",IF(N(I347)&gt;0,I347*가정!$B$3,K347*(1+가정!$B$6)),IF(N(H347)&gt;0,H347*가정!$B$3,J347*가정!$B$4))</f>
        <v>26983.044</v>
      </c>
      <c r="M347" s="95" t="n">
        <f aca="false">D347*J347</f>
        <v>8295000</v>
      </c>
      <c r="N347" s="95" t="n">
        <f aca="false">D347*K347</f>
        <v>1827000</v>
      </c>
      <c r="O347" s="95" t="n">
        <f aca="false">D347*L347</f>
        <v>2833219.62</v>
      </c>
      <c r="P347" s="34" t="str">
        <f aca="false">TRIM(IF(N(E347)&lt;=0,"택가보정 ","")&amp;IF(N(F347)&lt;=0,"원가보정 ","")&amp;IF(AND(B347&lt;&gt;"CN",N(H347)&lt;=0),"공급가보정 ","")&amp;IF(AND(B347="CN",N(I347)&lt;=0),"중국공급가=원가+마진 ",""))</f>
        <v/>
      </c>
    </row>
    <row r="348" customFormat="false" ht="15" hidden="false" customHeight="true" outlineLevel="0" collapsed="false">
      <c r="A348" s="94" t="s">
        <v>1690</v>
      </c>
      <c r="B348" s="34" t="str">
        <f aca="false">IF(A348="100","HK",IF(A348="200","CN",IF(A348="300","TW","홀세일")))</f>
        <v>홀세일</v>
      </c>
      <c r="C348" s="94" t="s">
        <v>312</v>
      </c>
      <c r="D348" s="95" t="n">
        <v>228</v>
      </c>
      <c r="E348" s="95" t="n">
        <v>79000</v>
      </c>
      <c r="F348" s="95" t="n">
        <v>17400</v>
      </c>
      <c r="G348" s="34" t="n">
        <v>3.72</v>
      </c>
      <c r="H348" s="34" t="n">
        <v>19.8</v>
      </c>
      <c r="J348" s="95" t="n">
        <f aca="false">IF(N(E348)&gt;0,E348,IF(N(F348)&gt;0,F348*가정!$B$5,0))</f>
        <v>79000</v>
      </c>
      <c r="K348" s="95" t="n">
        <f aca="false">IF(N(F348)&gt;0,F348,IF(N(E348)&gt;0,E348/가정!$B$5,0))</f>
        <v>17400</v>
      </c>
      <c r="L348" s="95" t="n">
        <f aca="false">IF(B348="CN",IF(N(I348)&gt;0,I348*가정!$B$3,K348*(1+가정!$B$6)),IF(N(H348)&gt;0,H348*가정!$B$3,J348*가정!$B$4))</f>
        <v>26983.044</v>
      </c>
      <c r="M348" s="95" t="n">
        <f aca="false">D348*J348</f>
        <v>18012000</v>
      </c>
      <c r="N348" s="95" t="n">
        <f aca="false">D348*K348</f>
        <v>3967200</v>
      </c>
      <c r="O348" s="95" t="n">
        <f aca="false">D348*L348</f>
        <v>6152134.032</v>
      </c>
      <c r="P348" s="34" t="str">
        <f aca="false">TRIM(IF(N(E348)&lt;=0,"택가보정 ","")&amp;IF(N(F348)&lt;=0,"원가보정 ","")&amp;IF(AND(B348&lt;&gt;"CN",N(H348)&lt;=0),"공급가보정 ","")&amp;IF(AND(B348="CN",N(I348)&lt;=0),"중국공급가=원가+마진 ",""))</f>
        <v/>
      </c>
    </row>
    <row r="349" customFormat="false" ht="15" hidden="false" customHeight="true" outlineLevel="0" collapsed="false">
      <c r="A349" s="94" t="s">
        <v>1684</v>
      </c>
      <c r="B349" s="34" t="str">
        <f aca="false">IF(A349="100","HK",IF(A349="200","CN",IF(A349="300","TW","홀세일")))</f>
        <v>HK</v>
      </c>
      <c r="C349" s="94" t="s">
        <v>883</v>
      </c>
      <c r="D349" s="95" t="n">
        <v>380</v>
      </c>
      <c r="E349" s="95" t="n">
        <v>69000</v>
      </c>
      <c r="F349" s="95" t="n">
        <v>21521</v>
      </c>
      <c r="G349" s="34" t="n">
        <v>4.47</v>
      </c>
      <c r="H349" s="34" t="n">
        <v>17.3</v>
      </c>
      <c r="J349" s="95" t="n">
        <f aca="false">IF(N(E349)&gt;0,E349,IF(N(F349)&gt;0,F349*가정!$B$5,0))</f>
        <v>69000</v>
      </c>
      <c r="K349" s="95" t="n">
        <f aca="false">IF(N(F349)&gt;0,F349,IF(N(E349)&gt;0,E349/가정!$B$5,0))</f>
        <v>21521</v>
      </c>
      <c r="L349" s="95" t="n">
        <f aca="false">IF(B349="CN",IF(N(I349)&gt;0,I349*가정!$B$3,K349*(1+가정!$B$6)),IF(N(H349)&gt;0,H349*가정!$B$3,J349*가정!$B$4))</f>
        <v>23576.094</v>
      </c>
      <c r="M349" s="95" t="n">
        <f aca="false">D349*J349</f>
        <v>26220000</v>
      </c>
      <c r="N349" s="95" t="n">
        <f aca="false">D349*K349</f>
        <v>8177980</v>
      </c>
      <c r="O349" s="95" t="n">
        <f aca="false">D349*L349</f>
        <v>8958915.72</v>
      </c>
      <c r="P349" s="34" t="str">
        <f aca="false">TRIM(IF(N(E349)&lt;=0,"택가보정 ","")&amp;IF(N(F349)&lt;=0,"원가보정 ","")&amp;IF(AND(B349&lt;&gt;"CN",N(H349)&lt;=0),"공급가보정 ","")&amp;IF(AND(B349="CN",N(I349)&lt;=0),"중국공급가=원가+마진 ",""))</f>
        <v/>
      </c>
    </row>
    <row r="350" customFormat="false" ht="15.75" hidden="false" customHeight="true" outlineLevel="0" collapsed="false">
      <c r="A350" s="94" t="s">
        <v>1685</v>
      </c>
      <c r="B350" s="34" t="str">
        <f aca="false">IF(A350="100","HK",IF(A350="200","CN",IF(A350="300","TW","홀세일")))</f>
        <v>CN</v>
      </c>
      <c r="C350" s="94" t="s">
        <v>883</v>
      </c>
      <c r="D350" s="95" t="n">
        <v>483</v>
      </c>
      <c r="E350" s="95" t="n">
        <v>69000</v>
      </c>
      <c r="F350" s="95" t="n">
        <v>21521</v>
      </c>
      <c r="G350" s="34" t="n">
        <v>4.47</v>
      </c>
      <c r="H350" s="34" t="n">
        <v>17.3</v>
      </c>
      <c r="J350" s="95" t="n">
        <f aca="false">IF(N(E350)&gt;0,E350,IF(N(F350)&gt;0,F350*가정!$B$5,0))</f>
        <v>69000</v>
      </c>
      <c r="K350" s="95" t="n">
        <f aca="false">IF(N(F350)&gt;0,F350,IF(N(E350)&gt;0,E350/가정!$B$5,0))</f>
        <v>21521</v>
      </c>
      <c r="L350" s="95" t="n">
        <f aca="false">IF(B350="CN",IF(N(I350)&gt;0,I350*가정!$B$3,K350*(1+가정!$B$6)),IF(N(H350)&gt;0,H350*가정!$B$3,J350*가정!$B$4))</f>
        <v>22597.05</v>
      </c>
      <c r="M350" s="95" t="n">
        <f aca="false">D350*J350</f>
        <v>33327000</v>
      </c>
      <c r="N350" s="95" t="n">
        <f aca="false">D350*K350</f>
        <v>10394643</v>
      </c>
      <c r="O350" s="95" t="n">
        <f aca="false">D350*L350</f>
        <v>10914375.15</v>
      </c>
      <c r="P350" s="34" t="str">
        <f aca="false">TRIM(IF(N(E350)&lt;=0,"택가보정 ","")&amp;IF(N(F350)&lt;=0,"원가보정 ","")&amp;IF(AND(B350&lt;&gt;"CN",N(H350)&lt;=0),"공급가보정 ","")&amp;IF(AND(B350="CN",N(I350)&lt;=0),"중국공급가=원가+마진 ",""))</f>
        <v>중국공급가=원가+마진</v>
      </c>
    </row>
    <row r="351" customFormat="false" ht="15" hidden="false" customHeight="true" outlineLevel="0" collapsed="false">
      <c r="A351" s="94" t="s">
        <v>1684</v>
      </c>
      <c r="B351" s="34" t="str">
        <f aca="false">IF(A351="100","HK",IF(A351="200","CN",IF(A351="300","TW","홀세일")))</f>
        <v>HK</v>
      </c>
      <c r="C351" s="94" t="s">
        <v>314</v>
      </c>
      <c r="D351" s="95" t="n">
        <v>50</v>
      </c>
      <c r="E351" s="95" t="n">
        <v>89000</v>
      </c>
      <c r="F351" s="95" t="n">
        <v>23900</v>
      </c>
      <c r="G351" s="34" t="n">
        <v>3.12</v>
      </c>
      <c r="H351" s="34" t="n">
        <v>22.3</v>
      </c>
      <c r="J351" s="95" t="n">
        <f aca="false">IF(N(E351)&gt;0,E351,IF(N(F351)&gt;0,F351*가정!$B$5,0))</f>
        <v>89000</v>
      </c>
      <c r="K351" s="95" t="n">
        <f aca="false">IF(N(F351)&gt;0,F351,IF(N(E351)&gt;0,E351/가정!$B$5,0))</f>
        <v>23900</v>
      </c>
      <c r="L351" s="95" t="n">
        <f aca="false">IF(B351="CN",IF(N(I351)&gt;0,I351*가정!$B$3,K351*(1+가정!$B$6)),IF(N(H351)&gt;0,H351*가정!$B$3,J351*가정!$B$4))</f>
        <v>30389.994</v>
      </c>
      <c r="M351" s="95" t="n">
        <f aca="false">D351*J351</f>
        <v>4450000</v>
      </c>
      <c r="N351" s="95" t="n">
        <f aca="false">D351*K351</f>
        <v>1195000</v>
      </c>
      <c r="O351" s="95" t="n">
        <f aca="false">D351*L351</f>
        <v>1519499.7</v>
      </c>
      <c r="P351" s="34" t="str">
        <f aca="false">TRIM(IF(N(E351)&lt;=0,"택가보정 ","")&amp;IF(N(F351)&lt;=0,"원가보정 ","")&amp;IF(AND(B351&lt;&gt;"CN",N(H351)&lt;=0),"공급가보정 ","")&amp;IF(AND(B351="CN",N(I351)&lt;=0),"중국공급가=원가+마진 ",""))</f>
        <v/>
      </c>
    </row>
    <row r="352" customFormat="false" ht="15" hidden="false" customHeight="true" outlineLevel="0" collapsed="false">
      <c r="A352" s="94" t="s">
        <v>1686</v>
      </c>
      <c r="B352" s="34" t="str">
        <f aca="false">IF(A352="100","HK",IF(A352="200","CN",IF(A352="300","TW","홀세일")))</f>
        <v>TW</v>
      </c>
      <c r="C352" s="94" t="s">
        <v>314</v>
      </c>
      <c r="D352" s="95" t="n">
        <v>400</v>
      </c>
      <c r="E352" s="95" t="n">
        <v>89000</v>
      </c>
      <c r="F352" s="95" t="n">
        <v>23900</v>
      </c>
      <c r="G352" s="34" t="n">
        <v>3.12</v>
      </c>
      <c r="H352" s="34" t="n">
        <v>22.3</v>
      </c>
      <c r="J352" s="95" t="n">
        <f aca="false">IF(N(E352)&gt;0,E352,IF(N(F352)&gt;0,F352*가정!$B$5,0))</f>
        <v>89000</v>
      </c>
      <c r="K352" s="95" t="n">
        <f aca="false">IF(N(F352)&gt;0,F352,IF(N(E352)&gt;0,E352/가정!$B$5,0))</f>
        <v>23900</v>
      </c>
      <c r="L352" s="95" t="n">
        <f aca="false">IF(B352="CN",IF(N(I352)&gt;0,I352*가정!$B$3,K352*(1+가정!$B$6)),IF(N(H352)&gt;0,H352*가정!$B$3,J352*가정!$B$4))</f>
        <v>30389.994</v>
      </c>
      <c r="M352" s="95" t="n">
        <f aca="false">D352*J352</f>
        <v>35600000</v>
      </c>
      <c r="N352" s="95" t="n">
        <f aca="false">D352*K352</f>
        <v>9560000</v>
      </c>
      <c r="O352" s="95" t="n">
        <f aca="false">D352*L352</f>
        <v>12155997.6</v>
      </c>
      <c r="P352" s="34" t="str">
        <f aca="false">TRIM(IF(N(E352)&lt;=0,"택가보정 ","")&amp;IF(N(F352)&lt;=0,"원가보정 ","")&amp;IF(AND(B352&lt;&gt;"CN",N(H352)&lt;=0),"공급가보정 ","")&amp;IF(AND(B352="CN",N(I352)&lt;=0),"중국공급가=원가+마진 ",""))</f>
        <v/>
      </c>
    </row>
    <row r="353" customFormat="false" ht="15" hidden="false" customHeight="true" outlineLevel="0" collapsed="false">
      <c r="A353" s="94" t="s">
        <v>1692</v>
      </c>
      <c r="B353" s="34" t="str">
        <f aca="false">IF(A353="100","HK",IF(A353="200","CN",IF(A353="300","TW","홀세일")))</f>
        <v>홀세일</v>
      </c>
      <c r="C353" s="94" t="s">
        <v>314</v>
      </c>
      <c r="D353" s="95" t="n">
        <v>243</v>
      </c>
      <c r="E353" s="95" t="n">
        <v>89000</v>
      </c>
      <c r="F353" s="95" t="n">
        <v>23900</v>
      </c>
      <c r="G353" s="34" t="n">
        <v>3.12</v>
      </c>
      <c r="H353" s="34" t="n">
        <v>22.3</v>
      </c>
      <c r="J353" s="95" t="n">
        <f aca="false">IF(N(E353)&gt;0,E353,IF(N(F353)&gt;0,F353*가정!$B$5,0))</f>
        <v>89000</v>
      </c>
      <c r="K353" s="95" t="n">
        <f aca="false">IF(N(F353)&gt;0,F353,IF(N(E353)&gt;0,E353/가정!$B$5,0))</f>
        <v>23900</v>
      </c>
      <c r="L353" s="95" t="n">
        <f aca="false">IF(B353="CN",IF(N(I353)&gt;0,I353*가정!$B$3,K353*(1+가정!$B$6)),IF(N(H353)&gt;0,H353*가정!$B$3,J353*가정!$B$4))</f>
        <v>30389.994</v>
      </c>
      <c r="M353" s="95" t="n">
        <f aca="false">D353*J353</f>
        <v>21627000</v>
      </c>
      <c r="N353" s="95" t="n">
        <f aca="false">D353*K353</f>
        <v>5807700</v>
      </c>
      <c r="O353" s="95" t="n">
        <f aca="false">D353*L353</f>
        <v>7384768.542</v>
      </c>
      <c r="P353" s="34" t="str">
        <f aca="false">TRIM(IF(N(E353)&lt;=0,"택가보정 ","")&amp;IF(N(F353)&lt;=0,"원가보정 ","")&amp;IF(AND(B353&lt;&gt;"CN",N(H353)&lt;=0),"공급가보정 ","")&amp;IF(AND(B353="CN",N(I353)&lt;=0),"중국공급가=원가+마진 ",""))</f>
        <v/>
      </c>
    </row>
    <row r="354" customFormat="false" ht="15" hidden="false" customHeight="true" outlineLevel="0" collapsed="false">
      <c r="A354" s="94" t="s">
        <v>1689</v>
      </c>
      <c r="B354" s="34" t="str">
        <f aca="false">IF(A354="100","HK",IF(A354="200","CN",IF(A354="300","TW","홀세일")))</f>
        <v>홀세일</v>
      </c>
      <c r="C354" s="94" t="s">
        <v>314</v>
      </c>
      <c r="D354" s="95" t="n">
        <v>80</v>
      </c>
      <c r="E354" s="95" t="n">
        <v>89000</v>
      </c>
      <c r="F354" s="95" t="n">
        <v>23900</v>
      </c>
      <c r="G354" s="34" t="n">
        <v>3.12</v>
      </c>
      <c r="H354" s="34" t="n">
        <v>22.3</v>
      </c>
      <c r="J354" s="95" t="n">
        <f aca="false">IF(N(E354)&gt;0,E354,IF(N(F354)&gt;0,F354*가정!$B$5,0))</f>
        <v>89000</v>
      </c>
      <c r="K354" s="95" t="n">
        <f aca="false">IF(N(F354)&gt;0,F354,IF(N(E354)&gt;0,E354/가정!$B$5,0))</f>
        <v>23900</v>
      </c>
      <c r="L354" s="95" t="n">
        <f aca="false">IF(B354="CN",IF(N(I354)&gt;0,I354*가정!$B$3,K354*(1+가정!$B$6)),IF(N(H354)&gt;0,H354*가정!$B$3,J354*가정!$B$4))</f>
        <v>30389.994</v>
      </c>
      <c r="M354" s="95" t="n">
        <f aca="false">D354*J354</f>
        <v>7120000</v>
      </c>
      <c r="N354" s="95" t="n">
        <f aca="false">D354*K354</f>
        <v>1912000</v>
      </c>
      <c r="O354" s="95" t="n">
        <f aca="false">D354*L354</f>
        <v>2431199.52</v>
      </c>
      <c r="P354" s="34" t="str">
        <f aca="false">TRIM(IF(N(E354)&lt;=0,"택가보정 ","")&amp;IF(N(F354)&lt;=0,"원가보정 ","")&amp;IF(AND(B354&lt;&gt;"CN",N(H354)&lt;=0),"공급가보정 ","")&amp;IF(AND(B354="CN",N(I354)&lt;=0),"중국공급가=원가+마진 ",""))</f>
        <v/>
      </c>
    </row>
    <row r="355" customFormat="false" ht="15" hidden="false" customHeight="true" outlineLevel="0" collapsed="false">
      <c r="A355" s="94" t="s">
        <v>1684</v>
      </c>
      <c r="B355" s="34" t="str">
        <f aca="false">IF(A355="100","HK",IF(A355="200","CN",IF(A355="300","TW","홀세일")))</f>
        <v>HK</v>
      </c>
      <c r="C355" s="94" t="s">
        <v>316</v>
      </c>
      <c r="D355" s="95" t="n">
        <v>300</v>
      </c>
      <c r="E355" s="95" t="n">
        <v>129000</v>
      </c>
      <c r="F355" s="95" t="n">
        <v>23400</v>
      </c>
      <c r="G355" s="34" t="n">
        <v>4.28</v>
      </c>
      <c r="H355" s="34" t="n">
        <v>32.3</v>
      </c>
      <c r="J355" s="95" t="n">
        <f aca="false">IF(N(E355)&gt;0,E355,IF(N(F355)&gt;0,F355*가정!$B$5,0))</f>
        <v>129000</v>
      </c>
      <c r="K355" s="95" t="n">
        <f aca="false">IF(N(F355)&gt;0,F355,IF(N(E355)&gt;0,E355/가정!$B$5,0))</f>
        <v>23400</v>
      </c>
      <c r="L355" s="95" t="n">
        <f aca="false">IF(B355="CN",IF(N(I355)&gt;0,I355*가정!$B$3,K355*(1+가정!$B$6)),IF(N(H355)&gt;0,H355*가정!$B$3,J355*가정!$B$4))</f>
        <v>44017.794</v>
      </c>
      <c r="M355" s="95" t="n">
        <f aca="false">D355*J355</f>
        <v>38700000</v>
      </c>
      <c r="N355" s="95" t="n">
        <f aca="false">D355*K355</f>
        <v>7020000</v>
      </c>
      <c r="O355" s="95" t="n">
        <f aca="false">D355*L355</f>
        <v>13205338.2</v>
      </c>
      <c r="P355" s="34" t="str">
        <f aca="false">TRIM(IF(N(E355)&lt;=0,"택가보정 ","")&amp;IF(N(F355)&lt;=0,"원가보정 ","")&amp;IF(AND(B355&lt;&gt;"CN",N(H355)&lt;=0),"공급가보정 ","")&amp;IF(AND(B355="CN",N(I355)&lt;=0),"중국공급가=원가+마진 ",""))</f>
        <v/>
      </c>
    </row>
    <row r="356" customFormat="false" ht="15" hidden="false" customHeight="true" outlineLevel="0" collapsed="false">
      <c r="A356" s="94" t="s">
        <v>1686</v>
      </c>
      <c r="B356" s="34" t="str">
        <f aca="false">IF(A356="100","HK",IF(A356="200","CN",IF(A356="300","TW","홀세일")))</f>
        <v>TW</v>
      </c>
      <c r="C356" s="94" t="s">
        <v>316</v>
      </c>
      <c r="D356" s="95" t="n">
        <v>300</v>
      </c>
      <c r="E356" s="95" t="n">
        <v>129000</v>
      </c>
      <c r="F356" s="95" t="n">
        <v>23400</v>
      </c>
      <c r="G356" s="34" t="n">
        <v>4.28</v>
      </c>
      <c r="H356" s="34" t="n">
        <v>32.3</v>
      </c>
      <c r="J356" s="95" t="n">
        <f aca="false">IF(N(E356)&gt;0,E356,IF(N(F356)&gt;0,F356*가정!$B$5,0))</f>
        <v>129000</v>
      </c>
      <c r="K356" s="95" t="n">
        <f aca="false">IF(N(F356)&gt;0,F356,IF(N(E356)&gt;0,E356/가정!$B$5,0))</f>
        <v>23400</v>
      </c>
      <c r="L356" s="95" t="n">
        <f aca="false">IF(B356="CN",IF(N(I356)&gt;0,I356*가정!$B$3,K356*(1+가정!$B$6)),IF(N(H356)&gt;0,H356*가정!$B$3,J356*가정!$B$4))</f>
        <v>44017.794</v>
      </c>
      <c r="M356" s="95" t="n">
        <f aca="false">D356*J356</f>
        <v>38700000</v>
      </c>
      <c r="N356" s="95" t="n">
        <f aca="false">D356*K356</f>
        <v>7020000</v>
      </c>
      <c r="O356" s="95" t="n">
        <f aca="false">D356*L356</f>
        <v>13205338.2</v>
      </c>
      <c r="P356" s="34" t="str">
        <f aca="false">TRIM(IF(N(E356)&lt;=0,"택가보정 ","")&amp;IF(N(F356)&lt;=0,"원가보정 ","")&amp;IF(AND(B356&lt;&gt;"CN",N(H356)&lt;=0),"공급가보정 ","")&amp;IF(AND(B356="CN",N(I356)&lt;=0),"중국공급가=원가+마진 ",""))</f>
        <v/>
      </c>
    </row>
    <row r="357" customFormat="false" ht="15" hidden="false" customHeight="true" outlineLevel="0" collapsed="false">
      <c r="A357" s="94" t="s">
        <v>1688</v>
      </c>
      <c r="B357" s="34" t="str">
        <f aca="false">IF(A357="100","HK",IF(A357="200","CN",IF(A357="300","TW","홀세일")))</f>
        <v>홀세일</v>
      </c>
      <c r="C357" s="94" t="s">
        <v>316</v>
      </c>
      <c r="D357" s="95" t="n">
        <v>45</v>
      </c>
      <c r="E357" s="95" t="n">
        <v>129000</v>
      </c>
      <c r="F357" s="95" t="n">
        <v>23400</v>
      </c>
      <c r="G357" s="34" t="n">
        <v>4.28</v>
      </c>
      <c r="H357" s="34" t="n">
        <v>32.3</v>
      </c>
      <c r="J357" s="95" t="n">
        <f aca="false">IF(N(E357)&gt;0,E357,IF(N(F357)&gt;0,F357*가정!$B$5,0))</f>
        <v>129000</v>
      </c>
      <c r="K357" s="95" t="n">
        <f aca="false">IF(N(F357)&gt;0,F357,IF(N(E357)&gt;0,E357/가정!$B$5,0))</f>
        <v>23400</v>
      </c>
      <c r="L357" s="95" t="n">
        <f aca="false">IF(B357="CN",IF(N(I357)&gt;0,I357*가정!$B$3,K357*(1+가정!$B$6)),IF(N(H357)&gt;0,H357*가정!$B$3,J357*가정!$B$4))</f>
        <v>44017.794</v>
      </c>
      <c r="M357" s="95" t="n">
        <f aca="false">D357*J357</f>
        <v>5805000</v>
      </c>
      <c r="N357" s="95" t="n">
        <f aca="false">D357*K357</f>
        <v>1053000</v>
      </c>
      <c r="O357" s="95" t="n">
        <f aca="false">D357*L357</f>
        <v>1980800.73</v>
      </c>
      <c r="P357" s="34" t="str">
        <f aca="false">TRIM(IF(N(E357)&lt;=0,"택가보정 ","")&amp;IF(N(F357)&lt;=0,"원가보정 ","")&amp;IF(AND(B357&lt;&gt;"CN",N(H357)&lt;=0),"공급가보정 ","")&amp;IF(AND(B357="CN",N(I357)&lt;=0),"중국공급가=원가+마진 ",""))</f>
        <v/>
      </c>
    </row>
    <row r="358" customFormat="false" ht="15" hidden="false" customHeight="true" outlineLevel="0" collapsed="false">
      <c r="A358" s="94" t="s">
        <v>1684</v>
      </c>
      <c r="B358" s="34" t="str">
        <f aca="false">IF(A358="100","HK",IF(A358="200","CN",IF(A358="300","TW","홀세일")))</f>
        <v>HK</v>
      </c>
      <c r="C358" s="94" t="s">
        <v>318</v>
      </c>
      <c r="D358" s="95" t="n">
        <v>520</v>
      </c>
      <c r="E358" s="95" t="n">
        <v>139000</v>
      </c>
      <c r="F358" s="95" t="n">
        <v>28377</v>
      </c>
      <c r="G358" s="34" t="n">
        <v>4.92</v>
      </c>
      <c r="H358" s="34" t="n">
        <v>34.8</v>
      </c>
      <c r="J358" s="95" t="n">
        <f aca="false">IF(N(E358)&gt;0,E358,IF(N(F358)&gt;0,F358*가정!$B$5,0))</f>
        <v>139000</v>
      </c>
      <c r="K358" s="95" t="n">
        <f aca="false">IF(N(F358)&gt;0,F358,IF(N(E358)&gt;0,E358/가정!$B$5,0))</f>
        <v>28377</v>
      </c>
      <c r="L358" s="95" t="n">
        <f aca="false">IF(B358="CN",IF(N(I358)&gt;0,I358*가정!$B$3,K358*(1+가정!$B$6)),IF(N(H358)&gt;0,H358*가정!$B$3,J358*가정!$B$4))</f>
        <v>47424.744</v>
      </c>
      <c r="M358" s="95" t="n">
        <f aca="false">D358*J358</f>
        <v>72280000</v>
      </c>
      <c r="N358" s="95" t="n">
        <f aca="false">D358*K358</f>
        <v>14756040</v>
      </c>
      <c r="O358" s="95" t="n">
        <f aca="false">D358*L358</f>
        <v>24660866.88</v>
      </c>
      <c r="P358" s="34" t="str">
        <f aca="false">TRIM(IF(N(E358)&lt;=0,"택가보정 ","")&amp;IF(N(F358)&lt;=0,"원가보정 ","")&amp;IF(AND(B358&lt;&gt;"CN",N(H358)&lt;=0),"공급가보정 ","")&amp;IF(AND(B358="CN",N(I358)&lt;=0),"중국공급가=원가+마진 ",""))</f>
        <v/>
      </c>
    </row>
    <row r="359" customFormat="false" ht="15" hidden="false" customHeight="true" outlineLevel="0" collapsed="false">
      <c r="A359" s="94" t="s">
        <v>1686</v>
      </c>
      <c r="B359" s="34" t="str">
        <f aca="false">IF(A359="100","HK",IF(A359="200","CN",IF(A359="300","TW","홀세일")))</f>
        <v>TW</v>
      </c>
      <c r="C359" s="94" t="s">
        <v>318</v>
      </c>
      <c r="D359" s="95" t="n">
        <v>650</v>
      </c>
      <c r="E359" s="95" t="n">
        <v>139000</v>
      </c>
      <c r="F359" s="95" t="n">
        <v>28377</v>
      </c>
      <c r="G359" s="34" t="n">
        <v>4.92</v>
      </c>
      <c r="H359" s="34" t="n">
        <v>34.8</v>
      </c>
      <c r="J359" s="95" t="n">
        <f aca="false">IF(N(E359)&gt;0,E359,IF(N(F359)&gt;0,F359*가정!$B$5,0))</f>
        <v>139000</v>
      </c>
      <c r="K359" s="95" t="n">
        <f aca="false">IF(N(F359)&gt;0,F359,IF(N(E359)&gt;0,E359/가정!$B$5,0))</f>
        <v>28377</v>
      </c>
      <c r="L359" s="95" t="n">
        <f aca="false">IF(B359="CN",IF(N(I359)&gt;0,I359*가정!$B$3,K359*(1+가정!$B$6)),IF(N(H359)&gt;0,H359*가정!$B$3,J359*가정!$B$4))</f>
        <v>47424.744</v>
      </c>
      <c r="M359" s="95" t="n">
        <f aca="false">D359*J359</f>
        <v>90350000</v>
      </c>
      <c r="N359" s="95" t="n">
        <f aca="false">D359*K359</f>
        <v>18445050</v>
      </c>
      <c r="O359" s="95" t="n">
        <f aca="false">D359*L359</f>
        <v>30826083.6</v>
      </c>
      <c r="P359" s="34" t="str">
        <f aca="false">TRIM(IF(N(E359)&lt;=0,"택가보정 ","")&amp;IF(N(F359)&lt;=0,"원가보정 ","")&amp;IF(AND(B359&lt;&gt;"CN",N(H359)&lt;=0),"공급가보정 ","")&amp;IF(AND(B359="CN",N(I359)&lt;=0),"중국공급가=원가+마진 ",""))</f>
        <v/>
      </c>
    </row>
    <row r="360" customFormat="false" ht="15" hidden="false" customHeight="true" outlineLevel="0" collapsed="false">
      <c r="A360" s="94" t="s">
        <v>1689</v>
      </c>
      <c r="B360" s="34" t="str">
        <f aca="false">IF(A360="100","HK",IF(A360="200","CN",IF(A360="300","TW","홀세일")))</f>
        <v>홀세일</v>
      </c>
      <c r="C360" s="94" t="s">
        <v>318</v>
      </c>
      <c r="D360" s="95" t="n">
        <v>120</v>
      </c>
      <c r="E360" s="95" t="n">
        <v>139000</v>
      </c>
      <c r="F360" s="95" t="n">
        <v>28377</v>
      </c>
      <c r="G360" s="34" t="n">
        <v>4.92</v>
      </c>
      <c r="H360" s="34" t="n">
        <v>34.8</v>
      </c>
      <c r="J360" s="95" t="n">
        <f aca="false">IF(N(E360)&gt;0,E360,IF(N(F360)&gt;0,F360*가정!$B$5,0))</f>
        <v>139000</v>
      </c>
      <c r="K360" s="95" t="n">
        <f aca="false">IF(N(F360)&gt;0,F360,IF(N(E360)&gt;0,E360/가정!$B$5,0))</f>
        <v>28377</v>
      </c>
      <c r="L360" s="95" t="n">
        <f aca="false">IF(B360="CN",IF(N(I360)&gt;0,I360*가정!$B$3,K360*(1+가정!$B$6)),IF(N(H360)&gt;0,H360*가정!$B$3,J360*가정!$B$4))</f>
        <v>47424.744</v>
      </c>
      <c r="M360" s="95" t="n">
        <f aca="false">D360*J360</f>
        <v>16680000</v>
      </c>
      <c r="N360" s="95" t="n">
        <f aca="false">D360*K360</f>
        <v>3405240</v>
      </c>
      <c r="O360" s="95" t="n">
        <f aca="false">D360*L360</f>
        <v>5690969.28</v>
      </c>
      <c r="P360" s="34" t="str">
        <f aca="false">TRIM(IF(N(E360)&lt;=0,"택가보정 ","")&amp;IF(N(F360)&lt;=0,"원가보정 ","")&amp;IF(AND(B360&lt;&gt;"CN",N(H360)&lt;=0),"공급가보정 ","")&amp;IF(AND(B360="CN",N(I360)&lt;=0),"중국공급가=원가+마진 ",""))</f>
        <v/>
      </c>
    </row>
    <row r="361" customFormat="false" ht="15" hidden="false" customHeight="true" outlineLevel="0" collapsed="false">
      <c r="A361" s="94" t="s">
        <v>1686</v>
      </c>
      <c r="B361" s="34" t="str">
        <f aca="false">IF(A361="100","HK",IF(A361="200","CN",IF(A361="300","TW","홀세일")))</f>
        <v>TW</v>
      </c>
      <c r="C361" s="94" t="s">
        <v>320</v>
      </c>
      <c r="D361" s="95" t="n">
        <v>650</v>
      </c>
      <c r="E361" s="95" t="n">
        <v>139000</v>
      </c>
      <c r="F361" s="95" t="n">
        <v>26700</v>
      </c>
      <c r="G361" s="34" t="n">
        <v>4.67</v>
      </c>
      <c r="H361" s="34" t="n">
        <v>34.8</v>
      </c>
      <c r="J361" s="95" t="n">
        <f aca="false">IF(N(E361)&gt;0,E361,IF(N(F361)&gt;0,F361*가정!$B$5,0))</f>
        <v>139000</v>
      </c>
      <c r="K361" s="95" t="n">
        <f aca="false">IF(N(F361)&gt;0,F361,IF(N(E361)&gt;0,E361/가정!$B$5,0))</f>
        <v>26700</v>
      </c>
      <c r="L361" s="95" t="n">
        <f aca="false">IF(B361="CN",IF(N(I361)&gt;0,I361*가정!$B$3,K361*(1+가정!$B$6)),IF(N(H361)&gt;0,H361*가정!$B$3,J361*가정!$B$4))</f>
        <v>47424.744</v>
      </c>
      <c r="M361" s="95" t="n">
        <f aca="false">D361*J361</f>
        <v>90350000</v>
      </c>
      <c r="N361" s="95" t="n">
        <f aca="false">D361*K361</f>
        <v>17355000</v>
      </c>
      <c r="O361" s="95" t="n">
        <f aca="false">D361*L361</f>
        <v>30826083.6</v>
      </c>
      <c r="P361" s="34" t="str">
        <f aca="false">TRIM(IF(N(E361)&lt;=0,"택가보정 ","")&amp;IF(N(F361)&lt;=0,"원가보정 ","")&amp;IF(AND(B361&lt;&gt;"CN",N(H361)&lt;=0),"공급가보정 ","")&amp;IF(AND(B361="CN",N(I361)&lt;=0),"중국공급가=원가+마진 ",""))</f>
        <v/>
      </c>
    </row>
    <row r="362" customFormat="false" ht="15" hidden="false" customHeight="true" outlineLevel="0" collapsed="false">
      <c r="A362" s="94" t="s">
        <v>1688</v>
      </c>
      <c r="B362" s="34" t="str">
        <f aca="false">IF(A362="100","HK",IF(A362="200","CN",IF(A362="300","TW","홀세일")))</f>
        <v>홀세일</v>
      </c>
      <c r="C362" s="94" t="s">
        <v>320</v>
      </c>
      <c r="D362" s="95" t="n">
        <v>60</v>
      </c>
      <c r="E362" s="95" t="n">
        <v>139000</v>
      </c>
      <c r="F362" s="95" t="n">
        <v>26700</v>
      </c>
      <c r="G362" s="34" t="n">
        <v>4.67</v>
      </c>
      <c r="H362" s="34" t="n">
        <v>34.8</v>
      </c>
      <c r="J362" s="95" t="n">
        <f aca="false">IF(N(E362)&gt;0,E362,IF(N(F362)&gt;0,F362*가정!$B$5,0))</f>
        <v>139000</v>
      </c>
      <c r="K362" s="95" t="n">
        <f aca="false">IF(N(F362)&gt;0,F362,IF(N(E362)&gt;0,E362/가정!$B$5,0))</f>
        <v>26700</v>
      </c>
      <c r="L362" s="95" t="n">
        <f aca="false">IF(B362="CN",IF(N(I362)&gt;0,I362*가정!$B$3,K362*(1+가정!$B$6)),IF(N(H362)&gt;0,H362*가정!$B$3,J362*가정!$B$4))</f>
        <v>47424.744</v>
      </c>
      <c r="M362" s="95" t="n">
        <f aca="false">D362*J362</f>
        <v>8340000</v>
      </c>
      <c r="N362" s="95" t="n">
        <f aca="false">D362*K362</f>
        <v>1602000</v>
      </c>
      <c r="O362" s="95" t="n">
        <f aca="false">D362*L362</f>
        <v>2845484.64</v>
      </c>
      <c r="P362" s="34" t="str">
        <f aca="false">TRIM(IF(N(E362)&lt;=0,"택가보정 ","")&amp;IF(N(F362)&lt;=0,"원가보정 ","")&amp;IF(AND(B362&lt;&gt;"CN",N(H362)&lt;=0),"공급가보정 ","")&amp;IF(AND(B362="CN",N(I362)&lt;=0),"중국공급가=원가+마진 ",""))</f>
        <v/>
      </c>
    </row>
    <row r="363" customFormat="false" ht="15" hidden="false" customHeight="true" outlineLevel="0" collapsed="false">
      <c r="A363" s="94" t="s">
        <v>1684</v>
      </c>
      <c r="B363" s="34" t="str">
        <f aca="false">IF(A363="100","HK",IF(A363="200","CN",IF(A363="300","TW","홀세일")))</f>
        <v>HK</v>
      </c>
      <c r="C363" s="94" t="s">
        <v>322</v>
      </c>
      <c r="D363" s="95" t="n">
        <v>180</v>
      </c>
      <c r="E363" s="95" t="n">
        <v>109000</v>
      </c>
      <c r="F363" s="95" t="n">
        <v>25411</v>
      </c>
      <c r="G363" s="34" t="n">
        <v>3.74</v>
      </c>
      <c r="H363" s="34" t="n">
        <v>27.3</v>
      </c>
      <c r="J363" s="95" t="n">
        <f aca="false">IF(N(E363)&gt;0,E363,IF(N(F363)&gt;0,F363*가정!$B$5,0))</f>
        <v>109000</v>
      </c>
      <c r="K363" s="95" t="n">
        <f aca="false">IF(N(F363)&gt;0,F363,IF(N(E363)&gt;0,E363/가정!$B$5,0))</f>
        <v>25411</v>
      </c>
      <c r="L363" s="95" t="n">
        <f aca="false">IF(B363="CN",IF(N(I363)&gt;0,I363*가정!$B$3,K363*(1+가정!$B$6)),IF(N(H363)&gt;0,H363*가정!$B$3,J363*가정!$B$4))</f>
        <v>37203.894</v>
      </c>
      <c r="M363" s="95" t="n">
        <f aca="false">D363*J363</f>
        <v>19620000</v>
      </c>
      <c r="N363" s="95" t="n">
        <f aca="false">D363*K363</f>
        <v>4573980</v>
      </c>
      <c r="O363" s="95" t="n">
        <f aca="false">D363*L363</f>
        <v>6696700.92</v>
      </c>
      <c r="P363" s="34" t="str">
        <f aca="false">TRIM(IF(N(E363)&lt;=0,"택가보정 ","")&amp;IF(N(F363)&lt;=0,"원가보정 ","")&amp;IF(AND(B363&lt;&gt;"CN",N(H363)&lt;=0),"공급가보정 ","")&amp;IF(AND(B363="CN",N(I363)&lt;=0),"중국공급가=원가+마진 ",""))</f>
        <v/>
      </c>
    </row>
    <row r="364" customFormat="false" ht="15.75" hidden="false" customHeight="true" outlineLevel="0" collapsed="false">
      <c r="A364" s="94" t="s">
        <v>1685</v>
      </c>
      <c r="B364" s="34" t="str">
        <f aca="false">IF(A364="100","HK",IF(A364="200","CN",IF(A364="300","TW","홀세일")))</f>
        <v>CN</v>
      </c>
      <c r="C364" s="94" t="s">
        <v>322</v>
      </c>
      <c r="D364" s="95" t="n">
        <v>367</v>
      </c>
      <c r="E364" s="95" t="n">
        <v>109000</v>
      </c>
      <c r="F364" s="95" t="n">
        <v>25411</v>
      </c>
      <c r="G364" s="34" t="n">
        <v>3.74</v>
      </c>
      <c r="H364" s="34" t="n">
        <v>27.3</v>
      </c>
      <c r="J364" s="95" t="n">
        <f aca="false">IF(N(E364)&gt;0,E364,IF(N(F364)&gt;0,F364*가정!$B$5,0))</f>
        <v>109000</v>
      </c>
      <c r="K364" s="95" t="n">
        <f aca="false">IF(N(F364)&gt;0,F364,IF(N(E364)&gt;0,E364/가정!$B$5,0))</f>
        <v>25411</v>
      </c>
      <c r="L364" s="95" t="n">
        <f aca="false">IF(B364="CN",IF(N(I364)&gt;0,I364*가정!$B$3,K364*(1+가정!$B$6)),IF(N(H364)&gt;0,H364*가정!$B$3,J364*가정!$B$4))</f>
        <v>26681.55</v>
      </c>
      <c r="M364" s="95" t="n">
        <f aca="false">D364*J364</f>
        <v>40003000</v>
      </c>
      <c r="N364" s="95" t="n">
        <f aca="false">D364*K364</f>
        <v>9325837</v>
      </c>
      <c r="O364" s="95" t="n">
        <f aca="false">D364*L364</f>
        <v>9792128.85</v>
      </c>
      <c r="P364" s="34" t="str">
        <f aca="false">TRIM(IF(N(E364)&lt;=0,"택가보정 ","")&amp;IF(N(F364)&lt;=0,"원가보정 ","")&amp;IF(AND(B364&lt;&gt;"CN",N(H364)&lt;=0),"공급가보정 ","")&amp;IF(AND(B364="CN",N(I364)&lt;=0),"중국공급가=원가+마진 ",""))</f>
        <v>중국공급가=원가+마진</v>
      </c>
    </row>
    <row r="365" customFormat="false" ht="15" hidden="false" customHeight="true" outlineLevel="0" collapsed="false">
      <c r="A365" s="94" t="s">
        <v>1686</v>
      </c>
      <c r="B365" s="34" t="str">
        <f aca="false">IF(A365="100","HK",IF(A365="200","CN",IF(A365="300","TW","홀세일")))</f>
        <v>TW</v>
      </c>
      <c r="C365" s="94" t="s">
        <v>322</v>
      </c>
      <c r="D365" s="95" t="n">
        <v>80</v>
      </c>
      <c r="E365" s="95" t="n">
        <v>109000</v>
      </c>
      <c r="F365" s="95" t="n">
        <v>25411</v>
      </c>
      <c r="G365" s="34" t="n">
        <v>3.74</v>
      </c>
      <c r="H365" s="34" t="n">
        <v>27.3</v>
      </c>
      <c r="J365" s="95" t="n">
        <f aca="false">IF(N(E365)&gt;0,E365,IF(N(F365)&gt;0,F365*가정!$B$5,0))</f>
        <v>109000</v>
      </c>
      <c r="K365" s="95" t="n">
        <f aca="false">IF(N(F365)&gt;0,F365,IF(N(E365)&gt;0,E365/가정!$B$5,0))</f>
        <v>25411</v>
      </c>
      <c r="L365" s="95" t="n">
        <f aca="false">IF(B365="CN",IF(N(I365)&gt;0,I365*가정!$B$3,K365*(1+가정!$B$6)),IF(N(H365)&gt;0,H365*가정!$B$3,J365*가정!$B$4))</f>
        <v>37203.894</v>
      </c>
      <c r="M365" s="95" t="n">
        <f aca="false">D365*J365</f>
        <v>8720000</v>
      </c>
      <c r="N365" s="95" t="n">
        <f aca="false">D365*K365</f>
        <v>2032880</v>
      </c>
      <c r="O365" s="95" t="n">
        <f aca="false">D365*L365</f>
        <v>2976311.52</v>
      </c>
      <c r="P365" s="34" t="str">
        <f aca="false">TRIM(IF(N(E365)&lt;=0,"택가보정 ","")&amp;IF(N(F365)&lt;=0,"원가보정 ","")&amp;IF(AND(B365&lt;&gt;"CN",N(H365)&lt;=0),"공급가보정 ","")&amp;IF(AND(B365="CN",N(I365)&lt;=0),"중국공급가=원가+마진 ",""))</f>
        <v/>
      </c>
    </row>
    <row r="366" customFormat="false" ht="15" hidden="false" customHeight="true" outlineLevel="0" collapsed="false">
      <c r="A366" s="94" t="s">
        <v>1690</v>
      </c>
      <c r="B366" s="34" t="str">
        <f aca="false">IF(A366="100","HK",IF(A366="200","CN",IF(A366="300","TW","홀세일")))</f>
        <v>홀세일</v>
      </c>
      <c r="C366" s="94" t="s">
        <v>322</v>
      </c>
      <c r="D366" s="95" t="n">
        <v>228</v>
      </c>
      <c r="E366" s="95" t="n">
        <v>109000</v>
      </c>
      <c r="F366" s="95" t="n">
        <v>25411</v>
      </c>
      <c r="G366" s="34" t="n">
        <v>3.74</v>
      </c>
      <c r="H366" s="34" t="n">
        <v>27.3</v>
      </c>
      <c r="J366" s="95" t="n">
        <f aca="false">IF(N(E366)&gt;0,E366,IF(N(F366)&gt;0,F366*가정!$B$5,0))</f>
        <v>109000</v>
      </c>
      <c r="K366" s="95" t="n">
        <f aca="false">IF(N(F366)&gt;0,F366,IF(N(E366)&gt;0,E366/가정!$B$5,0))</f>
        <v>25411</v>
      </c>
      <c r="L366" s="95" t="n">
        <f aca="false">IF(B366="CN",IF(N(I366)&gt;0,I366*가정!$B$3,K366*(1+가정!$B$6)),IF(N(H366)&gt;0,H366*가정!$B$3,J366*가정!$B$4))</f>
        <v>37203.894</v>
      </c>
      <c r="M366" s="95" t="n">
        <f aca="false">D366*J366</f>
        <v>24852000</v>
      </c>
      <c r="N366" s="95" t="n">
        <f aca="false">D366*K366</f>
        <v>5793708</v>
      </c>
      <c r="O366" s="95" t="n">
        <f aca="false">D366*L366</f>
        <v>8482487.832</v>
      </c>
      <c r="P366" s="34" t="str">
        <f aca="false">TRIM(IF(N(E366)&lt;=0,"택가보정 ","")&amp;IF(N(F366)&lt;=0,"원가보정 ","")&amp;IF(AND(B366&lt;&gt;"CN",N(H366)&lt;=0),"공급가보정 ","")&amp;IF(AND(B366="CN",N(I366)&lt;=0),"중국공급가=원가+마진 ",""))</f>
        <v/>
      </c>
    </row>
    <row r="367" customFormat="false" ht="15" hidden="false" customHeight="true" outlineLevel="0" collapsed="false">
      <c r="A367" s="94" t="s">
        <v>1686</v>
      </c>
      <c r="B367" s="34" t="str">
        <f aca="false">IF(A367="100","HK",IF(A367="200","CN",IF(A367="300","TW","홀세일")))</f>
        <v>TW</v>
      </c>
      <c r="C367" s="94" t="s">
        <v>324</v>
      </c>
      <c r="D367" s="95" t="n">
        <v>120</v>
      </c>
      <c r="E367" s="95" t="n">
        <v>99000</v>
      </c>
      <c r="F367" s="95" t="n">
        <v>21900</v>
      </c>
      <c r="G367" s="34" t="n">
        <v>3.6</v>
      </c>
      <c r="H367" s="34" t="n">
        <v>24.8</v>
      </c>
      <c r="J367" s="95" t="n">
        <f aca="false">IF(N(E367)&gt;0,E367,IF(N(F367)&gt;0,F367*가정!$B$5,0))</f>
        <v>99000</v>
      </c>
      <c r="K367" s="95" t="n">
        <f aca="false">IF(N(F367)&gt;0,F367,IF(N(E367)&gt;0,E367/가정!$B$5,0))</f>
        <v>21900</v>
      </c>
      <c r="L367" s="95" t="n">
        <f aca="false">IF(B367="CN",IF(N(I367)&gt;0,I367*가정!$B$3,K367*(1+가정!$B$6)),IF(N(H367)&gt;0,H367*가정!$B$3,J367*가정!$B$4))</f>
        <v>33796.944</v>
      </c>
      <c r="M367" s="95" t="n">
        <f aca="false">D367*J367</f>
        <v>11880000</v>
      </c>
      <c r="N367" s="95" t="n">
        <f aca="false">D367*K367</f>
        <v>2628000</v>
      </c>
      <c r="O367" s="95" t="n">
        <f aca="false">D367*L367</f>
        <v>4055633.28</v>
      </c>
      <c r="P367" s="34" t="str">
        <f aca="false">TRIM(IF(N(E367)&lt;=0,"택가보정 ","")&amp;IF(N(F367)&lt;=0,"원가보정 ","")&amp;IF(AND(B367&lt;&gt;"CN",N(H367)&lt;=0),"공급가보정 ","")&amp;IF(AND(B367="CN",N(I367)&lt;=0),"중국공급가=원가+마진 ",""))</f>
        <v/>
      </c>
    </row>
    <row r="368" customFormat="false" ht="15" hidden="false" customHeight="true" outlineLevel="0" collapsed="false">
      <c r="A368" s="94" t="s">
        <v>1688</v>
      </c>
      <c r="B368" s="34" t="str">
        <f aca="false">IF(A368="100","HK",IF(A368="200","CN",IF(A368="300","TW","홀세일")))</f>
        <v>홀세일</v>
      </c>
      <c r="C368" s="94" t="s">
        <v>324</v>
      </c>
      <c r="D368" s="95" t="n">
        <v>20</v>
      </c>
      <c r="E368" s="95" t="n">
        <v>99000</v>
      </c>
      <c r="F368" s="95" t="n">
        <v>21900</v>
      </c>
      <c r="G368" s="34" t="n">
        <v>3.6</v>
      </c>
      <c r="H368" s="34" t="n">
        <v>24.8</v>
      </c>
      <c r="J368" s="95" t="n">
        <f aca="false">IF(N(E368)&gt;0,E368,IF(N(F368)&gt;0,F368*가정!$B$5,0))</f>
        <v>99000</v>
      </c>
      <c r="K368" s="95" t="n">
        <f aca="false">IF(N(F368)&gt;0,F368,IF(N(E368)&gt;0,E368/가정!$B$5,0))</f>
        <v>21900</v>
      </c>
      <c r="L368" s="95" t="n">
        <f aca="false">IF(B368="CN",IF(N(I368)&gt;0,I368*가정!$B$3,K368*(1+가정!$B$6)),IF(N(H368)&gt;0,H368*가정!$B$3,J368*가정!$B$4))</f>
        <v>33796.944</v>
      </c>
      <c r="M368" s="95" t="n">
        <f aca="false">D368*J368</f>
        <v>1980000</v>
      </c>
      <c r="N368" s="95" t="n">
        <f aca="false">D368*K368</f>
        <v>438000</v>
      </c>
      <c r="O368" s="95" t="n">
        <f aca="false">D368*L368</f>
        <v>675938.88</v>
      </c>
      <c r="P368" s="34" t="str">
        <f aca="false">TRIM(IF(N(E368)&lt;=0,"택가보정 ","")&amp;IF(N(F368)&lt;=0,"원가보정 ","")&amp;IF(AND(B368&lt;&gt;"CN",N(H368)&lt;=0),"공급가보정 ","")&amp;IF(AND(B368="CN",N(I368)&lt;=0),"중국공급가=원가+마진 ",""))</f>
        <v/>
      </c>
    </row>
    <row r="369" customFormat="false" ht="15" hidden="false" customHeight="true" outlineLevel="0" collapsed="false">
      <c r="A369" s="94" t="s">
        <v>1684</v>
      </c>
      <c r="B369" s="34" t="str">
        <f aca="false">IF(A369="100","HK",IF(A369="200","CN",IF(A369="300","TW","홀세일")))</f>
        <v>HK</v>
      </c>
      <c r="C369" s="94" t="s">
        <v>885</v>
      </c>
      <c r="D369" s="95" t="n">
        <v>330</v>
      </c>
      <c r="E369" s="95" t="n">
        <v>139000</v>
      </c>
      <c r="F369" s="95" t="n">
        <v>29900</v>
      </c>
      <c r="G369" s="34" t="n">
        <v>4.01</v>
      </c>
      <c r="H369" s="34" t="n">
        <v>36.9</v>
      </c>
      <c r="J369" s="95" t="n">
        <f aca="false">IF(N(E369)&gt;0,E369,IF(N(F369)&gt;0,F369*가정!$B$5,0))</f>
        <v>139000</v>
      </c>
      <c r="K369" s="95" t="n">
        <f aca="false">IF(N(F369)&gt;0,F369,IF(N(E369)&gt;0,E369/가정!$B$5,0))</f>
        <v>29900</v>
      </c>
      <c r="L369" s="95" t="n">
        <f aca="false">IF(B369="CN",IF(N(I369)&gt;0,I369*가정!$B$3,K369*(1+가정!$B$6)),IF(N(H369)&gt;0,H369*가정!$B$3,J369*가정!$B$4))</f>
        <v>50286.582</v>
      </c>
      <c r="M369" s="95" t="n">
        <f aca="false">D369*J369</f>
        <v>45870000</v>
      </c>
      <c r="N369" s="95" t="n">
        <f aca="false">D369*K369</f>
        <v>9867000</v>
      </c>
      <c r="O369" s="95" t="n">
        <f aca="false">D369*L369</f>
        <v>16594572.06</v>
      </c>
      <c r="P369" s="34" t="str">
        <f aca="false">TRIM(IF(N(E369)&lt;=0,"택가보정 ","")&amp;IF(N(F369)&lt;=0,"원가보정 ","")&amp;IF(AND(B369&lt;&gt;"CN",N(H369)&lt;=0),"공급가보정 ","")&amp;IF(AND(B369="CN",N(I369)&lt;=0),"중국공급가=원가+마진 ",""))</f>
        <v/>
      </c>
    </row>
    <row r="370" customFormat="false" ht="15" hidden="false" customHeight="true" outlineLevel="0" collapsed="false">
      <c r="A370" s="94" t="s">
        <v>1688</v>
      </c>
      <c r="B370" s="34" t="str">
        <f aca="false">IF(A370="100","HK",IF(A370="200","CN",IF(A370="300","TW","홀세일")))</f>
        <v>홀세일</v>
      </c>
      <c r="C370" s="94" t="s">
        <v>885</v>
      </c>
      <c r="D370" s="95" t="n">
        <v>65</v>
      </c>
      <c r="E370" s="95" t="n">
        <v>139000</v>
      </c>
      <c r="F370" s="95" t="n">
        <v>29900</v>
      </c>
      <c r="G370" s="34" t="n">
        <v>4.01</v>
      </c>
      <c r="H370" s="34" t="n">
        <v>36.9</v>
      </c>
      <c r="J370" s="95" t="n">
        <f aca="false">IF(N(E370)&gt;0,E370,IF(N(F370)&gt;0,F370*가정!$B$5,0))</f>
        <v>139000</v>
      </c>
      <c r="K370" s="95" t="n">
        <f aca="false">IF(N(F370)&gt;0,F370,IF(N(E370)&gt;0,E370/가정!$B$5,0))</f>
        <v>29900</v>
      </c>
      <c r="L370" s="95" t="n">
        <f aca="false">IF(B370="CN",IF(N(I370)&gt;0,I370*가정!$B$3,K370*(1+가정!$B$6)),IF(N(H370)&gt;0,H370*가정!$B$3,J370*가정!$B$4))</f>
        <v>50286.582</v>
      </c>
      <c r="M370" s="95" t="n">
        <f aca="false">D370*J370</f>
        <v>9035000</v>
      </c>
      <c r="N370" s="95" t="n">
        <f aca="false">D370*K370</f>
        <v>1943500</v>
      </c>
      <c r="O370" s="95" t="n">
        <f aca="false">D370*L370</f>
        <v>3268627.83</v>
      </c>
      <c r="P370" s="34" t="str">
        <f aca="false">TRIM(IF(N(E370)&lt;=0,"택가보정 ","")&amp;IF(N(F370)&lt;=0,"원가보정 ","")&amp;IF(AND(B370&lt;&gt;"CN",N(H370)&lt;=0),"공급가보정 ","")&amp;IF(AND(B370="CN",N(I370)&lt;=0),"중국공급가=원가+마진 ",""))</f>
        <v/>
      </c>
    </row>
    <row r="371" customFormat="false" ht="15" hidden="false" customHeight="true" outlineLevel="0" collapsed="false">
      <c r="A371" s="94" t="s">
        <v>1692</v>
      </c>
      <c r="B371" s="34" t="str">
        <f aca="false">IF(A371="100","HK",IF(A371="200","CN",IF(A371="300","TW","홀세일")))</f>
        <v>홀세일</v>
      </c>
      <c r="C371" s="94" t="s">
        <v>885</v>
      </c>
      <c r="D371" s="95" t="n">
        <v>66</v>
      </c>
      <c r="E371" s="95" t="n">
        <v>139000</v>
      </c>
      <c r="F371" s="95" t="n">
        <v>29900</v>
      </c>
      <c r="G371" s="34" t="n">
        <v>4.01</v>
      </c>
      <c r="H371" s="34" t="n">
        <v>36.9</v>
      </c>
      <c r="J371" s="95" t="n">
        <f aca="false">IF(N(E371)&gt;0,E371,IF(N(F371)&gt;0,F371*가정!$B$5,0))</f>
        <v>139000</v>
      </c>
      <c r="K371" s="95" t="n">
        <f aca="false">IF(N(F371)&gt;0,F371,IF(N(E371)&gt;0,E371/가정!$B$5,0))</f>
        <v>29900</v>
      </c>
      <c r="L371" s="95" t="n">
        <f aca="false">IF(B371="CN",IF(N(I371)&gt;0,I371*가정!$B$3,K371*(1+가정!$B$6)),IF(N(H371)&gt;0,H371*가정!$B$3,J371*가정!$B$4))</f>
        <v>50286.582</v>
      </c>
      <c r="M371" s="95" t="n">
        <f aca="false">D371*J371</f>
        <v>9174000</v>
      </c>
      <c r="N371" s="95" t="n">
        <f aca="false">D371*K371</f>
        <v>1973400</v>
      </c>
      <c r="O371" s="95" t="n">
        <f aca="false">D371*L371</f>
        <v>3318914.412</v>
      </c>
      <c r="P371" s="34" t="str">
        <f aca="false">TRIM(IF(N(E371)&lt;=0,"택가보정 ","")&amp;IF(N(F371)&lt;=0,"원가보정 ","")&amp;IF(AND(B371&lt;&gt;"CN",N(H371)&lt;=0),"공급가보정 ","")&amp;IF(AND(B371="CN",N(I371)&lt;=0),"중국공급가=원가+마진 ",""))</f>
        <v/>
      </c>
    </row>
    <row r="372" customFormat="false" ht="15" hidden="false" customHeight="true" outlineLevel="0" collapsed="false">
      <c r="A372" s="94" t="s">
        <v>1684</v>
      </c>
      <c r="B372" s="34" t="str">
        <f aca="false">IF(A372="100","HK",IF(A372="200","CN",IF(A372="300","TW","홀세일")))</f>
        <v>HK</v>
      </c>
      <c r="C372" s="94" t="s">
        <v>326</v>
      </c>
      <c r="D372" s="95" t="n">
        <v>470</v>
      </c>
      <c r="E372" s="95" t="n">
        <v>169000</v>
      </c>
      <c r="F372" s="95" t="n">
        <v>29482</v>
      </c>
      <c r="G372" s="34" t="n">
        <v>4.06</v>
      </c>
      <c r="H372" s="34" t="n">
        <v>44.9</v>
      </c>
      <c r="J372" s="95" t="n">
        <f aca="false">IF(N(E372)&gt;0,E372,IF(N(F372)&gt;0,F372*가정!$B$5,0))</f>
        <v>169000</v>
      </c>
      <c r="K372" s="95" t="n">
        <f aca="false">IF(N(F372)&gt;0,F372,IF(N(E372)&gt;0,E372/가정!$B$5,0))</f>
        <v>29482</v>
      </c>
      <c r="L372" s="95" t="n">
        <f aca="false">IF(B372="CN",IF(N(I372)&gt;0,I372*가정!$B$3,K372*(1+가정!$B$6)),IF(N(H372)&gt;0,H372*가정!$B$3,J372*가정!$B$4))</f>
        <v>61188.822</v>
      </c>
      <c r="M372" s="95" t="n">
        <f aca="false">D372*J372</f>
        <v>79430000</v>
      </c>
      <c r="N372" s="95" t="n">
        <f aca="false">D372*K372</f>
        <v>13856540</v>
      </c>
      <c r="O372" s="95" t="n">
        <f aca="false">D372*L372</f>
        <v>28758746.34</v>
      </c>
      <c r="P372" s="34" t="str">
        <f aca="false">TRIM(IF(N(E372)&lt;=0,"택가보정 ","")&amp;IF(N(F372)&lt;=0,"원가보정 ","")&amp;IF(AND(B372&lt;&gt;"CN",N(H372)&lt;=0),"공급가보정 ","")&amp;IF(AND(B372="CN",N(I372)&lt;=0),"중국공급가=원가+마진 ",""))</f>
        <v/>
      </c>
    </row>
    <row r="373" customFormat="false" ht="15" hidden="false" customHeight="true" outlineLevel="0" collapsed="false">
      <c r="A373" s="94" t="s">
        <v>1686</v>
      </c>
      <c r="B373" s="34" t="str">
        <f aca="false">IF(A373="100","HK",IF(A373="200","CN",IF(A373="300","TW","홀세일")))</f>
        <v>TW</v>
      </c>
      <c r="C373" s="94" t="s">
        <v>326</v>
      </c>
      <c r="D373" s="95" t="n">
        <v>400</v>
      </c>
      <c r="E373" s="95" t="n">
        <v>169000</v>
      </c>
      <c r="F373" s="95" t="n">
        <v>29482</v>
      </c>
      <c r="G373" s="34" t="n">
        <v>4.06</v>
      </c>
      <c r="H373" s="34" t="n">
        <v>44.9</v>
      </c>
      <c r="J373" s="95" t="n">
        <f aca="false">IF(N(E373)&gt;0,E373,IF(N(F373)&gt;0,F373*가정!$B$5,0))</f>
        <v>169000</v>
      </c>
      <c r="K373" s="95" t="n">
        <f aca="false">IF(N(F373)&gt;0,F373,IF(N(E373)&gt;0,E373/가정!$B$5,0))</f>
        <v>29482</v>
      </c>
      <c r="L373" s="95" t="n">
        <f aca="false">IF(B373="CN",IF(N(I373)&gt;0,I373*가정!$B$3,K373*(1+가정!$B$6)),IF(N(H373)&gt;0,H373*가정!$B$3,J373*가정!$B$4))</f>
        <v>61188.822</v>
      </c>
      <c r="M373" s="95" t="n">
        <f aca="false">D373*J373</f>
        <v>67600000</v>
      </c>
      <c r="N373" s="95" t="n">
        <f aca="false">D373*K373</f>
        <v>11792800</v>
      </c>
      <c r="O373" s="95" t="n">
        <f aca="false">D373*L373</f>
        <v>24475528.8</v>
      </c>
      <c r="P373" s="34" t="str">
        <f aca="false">TRIM(IF(N(E373)&lt;=0,"택가보정 ","")&amp;IF(N(F373)&lt;=0,"원가보정 ","")&amp;IF(AND(B373&lt;&gt;"CN",N(H373)&lt;=0),"공급가보정 ","")&amp;IF(AND(B373="CN",N(I373)&lt;=0),"중국공급가=원가+마진 ",""))</f>
        <v/>
      </c>
    </row>
    <row r="374" customFormat="false" ht="15" hidden="false" customHeight="true" outlineLevel="0" collapsed="false">
      <c r="A374" s="94" t="s">
        <v>1688</v>
      </c>
      <c r="B374" s="34" t="str">
        <f aca="false">IF(A374="100","HK",IF(A374="200","CN",IF(A374="300","TW","홀세일")))</f>
        <v>홀세일</v>
      </c>
      <c r="C374" s="94" t="s">
        <v>326</v>
      </c>
      <c r="D374" s="95" t="n">
        <v>90</v>
      </c>
      <c r="E374" s="95" t="n">
        <v>169000</v>
      </c>
      <c r="F374" s="95" t="n">
        <v>29482</v>
      </c>
      <c r="G374" s="34" t="n">
        <v>4.06</v>
      </c>
      <c r="H374" s="34" t="n">
        <v>44.9</v>
      </c>
      <c r="J374" s="95" t="n">
        <f aca="false">IF(N(E374)&gt;0,E374,IF(N(F374)&gt;0,F374*가정!$B$5,0))</f>
        <v>169000</v>
      </c>
      <c r="K374" s="95" t="n">
        <f aca="false">IF(N(F374)&gt;0,F374,IF(N(E374)&gt;0,E374/가정!$B$5,0))</f>
        <v>29482</v>
      </c>
      <c r="L374" s="95" t="n">
        <f aca="false">IF(B374="CN",IF(N(I374)&gt;0,I374*가정!$B$3,K374*(1+가정!$B$6)),IF(N(H374)&gt;0,H374*가정!$B$3,J374*가정!$B$4))</f>
        <v>61188.822</v>
      </c>
      <c r="M374" s="95" t="n">
        <f aca="false">D374*J374</f>
        <v>15210000</v>
      </c>
      <c r="N374" s="95" t="n">
        <f aca="false">D374*K374</f>
        <v>2653380</v>
      </c>
      <c r="O374" s="95" t="n">
        <f aca="false">D374*L374</f>
        <v>5506993.98</v>
      </c>
      <c r="P374" s="34" t="str">
        <f aca="false">TRIM(IF(N(E374)&lt;=0,"택가보정 ","")&amp;IF(N(F374)&lt;=0,"원가보정 ","")&amp;IF(AND(B374&lt;&gt;"CN",N(H374)&lt;=0),"공급가보정 ","")&amp;IF(AND(B374="CN",N(I374)&lt;=0),"중국공급가=원가+마진 ",""))</f>
        <v/>
      </c>
    </row>
    <row r="375" customFormat="false" ht="15" hidden="false" customHeight="true" outlineLevel="0" collapsed="false">
      <c r="A375" s="94" t="s">
        <v>1689</v>
      </c>
      <c r="B375" s="34" t="str">
        <f aca="false">IF(A375="100","HK",IF(A375="200","CN",IF(A375="300","TW","홀세일")))</f>
        <v>홀세일</v>
      </c>
      <c r="C375" s="94" t="s">
        <v>326</v>
      </c>
      <c r="D375" s="95" t="n">
        <v>65</v>
      </c>
      <c r="E375" s="95" t="n">
        <v>169000</v>
      </c>
      <c r="F375" s="95" t="n">
        <v>29482</v>
      </c>
      <c r="G375" s="34" t="n">
        <v>4.06</v>
      </c>
      <c r="H375" s="34" t="n">
        <v>44.9</v>
      </c>
      <c r="J375" s="95" t="n">
        <f aca="false">IF(N(E375)&gt;0,E375,IF(N(F375)&gt;0,F375*가정!$B$5,0))</f>
        <v>169000</v>
      </c>
      <c r="K375" s="95" t="n">
        <f aca="false">IF(N(F375)&gt;0,F375,IF(N(E375)&gt;0,E375/가정!$B$5,0))</f>
        <v>29482</v>
      </c>
      <c r="L375" s="95" t="n">
        <f aca="false">IF(B375="CN",IF(N(I375)&gt;0,I375*가정!$B$3,K375*(1+가정!$B$6)),IF(N(H375)&gt;0,H375*가정!$B$3,J375*가정!$B$4))</f>
        <v>61188.822</v>
      </c>
      <c r="M375" s="95" t="n">
        <f aca="false">D375*J375</f>
        <v>10985000</v>
      </c>
      <c r="N375" s="95" t="n">
        <f aca="false">D375*K375</f>
        <v>1916330</v>
      </c>
      <c r="O375" s="95" t="n">
        <f aca="false">D375*L375</f>
        <v>3977273.43</v>
      </c>
      <c r="P375" s="34" t="str">
        <f aca="false">TRIM(IF(N(E375)&lt;=0,"택가보정 ","")&amp;IF(N(F375)&lt;=0,"원가보정 ","")&amp;IF(AND(B375&lt;&gt;"CN",N(H375)&lt;=0),"공급가보정 ","")&amp;IF(AND(B375="CN",N(I375)&lt;=0),"중국공급가=원가+마진 ",""))</f>
        <v/>
      </c>
    </row>
    <row r="376" customFormat="false" ht="15" hidden="false" customHeight="true" outlineLevel="0" collapsed="false">
      <c r="A376" s="94" t="s">
        <v>1690</v>
      </c>
      <c r="B376" s="34" t="str">
        <f aca="false">IF(A376="100","HK",IF(A376="200","CN",IF(A376="300","TW","홀세일")))</f>
        <v>홀세일</v>
      </c>
      <c r="C376" s="94" t="s">
        <v>326</v>
      </c>
      <c r="D376" s="95" t="n">
        <v>216</v>
      </c>
      <c r="E376" s="95" t="n">
        <v>169000</v>
      </c>
      <c r="F376" s="95" t="n">
        <v>29482</v>
      </c>
      <c r="G376" s="34" t="n">
        <v>4.06</v>
      </c>
      <c r="H376" s="34" t="n">
        <v>44.9</v>
      </c>
      <c r="J376" s="95" t="n">
        <f aca="false">IF(N(E376)&gt;0,E376,IF(N(F376)&gt;0,F376*가정!$B$5,0))</f>
        <v>169000</v>
      </c>
      <c r="K376" s="95" t="n">
        <f aca="false">IF(N(F376)&gt;0,F376,IF(N(E376)&gt;0,E376/가정!$B$5,0))</f>
        <v>29482</v>
      </c>
      <c r="L376" s="95" t="n">
        <f aca="false">IF(B376="CN",IF(N(I376)&gt;0,I376*가정!$B$3,K376*(1+가정!$B$6)),IF(N(H376)&gt;0,H376*가정!$B$3,J376*가정!$B$4))</f>
        <v>61188.822</v>
      </c>
      <c r="M376" s="95" t="n">
        <f aca="false">D376*J376</f>
        <v>36504000</v>
      </c>
      <c r="N376" s="95" t="n">
        <f aca="false">D376*K376</f>
        <v>6368112</v>
      </c>
      <c r="O376" s="95" t="n">
        <f aca="false">D376*L376</f>
        <v>13216785.552</v>
      </c>
      <c r="P376" s="34" t="str">
        <f aca="false">TRIM(IF(N(E376)&lt;=0,"택가보정 ","")&amp;IF(N(F376)&lt;=0,"원가보정 ","")&amp;IF(AND(B376&lt;&gt;"CN",N(H376)&lt;=0),"공급가보정 ","")&amp;IF(AND(B376="CN",N(I376)&lt;=0),"중국공급가=원가+마진 ",""))</f>
        <v/>
      </c>
    </row>
    <row r="377" customFormat="false" ht="15" hidden="false" customHeight="true" outlineLevel="0" collapsed="false">
      <c r="A377" s="94" t="s">
        <v>1684</v>
      </c>
      <c r="B377" s="34" t="str">
        <f aca="false">IF(A377="100","HK",IF(A377="200","CN",IF(A377="300","TW","홀세일")))</f>
        <v>HK</v>
      </c>
      <c r="C377" s="94" t="s">
        <v>328</v>
      </c>
      <c r="D377" s="95" t="n">
        <v>130</v>
      </c>
      <c r="E377" s="95" t="n">
        <v>159000</v>
      </c>
      <c r="F377" s="95" t="n">
        <v>27000</v>
      </c>
      <c r="G377" s="34" t="n">
        <v>3.92</v>
      </c>
      <c r="H377" s="34" t="n">
        <v>42.2</v>
      </c>
      <c r="J377" s="95" t="n">
        <f aca="false">IF(N(E377)&gt;0,E377,IF(N(F377)&gt;0,F377*가정!$B$5,0))</f>
        <v>159000</v>
      </c>
      <c r="K377" s="95" t="n">
        <f aca="false">IF(N(F377)&gt;0,F377,IF(N(E377)&gt;0,E377/가정!$B$5,0))</f>
        <v>27000</v>
      </c>
      <c r="L377" s="95" t="n">
        <f aca="false">IF(B377="CN",IF(N(I377)&gt;0,I377*가정!$B$3,K377*(1+가정!$B$6)),IF(N(H377)&gt;0,H377*가정!$B$3,J377*가정!$B$4))</f>
        <v>57509.316</v>
      </c>
      <c r="M377" s="95" t="n">
        <f aca="false">D377*J377</f>
        <v>20670000</v>
      </c>
      <c r="N377" s="95" t="n">
        <f aca="false">D377*K377</f>
        <v>3510000</v>
      </c>
      <c r="O377" s="95" t="n">
        <f aca="false">D377*L377</f>
        <v>7476211.08</v>
      </c>
      <c r="P377" s="34" t="str">
        <f aca="false">TRIM(IF(N(E377)&lt;=0,"택가보정 ","")&amp;IF(N(F377)&lt;=0,"원가보정 ","")&amp;IF(AND(B377&lt;&gt;"CN",N(H377)&lt;=0),"공급가보정 ","")&amp;IF(AND(B377="CN",N(I377)&lt;=0),"중국공급가=원가+마진 ",""))</f>
        <v/>
      </c>
    </row>
    <row r="378" customFormat="false" ht="15" hidden="false" customHeight="true" outlineLevel="0" collapsed="false">
      <c r="A378" s="94" t="s">
        <v>1686</v>
      </c>
      <c r="B378" s="34" t="str">
        <f aca="false">IF(A378="100","HK",IF(A378="200","CN",IF(A378="300","TW","홀세일")))</f>
        <v>TW</v>
      </c>
      <c r="C378" s="94" t="s">
        <v>328</v>
      </c>
      <c r="D378" s="95" t="n">
        <v>80</v>
      </c>
      <c r="E378" s="95" t="n">
        <v>159000</v>
      </c>
      <c r="F378" s="95" t="n">
        <v>27000</v>
      </c>
      <c r="G378" s="34" t="n">
        <v>3.92</v>
      </c>
      <c r="H378" s="34" t="n">
        <v>42.2</v>
      </c>
      <c r="J378" s="95" t="n">
        <f aca="false">IF(N(E378)&gt;0,E378,IF(N(F378)&gt;0,F378*가정!$B$5,0))</f>
        <v>159000</v>
      </c>
      <c r="K378" s="95" t="n">
        <f aca="false">IF(N(F378)&gt;0,F378,IF(N(E378)&gt;0,E378/가정!$B$5,0))</f>
        <v>27000</v>
      </c>
      <c r="L378" s="95" t="n">
        <f aca="false">IF(B378="CN",IF(N(I378)&gt;0,I378*가정!$B$3,K378*(1+가정!$B$6)),IF(N(H378)&gt;0,H378*가정!$B$3,J378*가정!$B$4))</f>
        <v>57509.316</v>
      </c>
      <c r="M378" s="95" t="n">
        <f aca="false">D378*J378</f>
        <v>12720000</v>
      </c>
      <c r="N378" s="95" t="n">
        <f aca="false">D378*K378</f>
        <v>2160000</v>
      </c>
      <c r="O378" s="95" t="n">
        <f aca="false">D378*L378</f>
        <v>4600745.28</v>
      </c>
      <c r="P378" s="34" t="str">
        <f aca="false">TRIM(IF(N(E378)&lt;=0,"택가보정 ","")&amp;IF(N(F378)&lt;=0,"원가보정 ","")&amp;IF(AND(B378&lt;&gt;"CN",N(H378)&lt;=0),"공급가보정 ","")&amp;IF(AND(B378="CN",N(I378)&lt;=0),"중국공급가=원가+마진 ",""))</f>
        <v/>
      </c>
    </row>
    <row r="379" customFormat="false" ht="15" hidden="false" customHeight="true" outlineLevel="0" collapsed="false">
      <c r="A379" s="94" t="s">
        <v>1689</v>
      </c>
      <c r="B379" s="34" t="str">
        <f aca="false">IF(A379="100","HK",IF(A379="200","CN",IF(A379="300","TW","홀세일")))</f>
        <v>홀세일</v>
      </c>
      <c r="C379" s="94" t="s">
        <v>328</v>
      </c>
      <c r="D379" s="95" t="n">
        <v>90</v>
      </c>
      <c r="E379" s="95" t="n">
        <v>159000</v>
      </c>
      <c r="F379" s="95" t="n">
        <v>27000</v>
      </c>
      <c r="G379" s="34" t="n">
        <v>3.92</v>
      </c>
      <c r="H379" s="34" t="n">
        <v>42.2</v>
      </c>
      <c r="J379" s="95" t="n">
        <f aca="false">IF(N(E379)&gt;0,E379,IF(N(F379)&gt;0,F379*가정!$B$5,0))</f>
        <v>159000</v>
      </c>
      <c r="K379" s="95" t="n">
        <f aca="false">IF(N(F379)&gt;0,F379,IF(N(E379)&gt;0,E379/가정!$B$5,0))</f>
        <v>27000</v>
      </c>
      <c r="L379" s="95" t="n">
        <f aca="false">IF(B379="CN",IF(N(I379)&gt;0,I379*가정!$B$3,K379*(1+가정!$B$6)),IF(N(H379)&gt;0,H379*가정!$B$3,J379*가정!$B$4))</f>
        <v>57509.316</v>
      </c>
      <c r="M379" s="95" t="n">
        <f aca="false">D379*J379</f>
        <v>14310000</v>
      </c>
      <c r="N379" s="95" t="n">
        <f aca="false">D379*K379</f>
        <v>2430000</v>
      </c>
      <c r="O379" s="95" t="n">
        <f aca="false">D379*L379</f>
        <v>5175838.44</v>
      </c>
      <c r="P379" s="34" t="str">
        <f aca="false">TRIM(IF(N(E379)&lt;=0,"택가보정 ","")&amp;IF(N(F379)&lt;=0,"원가보정 ","")&amp;IF(AND(B379&lt;&gt;"CN",N(H379)&lt;=0),"공급가보정 ","")&amp;IF(AND(B379="CN",N(I379)&lt;=0),"중국공급가=원가+마진 ",""))</f>
        <v/>
      </c>
    </row>
    <row r="380" customFormat="false" ht="15" hidden="false" customHeight="true" outlineLevel="0" collapsed="false">
      <c r="A380" s="94" t="s">
        <v>1684</v>
      </c>
      <c r="B380" s="34" t="str">
        <f aca="false">IF(A380="100","HK",IF(A380="200","CN",IF(A380="300","TW","홀세일")))</f>
        <v>HK</v>
      </c>
      <c r="C380" s="94" t="s">
        <v>1700</v>
      </c>
      <c r="D380" s="95" t="n">
        <v>130</v>
      </c>
      <c r="E380" s="95" t="n">
        <v>159000</v>
      </c>
      <c r="F380" s="95" t="n">
        <v>29900</v>
      </c>
      <c r="G380" s="34" t="n">
        <v>4.8</v>
      </c>
      <c r="H380" s="34" t="n">
        <v>42.2</v>
      </c>
      <c r="J380" s="95" t="n">
        <f aca="false">IF(N(E380)&gt;0,E380,IF(N(F380)&gt;0,F380*가정!$B$5,0))</f>
        <v>159000</v>
      </c>
      <c r="K380" s="95" t="n">
        <f aca="false">IF(N(F380)&gt;0,F380,IF(N(E380)&gt;0,E380/가정!$B$5,0))</f>
        <v>29900</v>
      </c>
      <c r="L380" s="95" t="n">
        <f aca="false">IF(B380="CN",IF(N(I380)&gt;0,I380*가정!$B$3,K380*(1+가정!$B$6)),IF(N(H380)&gt;0,H380*가정!$B$3,J380*가정!$B$4))</f>
        <v>57509.316</v>
      </c>
      <c r="M380" s="95" t="n">
        <f aca="false">D380*J380</f>
        <v>20670000</v>
      </c>
      <c r="N380" s="95" t="n">
        <f aca="false">D380*K380</f>
        <v>3887000</v>
      </c>
      <c r="O380" s="95" t="n">
        <f aca="false">D380*L380</f>
        <v>7476211.08</v>
      </c>
      <c r="P380" s="34" t="str">
        <f aca="false">TRIM(IF(N(E380)&lt;=0,"택가보정 ","")&amp;IF(N(F380)&lt;=0,"원가보정 ","")&amp;IF(AND(B380&lt;&gt;"CN",N(H380)&lt;=0),"공급가보정 ","")&amp;IF(AND(B380="CN",N(I380)&lt;=0),"중국공급가=원가+마진 ",""))</f>
        <v/>
      </c>
    </row>
    <row r="381" customFormat="false" ht="15" hidden="false" customHeight="true" outlineLevel="0" collapsed="false">
      <c r="A381" s="94" t="s">
        <v>1684</v>
      </c>
      <c r="B381" s="34" t="str">
        <f aca="false">IF(A381="100","HK",IF(A381="200","CN",IF(A381="300","TW","홀세일")))</f>
        <v>HK</v>
      </c>
      <c r="C381" s="94" t="s">
        <v>887</v>
      </c>
      <c r="D381" s="95" t="n">
        <v>230</v>
      </c>
      <c r="E381" s="95" t="n">
        <v>179000</v>
      </c>
      <c r="F381" s="95" t="n">
        <v>39600</v>
      </c>
      <c r="G381" s="34" t="n">
        <v>4.08</v>
      </c>
      <c r="H381" s="34" t="n">
        <v>47.6</v>
      </c>
      <c r="J381" s="95" t="n">
        <f aca="false">IF(N(E381)&gt;0,E381,IF(N(F381)&gt;0,F381*가정!$B$5,0))</f>
        <v>179000</v>
      </c>
      <c r="K381" s="95" t="n">
        <f aca="false">IF(N(F381)&gt;0,F381,IF(N(E381)&gt;0,E381/가정!$B$5,0))</f>
        <v>39600</v>
      </c>
      <c r="L381" s="95" t="n">
        <f aca="false">IF(B381="CN",IF(N(I381)&gt;0,I381*가정!$B$3,K381*(1+가정!$B$6)),IF(N(H381)&gt;0,H381*가정!$B$3,J381*가정!$B$4))</f>
        <v>64868.328</v>
      </c>
      <c r="M381" s="95" t="n">
        <f aca="false">D381*J381</f>
        <v>41170000</v>
      </c>
      <c r="N381" s="95" t="n">
        <f aca="false">D381*K381</f>
        <v>9108000</v>
      </c>
      <c r="O381" s="95" t="n">
        <f aca="false">D381*L381</f>
        <v>14919715.44</v>
      </c>
      <c r="P381" s="34" t="str">
        <f aca="false">TRIM(IF(N(E381)&lt;=0,"택가보정 ","")&amp;IF(N(F381)&lt;=0,"원가보정 ","")&amp;IF(AND(B381&lt;&gt;"CN",N(H381)&lt;=0),"공급가보정 ","")&amp;IF(AND(B381="CN",N(I381)&lt;=0),"중국공급가=원가+마진 ",""))</f>
        <v/>
      </c>
    </row>
    <row r="382" customFormat="false" ht="15" hidden="false" customHeight="true" outlineLevel="0" collapsed="false">
      <c r="A382" s="94" t="s">
        <v>1689</v>
      </c>
      <c r="B382" s="34" t="str">
        <f aca="false">IF(A382="100","HK",IF(A382="200","CN",IF(A382="300","TW","홀세일")))</f>
        <v>홀세일</v>
      </c>
      <c r="C382" s="94" t="s">
        <v>887</v>
      </c>
      <c r="D382" s="95" t="n">
        <v>65</v>
      </c>
      <c r="E382" s="95" t="n">
        <v>179000</v>
      </c>
      <c r="F382" s="95" t="n">
        <v>39600</v>
      </c>
      <c r="G382" s="34" t="n">
        <v>4.08</v>
      </c>
      <c r="H382" s="34" t="n">
        <v>47.6</v>
      </c>
      <c r="J382" s="95" t="n">
        <f aca="false">IF(N(E382)&gt;0,E382,IF(N(F382)&gt;0,F382*가정!$B$5,0))</f>
        <v>179000</v>
      </c>
      <c r="K382" s="95" t="n">
        <f aca="false">IF(N(F382)&gt;0,F382,IF(N(E382)&gt;0,E382/가정!$B$5,0))</f>
        <v>39600</v>
      </c>
      <c r="L382" s="95" t="n">
        <f aca="false">IF(B382="CN",IF(N(I382)&gt;0,I382*가정!$B$3,K382*(1+가정!$B$6)),IF(N(H382)&gt;0,H382*가정!$B$3,J382*가정!$B$4))</f>
        <v>64868.328</v>
      </c>
      <c r="M382" s="95" t="n">
        <f aca="false">D382*J382</f>
        <v>11635000</v>
      </c>
      <c r="N382" s="95" t="n">
        <f aca="false">D382*K382</f>
        <v>2574000</v>
      </c>
      <c r="O382" s="95" t="n">
        <f aca="false">D382*L382</f>
        <v>4216441.32</v>
      </c>
      <c r="P382" s="34" t="str">
        <f aca="false">TRIM(IF(N(E382)&lt;=0,"택가보정 ","")&amp;IF(N(F382)&lt;=0,"원가보정 ","")&amp;IF(AND(B382&lt;&gt;"CN",N(H382)&lt;=0),"공급가보정 ","")&amp;IF(AND(B382="CN",N(I382)&lt;=0),"중국공급가=원가+마진 ",""))</f>
        <v/>
      </c>
    </row>
    <row r="383" customFormat="false" ht="15" hidden="false" customHeight="true" outlineLevel="0" collapsed="false">
      <c r="A383" s="94" t="s">
        <v>1684</v>
      </c>
      <c r="B383" s="34" t="str">
        <f aca="false">IF(A383="100","HK",IF(A383="200","CN",IF(A383="300","TW","홀세일")))</f>
        <v>HK</v>
      </c>
      <c r="C383" s="94" t="s">
        <v>330</v>
      </c>
      <c r="D383" s="95" t="n">
        <v>550</v>
      </c>
      <c r="E383" s="95" t="n">
        <v>189000</v>
      </c>
      <c r="F383" s="95" t="n">
        <v>38644</v>
      </c>
      <c r="G383" s="34" t="n">
        <v>4.5</v>
      </c>
      <c r="H383" s="34" t="n">
        <v>47.3</v>
      </c>
      <c r="J383" s="95" t="n">
        <f aca="false">IF(N(E383)&gt;0,E383,IF(N(F383)&gt;0,F383*가정!$B$5,0))</f>
        <v>189000</v>
      </c>
      <c r="K383" s="95" t="n">
        <f aca="false">IF(N(F383)&gt;0,F383,IF(N(E383)&gt;0,E383/가정!$B$5,0))</f>
        <v>38644</v>
      </c>
      <c r="L383" s="95" t="n">
        <f aca="false">IF(B383="CN",IF(N(I383)&gt;0,I383*가정!$B$3,K383*(1+가정!$B$6)),IF(N(H383)&gt;0,H383*가정!$B$3,J383*가정!$B$4))</f>
        <v>64459.494</v>
      </c>
      <c r="M383" s="95" t="n">
        <f aca="false">D383*J383</f>
        <v>103950000</v>
      </c>
      <c r="N383" s="95" t="n">
        <f aca="false">D383*K383</f>
        <v>21254200</v>
      </c>
      <c r="O383" s="95" t="n">
        <f aca="false">D383*L383</f>
        <v>35452721.7</v>
      </c>
      <c r="P383" s="34" t="str">
        <f aca="false">TRIM(IF(N(E383)&lt;=0,"택가보정 ","")&amp;IF(N(F383)&lt;=0,"원가보정 ","")&amp;IF(AND(B383&lt;&gt;"CN",N(H383)&lt;=0),"공급가보정 ","")&amp;IF(AND(B383="CN",N(I383)&lt;=0),"중국공급가=원가+마진 ",""))</f>
        <v/>
      </c>
    </row>
    <row r="384" customFormat="false" ht="15" hidden="false" customHeight="true" outlineLevel="0" collapsed="false">
      <c r="A384" s="94" t="s">
        <v>1686</v>
      </c>
      <c r="B384" s="34" t="str">
        <f aca="false">IF(A384="100","HK",IF(A384="200","CN",IF(A384="300","TW","홀세일")))</f>
        <v>TW</v>
      </c>
      <c r="C384" s="94" t="s">
        <v>330</v>
      </c>
      <c r="D384" s="95" t="n">
        <v>930</v>
      </c>
      <c r="E384" s="95" t="n">
        <v>189000</v>
      </c>
      <c r="F384" s="95" t="n">
        <v>38644</v>
      </c>
      <c r="G384" s="34" t="n">
        <v>4.5</v>
      </c>
      <c r="H384" s="34" t="n">
        <v>47.3</v>
      </c>
      <c r="J384" s="95" t="n">
        <f aca="false">IF(N(E384)&gt;0,E384,IF(N(F384)&gt;0,F384*가정!$B$5,0))</f>
        <v>189000</v>
      </c>
      <c r="K384" s="95" t="n">
        <f aca="false">IF(N(F384)&gt;0,F384,IF(N(E384)&gt;0,E384/가정!$B$5,0))</f>
        <v>38644</v>
      </c>
      <c r="L384" s="95" t="n">
        <f aca="false">IF(B384="CN",IF(N(I384)&gt;0,I384*가정!$B$3,K384*(1+가정!$B$6)),IF(N(H384)&gt;0,H384*가정!$B$3,J384*가정!$B$4))</f>
        <v>64459.494</v>
      </c>
      <c r="M384" s="95" t="n">
        <f aca="false">D384*J384</f>
        <v>175770000</v>
      </c>
      <c r="N384" s="95" t="n">
        <f aca="false">D384*K384</f>
        <v>35938920</v>
      </c>
      <c r="O384" s="95" t="n">
        <f aca="false">D384*L384</f>
        <v>59947329.42</v>
      </c>
      <c r="P384" s="34" t="str">
        <f aca="false">TRIM(IF(N(E384)&lt;=0,"택가보정 ","")&amp;IF(N(F384)&lt;=0,"원가보정 ","")&amp;IF(AND(B384&lt;&gt;"CN",N(H384)&lt;=0),"공급가보정 ","")&amp;IF(AND(B384="CN",N(I384)&lt;=0),"중국공급가=원가+마진 ",""))</f>
        <v/>
      </c>
    </row>
    <row r="385" customFormat="false" ht="15" hidden="false" customHeight="true" outlineLevel="0" collapsed="false">
      <c r="A385" s="94" t="s">
        <v>1688</v>
      </c>
      <c r="B385" s="34" t="str">
        <f aca="false">IF(A385="100","HK",IF(A385="200","CN",IF(A385="300","TW","홀세일")))</f>
        <v>홀세일</v>
      </c>
      <c r="C385" s="94" t="s">
        <v>330</v>
      </c>
      <c r="D385" s="95" t="n">
        <v>85</v>
      </c>
      <c r="E385" s="95" t="n">
        <v>189000</v>
      </c>
      <c r="F385" s="95" t="n">
        <v>38644</v>
      </c>
      <c r="G385" s="34" t="n">
        <v>4.5</v>
      </c>
      <c r="H385" s="34" t="n">
        <v>47.3</v>
      </c>
      <c r="J385" s="95" t="n">
        <f aca="false">IF(N(E385)&gt;0,E385,IF(N(F385)&gt;0,F385*가정!$B$5,0))</f>
        <v>189000</v>
      </c>
      <c r="K385" s="95" t="n">
        <f aca="false">IF(N(F385)&gt;0,F385,IF(N(E385)&gt;0,E385/가정!$B$5,0))</f>
        <v>38644</v>
      </c>
      <c r="L385" s="95" t="n">
        <f aca="false">IF(B385="CN",IF(N(I385)&gt;0,I385*가정!$B$3,K385*(1+가정!$B$6)),IF(N(H385)&gt;0,H385*가정!$B$3,J385*가정!$B$4))</f>
        <v>64459.494</v>
      </c>
      <c r="M385" s="95" t="n">
        <f aca="false">D385*J385</f>
        <v>16065000</v>
      </c>
      <c r="N385" s="95" t="n">
        <f aca="false">D385*K385</f>
        <v>3284740</v>
      </c>
      <c r="O385" s="95" t="n">
        <f aca="false">D385*L385</f>
        <v>5479056.99</v>
      </c>
      <c r="P385" s="34" t="str">
        <f aca="false">TRIM(IF(N(E385)&lt;=0,"택가보정 ","")&amp;IF(N(F385)&lt;=0,"원가보정 ","")&amp;IF(AND(B385&lt;&gt;"CN",N(H385)&lt;=0),"공급가보정 ","")&amp;IF(AND(B385="CN",N(I385)&lt;=0),"중국공급가=원가+마진 ",""))</f>
        <v/>
      </c>
    </row>
    <row r="386" customFormat="false" ht="15" hidden="false" customHeight="true" outlineLevel="0" collapsed="false">
      <c r="A386" s="94" t="s">
        <v>1689</v>
      </c>
      <c r="B386" s="34" t="str">
        <f aca="false">IF(A386="100","HK",IF(A386="200","CN",IF(A386="300","TW","홀세일")))</f>
        <v>홀세일</v>
      </c>
      <c r="C386" s="94" t="s">
        <v>330</v>
      </c>
      <c r="D386" s="95" t="n">
        <v>85</v>
      </c>
      <c r="E386" s="95" t="n">
        <v>189000</v>
      </c>
      <c r="F386" s="95" t="n">
        <v>38644</v>
      </c>
      <c r="G386" s="34" t="n">
        <v>4.5</v>
      </c>
      <c r="H386" s="34" t="n">
        <v>47.3</v>
      </c>
      <c r="J386" s="95" t="n">
        <f aca="false">IF(N(E386)&gt;0,E386,IF(N(F386)&gt;0,F386*가정!$B$5,0))</f>
        <v>189000</v>
      </c>
      <c r="K386" s="95" t="n">
        <f aca="false">IF(N(F386)&gt;0,F386,IF(N(E386)&gt;0,E386/가정!$B$5,0))</f>
        <v>38644</v>
      </c>
      <c r="L386" s="95" t="n">
        <f aca="false">IF(B386="CN",IF(N(I386)&gt;0,I386*가정!$B$3,K386*(1+가정!$B$6)),IF(N(H386)&gt;0,H386*가정!$B$3,J386*가정!$B$4))</f>
        <v>64459.494</v>
      </c>
      <c r="M386" s="95" t="n">
        <f aca="false">D386*J386</f>
        <v>16065000</v>
      </c>
      <c r="N386" s="95" t="n">
        <f aca="false">D386*K386</f>
        <v>3284740</v>
      </c>
      <c r="O386" s="95" t="n">
        <f aca="false">D386*L386</f>
        <v>5479056.99</v>
      </c>
      <c r="P386" s="34" t="str">
        <f aca="false">TRIM(IF(N(E386)&lt;=0,"택가보정 ","")&amp;IF(N(F386)&lt;=0,"원가보정 ","")&amp;IF(AND(B386&lt;&gt;"CN",N(H386)&lt;=0),"공급가보정 ","")&amp;IF(AND(B386="CN",N(I386)&lt;=0),"중국공급가=원가+마진 ",""))</f>
        <v/>
      </c>
    </row>
    <row r="387" customFormat="false" ht="15" hidden="false" customHeight="true" outlineLevel="0" collapsed="false">
      <c r="A387" s="94" t="s">
        <v>1686</v>
      </c>
      <c r="B387" s="34" t="str">
        <f aca="false">IF(A387="100","HK",IF(A387="200","CN",IF(A387="300","TW","홀세일")))</f>
        <v>TW</v>
      </c>
      <c r="C387" s="94" t="s">
        <v>332</v>
      </c>
      <c r="D387" s="95" t="n">
        <v>420</v>
      </c>
      <c r="E387" s="95" t="n">
        <v>179000</v>
      </c>
      <c r="F387" s="95" t="n">
        <v>35119</v>
      </c>
      <c r="G387" s="34" t="n">
        <v>4.72</v>
      </c>
      <c r="H387" s="34" t="n">
        <v>44.8</v>
      </c>
      <c r="J387" s="95" t="n">
        <f aca="false">IF(N(E387)&gt;0,E387,IF(N(F387)&gt;0,F387*가정!$B$5,0))</f>
        <v>179000</v>
      </c>
      <c r="K387" s="95" t="n">
        <f aca="false">IF(N(F387)&gt;0,F387,IF(N(E387)&gt;0,E387/가정!$B$5,0))</f>
        <v>35119</v>
      </c>
      <c r="L387" s="95" t="n">
        <f aca="false">IF(B387="CN",IF(N(I387)&gt;0,I387*가정!$B$3,K387*(1+가정!$B$6)),IF(N(H387)&gt;0,H387*가정!$B$3,J387*가정!$B$4))</f>
        <v>61052.544</v>
      </c>
      <c r="M387" s="95" t="n">
        <f aca="false">D387*J387</f>
        <v>75180000</v>
      </c>
      <c r="N387" s="95" t="n">
        <f aca="false">D387*K387</f>
        <v>14749980</v>
      </c>
      <c r="O387" s="95" t="n">
        <f aca="false">D387*L387</f>
        <v>25642068.48</v>
      </c>
      <c r="P387" s="34" t="str">
        <f aca="false">TRIM(IF(N(E387)&lt;=0,"택가보정 ","")&amp;IF(N(F387)&lt;=0,"원가보정 ","")&amp;IF(AND(B387&lt;&gt;"CN",N(H387)&lt;=0),"공급가보정 ","")&amp;IF(AND(B387="CN",N(I387)&lt;=0),"중국공급가=원가+마진 ",""))</f>
        <v/>
      </c>
    </row>
    <row r="388" customFormat="false" ht="15" hidden="false" customHeight="true" outlineLevel="0" collapsed="false">
      <c r="A388" s="94" t="s">
        <v>1686</v>
      </c>
      <c r="B388" s="34" t="str">
        <f aca="false">IF(A388="100","HK",IF(A388="200","CN",IF(A388="300","TW","홀세일")))</f>
        <v>TW</v>
      </c>
      <c r="C388" s="94" t="s">
        <v>334</v>
      </c>
      <c r="D388" s="95" t="n">
        <v>470</v>
      </c>
      <c r="E388" s="95" t="n">
        <v>149000</v>
      </c>
      <c r="F388" s="95" t="n">
        <v>32300</v>
      </c>
      <c r="G388" s="34" t="n">
        <v>4.47</v>
      </c>
      <c r="H388" s="34" t="n">
        <v>37.3</v>
      </c>
      <c r="J388" s="95" t="n">
        <f aca="false">IF(N(E388)&gt;0,E388,IF(N(F388)&gt;0,F388*가정!$B$5,0))</f>
        <v>149000</v>
      </c>
      <c r="K388" s="95" t="n">
        <f aca="false">IF(N(F388)&gt;0,F388,IF(N(E388)&gt;0,E388/가정!$B$5,0))</f>
        <v>32300</v>
      </c>
      <c r="L388" s="95" t="n">
        <f aca="false">IF(B388="CN",IF(N(I388)&gt;0,I388*가정!$B$3,K388*(1+가정!$B$6)),IF(N(H388)&gt;0,H388*가정!$B$3,J388*가정!$B$4))</f>
        <v>50831.694</v>
      </c>
      <c r="M388" s="95" t="n">
        <f aca="false">D388*J388</f>
        <v>70030000</v>
      </c>
      <c r="N388" s="95" t="n">
        <f aca="false">D388*K388</f>
        <v>15181000</v>
      </c>
      <c r="O388" s="95" t="n">
        <f aca="false">D388*L388</f>
        <v>23890896.18</v>
      </c>
      <c r="P388" s="34" t="str">
        <f aca="false">TRIM(IF(N(E388)&lt;=0,"택가보정 ","")&amp;IF(N(F388)&lt;=0,"원가보정 ","")&amp;IF(AND(B388&lt;&gt;"CN",N(H388)&lt;=0),"공급가보정 ","")&amp;IF(AND(B388="CN",N(I388)&lt;=0),"중국공급가=원가+마진 ",""))</f>
        <v/>
      </c>
    </row>
    <row r="389" customFormat="false" ht="15" hidden="false" customHeight="true" outlineLevel="0" collapsed="false">
      <c r="A389" s="94" t="s">
        <v>1688</v>
      </c>
      <c r="B389" s="34" t="str">
        <f aca="false">IF(A389="100","HK",IF(A389="200","CN",IF(A389="300","TW","홀세일")))</f>
        <v>홀세일</v>
      </c>
      <c r="C389" s="94" t="s">
        <v>334</v>
      </c>
      <c r="D389" s="95" t="n">
        <v>55</v>
      </c>
      <c r="E389" s="95" t="n">
        <v>149000</v>
      </c>
      <c r="F389" s="95" t="n">
        <v>32300</v>
      </c>
      <c r="G389" s="34" t="n">
        <v>4.47</v>
      </c>
      <c r="H389" s="34" t="n">
        <v>37.3</v>
      </c>
      <c r="J389" s="95" t="n">
        <f aca="false">IF(N(E389)&gt;0,E389,IF(N(F389)&gt;0,F389*가정!$B$5,0))</f>
        <v>149000</v>
      </c>
      <c r="K389" s="95" t="n">
        <f aca="false">IF(N(F389)&gt;0,F389,IF(N(E389)&gt;0,E389/가정!$B$5,0))</f>
        <v>32300</v>
      </c>
      <c r="L389" s="95" t="n">
        <f aca="false">IF(B389="CN",IF(N(I389)&gt;0,I389*가정!$B$3,K389*(1+가정!$B$6)),IF(N(H389)&gt;0,H389*가정!$B$3,J389*가정!$B$4))</f>
        <v>50831.694</v>
      </c>
      <c r="M389" s="95" t="n">
        <f aca="false">D389*J389</f>
        <v>8195000</v>
      </c>
      <c r="N389" s="95" t="n">
        <f aca="false">D389*K389</f>
        <v>1776500</v>
      </c>
      <c r="O389" s="95" t="n">
        <f aca="false">D389*L389</f>
        <v>2795743.17</v>
      </c>
      <c r="P389" s="34" t="str">
        <f aca="false">TRIM(IF(N(E389)&lt;=0,"택가보정 ","")&amp;IF(N(F389)&lt;=0,"원가보정 ","")&amp;IF(AND(B389&lt;&gt;"CN",N(H389)&lt;=0),"공급가보정 ","")&amp;IF(AND(B389="CN",N(I389)&lt;=0),"중국공급가=원가+마진 ",""))</f>
        <v/>
      </c>
    </row>
    <row r="390" customFormat="false" ht="15" hidden="false" customHeight="true" outlineLevel="0" collapsed="false">
      <c r="A390" s="94" t="s">
        <v>1689</v>
      </c>
      <c r="B390" s="34" t="str">
        <f aca="false">IF(A390="100","HK",IF(A390="200","CN",IF(A390="300","TW","홀세일")))</f>
        <v>홀세일</v>
      </c>
      <c r="C390" s="94" t="s">
        <v>334</v>
      </c>
      <c r="D390" s="95" t="n">
        <v>65</v>
      </c>
      <c r="E390" s="95" t="n">
        <v>149000</v>
      </c>
      <c r="F390" s="95" t="n">
        <v>32300</v>
      </c>
      <c r="G390" s="34" t="n">
        <v>4.47</v>
      </c>
      <c r="H390" s="34" t="n">
        <v>37.3</v>
      </c>
      <c r="J390" s="95" t="n">
        <f aca="false">IF(N(E390)&gt;0,E390,IF(N(F390)&gt;0,F390*가정!$B$5,0))</f>
        <v>149000</v>
      </c>
      <c r="K390" s="95" t="n">
        <f aca="false">IF(N(F390)&gt;0,F390,IF(N(E390)&gt;0,E390/가정!$B$5,0))</f>
        <v>32300</v>
      </c>
      <c r="L390" s="95" t="n">
        <f aca="false">IF(B390="CN",IF(N(I390)&gt;0,I390*가정!$B$3,K390*(1+가정!$B$6)),IF(N(H390)&gt;0,H390*가정!$B$3,J390*가정!$B$4))</f>
        <v>50831.694</v>
      </c>
      <c r="M390" s="95" t="n">
        <f aca="false">D390*J390</f>
        <v>9685000</v>
      </c>
      <c r="N390" s="95" t="n">
        <f aca="false">D390*K390</f>
        <v>2099500</v>
      </c>
      <c r="O390" s="95" t="n">
        <f aca="false">D390*L390</f>
        <v>3304060.11</v>
      </c>
      <c r="P390" s="34" t="str">
        <f aca="false">TRIM(IF(N(E390)&lt;=0,"택가보정 ","")&amp;IF(N(F390)&lt;=0,"원가보정 ","")&amp;IF(AND(B390&lt;&gt;"CN",N(H390)&lt;=0),"공급가보정 ","")&amp;IF(AND(B390="CN",N(I390)&lt;=0),"중국공급가=원가+마진 ",""))</f>
        <v/>
      </c>
    </row>
    <row r="391" customFormat="false" ht="15" hidden="false" customHeight="true" outlineLevel="0" collapsed="false">
      <c r="A391" s="94" t="s">
        <v>1690</v>
      </c>
      <c r="B391" s="34" t="str">
        <f aca="false">IF(A391="100","HK",IF(A391="200","CN",IF(A391="300","TW","홀세일")))</f>
        <v>홀세일</v>
      </c>
      <c r="C391" s="94" t="s">
        <v>334</v>
      </c>
      <c r="D391" s="95" t="n">
        <v>216</v>
      </c>
      <c r="E391" s="95" t="n">
        <v>149000</v>
      </c>
      <c r="F391" s="95" t="n">
        <v>32300</v>
      </c>
      <c r="G391" s="34" t="n">
        <v>4.47</v>
      </c>
      <c r="H391" s="34" t="n">
        <v>37.3</v>
      </c>
      <c r="J391" s="95" t="n">
        <f aca="false">IF(N(E391)&gt;0,E391,IF(N(F391)&gt;0,F391*가정!$B$5,0))</f>
        <v>149000</v>
      </c>
      <c r="K391" s="95" t="n">
        <f aca="false">IF(N(F391)&gt;0,F391,IF(N(E391)&gt;0,E391/가정!$B$5,0))</f>
        <v>32300</v>
      </c>
      <c r="L391" s="95" t="n">
        <f aca="false">IF(B391="CN",IF(N(I391)&gt;0,I391*가정!$B$3,K391*(1+가정!$B$6)),IF(N(H391)&gt;0,H391*가정!$B$3,J391*가정!$B$4))</f>
        <v>50831.694</v>
      </c>
      <c r="M391" s="95" t="n">
        <f aca="false">D391*J391</f>
        <v>32184000</v>
      </c>
      <c r="N391" s="95" t="n">
        <f aca="false">D391*K391</f>
        <v>6976800</v>
      </c>
      <c r="O391" s="95" t="n">
        <f aca="false">D391*L391</f>
        <v>10979645.904</v>
      </c>
      <c r="P391" s="34" t="str">
        <f aca="false">TRIM(IF(N(E391)&lt;=0,"택가보정 ","")&amp;IF(N(F391)&lt;=0,"원가보정 ","")&amp;IF(AND(B391&lt;&gt;"CN",N(H391)&lt;=0),"공급가보정 ","")&amp;IF(AND(B391="CN",N(I391)&lt;=0),"중국공급가=원가+마진 ",""))</f>
        <v/>
      </c>
    </row>
    <row r="392" customFormat="false" ht="15" hidden="false" customHeight="true" outlineLevel="0" collapsed="false">
      <c r="A392" s="94" t="s">
        <v>1688</v>
      </c>
      <c r="B392" s="34" t="str">
        <f aca="false">IF(A392="100","HK",IF(A392="200","CN",IF(A392="300","TW","홀세일")))</f>
        <v>홀세일</v>
      </c>
      <c r="C392" s="94" t="s">
        <v>1339</v>
      </c>
      <c r="D392" s="95" t="n">
        <v>100</v>
      </c>
      <c r="E392" s="95" t="n">
        <v>89000</v>
      </c>
      <c r="F392" s="95" t="n">
        <v>14100</v>
      </c>
      <c r="G392" s="34" t="n">
        <v>5.06</v>
      </c>
      <c r="H392" s="34" t="n">
        <v>22.3</v>
      </c>
      <c r="J392" s="95" t="n">
        <f aca="false">IF(N(E392)&gt;0,E392,IF(N(F392)&gt;0,F392*가정!$B$5,0))</f>
        <v>89000</v>
      </c>
      <c r="K392" s="95" t="n">
        <f aca="false">IF(N(F392)&gt;0,F392,IF(N(E392)&gt;0,E392/가정!$B$5,0))</f>
        <v>14100</v>
      </c>
      <c r="L392" s="95" t="n">
        <f aca="false">IF(B392="CN",IF(N(I392)&gt;0,I392*가정!$B$3,K392*(1+가정!$B$6)),IF(N(H392)&gt;0,H392*가정!$B$3,J392*가정!$B$4))</f>
        <v>30389.994</v>
      </c>
      <c r="M392" s="95" t="n">
        <f aca="false">D392*J392</f>
        <v>8900000</v>
      </c>
      <c r="N392" s="95" t="n">
        <f aca="false">D392*K392</f>
        <v>1410000</v>
      </c>
      <c r="O392" s="95" t="n">
        <f aca="false">D392*L392</f>
        <v>3038999.4</v>
      </c>
      <c r="P392" s="34" t="str">
        <f aca="false">TRIM(IF(N(E392)&lt;=0,"택가보정 ","")&amp;IF(N(F392)&lt;=0,"원가보정 ","")&amp;IF(AND(B392&lt;&gt;"CN",N(H392)&lt;=0),"공급가보정 ","")&amp;IF(AND(B392="CN",N(I392)&lt;=0),"중국공급가=원가+마진 ",""))</f>
        <v/>
      </c>
    </row>
    <row r="393" customFormat="false" ht="15" hidden="false" customHeight="true" outlineLevel="0" collapsed="false">
      <c r="A393" s="94" t="s">
        <v>1692</v>
      </c>
      <c r="B393" s="34" t="str">
        <f aca="false">IF(A393="100","HK",IF(A393="200","CN",IF(A393="300","TW","홀세일")))</f>
        <v>홀세일</v>
      </c>
      <c r="C393" s="94" t="s">
        <v>1339</v>
      </c>
      <c r="D393" s="95" t="n">
        <v>264</v>
      </c>
      <c r="E393" s="95" t="n">
        <v>89000</v>
      </c>
      <c r="F393" s="95" t="n">
        <v>14100</v>
      </c>
      <c r="G393" s="34" t="n">
        <v>5.06</v>
      </c>
      <c r="H393" s="34" t="n">
        <v>22.3</v>
      </c>
      <c r="J393" s="95" t="n">
        <f aca="false">IF(N(E393)&gt;0,E393,IF(N(F393)&gt;0,F393*가정!$B$5,0))</f>
        <v>89000</v>
      </c>
      <c r="K393" s="95" t="n">
        <f aca="false">IF(N(F393)&gt;0,F393,IF(N(E393)&gt;0,E393/가정!$B$5,0))</f>
        <v>14100</v>
      </c>
      <c r="L393" s="95" t="n">
        <f aca="false">IF(B393="CN",IF(N(I393)&gt;0,I393*가정!$B$3,K393*(1+가정!$B$6)),IF(N(H393)&gt;0,H393*가정!$B$3,J393*가정!$B$4))</f>
        <v>30389.994</v>
      </c>
      <c r="M393" s="95" t="n">
        <f aca="false">D393*J393</f>
        <v>23496000</v>
      </c>
      <c r="N393" s="95" t="n">
        <f aca="false">D393*K393</f>
        <v>3722400</v>
      </c>
      <c r="O393" s="95" t="n">
        <f aca="false">D393*L393</f>
        <v>8022958.416</v>
      </c>
      <c r="P393" s="34" t="str">
        <f aca="false">TRIM(IF(N(E393)&lt;=0,"택가보정 ","")&amp;IF(N(F393)&lt;=0,"원가보정 ","")&amp;IF(AND(B393&lt;&gt;"CN",N(H393)&lt;=0),"공급가보정 ","")&amp;IF(AND(B393="CN",N(I393)&lt;=0),"중국공급가=원가+마진 ",""))</f>
        <v/>
      </c>
    </row>
    <row r="394" customFormat="false" ht="15" hidden="false" customHeight="true" outlineLevel="0" collapsed="false">
      <c r="A394" s="94" t="s">
        <v>1689</v>
      </c>
      <c r="B394" s="34" t="str">
        <f aca="false">IF(A394="100","HK",IF(A394="200","CN",IF(A394="300","TW","홀세일")))</f>
        <v>홀세일</v>
      </c>
      <c r="C394" s="94" t="s">
        <v>1339</v>
      </c>
      <c r="D394" s="95" t="n">
        <v>100</v>
      </c>
      <c r="E394" s="95" t="n">
        <v>89000</v>
      </c>
      <c r="F394" s="95" t="n">
        <v>14100</v>
      </c>
      <c r="G394" s="34" t="n">
        <v>5.06</v>
      </c>
      <c r="H394" s="34" t="n">
        <v>22.3</v>
      </c>
      <c r="J394" s="95" t="n">
        <f aca="false">IF(N(E394)&gt;0,E394,IF(N(F394)&gt;0,F394*가정!$B$5,0))</f>
        <v>89000</v>
      </c>
      <c r="K394" s="95" t="n">
        <f aca="false">IF(N(F394)&gt;0,F394,IF(N(E394)&gt;0,E394/가정!$B$5,0))</f>
        <v>14100</v>
      </c>
      <c r="L394" s="95" t="n">
        <f aca="false">IF(B394="CN",IF(N(I394)&gt;0,I394*가정!$B$3,K394*(1+가정!$B$6)),IF(N(H394)&gt;0,H394*가정!$B$3,J394*가정!$B$4))</f>
        <v>30389.994</v>
      </c>
      <c r="M394" s="95" t="n">
        <f aca="false">D394*J394</f>
        <v>8900000</v>
      </c>
      <c r="N394" s="95" t="n">
        <f aca="false">D394*K394</f>
        <v>1410000</v>
      </c>
      <c r="O394" s="95" t="n">
        <f aca="false">D394*L394</f>
        <v>3038999.4</v>
      </c>
      <c r="P394" s="34" t="str">
        <f aca="false">TRIM(IF(N(E394)&lt;=0,"택가보정 ","")&amp;IF(N(F394)&lt;=0,"원가보정 ","")&amp;IF(AND(B394&lt;&gt;"CN",N(H394)&lt;=0),"공급가보정 ","")&amp;IF(AND(B394="CN",N(I394)&lt;=0),"중국공급가=원가+마진 ",""))</f>
        <v/>
      </c>
    </row>
    <row r="395" customFormat="false" ht="15" hidden="false" customHeight="true" outlineLevel="0" collapsed="false">
      <c r="A395" s="94" t="s">
        <v>1684</v>
      </c>
      <c r="B395" s="34" t="str">
        <f aca="false">IF(A395="100","HK",IF(A395="200","CN",IF(A395="300","TW","홀세일")))</f>
        <v>HK</v>
      </c>
      <c r="C395" s="94" t="s">
        <v>336</v>
      </c>
      <c r="D395" s="95" t="n">
        <v>260</v>
      </c>
      <c r="E395" s="95" t="n">
        <v>99000</v>
      </c>
      <c r="F395" s="95" t="n">
        <v>20113</v>
      </c>
      <c r="G395" s="34" t="n">
        <v>4.84</v>
      </c>
      <c r="H395" s="34" t="n">
        <v>24.8</v>
      </c>
      <c r="J395" s="95" t="n">
        <f aca="false">IF(N(E395)&gt;0,E395,IF(N(F395)&gt;0,F395*가정!$B$5,0))</f>
        <v>99000</v>
      </c>
      <c r="K395" s="95" t="n">
        <f aca="false">IF(N(F395)&gt;0,F395,IF(N(E395)&gt;0,E395/가정!$B$5,0))</f>
        <v>20113</v>
      </c>
      <c r="L395" s="95" t="n">
        <f aca="false">IF(B395="CN",IF(N(I395)&gt;0,I395*가정!$B$3,K395*(1+가정!$B$6)),IF(N(H395)&gt;0,H395*가정!$B$3,J395*가정!$B$4))</f>
        <v>33796.944</v>
      </c>
      <c r="M395" s="95" t="n">
        <f aca="false">D395*J395</f>
        <v>25740000</v>
      </c>
      <c r="N395" s="95" t="n">
        <f aca="false">D395*K395</f>
        <v>5229380</v>
      </c>
      <c r="O395" s="95" t="n">
        <f aca="false">D395*L395</f>
        <v>8787205.44</v>
      </c>
      <c r="P395" s="34" t="str">
        <f aca="false">TRIM(IF(N(E395)&lt;=0,"택가보정 ","")&amp;IF(N(F395)&lt;=0,"원가보정 ","")&amp;IF(AND(B395&lt;&gt;"CN",N(H395)&lt;=0),"공급가보정 ","")&amp;IF(AND(B395="CN",N(I395)&lt;=0),"중국공급가=원가+마진 ",""))</f>
        <v/>
      </c>
    </row>
    <row r="396" customFormat="false" ht="15.75" hidden="false" customHeight="true" outlineLevel="0" collapsed="false">
      <c r="A396" s="94" t="s">
        <v>1685</v>
      </c>
      <c r="B396" s="34" t="str">
        <f aca="false">IF(A396="100","HK",IF(A396="200","CN",IF(A396="300","TW","홀세일")))</f>
        <v>CN</v>
      </c>
      <c r="C396" s="94" t="s">
        <v>336</v>
      </c>
      <c r="D396" s="95" t="n">
        <v>513</v>
      </c>
      <c r="E396" s="95" t="n">
        <v>99000</v>
      </c>
      <c r="F396" s="95" t="n">
        <v>20113</v>
      </c>
      <c r="G396" s="34" t="n">
        <v>4.84</v>
      </c>
      <c r="H396" s="34" t="n">
        <v>24.8</v>
      </c>
      <c r="J396" s="95" t="n">
        <f aca="false">IF(N(E396)&gt;0,E396,IF(N(F396)&gt;0,F396*가정!$B$5,0))</f>
        <v>99000</v>
      </c>
      <c r="K396" s="95" t="n">
        <f aca="false">IF(N(F396)&gt;0,F396,IF(N(E396)&gt;0,E396/가정!$B$5,0))</f>
        <v>20113</v>
      </c>
      <c r="L396" s="95" t="n">
        <f aca="false">IF(B396="CN",IF(N(I396)&gt;0,I396*가정!$B$3,K396*(1+가정!$B$6)),IF(N(H396)&gt;0,H396*가정!$B$3,J396*가정!$B$4))</f>
        <v>21118.65</v>
      </c>
      <c r="M396" s="95" t="n">
        <f aca="false">D396*J396</f>
        <v>50787000</v>
      </c>
      <c r="N396" s="95" t="n">
        <f aca="false">D396*K396</f>
        <v>10317969</v>
      </c>
      <c r="O396" s="95" t="n">
        <f aca="false">D396*L396</f>
        <v>10833867.45</v>
      </c>
      <c r="P396" s="34" t="str">
        <f aca="false">TRIM(IF(N(E396)&lt;=0,"택가보정 ","")&amp;IF(N(F396)&lt;=0,"원가보정 ","")&amp;IF(AND(B396&lt;&gt;"CN",N(H396)&lt;=0),"공급가보정 ","")&amp;IF(AND(B396="CN",N(I396)&lt;=0),"중국공급가=원가+마진 ",""))</f>
        <v>중국공급가=원가+마진</v>
      </c>
    </row>
    <row r="397" customFormat="false" ht="15" hidden="false" customHeight="true" outlineLevel="0" collapsed="false">
      <c r="A397" s="94" t="s">
        <v>1686</v>
      </c>
      <c r="B397" s="34" t="str">
        <f aca="false">IF(A397="100","HK",IF(A397="200","CN",IF(A397="300","TW","홀세일")))</f>
        <v>TW</v>
      </c>
      <c r="C397" s="94" t="s">
        <v>336</v>
      </c>
      <c r="D397" s="95" t="n">
        <v>880</v>
      </c>
      <c r="E397" s="95" t="n">
        <v>99000</v>
      </c>
      <c r="F397" s="95" t="n">
        <v>20113</v>
      </c>
      <c r="G397" s="34" t="n">
        <v>4.84</v>
      </c>
      <c r="H397" s="34" t="n">
        <v>24.8</v>
      </c>
      <c r="J397" s="95" t="n">
        <f aca="false">IF(N(E397)&gt;0,E397,IF(N(F397)&gt;0,F397*가정!$B$5,0))</f>
        <v>99000</v>
      </c>
      <c r="K397" s="95" t="n">
        <f aca="false">IF(N(F397)&gt;0,F397,IF(N(E397)&gt;0,E397/가정!$B$5,0))</f>
        <v>20113</v>
      </c>
      <c r="L397" s="95" t="n">
        <f aca="false">IF(B397="CN",IF(N(I397)&gt;0,I397*가정!$B$3,K397*(1+가정!$B$6)),IF(N(H397)&gt;0,H397*가정!$B$3,J397*가정!$B$4))</f>
        <v>33796.944</v>
      </c>
      <c r="M397" s="95" t="n">
        <f aca="false">D397*J397</f>
        <v>87120000</v>
      </c>
      <c r="N397" s="95" t="n">
        <f aca="false">D397*K397</f>
        <v>17699440</v>
      </c>
      <c r="O397" s="95" t="n">
        <f aca="false">D397*L397</f>
        <v>29741310.72</v>
      </c>
      <c r="P397" s="34" t="str">
        <f aca="false">TRIM(IF(N(E397)&lt;=0,"택가보정 ","")&amp;IF(N(F397)&lt;=0,"원가보정 ","")&amp;IF(AND(B397&lt;&gt;"CN",N(H397)&lt;=0),"공급가보정 ","")&amp;IF(AND(B397="CN",N(I397)&lt;=0),"중국공급가=원가+마진 ",""))</f>
        <v/>
      </c>
    </row>
    <row r="398" customFormat="false" ht="15" hidden="false" customHeight="true" outlineLevel="0" collapsed="false">
      <c r="A398" s="94" t="s">
        <v>1688</v>
      </c>
      <c r="B398" s="34" t="str">
        <f aca="false">IF(A398="100","HK",IF(A398="200","CN",IF(A398="300","TW","홀세일")))</f>
        <v>홀세일</v>
      </c>
      <c r="C398" s="94" t="s">
        <v>336</v>
      </c>
      <c r="D398" s="95" t="n">
        <v>95</v>
      </c>
      <c r="E398" s="95" t="n">
        <v>99000</v>
      </c>
      <c r="F398" s="95" t="n">
        <v>20113</v>
      </c>
      <c r="G398" s="34" t="n">
        <v>4.84</v>
      </c>
      <c r="H398" s="34" t="n">
        <v>24.8</v>
      </c>
      <c r="J398" s="95" t="n">
        <f aca="false">IF(N(E398)&gt;0,E398,IF(N(F398)&gt;0,F398*가정!$B$5,0))</f>
        <v>99000</v>
      </c>
      <c r="K398" s="95" t="n">
        <f aca="false">IF(N(F398)&gt;0,F398,IF(N(E398)&gt;0,E398/가정!$B$5,0))</f>
        <v>20113</v>
      </c>
      <c r="L398" s="95" t="n">
        <f aca="false">IF(B398="CN",IF(N(I398)&gt;0,I398*가정!$B$3,K398*(1+가정!$B$6)),IF(N(H398)&gt;0,H398*가정!$B$3,J398*가정!$B$4))</f>
        <v>33796.944</v>
      </c>
      <c r="M398" s="95" t="n">
        <f aca="false">D398*J398</f>
        <v>9405000</v>
      </c>
      <c r="N398" s="95" t="n">
        <f aca="false">D398*K398</f>
        <v>1910735</v>
      </c>
      <c r="O398" s="95" t="n">
        <f aca="false">D398*L398</f>
        <v>3210709.68</v>
      </c>
      <c r="P398" s="34" t="str">
        <f aca="false">TRIM(IF(N(E398)&lt;=0,"택가보정 ","")&amp;IF(N(F398)&lt;=0,"원가보정 ","")&amp;IF(AND(B398&lt;&gt;"CN",N(H398)&lt;=0),"공급가보정 ","")&amp;IF(AND(B398="CN",N(I398)&lt;=0),"중국공급가=원가+마진 ",""))</f>
        <v/>
      </c>
    </row>
    <row r="399" customFormat="false" ht="15" hidden="false" customHeight="true" outlineLevel="0" collapsed="false">
      <c r="A399" s="94" t="s">
        <v>1684</v>
      </c>
      <c r="B399" s="34" t="str">
        <f aca="false">IF(A399="100","HK",IF(A399="200","CN",IF(A399="300","TW","홀세일")))</f>
        <v>HK</v>
      </c>
      <c r="C399" s="94" t="s">
        <v>338</v>
      </c>
      <c r="D399" s="95" t="n">
        <v>130</v>
      </c>
      <c r="E399" s="95" t="n">
        <v>99000</v>
      </c>
      <c r="F399" s="95" t="n">
        <v>19392</v>
      </c>
      <c r="G399" s="34" t="n">
        <v>4.07</v>
      </c>
      <c r="H399" s="34" t="n">
        <v>24.8</v>
      </c>
      <c r="J399" s="95" t="n">
        <f aca="false">IF(N(E399)&gt;0,E399,IF(N(F399)&gt;0,F399*가정!$B$5,0))</f>
        <v>99000</v>
      </c>
      <c r="K399" s="95" t="n">
        <f aca="false">IF(N(F399)&gt;0,F399,IF(N(E399)&gt;0,E399/가정!$B$5,0))</f>
        <v>19392</v>
      </c>
      <c r="L399" s="95" t="n">
        <f aca="false">IF(B399="CN",IF(N(I399)&gt;0,I399*가정!$B$3,K399*(1+가정!$B$6)),IF(N(H399)&gt;0,H399*가정!$B$3,J399*가정!$B$4))</f>
        <v>33796.944</v>
      </c>
      <c r="M399" s="95" t="n">
        <f aca="false">D399*J399</f>
        <v>12870000</v>
      </c>
      <c r="N399" s="95" t="n">
        <f aca="false">D399*K399</f>
        <v>2520960</v>
      </c>
      <c r="O399" s="95" t="n">
        <f aca="false">D399*L399</f>
        <v>4393602.72</v>
      </c>
      <c r="P399" s="34" t="str">
        <f aca="false">TRIM(IF(N(E399)&lt;=0,"택가보정 ","")&amp;IF(N(F399)&lt;=0,"원가보정 ","")&amp;IF(AND(B399&lt;&gt;"CN",N(H399)&lt;=0),"공급가보정 ","")&amp;IF(AND(B399="CN",N(I399)&lt;=0),"중국공급가=원가+마진 ",""))</f>
        <v/>
      </c>
    </row>
    <row r="400" customFormat="false" ht="15.75" hidden="false" customHeight="true" outlineLevel="0" collapsed="false">
      <c r="A400" s="94" t="s">
        <v>1685</v>
      </c>
      <c r="B400" s="34" t="str">
        <f aca="false">IF(A400="100","HK",IF(A400="200","CN",IF(A400="300","TW","홀세일")))</f>
        <v>CN</v>
      </c>
      <c r="C400" s="94" t="s">
        <v>338</v>
      </c>
      <c r="D400" s="95" t="n">
        <v>50</v>
      </c>
      <c r="E400" s="95" t="n">
        <v>99000</v>
      </c>
      <c r="F400" s="95" t="n">
        <v>19392</v>
      </c>
      <c r="G400" s="34" t="n">
        <v>4.07</v>
      </c>
      <c r="H400" s="34" t="n">
        <v>24.8</v>
      </c>
      <c r="J400" s="95" t="n">
        <f aca="false">IF(N(E400)&gt;0,E400,IF(N(F400)&gt;0,F400*가정!$B$5,0))</f>
        <v>99000</v>
      </c>
      <c r="K400" s="95" t="n">
        <f aca="false">IF(N(F400)&gt;0,F400,IF(N(E400)&gt;0,E400/가정!$B$5,0))</f>
        <v>19392</v>
      </c>
      <c r="L400" s="95" t="n">
        <f aca="false">IF(B400="CN",IF(N(I400)&gt;0,I400*가정!$B$3,K400*(1+가정!$B$6)),IF(N(H400)&gt;0,H400*가정!$B$3,J400*가정!$B$4))</f>
        <v>20361.6</v>
      </c>
      <c r="M400" s="95" t="n">
        <f aca="false">D400*J400</f>
        <v>4950000</v>
      </c>
      <c r="N400" s="95" t="n">
        <f aca="false">D400*K400</f>
        <v>969600</v>
      </c>
      <c r="O400" s="95" t="n">
        <f aca="false">D400*L400</f>
        <v>1018080</v>
      </c>
      <c r="P400" s="34" t="str">
        <f aca="false">TRIM(IF(N(E400)&lt;=0,"택가보정 ","")&amp;IF(N(F400)&lt;=0,"원가보정 ","")&amp;IF(AND(B400&lt;&gt;"CN",N(H400)&lt;=0),"공급가보정 ","")&amp;IF(AND(B400="CN",N(I400)&lt;=0),"중국공급가=원가+마진 ",""))</f>
        <v>중국공급가=원가+마진</v>
      </c>
    </row>
    <row r="401" customFormat="false" ht="15" hidden="false" customHeight="true" outlineLevel="0" collapsed="false">
      <c r="A401" s="94" t="s">
        <v>1686</v>
      </c>
      <c r="B401" s="34" t="str">
        <f aca="false">IF(A401="100","HK",IF(A401="200","CN",IF(A401="300","TW","홀세일")))</f>
        <v>TW</v>
      </c>
      <c r="C401" s="94" t="s">
        <v>338</v>
      </c>
      <c r="D401" s="95" t="n">
        <v>150</v>
      </c>
      <c r="E401" s="95" t="n">
        <v>99000</v>
      </c>
      <c r="F401" s="95" t="n">
        <v>19392</v>
      </c>
      <c r="G401" s="34" t="n">
        <v>4.07</v>
      </c>
      <c r="H401" s="34" t="n">
        <v>24.8</v>
      </c>
      <c r="J401" s="95" t="n">
        <f aca="false">IF(N(E401)&gt;0,E401,IF(N(F401)&gt;0,F401*가정!$B$5,0))</f>
        <v>99000</v>
      </c>
      <c r="K401" s="95" t="n">
        <f aca="false">IF(N(F401)&gt;0,F401,IF(N(E401)&gt;0,E401/가정!$B$5,0))</f>
        <v>19392</v>
      </c>
      <c r="L401" s="95" t="n">
        <f aca="false">IF(B401="CN",IF(N(I401)&gt;0,I401*가정!$B$3,K401*(1+가정!$B$6)),IF(N(H401)&gt;0,H401*가정!$B$3,J401*가정!$B$4))</f>
        <v>33796.944</v>
      </c>
      <c r="M401" s="95" t="n">
        <f aca="false">D401*J401</f>
        <v>14850000</v>
      </c>
      <c r="N401" s="95" t="n">
        <f aca="false">D401*K401</f>
        <v>2908800</v>
      </c>
      <c r="O401" s="95" t="n">
        <f aca="false">D401*L401</f>
        <v>5069541.6</v>
      </c>
      <c r="P401" s="34" t="str">
        <f aca="false">TRIM(IF(N(E401)&lt;=0,"택가보정 ","")&amp;IF(N(F401)&lt;=0,"원가보정 ","")&amp;IF(AND(B401&lt;&gt;"CN",N(H401)&lt;=0),"공급가보정 ","")&amp;IF(AND(B401="CN",N(I401)&lt;=0),"중국공급가=원가+마진 ",""))</f>
        <v/>
      </c>
    </row>
    <row r="402" customFormat="false" ht="15" hidden="false" customHeight="true" outlineLevel="0" collapsed="false">
      <c r="A402" s="94" t="s">
        <v>1692</v>
      </c>
      <c r="B402" s="34" t="str">
        <f aca="false">IF(A402="100","HK",IF(A402="200","CN",IF(A402="300","TW","홀세일")))</f>
        <v>홀세일</v>
      </c>
      <c r="C402" s="94" t="s">
        <v>338</v>
      </c>
      <c r="D402" s="95" t="n">
        <v>122</v>
      </c>
      <c r="E402" s="95" t="n">
        <v>99000</v>
      </c>
      <c r="F402" s="95" t="n">
        <v>19392</v>
      </c>
      <c r="G402" s="34" t="n">
        <v>4.07</v>
      </c>
      <c r="H402" s="34" t="n">
        <v>24.8</v>
      </c>
      <c r="J402" s="95" t="n">
        <f aca="false">IF(N(E402)&gt;0,E402,IF(N(F402)&gt;0,F402*가정!$B$5,0))</f>
        <v>99000</v>
      </c>
      <c r="K402" s="95" t="n">
        <f aca="false">IF(N(F402)&gt;0,F402,IF(N(E402)&gt;0,E402/가정!$B$5,0))</f>
        <v>19392</v>
      </c>
      <c r="L402" s="95" t="n">
        <f aca="false">IF(B402="CN",IF(N(I402)&gt;0,I402*가정!$B$3,K402*(1+가정!$B$6)),IF(N(H402)&gt;0,H402*가정!$B$3,J402*가정!$B$4))</f>
        <v>33796.944</v>
      </c>
      <c r="M402" s="95" t="n">
        <f aca="false">D402*J402</f>
        <v>12078000</v>
      </c>
      <c r="N402" s="95" t="n">
        <f aca="false">D402*K402</f>
        <v>2365824</v>
      </c>
      <c r="O402" s="95" t="n">
        <f aca="false">D402*L402</f>
        <v>4123227.168</v>
      </c>
      <c r="P402" s="34" t="str">
        <f aca="false">TRIM(IF(N(E402)&lt;=0,"택가보정 ","")&amp;IF(N(F402)&lt;=0,"원가보정 ","")&amp;IF(AND(B402&lt;&gt;"CN",N(H402)&lt;=0),"공급가보정 ","")&amp;IF(AND(B402="CN",N(I402)&lt;=0),"중국공급가=원가+마진 ",""))</f>
        <v/>
      </c>
    </row>
    <row r="403" customFormat="false" ht="15" hidden="false" customHeight="true" outlineLevel="0" collapsed="false">
      <c r="A403" s="94" t="s">
        <v>1689</v>
      </c>
      <c r="B403" s="34" t="str">
        <f aca="false">IF(A403="100","HK",IF(A403="200","CN",IF(A403="300","TW","홀세일")))</f>
        <v>홀세일</v>
      </c>
      <c r="C403" s="94" t="s">
        <v>338</v>
      </c>
      <c r="D403" s="95" t="n">
        <v>70</v>
      </c>
      <c r="E403" s="95" t="n">
        <v>99000</v>
      </c>
      <c r="F403" s="95" t="n">
        <v>19392</v>
      </c>
      <c r="G403" s="34" t="n">
        <v>4.07</v>
      </c>
      <c r="H403" s="34" t="n">
        <v>24.8</v>
      </c>
      <c r="J403" s="95" t="n">
        <f aca="false">IF(N(E403)&gt;0,E403,IF(N(F403)&gt;0,F403*가정!$B$5,0))</f>
        <v>99000</v>
      </c>
      <c r="K403" s="95" t="n">
        <f aca="false">IF(N(F403)&gt;0,F403,IF(N(E403)&gt;0,E403/가정!$B$5,0))</f>
        <v>19392</v>
      </c>
      <c r="L403" s="95" t="n">
        <f aca="false">IF(B403="CN",IF(N(I403)&gt;0,I403*가정!$B$3,K403*(1+가정!$B$6)),IF(N(H403)&gt;0,H403*가정!$B$3,J403*가정!$B$4))</f>
        <v>33796.944</v>
      </c>
      <c r="M403" s="95" t="n">
        <f aca="false">D403*J403</f>
        <v>6930000</v>
      </c>
      <c r="N403" s="95" t="n">
        <f aca="false">D403*K403</f>
        <v>1357440</v>
      </c>
      <c r="O403" s="95" t="n">
        <f aca="false">D403*L403</f>
        <v>2365786.08</v>
      </c>
      <c r="P403" s="34" t="str">
        <f aca="false">TRIM(IF(N(E403)&lt;=0,"택가보정 ","")&amp;IF(N(F403)&lt;=0,"원가보정 ","")&amp;IF(AND(B403&lt;&gt;"CN",N(H403)&lt;=0),"공급가보정 ","")&amp;IF(AND(B403="CN",N(I403)&lt;=0),"중국공급가=원가+마진 ",""))</f>
        <v/>
      </c>
    </row>
    <row r="404" customFormat="false" ht="15" hidden="false" customHeight="true" outlineLevel="0" collapsed="false">
      <c r="A404" s="94" t="s">
        <v>1690</v>
      </c>
      <c r="B404" s="34" t="str">
        <f aca="false">IF(A404="100","HK",IF(A404="200","CN",IF(A404="300","TW","홀세일")))</f>
        <v>홀세일</v>
      </c>
      <c r="C404" s="94" t="s">
        <v>1516</v>
      </c>
      <c r="D404" s="95" t="n">
        <v>216</v>
      </c>
      <c r="E404" s="95" t="n">
        <v>89000</v>
      </c>
      <c r="F404" s="95" t="n">
        <v>15700</v>
      </c>
      <c r="G404" s="34" t="n">
        <v>4.47</v>
      </c>
      <c r="H404" s="34" t="n">
        <v>22.3</v>
      </c>
      <c r="J404" s="95" t="n">
        <f aca="false">IF(N(E404)&gt;0,E404,IF(N(F404)&gt;0,F404*가정!$B$5,0))</f>
        <v>89000</v>
      </c>
      <c r="K404" s="95" t="n">
        <f aca="false">IF(N(F404)&gt;0,F404,IF(N(E404)&gt;0,E404/가정!$B$5,0))</f>
        <v>15700</v>
      </c>
      <c r="L404" s="95" t="n">
        <f aca="false">IF(B404="CN",IF(N(I404)&gt;0,I404*가정!$B$3,K404*(1+가정!$B$6)),IF(N(H404)&gt;0,H404*가정!$B$3,J404*가정!$B$4))</f>
        <v>30389.994</v>
      </c>
      <c r="M404" s="95" t="n">
        <f aca="false">D404*J404</f>
        <v>19224000</v>
      </c>
      <c r="N404" s="95" t="n">
        <f aca="false">D404*K404</f>
        <v>3391200</v>
      </c>
      <c r="O404" s="95" t="n">
        <f aca="false">D404*L404</f>
        <v>6564238.704</v>
      </c>
      <c r="P404" s="34" t="str">
        <f aca="false">TRIM(IF(N(E404)&lt;=0,"택가보정 ","")&amp;IF(N(F404)&lt;=0,"원가보정 ","")&amp;IF(AND(B404&lt;&gt;"CN",N(H404)&lt;=0),"공급가보정 ","")&amp;IF(AND(B404="CN",N(I404)&lt;=0),"중국공급가=원가+마진 ",""))</f>
        <v/>
      </c>
    </row>
    <row r="405" customFormat="false" ht="15" hidden="false" customHeight="true" outlineLevel="0" collapsed="false">
      <c r="A405" s="94" t="s">
        <v>1684</v>
      </c>
      <c r="B405" s="34" t="str">
        <f aca="false">IF(A405="100","HK",IF(A405="200","CN",IF(A405="300","TW","홀세일")))</f>
        <v>HK</v>
      </c>
      <c r="C405" s="94" t="s">
        <v>340</v>
      </c>
      <c r="D405" s="95" t="n">
        <v>300</v>
      </c>
      <c r="E405" s="95" t="n">
        <v>129000</v>
      </c>
      <c r="F405" s="95" t="n">
        <v>22308</v>
      </c>
      <c r="G405" s="34" t="n">
        <v>5.64</v>
      </c>
      <c r="H405" s="34" t="n">
        <v>32.3</v>
      </c>
      <c r="J405" s="95" t="n">
        <f aca="false">IF(N(E405)&gt;0,E405,IF(N(F405)&gt;0,F405*가정!$B$5,0))</f>
        <v>129000</v>
      </c>
      <c r="K405" s="95" t="n">
        <f aca="false">IF(N(F405)&gt;0,F405,IF(N(E405)&gt;0,E405/가정!$B$5,0))</f>
        <v>22308</v>
      </c>
      <c r="L405" s="95" t="n">
        <f aca="false">IF(B405="CN",IF(N(I405)&gt;0,I405*가정!$B$3,K405*(1+가정!$B$6)),IF(N(H405)&gt;0,H405*가정!$B$3,J405*가정!$B$4))</f>
        <v>44017.794</v>
      </c>
      <c r="M405" s="95" t="n">
        <f aca="false">D405*J405</f>
        <v>38700000</v>
      </c>
      <c r="N405" s="95" t="n">
        <f aca="false">D405*K405</f>
        <v>6692400</v>
      </c>
      <c r="O405" s="95" t="n">
        <f aca="false">D405*L405</f>
        <v>13205338.2</v>
      </c>
      <c r="P405" s="34" t="str">
        <f aca="false">TRIM(IF(N(E405)&lt;=0,"택가보정 ","")&amp;IF(N(F405)&lt;=0,"원가보정 ","")&amp;IF(AND(B405&lt;&gt;"CN",N(H405)&lt;=0),"공급가보정 ","")&amp;IF(AND(B405="CN",N(I405)&lt;=0),"중국공급가=원가+마진 ",""))</f>
        <v/>
      </c>
    </row>
    <row r="406" customFormat="false" ht="15.75" hidden="false" customHeight="true" outlineLevel="0" collapsed="false">
      <c r="A406" s="94" t="s">
        <v>1685</v>
      </c>
      <c r="B406" s="34" t="str">
        <f aca="false">IF(A406="100","HK",IF(A406="200","CN",IF(A406="300","TW","홀세일")))</f>
        <v>CN</v>
      </c>
      <c r="C406" s="94" t="s">
        <v>340</v>
      </c>
      <c r="D406" s="95" t="n">
        <v>212</v>
      </c>
      <c r="E406" s="95" t="n">
        <v>129000</v>
      </c>
      <c r="F406" s="95" t="n">
        <v>22308</v>
      </c>
      <c r="G406" s="34" t="n">
        <v>5.64</v>
      </c>
      <c r="H406" s="34" t="n">
        <v>32.3</v>
      </c>
      <c r="J406" s="95" t="n">
        <f aca="false">IF(N(E406)&gt;0,E406,IF(N(F406)&gt;0,F406*가정!$B$5,0))</f>
        <v>129000</v>
      </c>
      <c r="K406" s="95" t="n">
        <f aca="false">IF(N(F406)&gt;0,F406,IF(N(E406)&gt;0,E406/가정!$B$5,0))</f>
        <v>22308</v>
      </c>
      <c r="L406" s="95" t="n">
        <f aca="false">IF(B406="CN",IF(N(I406)&gt;0,I406*가정!$B$3,K406*(1+가정!$B$6)),IF(N(H406)&gt;0,H406*가정!$B$3,J406*가정!$B$4))</f>
        <v>23423.4</v>
      </c>
      <c r="M406" s="95" t="n">
        <f aca="false">D406*J406</f>
        <v>27348000</v>
      </c>
      <c r="N406" s="95" t="n">
        <f aca="false">D406*K406</f>
        <v>4729296</v>
      </c>
      <c r="O406" s="95" t="n">
        <f aca="false">D406*L406</f>
        <v>4965760.8</v>
      </c>
      <c r="P406" s="34" t="str">
        <f aca="false">TRIM(IF(N(E406)&lt;=0,"택가보정 ","")&amp;IF(N(F406)&lt;=0,"원가보정 ","")&amp;IF(AND(B406&lt;&gt;"CN",N(H406)&lt;=0),"공급가보정 ","")&amp;IF(AND(B406="CN",N(I406)&lt;=0),"중국공급가=원가+마진 ",""))</f>
        <v>중국공급가=원가+마진</v>
      </c>
    </row>
    <row r="407" customFormat="false" ht="15" hidden="false" customHeight="true" outlineLevel="0" collapsed="false">
      <c r="A407" s="94" t="s">
        <v>1686</v>
      </c>
      <c r="B407" s="34" t="str">
        <f aca="false">IF(A407="100","HK",IF(A407="200","CN",IF(A407="300","TW","홀세일")))</f>
        <v>TW</v>
      </c>
      <c r="C407" s="94" t="s">
        <v>340</v>
      </c>
      <c r="D407" s="95" t="n">
        <v>550</v>
      </c>
      <c r="E407" s="95" t="n">
        <v>129000</v>
      </c>
      <c r="F407" s="95" t="n">
        <v>22308</v>
      </c>
      <c r="G407" s="34" t="n">
        <v>5.64</v>
      </c>
      <c r="H407" s="34" t="n">
        <v>32.3</v>
      </c>
      <c r="J407" s="95" t="n">
        <f aca="false">IF(N(E407)&gt;0,E407,IF(N(F407)&gt;0,F407*가정!$B$5,0))</f>
        <v>129000</v>
      </c>
      <c r="K407" s="95" t="n">
        <f aca="false">IF(N(F407)&gt;0,F407,IF(N(E407)&gt;0,E407/가정!$B$5,0))</f>
        <v>22308</v>
      </c>
      <c r="L407" s="95" t="n">
        <f aca="false">IF(B407="CN",IF(N(I407)&gt;0,I407*가정!$B$3,K407*(1+가정!$B$6)),IF(N(H407)&gt;0,H407*가정!$B$3,J407*가정!$B$4))</f>
        <v>44017.794</v>
      </c>
      <c r="M407" s="95" t="n">
        <f aca="false">D407*J407</f>
        <v>70950000</v>
      </c>
      <c r="N407" s="95" t="n">
        <f aca="false">D407*K407</f>
        <v>12269400</v>
      </c>
      <c r="O407" s="95" t="n">
        <f aca="false">D407*L407</f>
        <v>24209786.7</v>
      </c>
      <c r="P407" s="34" t="str">
        <f aca="false">TRIM(IF(N(E407)&lt;=0,"택가보정 ","")&amp;IF(N(F407)&lt;=0,"원가보정 ","")&amp;IF(AND(B407&lt;&gt;"CN",N(H407)&lt;=0),"공급가보정 ","")&amp;IF(AND(B407="CN",N(I407)&lt;=0),"중국공급가=원가+마진 ",""))</f>
        <v/>
      </c>
    </row>
    <row r="408" customFormat="false" ht="15" hidden="false" customHeight="true" outlineLevel="0" collapsed="false">
      <c r="A408" s="94" t="s">
        <v>1688</v>
      </c>
      <c r="B408" s="34" t="str">
        <f aca="false">IF(A408="100","HK",IF(A408="200","CN",IF(A408="300","TW","홀세일")))</f>
        <v>홀세일</v>
      </c>
      <c r="C408" s="94" t="s">
        <v>340</v>
      </c>
      <c r="D408" s="95" t="n">
        <v>90</v>
      </c>
      <c r="E408" s="95" t="n">
        <v>129000</v>
      </c>
      <c r="F408" s="95" t="n">
        <v>22308</v>
      </c>
      <c r="G408" s="34" t="n">
        <v>5.64</v>
      </c>
      <c r="H408" s="34" t="n">
        <v>32.3</v>
      </c>
      <c r="J408" s="95" t="n">
        <f aca="false">IF(N(E408)&gt;0,E408,IF(N(F408)&gt;0,F408*가정!$B$5,0))</f>
        <v>129000</v>
      </c>
      <c r="K408" s="95" t="n">
        <f aca="false">IF(N(F408)&gt;0,F408,IF(N(E408)&gt;0,E408/가정!$B$5,0))</f>
        <v>22308</v>
      </c>
      <c r="L408" s="95" t="n">
        <f aca="false">IF(B408="CN",IF(N(I408)&gt;0,I408*가정!$B$3,K408*(1+가정!$B$6)),IF(N(H408)&gt;0,H408*가정!$B$3,J408*가정!$B$4))</f>
        <v>44017.794</v>
      </c>
      <c r="M408" s="95" t="n">
        <f aca="false">D408*J408</f>
        <v>11610000</v>
      </c>
      <c r="N408" s="95" t="n">
        <f aca="false">D408*K408</f>
        <v>2007720</v>
      </c>
      <c r="O408" s="95" t="n">
        <f aca="false">D408*L408</f>
        <v>3961601.46</v>
      </c>
      <c r="P408" s="34" t="str">
        <f aca="false">TRIM(IF(N(E408)&lt;=0,"택가보정 ","")&amp;IF(N(F408)&lt;=0,"원가보정 ","")&amp;IF(AND(B408&lt;&gt;"CN",N(H408)&lt;=0),"공급가보정 ","")&amp;IF(AND(B408="CN",N(I408)&lt;=0),"중국공급가=원가+마진 ",""))</f>
        <v/>
      </c>
    </row>
    <row r="409" customFormat="false" ht="15" hidden="false" customHeight="true" outlineLevel="0" collapsed="false">
      <c r="A409" s="94" t="s">
        <v>1690</v>
      </c>
      <c r="B409" s="34" t="str">
        <f aca="false">IF(A409="100","HK",IF(A409="200","CN",IF(A409="300","TW","홀세일")))</f>
        <v>홀세일</v>
      </c>
      <c r="C409" s="94" t="s">
        <v>340</v>
      </c>
      <c r="D409" s="95" t="n">
        <v>240</v>
      </c>
      <c r="E409" s="95" t="n">
        <v>129000</v>
      </c>
      <c r="F409" s="95" t="n">
        <v>22308</v>
      </c>
      <c r="G409" s="34" t="n">
        <v>5.64</v>
      </c>
      <c r="H409" s="34" t="n">
        <v>32.3</v>
      </c>
      <c r="J409" s="95" t="n">
        <f aca="false">IF(N(E409)&gt;0,E409,IF(N(F409)&gt;0,F409*가정!$B$5,0))</f>
        <v>129000</v>
      </c>
      <c r="K409" s="95" t="n">
        <f aca="false">IF(N(F409)&gt;0,F409,IF(N(E409)&gt;0,E409/가정!$B$5,0))</f>
        <v>22308</v>
      </c>
      <c r="L409" s="95" t="n">
        <f aca="false">IF(B409="CN",IF(N(I409)&gt;0,I409*가정!$B$3,K409*(1+가정!$B$6)),IF(N(H409)&gt;0,H409*가정!$B$3,J409*가정!$B$4))</f>
        <v>44017.794</v>
      </c>
      <c r="M409" s="95" t="n">
        <f aca="false">D409*J409</f>
        <v>30960000</v>
      </c>
      <c r="N409" s="95" t="n">
        <f aca="false">D409*K409</f>
        <v>5353920</v>
      </c>
      <c r="O409" s="95" t="n">
        <f aca="false">D409*L409</f>
        <v>10564270.56</v>
      </c>
      <c r="P409" s="34" t="str">
        <f aca="false">TRIM(IF(N(E409)&lt;=0,"택가보정 ","")&amp;IF(N(F409)&lt;=0,"원가보정 ","")&amp;IF(AND(B409&lt;&gt;"CN",N(H409)&lt;=0),"공급가보정 ","")&amp;IF(AND(B409="CN",N(I409)&lt;=0),"중국공급가=원가+마진 ",""))</f>
        <v/>
      </c>
    </row>
    <row r="410" customFormat="false" ht="15" hidden="false" customHeight="true" outlineLevel="0" collapsed="false">
      <c r="A410" s="94" t="s">
        <v>1686</v>
      </c>
      <c r="B410" s="34" t="str">
        <f aca="false">IF(A410="100","HK",IF(A410="200","CN",IF(A410="300","TW","홀세일")))</f>
        <v>TW</v>
      </c>
      <c r="C410" s="94" t="s">
        <v>342</v>
      </c>
      <c r="D410" s="95" t="n">
        <v>330</v>
      </c>
      <c r="E410" s="95" t="n">
        <v>69000</v>
      </c>
      <c r="F410" s="95" t="n">
        <v>14600</v>
      </c>
      <c r="G410" s="34" t="n">
        <v>3.95</v>
      </c>
      <c r="H410" s="34" t="n">
        <v>17.3</v>
      </c>
      <c r="J410" s="95" t="n">
        <f aca="false">IF(N(E410)&gt;0,E410,IF(N(F410)&gt;0,F410*가정!$B$5,0))</f>
        <v>69000</v>
      </c>
      <c r="K410" s="95" t="n">
        <f aca="false">IF(N(F410)&gt;0,F410,IF(N(E410)&gt;0,E410/가정!$B$5,0))</f>
        <v>14600</v>
      </c>
      <c r="L410" s="95" t="n">
        <f aca="false">IF(B410="CN",IF(N(I410)&gt;0,I410*가정!$B$3,K410*(1+가정!$B$6)),IF(N(H410)&gt;0,H410*가정!$B$3,J410*가정!$B$4))</f>
        <v>23576.094</v>
      </c>
      <c r="M410" s="95" t="n">
        <f aca="false">D410*J410</f>
        <v>22770000</v>
      </c>
      <c r="N410" s="95" t="n">
        <f aca="false">D410*K410</f>
        <v>4818000</v>
      </c>
      <c r="O410" s="95" t="n">
        <f aca="false">D410*L410</f>
        <v>7780111.02</v>
      </c>
      <c r="P410" s="34" t="str">
        <f aca="false">TRIM(IF(N(E410)&lt;=0,"택가보정 ","")&amp;IF(N(F410)&lt;=0,"원가보정 ","")&amp;IF(AND(B410&lt;&gt;"CN",N(H410)&lt;=0),"공급가보정 ","")&amp;IF(AND(B410="CN",N(I410)&lt;=0),"중국공급가=원가+마진 ",""))</f>
        <v/>
      </c>
    </row>
    <row r="411" customFormat="false" ht="15" hidden="false" customHeight="true" outlineLevel="0" collapsed="false">
      <c r="A411" s="94" t="s">
        <v>1690</v>
      </c>
      <c r="B411" s="34" t="str">
        <f aca="false">IF(A411="100","HK",IF(A411="200","CN",IF(A411="300","TW","홀세일")))</f>
        <v>홀세일</v>
      </c>
      <c r="C411" s="94" t="s">
        <v>342</v>
      </c>
      <c r="D411" s="95" t="n">
        <v>216</v>
      </c>
      <c r="E411" s="95" t="n">
        <v>69000</v>
      </c>
      <c r="F411" s="95" t="n">
        <v>14600</v>
      </c>
      <c r="G411" s="34" t="n">
        <v>3.95</v>
      </c>
      <c r="H411" s="34" t="n">
        <v>17.3</v>
      </c>
      <c r="J411" s="95" t="n">
        <f aca="false">IF(N(E411)&gt;0,E411,IF(N(F411)&gt;0,F411*가정!$B$5,0))</f>
        <v>69000</v>
      </c>
      <c r="K411" s="95" t="n">
        <f aca="false">IF(N(F411)&gt;0,F411,IF(N(E411)&gt;0,E411/가정!$B$5,0))</f>
        <v>14600</v>
      </c>
      <c r="L411" s="95" t="n">
        <f aca="false">IF(B411="CN",IF(N(I411)&gt;0,I411*가정!$B$3,K411*(1+가정!$B$6)),IF(N(H411)&gt;0,H411*가정!$B$3,J411*가정!$B$4))</f>
        <v>23576.094</v>
      </c>
      <c r="M411" s="95" t="n">
        <f aca="false">D411*J411</f>
        <v>14904000</v>
      </c>
      <c r="N411" s="95" t="n">
        <f aca="false">D411*K411</f>
        <v>3153600</v>
      </c>
      <c r="O411" s="95" t="n">
        <f aca="false">D411*L411</f>
        <v>5092436.304</v>
      </c>
      <c r="P411" s="34" t="str">
        <f aca="false">TRIM(IF(N(E411)&lt;=0,"택가보정 ","")&amp;IF(N(F411)&lt;=0,"원가보정 ","")&amp;IF(AND(B411&lt;&gt;"CN",N(H411)&lt;=0),"공급가보정 ","")&amp;IF(AND(B411="CN",N(I411)&lt;=0),"중국공급가=원가+마진 ",""))</f>
        <v/>
      </c>
    </row>
    <row r="412" customFormat="false" ht="15" hidden="false" customHeight="true" outlineLevel="0" collapsed="false">
      <c r="A412" s="94" t="s">
        <v>1684</v>
      </c>
      <c r="B412" s="34" t="str">
        <f aca="false">IF(A412="100","HK",IF(A412="200","CN",IF(A412="300","TW","홀세일")))</f>
        <v>HK</v>
      </c>
      <c r="C412" s="94" t="s">
        <v>344</v>
      </c>
      <c r="D412" s="95" t="n">
        <v>660</v>
      </c>
      <c r="E412" s="95" t="n">
        <v>59000</v>
      </c>
      <c r="F412" s="95" t="n">
        <v>11105</v>
      </c>
      <c r="G412" s="34" t="n">
        <v>4.79</v>
      </c>
      <c r="H412" s="34" t="n">
        <v>14.8</v>
      </c>
      <c r="J412" s="95" t="n">
        <f aca="false">IF(N(E412)&gt;0,E412,IF(N(F412)&gt;0,F412*가정!$B$5,0))</f>
        <v>59000</v>
      </c>
      <c r="K412" s="95" t="n">
        <f aca="false">IF(N(F412)&gt;0,F412,IF(N(E412)&gt;0,E412/가정!$B$5,0))</f>
        <v>11105</v>
      </c>
      <c r="L412" s="95" t="n">
        <f aca="false">IF(B412="CN",IF(N(I412)&gt;0,I412*가정!$B$3,K412*(1+가정!$B$6)),IF(N(H412)&gt;0,H412*가정!$B$3,J412*가정!$B$4))</f>
        <v>20169.144</v>
      </c>
      <c r="M412" s="95" t="n">
        <f aca="false">D412*J412</f>
        <v>38940000</v>
      </c>
      <c r="N412" s="95" t="n">
        <f aca="false">D412*K412</f>
        <v>7329300</v>
      </c>
      <c r="O412" s="95" t="n">
        <f aca="false">D412*L412</f>
        <v>13311635.04</v>
      </c>
      <c r="P412" s="34" t="str">
        <f aca="false">TRIM(IF(N(E412)&lt;=0,"택가보정 ","")&amp;IF(N(F412)&lt;=0,"원가보정 ","")&amp;IF(AND(B412&lt;&gt;"CN",N(H412)&lt;=0),"공급가보정 ","")&amp;IF(AND(B412="CN",N(I412)&lt;=0),"중국공급가=원가+마진 ",""))</f>
        <v/>
      </c>
    </row>
    <row r="413" customFormat="false" ht="15.75" hidden="false" customHeight="true" outlineLevel="0" collapsed="false">
      <c r="A413" s="94" t="s">
        <v>1685</v>
      </c>
      <c r="B413" s="34" t="str">
        <f aca="false">IF(A413="100","HK",IF(A413="200","CN",IF(A413="300","TW","홀세일")))</f>
        <v>CN</v>
      </c>
      <c r="C413" s="94" t="s">
        <v>344</v>
      </c>
      <c r="D413" s="95" t="n">
        <v>338</v>
      </c>
      <c r="E413" s="95" t="n">
        <v>59000</v>
      </c>
      <c r="F413" s="95" t="n">
        <v>11105</v>
      </c>
      <c r="G413" s="34" t="n">
        <v>4.79</v>
      </c>
      <c r="H413" s="34" t="n">
        <v>14.8</v>
      </c>
      <c r="J413" s="95" t="n">
        <f aca="false">IF(N(E413)&gt;0,E413,IF(N(F413)&gt;0,F413*가정!$B$5,0))</f>
        <v>59000</v>
      </c>
      <c r="K413" s="95" t="n">
        <f aca="false">IF(N(F413)&gt;0,F413,IF(N(E413)&gt;0,E413/가정!$B$5,0))</f>
        <v>11105</v>
      </c>
      <c r="L413" s="95" t="n">
        <f aca="false">IF(B413="CN",IF(N(I413)&gt;0,I413*가정!$B$3,K413*(1+가정!$B$6)),IF(N(H413)&gt;0,H413*가정!$B$3,J413*가정!$B$4))</f>
        <v>11660.25</v>
      </c>
      <c r="M413" s="95" t="n">
        <f aca="false">D413*J413</f>
        <v>19942000</v>
      </c>
      <c r="N413" s="95" t="n">
        <f aca="false">D413*K413</f>
        <v>3753490</v>
      </c>
      <c r="O413" s="95" t="n">
        <f aca="false">D413*L413</f>
        <v>3941164.5</v>
      </c>
      <c r="P413" s="34" t="str">
        <f aca="false">TRIM(IF(N(E413)&lt;=0,"택가보정 ","")&amp;IF(N(F413)&lt;=0,"원가보정 ","")&amp;IF(AND(B413&lt;&gt;"CN",N(H413)&lt;=0),"공급가보정 ","")&amp;IF(AND(B413="CN",N(I413)&lt;=0),"중국공급가=원가+마진 ",""))</f>
        <v>중국공급가=원가+마진</v>
      </c>
    </row>
    <row r="414" customFormat="false" ht="15" hidden="false" customHeight="true" outlineLevel="0" collapsed="false">
      <c r="A414" s="94" t="s">
        <v>1686</v>
      </c>
      <c r="B414" s="34" t="str">
        <f aca="false">IF(A414="100","HK",IF(A414="200","CN",IF(A414="300","TW","홀세일")))</f>
        <v>TW</v>
      </c>
      <c r="C414" s="94" t="s">
        <v>344</v>
      </c>
      <c r="D414" s="95" t="n">
        <v>680</v>
      </c>
      <c r="E414" s="95" t="n">
        <v>59000</v>
      </c>
      <c r="F414" s="95" t="n">
        <v>11105</v>
      </c>
      <c r="G414" s="34" t="n">
        <v>4.79</v>
      </c>
      <c r="H414" s="34" t="n">
        <v>14.8</v>
      </c>
      <c r="J414" s="95" t="n">
        <f aca="false">IF(N(E414)&gt;0,E414,IF(N(F414)&gt;0,F414*가정!$B$5,0))</f>
        <v>59000</v>
      </c>
      <c r="K414" s="95" t="n">
        <f aca="false">IF(N(F414)&gt;0,F414,IF(N(E414)&gt;0,E414/가정!$B$5,0))</f>
        <v>11105</v>
      </c>
      <c r="L414" s="95" t="n">
        <f aca="false">IF(B414="CN",IF(N(I414)&gt;0,I414*가정!$B$3,K414*(1+가정!$B$6)),IF(N(H414)&gt;0,H414*가정!$B$3,J414*가정!$B$4))</f>
        <v>20169.144</v>
      </c>
      <c r="M414" s="95" t="n">
        <f aca="false">D414*J414</f>
        <v>40120000</v>
      </c>
      <c r="N414" s="95" t="n">
        <f aca="false">D414*K414</f>
        <v>7551400</v>
      </c>
      <c r="O414" s="95" t="n">
        <f aca="false">D414*L414</f>
        <v>13715017.92</v>
      </c>
      <c r="P414" s="34" t="str">
        <f aca="false">TRIM(IF(N(E414)&lt;=0,"택가보정 ","")&amp;IF(N(F414)&lt;=0,"원가보정 ","")&amp;IF(AND(B414&lt;&gt;"CN",N(H414)&lt;=0),"공급가보정 ","")&amp;IF(AND(B414="CN",N(I414)&lt;=0),"중국공급가=원가+마진 ",""))</f>
        <v/>
      </c>
    </row>
    <row r="415" customFormat="false" ht="15" hidden="false" customHeight="true" outlineLevel="0" collapsed="false">
      <c r="A415" s="94" t="s">
        <v>1688</v>
      </c>
      <c r="B415" s="34" t="str">
        <f aca="false">IF(A415="100","HK",IF(A415="200","CN",IF(A415="300","TW","홀세일")))</f>
        <v>홀세일</v>
      </c>
      <c r="C415" s="94" t="s">
        <v>344</v>
      </c>
      <c r="D415" s="95" t="n">
        <v>265</v>
      </c>
      <c r="E415" s="95" t="n">
        <v>59000</v>
      </c>
      <c r="F415" s="95" t="n">
        <v>11105</v>
      </c>
      <c r="G415" s="34" t="n">
        <v>4.79</v>
      </c>
      <c r="H415" s="34" t="n">
        <v>14.8</v>
      </c>
      <c r="J415" s="95" t="n">
        <f aca="false">IF(N(E415)&gt;0,E415,IF(N(F415)&gt;0,F415*가정!$B$5,0))</f>
        <v>59000</v>
      </c>
      <c r="K415" s="95" t="n">
        <f aca="false">IF(N(F415)&gt;0,F415,IF(N(E415)&gt;0,E415/가정!$B$5,0))</f>
        <v>11105</v>
      </c>
      <c r="L415" s="95" t="n">
        <f aca="false">IF(B415="CN",IF(N(I415)&gt;0,I415*가정!$B$3,K415*(1+가정!$B$6)),IF(N(H415)&gt;0,H415*가정!$B$3,J415*가정!$B$4))</f>
        <v>20169.144</v>
      </c>
      <c r="M415" s="95" t="n">
        <f aca="false">D415*J415</f>
        <v>15635000</v>
      </c>
      <c r="N415" s="95" t="n">
        <f aca="false">D415*K415</f>
        <v>2942825</v>
      </c>
      <c r="O415" s="95" t="n">
        <f aca="false">D415*L415</f>
        <v>5344823.16</v>
      </c>
      <c r="P415" s="34" t="str">
        <f aca="false">TRIM(IF(N(E415)&lt;=0,"택가보정 ","")&amp;IF(N(F415)&lt;=0,"원가보정 ","")&amp;IF(AND(B415&lt;&gt;"CN",N(H415)&lt;=0),"공급가보정 ","")&amp;IF(AND(B415="CN",N(I415)&lt;=0),"중국공급가=원가+마진 ",""))</f>
        <v/>
      </c>
    </row>
    <row r="416" customFormat="false" ht="15" hidden="false" customHeight="true" outlineLevel="0" collapsed="false">
      <c r="A416" s="94" t="s">
        <v>1684</v>
      </c>
      <c r="B416" s="34" t="str">
        <f aca="false">IF(A416="100","HK",IF(A416="200","CN",IF(A416="300","TW","홀세일")))</f>
        <v>HK</v>
      </c>
      <c r="C416" s="94" t="s">
        <v>346</v>
      </c>
      <c r="D416" s="95" t="n">
        <v>960</v>
      </c>
      <c r="E416" s="95" t="n">
        <v>59000</v>
      </c>
      <c r="F416" s="95" t="n">
        <v>11383</v>
      </c>
      <c r="G416" s="34" t="n">
        <v>4.51</v>
      </c>
      <c r="H416" s="34" t="n">
        <v>14.8</v>
      </c>
      <c r="J416" s="95" t="n">
        <f aca="false">IF(N(E416)&gt;0,E416,IF(N(F416)&gt;0,F416*가정!$B$5,0))</f>
        <v>59000</v>
      </c>
      <c r="K416" s="95" t="n">
        <f aca="false">IF(N(F416)&gt;0,F416,IF(N(E416)&gt;0,E416/가정!$B$5,0))</f>
        <v>11383</v>
      </c>
      <c r="L416" s="95" t="n">
        <f aca="false">IF(B416="CN",IF(N(I416)&gt;0,I416*가정!$B$3,K416*(1+가정!$B$6)),IF(N(H416)&gt;0,H416*가정!$B$3,J416*가정!$B$4))</f>
        <v>20169.144</v>
      </c>
      <c r="M416" s="95" t="n">
        <f aca="false">D416*J416</f>
        <v>56640000</v>
      </c>
      <c r="N416" s="95" t="n">
        <f aca="false">D416*K416</f>
        <v>10927680</v>
      </c>
      <c r="O416" s="95" t="n">
        <f aca="false">D416*L416</f>
        <v>19362378.24</v>
      </c>
      <c r="P416" s="34" t="str">
        <f aca="false">TRIM(IF(N(E416)&lt;=0,"택가보정 ","")&amp;IF(N(F416)&lt;=0,"원가보정 ","")&amp;IF(AND(B416&lt;&gt;"CN",N(H416)&lt;=0),"공급가보정 ","")&amp;IF(AND(B416="CN",N(I416)&lt;=0),"중국공급가=원가+마진 ",""))</f>
        <v/>
      </c>
    </row>
    <row r="417" customFormat="false" ht="15" hidden="false" customHeight="true" outlineLevel="0" collapsed="false">
      <c r="A417" s="94" t="s">
        <v>1686</v>
      </c>
      <c r="B417" s="34" t="str">
        <f aca="false">IF(A417="100","HK",IF(A417="200","CN",IF(A417="300","TW","홀세일")))</f>
        <v>TW</v>
      </c>
      <c r="C417" s="94" t="s">
        <v>346</v>
      </c>
      <c r="D417" s="95" t="n">
        <v>850</v>
      </c>
      <c r="E417" s="95" t="n">
        <v>59000</v>
      </c>
      <c r="F417" s="95" t="n">
        <v>11383</v>
      </c>
      <c r="G417" s="34" t="n">
        <v>4.51</v>
      </c>
      <c r="H417" s="34" t="n">
        <v>14.8</v>
      </c>
      <c r="J417" s="95" t="n">
        <f aca="false">IF(N(E417)&gt;0,E417,IF(N(F417)&gt;0,F417*가정!$B$5,0))</f>
        <v>59000</v>
      </c>
      <c r="K417" s="95" t="n">
        <f aca="false">IF(N(F417)&gt;0,F417,IF(N(E417)&gt;0,E417/가정!$B$5,0))</f>
        <v>11383</v>
      </c>
      <c r="L417" s="95" t="n">
        <f aca="false">IF(B417="CN",IF(N(I417)&gt;0,I417*가정!$B$3,K417*(1+가정!$B$6)),IF(N(H417)&gt;0,H417*가정!$B$3,J417*가정!$B$4))</f>
        <v>20169.144</v>
      </c>
      <c r="M417" s="95" t="n">
        <f aca="false">D417*J417</f>
        <v>50150000</v>
      </c>
      <c r="N417" s="95" t="n">
        <f aca="false">D417*K417</f>
        <v>9675550</v>
      </c>
      <c r="O417" s="95" t="n">
        <f aca="false">D417*L417</f>
        <v>17143772.4</v>
      </c>
      <c r="P417" s="34" t="str">
        <f aca="false">TRIM(IF(N(E417)&lt;=0,"택가보정 ","")&amp;IF(N(F417)&lt;=0,"원가보정 ","")&amp;IF(AND(B417&lt;&gt;"CN",N(H417)&lt;=0),"공급가보정 ","")&amp;IF(AND(B417="CN",N(I417)&lt;=0),"중국공급가=원가+마진 ",""))</f>
        <v/>
      </c>
    </row>
    <row r="418" customFormat="false" ht="15" hidden="false" customHeight="true" outlineLevel="0" collapsed="false">
      <c r="A418" s="94" t="s">
        <v>1688</v>
      </c>
      <c r="B418" s="34" t="str">
        <f aca="false">IF(A418="100","HK",IF(A418="200","CN",IF(A418="300","TW","홀세일")))</f>
        <v>홀세일</v>
      </c>
      <c r="C418" s="94" t="s">
        <v>346</v>
      </c>
      <c r="D418" s="95" t="n">
        <v>245</v>
      </c>
      <c r="E418" s="95" t="n">
        <v>59000</v>
      </c>
      <c r="F418" s="95" t="n">
        <v>11383</v>
      </c>
      <c r="G418" s="34" t="n">
        <v>4.51</v>
      </c>
      <c r="H418" s="34" t="n">
        <v>14.8</v>
      </c>
      <c r="J418" s="95" t="n">
        <f aca="false">IF(N(E418)&gt;0,E418,IF(N(F418)&gt;0,F418*가정!$B$5,0))</f>
        <v>59000</v>
      </c>
      <c r="K418" s="95" t="n">
        <f aca="false">IF(N(F418)&gt;0,F418,IF(N(E418)&gt;0,E418/가정!$B$5,0))</f>
        <v>11383</v>
      </c>
      <c r="L418" s="95" t="n">
        <f aca="false">IF(B418="CN",IF(N(I418)&gt;0,I418*가정!$B$3,K418*(1+가정!$B$6)),IF(N(H418)&gt;0,H418*가정!$B$3,J418*가정!$B$4))</f>
        <v>20169.144</v>
      </c>
      <c r="M418" s="95" t="n">
        <f aca="false">D418*J418</f>
        <v>14455000</v>
      </c>
      <c r="N418" s="95" t="n">
        <f aca="false">D418*K418</f>
        <v>2788835</v>
      </c>
      <c r="O418" s="95" t="n">
        <f aca="false">D418*L418</f>
        <v>4941440.28</v>
      </c>
      <c r="P418" s="34" t="str">
        <f aca="false">TRIM(IF(N(E418)&lt;=0,"택가보정 ","")&amp;IF(N(F418)&lt;=0,"원가보정 ","")&amp;IF(AND(B418&lt;&gt;"CN",N(H418)&lt;=0),"공급가보정 ","")&amp;IF(AND(B418="CN",N(I418)&lt;=0),"중국공급가=원가+마진 ",""))</f>
        <v/>
      </c>
    </row>
    <row r="419" customFormat="false" ht="15" hidden="false" customHeight="true" outlineLevel="0" collapsed="false">
      <c r="A419" s="94" t="s">
        <v>1684</v>
      </c>
      <c r="B419" s="34" t="str">
        <f aca="false">IF(A419="100","HK",IF(A419="200","CN",IF(A419="300","TW","홀세일")))</f>
        <v>HK</v>
      </c>
      <c r="C419" s="94" t="s">
        <v>348</v>
      </c>
      <c r="D419" s="95" t="n">
        <v>1140</v>
      </c>
      <c r="E419" s="95" t="n">
        <v>69000</v>
      </c>
      <c r="F419" s="95" t="n">
        <v>13405</v>
      </c>
      <c r="G419" s="34" t="n">
        <v>4.18</v>
      </c>
      <c r="H419" s="34" t="n">
        <v>17.3</v>
      </c>
      <c r="J419" s="95" t="n">
        <f aca="false">IF(N(E419)&gt;0,E419,IF(N(F419)&gt;0,F419*가정!$B$5,0))</f>
        <v>69000</v>
      </c>
      <c r="K419" s="95" t="n">
        <f aca="false">IF(N(F419)&gt;0,F419,IF(N(E419)&gt;0,E419/가정!$B$5,0))</f>
        <v>13405</v>
      </c>
      <c r="L419" s="95" t="n">
        <f aca="false">IF(B419="CN",IF(N(I419)&gt;0,I419*가정!$B$3,K419*(1+가정!$B$6)),IF(N(H419)&gt;0,H419*가정!$B$3,J419*가정!$B$4))</f>
        <v>23576.094</v>
      </c>
      <c r="M419" s="95" t="n">
        <f aca="false">D419*J419</f>
        <v>78660000</v>
      </c>
      <c r="N419" s="95" t="n">
        <f aca="false">D419*K419</f>
        <v>15281700</v>
      </c>
      <c r="O419" s="95" t="n">
        <f aca="false">D419*L419</f>
        <v>26876747.16</v>
      </c>
      <c r="P419" s="34" t="str">
        <f aca="false">TRIM(IF(N(E419)&lt;=0,"택가보정 ","")&amp;IF(N(F419)&lt;=0,"원가보정 ","")&amp;IF(AND(B419&lt;&gt;"CN",N(H419)&lt;=0),"공급가보정 ","")&amp;IF(AND(B419="CN",N(I419)&lt;=0),"중국공급가=원가+마진 ",""))</f>
        <v/>
      </c>
    </row>
    <row r="420" customFormat="false" ht="15.75" hidden="false" customHeight="true" outlineLevel="0" collapsed="false">
      <c r="A420" s="94" t="s">
        <v>1685</v>
      </c>
      <c r="B420" s="34" t="str">
        <f aca="false">IF(A420="100","HK",IF(A420="200","CN",IF(A420="300","TW","홀세일")))</f>
        <v>CN</v>
      </c>
      <c r="C420" s="94" t="s">
        <v>348</v>
      </c>
      <c r="D420" s="95" t="n">
        <v>413</v>
      </c>
      <c r="E420" s="95" t="n">
        <v>69000</v>
      </c>
      <c r="F420" s="95" t="n">
        <v>13405</v>
      </c>
      <c r="G420" s="34" t="n">
        <v>4.18</v>
      </c>
      <c r="H420" s="34" t="n">
        <v>17.3</v>
      </c>
      <c r="J420" s="95" t="n">
        <f aca="false">IF(N(E420)&gt;0,E420,IF(N(F420)&gt;0,F420*가정!$B$5,0))</f>
        <v>69000</v>
      </c>
      <c r="K420" s="95" t="n">
        <f aca="false">IF(N(F420)&gt;0,F420,IF(N(E420)&gt;0,E420/가정!$B$5,0))</f>
        <v>13405</v>
      </c>
      <c r="L420" s="95" t="n">
        <f aca="false">IF(B420="CN",IF(N(I420)&gt;0,I420*가정!$B$3,K420*(1+가정!$B$6)),IF(N(H420)&gt;0,H420*가정!$B$3,J420*가정!$B$4))</f>
        <v>14075.25</v>
      </c>
      <c r="M420" s="95" t="n">
        <f aca="false">D420*J420</f>
        <v>28497000</v>
      </c>
      <c r="N420" s="95" t="n">
        <f aca="false">D420*K420</f>
        <v>5536265</v>
      </c>
      <c r="O420" s="95" t="n">
        <f aca="false">D420*L420</f>
        <v>5813078.25</v>
      </c>
      <c r="P420" s="34" t="str">
        <f aca="false">TRIM(IF(N(E420)&lt;=0,"택가보정 ","")&amp;IF(N(F420)&lt;=0,"원가보정 ","")&amp;IF(AND(B420&lt;&gt;"CN",N(H420)&lt;=0),"공급가보정 ","")&amp;IF(AND(B420="CN",N(I420)&lt;=0),"중국공급가=원가+마진 ",""))</f>
        <v>중국공급가=원가+마진</v>
      </c>
    </row>
    <row r="421" customFormat="false" ht="15" hidden="false" customHeight="true" outlineLevel="0" collapsed="false">
      <c r="A421" s="94" t="s">
        <v>1686</v>
      </c>
      <c r="B421" s="34" t="str">
        <f aca="false">IF(A421="100","HK",IF(A421="200","CN",IF(A421="300","TW","홀세일")))</f>
        <v>TW</v>
      </c>
      <c r="C421" s="94" t="s">
        <v>348</v>
      </c>
      <c r="D421" s="95" t="n">
        <v>900</v>
      </c>
      <c r="E421" s="95" t="n">
        <v>69000</v>
      </c>
      <c r="F421" s="95" t="n">
        <v>13405</v>
      </c>
      <c r="G421" s="34" t="n">
        <v>4.18</v>
      </c>
      <c r="H421" s="34" t="n">
        <v>17.3</v>
      </c>
      <c r="J421" s="95" t="n">
        <f aca="false">IF(N(E421)&gt;0,E421,IF(N(F421)&gt;0,F421*가정!$B$5,0))</f>
        <v>69000</v>
      </c>
      <c r="K421" s="95" t="n">
        <f aca="false">IF(N(F421)&gt;0,F421,IF(N(E421)&gt;0,E421/가정!$B$5,0))</f>
        <v>13405</v>
      </c>
      <c r="L421" s="95" t="n">
        <f aca="false">IF(B421="CN",IF(N(I421)&gt;0,I421*가정!$B$3,K421*(1+가정!$B$6)),IF(N(H421)&gt;0,H421*가정!$B$3,J421*가정!$B$4))</f>
        <v>23576.094</v>
      </c>
      <c r="M421" s="95" t="n">
        <f aca="false">D421*J421</f>
        <v>62100000</v>
      </c>
      <c r="N421" s="95" t="n">
        <f aca="false">D421*K421</f>
        <v>12064500</v>
      </c>
      <c r="O421" s="95" t="n">
        <f aca="false">D421*L421</f>
        <v>21218484.6</v>
      </c>
      <c r="P421" s="34" t="str">
        <f aca="false">TRIM(IF(N(E421)&lt;=0,"택가보정 ","")&amp;IF(N(F421)&lt;=0,"원가보정 ","")&amp;IF(AND(B421&lt;&gt;"CN",N(H421)&lt;=0),"공급가보정 ","")&amp;IF(AND(B421="CN",N(I421)&lt;=0),"중국공급가=원가+마진 ",""))</f>
        <v/>
      </c>
    </row>
    <row r="422" customFormat="false" ht="15" hidden="false" customHeight="true" outlineLevel="0" collapsed="false">
      <c r="A422" s="94" t="s">
        <v>1687</v>
      </c>
      <c r="B422" s="34" t="str">
        <f aca="false">IF(A422="100","HK",IF(A422="200","CN",IF(A422="300","TW","홀세일")))</f>
        <v>홀세일</v>
      </c>
      <c r="C422" s="94" t="s">
        <v>348</v>
      </c>
      <c r="D422" s="95" t="n">
        <v>50</v>
      </c>
      <c r="E422" s="95" t="n">
        <v>69000</v>
      </c>
      <c r="F422" s="95" t="n">
        <v>13405</v>
      </c>
      <c r="G422" s="34" t="n">
        <v>4.18</v>
      </c>
      <c r="H422" s="34" t="n">
        <v>17.3</v>
      </c>
      <c r="J422" s="95" t="n">
        <f aca="false">IF(N(E422)&gt;0,E422,IF(N(F422)&gt;0,F422*가정!$B$5,0))</f>
        <v>69000</v>
      </c>
      <c r="K422" s="95" t="n">
        <f aca="false">IF(N(F422)&gt;0,F422,IF(N(E422)&gt;0,E422/가정!$B$5,0))</f>
        <v>13405</v>
      </c>
      <c r="L422" s="95" t="n">
        <f aca="false">IF(B422="CN",IF(N(I422)&gt;0,I422*가정!$B$3,K422*(1+가정!$B$6)),IF(N(H422)&gt;0,H422*가정!$B$3,J422*가정!$B$4))</f>
        <v>23576.094</v>
      </c>
      <c r="M422" s="95" t="n">
        <f aca="false">D422*J422</f>
        <v>3450000</v>
      </c>
      <c r="N422" s="95" t="n">
        <f aca="false">D422*K422</f>
        <v>670250</v>
      </c>
      <c r="O422" s="95" t="n">
        <f aca="false">D422*L422</f>
        <v>1178804.7</v>
      </c>
      <c r="P422" s="34" t="str">
        <f aca="false">TRIM(IF(N(E422)&lt;=0,"택가보정 ","")&amp;IF(N(F422)&lt;=0,"원가보정 ","")&amp;IF(AND(B422&lt;&gt;"CN",N(H422)&lt;=0),"공급가보정 ","")&amp;IF(AND(B422="CN",N(I422)&lt;=0),"중국공급가=원가+마진 ",""))</f>
        <v/>
      </c>
    </row>
    <row r="423" customFormat="false" ht="15" hidden="false" customHeight="true" outlineLevel="0" collapsed="false">
      <c r="A423" s="94" t="s">
        <v>1688</v>
      </c>
      <c r="B423" s="34" t="str">
        <f aca="false">IF(A423="100","HK",IF(A423="200","CN",IF(A423="300","TW","홀세일")))</f>
        <v>홀세일</v>
      </c>
      <c r="C423" s="94" t="s">
        <v>348</v>
      </c>
      <c r="D423" s="95" t="n">
        <v>270</v>
      </c>
      <c r="E423" s="95" t="n">
        <v>69000</v>
      </c>
      <c r="F423" s="95" t="n">
        <v>13405</v>
      </c>
      <c r="G423" s="34" t="n">
        <v>4.18</v>
      </c>
      <c r="H423" s="34" t="n">
        <v>17.3</v>
      </c>
      <c r="J423" s="95" t="n">
        <f aca="false">IF(N(E423)&gt;0,E423,IF(N(F423)&gt;0,F423*가정!$B$5,0))</f>
        <v>69000</v>
      </c>
      <c r="K423" s="95" t="n">
        <f aca="false">IF(N(F423)&gt;0,F423,IF(N(E423)&gt;0,E423/가정!$B$5,0))</f>
        <v>13405</v>
      </c>
      <c r="L423" s="95" t="n">
        <f aca="false">IF(B423="CN",IF(N(I423)&gt;0,I423*가정!$B$3,K423*(1+가정!$B$6)),IF(N(H423)&gt;0,H423*가정!$B$3,J423*가정!$B$4))</f>
        <v>23576.094</v>
      </c>
      <c r="M423" s="95" t="n">
        <f aca="false">D423*J423</f>
        <v>18630000</v>
      </c>
      <c r="N423" s="95" t="n">
        <f aca="false">D423*K423</f>
        <v>3619350</v>
      </c>
      <c r="O423" s="95" t="n">
        <f aca="false">D423*L423</f>
        <v>6365545.38</v>
      </c>
      <c r="P423" s="34" t="str">
        <f aca="false">TRIM(IF(N(E423)&lt;=0,"택가보정 ","")&amp;IF(N(F423)&lt;=0,"원가보정 ","")&amp;IF(AND(B423&lt;&gt;"CN",N(H423)&lt;=0),"공급가보정 ","")&amp;IF(AND(B423="CN",N(I423)&lt;=0),"중국공급가=원가+마진 ",""))</f>
        <v/>
      </c>
    </row>
    <row r="424" customFormat="false" ht="15" hidden="false" customHeight="true" outlineLevel="0" collapsed="false">
      <c r="A424" s="94" t="s">
        <v>1692</v>
      </c>
      <c r="B424" s="34" t="str">
        <f aca="false">IF(A424="100","HK",IF(A424="200","CN",IF(A424="300","TW","홀세일")))</f>
        <v>홀세일</v>
      </c>
      <c r="C424" s="94" t="s">
        <v>348</v>
      </c>
      <c r="D424" s="95" t="n">
        <v>183</v>
      </c>
      <c r="E424" s="95" t="n">
        <v>69000</v>
      </c>
      <c r="F424" s="95" t="n">
        <v>13405</v>
      </c>
      <c r="G424" s="34" t="n">
        <v>4.18</v>
      </c>
      <c r="H424" s="34" t="n">
        <v>17.3</v>
      </c>
      <c r="J424" s="95" t="n">
        <f aca="false">IF(N(E424)&gt;0,E424,IF(N(F424)&gt;0,F424*가정!$B$5,0))</f>
        <v>69000</v>
      </c>
      <c r="K424" s="95" t="n">
        <f aca="false">IF(N(F424)&gt;0,F424,IF(N(E424)&gt;0,E424/가정!$B$5,0))</f>
        <v>13405</v>
      </c>
      <c r="L424" s="95" t="n">
        <f aca="false">IF(B424="CN",IF(N(I424)&gt;0,I424*가정!$B$3,K424*(1+가정!$B$6)),IF(N(H424)&gt;0,H424*가정!$B$3,J424*가정!$B$4))</f>
        <v>23576.094</v>
      </c>
      <c r="M424" s="95" t="n">
        <f aca="false">D424*J424</f>
        <v>12627000</v>
      </c>
      <c r="N424" s="95" t="n">
        <f aca="false">D424*K424</f>
        <v>2453115</v>
      </c>
      <c r="O424" s="95" t="n">
        <f aca="false">D424*L424</f>
        <v>4314425.202</v>
      </c>
      <c r="P424" s="34" t="str">
        <f aca="false">TRIM(IF(N(E424)&lt;=0,"택가보정 ","")&amp;IF(N(F424)&lt;=0,"원가보정 ","")&amp;IF(AND(B424&lt;&gt;"CN",N(H424)&lt;=0),"공급가보정 ","")&amp;IF(AND(B424="CN",N(I424)&lt;=0),"중국공급가=원가+마진 ",""))</f>
        <v/>
      </c>
    </row>
    <row r="425" customFormat="false" ht="15" hidden="false" customHeight="true" outlineLevel="0" collapsed="false">
      <c r="A425" s="94" t="s">
        <v>1689</v>
      </c>
      <c r="B425" s="34" t="str">
        <f aca="false">IF(A425="100","HK",IF(A425="200","CN",IF(A425="300","TW","홀세일")))</f>
        <v>홀세일</v>
      </c>
      <c r="C425" s="94" t="s">
        <v>348</v>
      </c>
      <c r="D425" s="95" t="n">
        <v>100</v>
      </c>
      <c r="E425" s="95" t="n">
        <v>69000</v>
      </c>
      <c r="F425" s="95" t="n">
        <v>13405</v>
      </c>
      <c r="G425" s="34" t="n">
        <v>4.18</v>
      </c>
      <c r="H425" s="34" t="n">
        <v>17.3</v>
      </c>
      <c r="J425" s="95" t="n">
        <f aca="false">IF(N(E425)&gt;0,E425,IF(N(F425)&gt;0,F425*가정!$B$5,0))</f>
        <v>69000</v>
      </c>
      <c r="K425" s="95" t="n">
        <f aca="false">IF(N(F425)&gt;0,F425,IF(N(E425)&gt;0,E425/가정!$B$5,0))</f>
        <v>13405</v>
      </c>
      <c r="L425" s="95" t="n">
        <f aca="false">IF(B425="CN",IF(N(I425)&gt;0,I425*가정!$B$3,K425*(1+가정!$B$6)),IF(N(H425)&gt;0,H425*가정!$B$3,J425*가정!$B$4))</f>
        <v>23576.094</v>
      </c>
      <c r="M425" s="95" t="n">
        <f aca="false">D425*J425</f>
        <v>6900000</v>
      </c>
      <c r="N425" s="95" t="n">
        <f aca="false">D425*K425</f>
        <v>1340500</v>
      </c>
      <c r="O425" s="95" t="n">
        <f aca="false">D425*L425</f>
        <v>2357609.4</v>
      </c>
      <c r="P425" s="34" t="str">
        <f aca="false">TRIM(IF(N(E425)&lt;=0,"택가보정 ","")&amp;IF(N(F425)&lt;=0,"원가보정 ","")&amp;IF(AND(B425&lt;&gt;"CN",N(H425)&lt;=0),"공급가보정 ","")&amp;IF(AND(B425="CN",N(I425)&lt;=0),"중국공급가=원가+마진 ",""))</f>
        <v/>
      </c>
    </row>
    <row r="426" customFormat="false" ht="15" hidden="false" customHeight="true" outlineLevel="0" collapsed="false">
      <c r="A426" s="94" t="s">
        <v>1684</v>
      </c>
      <c r="B426" s="34" t="str">
        <f aca="false">IF(A426="100","HK",IF(A426="200","CN",IF(A426="300","TW","홀세일")))</f>
        <v>HK</v>
      </c>
      <c r="C426" s="94" t="s">
        <v>350</v>
      </c>
      <c r="D426" s="95" t="n">
        <v>420</v>
      </c>
      <c r="E426" s="95" t="n">
        <v>59000</v>
      </c>
      <c r="F426" s="95" t="n">
        <v>13500</v>
      </c>
      <c r="G426" s="34" t="n">
        <v>3.75</v>
      </c>
      <c r="H426" s="34" t="n">
        <v>14.8</v>
      </c>
      <c r="J426" s="95" t="n">
        <f aca="false">IF(N(E426)&gt;0,E426,IF(N(F426)&gt;0,F426*가정!$B$5,0))</f>
        <v>59000</v>
      </c>
      <c r="K426" s="95" t="n">
        <f aca="false">IF(N(F426)&gt;0,F426,IF(N(E426)&gt;0,E426/가정!$B$5,0))</f>
        <v>13500</v>
      </c>
      <c r="L426" s="95" t="n">
        <f aca="false">IF(B426="CN",IF(N(I426)&gt;0,I426*가정!$B$3,K426*(1+가정!$B$6)),IF(N(H426)&gt;0,H426*가정!$B$3,J426*가정!$B$4))</f>
        <v>20169.144</v>
      </c>
      <c r="M426" s="95" t="n">
        <f aca="false">D426*J426</f>
        <v>24780000</v>
      </c>
      <c r="N426" s="95" t="n">
        <f aca="false">D426*K426</f>
        <v>5670000</v>
      </c>
      <c r="O426" s="95" t="n">
        <f aca="false">D426*L426</f>
        <v>8471040.48</v>
      </c>
      <c r="P426" s="34" t="str">
        <f aca="false">TRIM(IF(N(E426)&lt;=0,"택가보정 ","")&amp;IF(N(F426)&lt;=0,"원가보정 ","")&amp;IF(AND(B426&lt;&gt;"CN",N(H426)&lt;=0),"공급가보정 ","")&amp;IF(AND(B426="CN",N(I426)&lt;=0),"중국공급가=원가+마진 ",""))</f>
        <v/>
      </c>
    </row>
    <row r="427" customFormat="false" ht="15" hidden="false" customHeight="true" outlineLevel="0" collapsed="false">
      <c r="A427" s="94" t="s">
        <v>1686</v>
      </c>
      <c r="B427" s="34" t="str">
        <f aca="false">IF(A427="100","HK",IF(A427="200","CN",IF(A427="300","TW","홀세일")))</f>
        <v>TW</v>
      </c>
      <c r="C427" s="94" t="s">
        <v>350</v>
      </c>
      <c r="D427" s="95" t="n">
        <v>550</v>
      </c>
      <c r="E427" s="95" t="n">
        <v>59000</v>
      </c>
      <c r="F427" s="95" t="n">
        <v>13500</v>
      </c>
      <c r="G427" s="34" t="n">
        <v>3.75</v>
      </c>
      <c r="H427" s="34" t="n">
        <v>14.8</v>
      </c>
      <c r="J427" s="95" t="n">
        <f aca="false">IF(N(E427)&gt;0,E427,IF(N(F427)&gt;0,F427*가정!$B$5,0))</f>
        <v>59000</v>
      </c>
      <c r="K427" s="95" t="n">
        <f aca="false">IF(N(F427)&gt;0,F427,IF(N(E427)&gt;0,E427/가정!$B$5,0))</f>
        <v>13500</v>
      </c>
      <c r="L427" s="95" t="n">
        <f aca="false">IF(B427="CN",IF(N(I427)&gt;0,I427*가정!$B$3,K427*(1+가정!$B$6)),IF(N(H427)&gt;0,H427*가정!$B$3,J427*가정!$B$4))</f>
        <v>20169.144</v>
      </c>
      <c r="M427" s="95" t="n">
        <f aca="false">D427*J427</f>
        <v>32450000</v>
      </c>
      <c r="N427" s="95" t="n">
        <f aca="false">D427*K427</f>
        <v>7425000</v>
      </c>
      <c r="O427" s="95" t="n">
        <f aca="false">D427*L427</f>
        <v>11093029.2</v>
      </c>
      <c r="P427" s="34" t="str">
        <f aca="false">TRIM(IF(N(E427)&lt;=0,"택가보정 ","")&amp;IF(N(F427)&lt;=0,"원가보정 ","")&amp;IF(AND(B427&lt;&gt;"CN",N(H427)&lt;=0),"공급가보정 ","")&amp;IF(AND(B427="CN",N(I427)&lt;=0),"중국공급가=원가+마진 ",""))</f>
        <v/>
      </c>
    </row>
    <row r="428" customFormat="false" ht="15" hidden="false" customHeight="true" outlineLevel="0" collapsed="false">
      <c r="A428" s="94" t="s">
        <v>1688</v>
      </c>
      <c r="B428" s="34" t="str">
        <f aca="false">IF(A428="100","HK",IF(A428="200","CN",IF(A428="300","TW","홀세일")))</f>
        <v>홀세일</v>
      </c>
      <c r="C428" s="94" t="s">
        <v>350</v>
      </c>
      <c r="D428" s="95" t="n">
        <v>90</v>
      </c>
      <c r="E428" s="95" t="n">
        <v>59000</v>
      </c>
      <c r="F428" s="95" t="n">
        <v>13500</v>
      </c>
      <c r="G428" s="34" t="n">
        <v>3.75</v>
      </c>
      <c r="H428" s="34" t="n">
        <v>14.8</v>
      </c>
      <c r="J428" s="95" t="n">
        <f aca="false">IF(N(E428)&gt;0,E428,IF(N(F428)&gt;0,F428*가정!$B$5,0))</f>
        <v>59000</v>
      </c>
      <c r="K428" s="95" t="n">
        <f aca="false">IF(N(F428)&gt;0,F428,IF(N(E428)&gt;0,E428/가정!$B$5,0))</f>
        <v>13500</v>
      </c>
      <c r="L428" s="95" t="n">
        <f aca="false">IF(B428="CN",IF(N(I428)&gt;0,I428*가정!$B$3,K428*(1+가정!$B$6)),IF(N(H428)&gt;0,H428*가정!$B$3,J428*가정!$B$4))</f>
        <v>20169.144</v>
      </c>
      <c r="M428" s="95" t="n">
        <f aca="false">D428*J428</f>
        <v>5310000</v>
      </c>
      <c r="N428" s="95" t="n">
        <f aca="false">D428*K428</f>
        <v>1215000</v>
      </c>
      <c r="O428" s="95" t="n">
        <f aca="false">D428*L428</f>
        <v>1815222.96</v>
      </c>
      <c r="P428" s="34" t="str">
        <f aca="false">TRIM(IF(N(E428)&lt;=0,"택가보정 ","")&amp;IF(N(F428)&lt;=0,"원가보정 ","")&amp;IF(AND(B428&lt;&gt;"CN",N(H428)&lt;=0),"공급가보정 ","")&amp;IF(AND(B428="CN",N(I428)&lt;=0),"중국공급가=원가+마진 ",""))</f>
        <v/>
      </c>
    </row>
    <row r="429" customFormat="false" ht="15" hidden="false" customHeight="true" outlineLevel="0" collapsed="false">
      <c r="A429" s="94" t="s">
        <v>1692</v>
      </c>
      <c r="B429" s="34" t="str">
        <f aca="false">IF(A429="100","HK",IF(A429="200","CN",IF(A429="300","TW","홀세일")))</f>
        <v>홀세일</v>
      </c>
      <c r="C429" s="94" t="s">
        <v>350</v>
      </c>
      <c r="D429" s="95" t="n">
        <v>61</v>
      </c>
      <c r="E429" s="95" t="n">
        <v>59000</v>
      </c>
      <c r="F429" s="95" t="n">
        <v>13500</v>
      </c>
      <c r="G429" s="34" t="n">
        <v>3.75</v>
      </c>
      <c r="H429" s="34" t="n">
        <v>14.8</v>
      </c>
      <c r="J429" s="95" t="n">
        <f aca="false">IF(N(E429)&gt;0,E429,IF(N(F429)&gt;0,F429*가정!$B$5,0))</f>
        <v>59000</v>
      </c>
      <c r="K429" s="95" t="n">
        <f aca="false">IF(N(F429)&gt;0,F429,IF(N(E429)&gt;0,E429/가정!$B$5,0))</f>
        <v>13500</v>
      </c>
      <c r="L429" s="95" t="n">
        <f aca="false">IF(B429="CN",IF(N(I429)&gt;0,I429*가정!$B$3,K429*(1+가정!$B$6)),IF(N(H429)&gt;0,H429*가정!$B$3,J429*가정!$B$4))</f>
        <v>20169.144</v>
      </c>
      <c r="M429" s="95" t="n">
        <f aca="false">D429*J429</f>
        <v>3599000</v>
      </c>
      <c r="N429" s="95" t="n">
        <f aca="false">D429*K429</f>
        <v>823500</v>
      </c>
      <c r="O429" s="95" t="n">
        <f aca="false">D429*L429</f>
        <v>1230317.784</v>
      </c>
      <c r="P429" s="34" t="str">
        <f aca="false">TRIM(IF(N(E429)&lt;=0,"택가보정 ","")&amp;IF(N(F429)&lt;=0,"원가보정 ","")&amp;IF(AND(B429&lt;&gt;"CN",N(H429)&lt;=0),"공급가보정 ","")&amp;IF(AND(B429="CN",N(I429)&lt;=0),"중국공급가=원가+마진 ",""))</f>
        <v/>
      </c>
    </row>
    <row r="430" customFormat="false" ht="15" hidden="false" customHeight="true" outlineLevel="0" collapsed="false">
      <c r="A430" s="94" t="s">
        <v>1689</v>
      </c>
      <c r="B430" s="34" t="str">
        <f aca="false">IF(A430="100","HK",IF(A430="200","CN",IF(A430="300","TW","홀세일")))</f>
        <v>홀세일</v>
      </c>
      <c r="C430" s="94" t="s">
        <v>350</v>
      </c>
      <c r="D430" s="95" t="n">
        <v>65</v>
      </c>
      <c r="E430" s="95" t="n">
        <v>59000</v>
      </c>
      <c r="F430" s="95" t="n">
        <v>13500</v>
      </c>
      <c r="G430" s="34" t="n">
        <v>3.75</v>
      </c>
      <c r="H430" s="34" t="n">
        <v>14.8</v>
      </c>
      <c r="J430" s="95" t="n">
        <f aca="false">IF(N(E430)&gt;0,E430,IF(N(F430)&gt;0,F430*가정!$B$5,0))</f>
        <v>59000</v>
      </c>
      <c r="K430" s="95" t="n">
        <f aca="false">IF(N(F430)&gt;0,F430,IF(N(E430)&gt;0,E430/가정!$B$5,0))</f>
        <v>13500</v>
      </c>
      <c r="L430" s="95" t="n">
        <f aca="false">IF(B430="CN",IF(N(I430)&gt;0,I430*가정!$B$3,K430*(1+가정!$B$6)),IF(N(H430)&gt;0,H430*가정!$B$3,J430*가정!$B$4))</f>
        <v>20169.144</v>
      </c>
      <c r="M430" s="95" t="n">
        <f aca="false">D430*J430</f>
        <v>3835000</v>
      </c>
      <c r="N430" s="95" t="n">
        <f aca="false">D430*K430</f>
        <v>877500</v>
      </c>
      <c r="O430" s="95" t="n">
        <f aca="false">D430*L430</f>
        <v>1310994.36</v>
      </c>
      <c r="P430" s="34" t="str">
        <f aca="false">TRIM(IF(N(E430)&lt;=0,"택가보정 ","")&amp;IF(N(F430)&lt;=0,"원가보정 ","")&amp;IF(AND(B430&lt;&gt;"CN",N(H430)&lt;=0),"공급가보정 ","")&amp;IF(AND(B430="CN",N(I430)&lt;=0),"중국공급가=원가+마진 ",""))</f>
        <v/>
      </c>
    </row>
    <row r="431" customFormat="false" ht="15" hidden="false" customHeight="true" outlineLevel="0" collapsed="false">
      <c r="A431" s="94" t="s">
        <v>1684</v>
      </c>
      <c r="B431" s="34" t="str">
        <f aca="false">IF(A431="100","HK",IF(A431="200","CN",IF(A431="300","TW","홀세일")))</f>
        <v>HK</v>
      </c>
      <c r="C431" s="94" t="s">
        <v>352</v>
      </c>
      <c r="D431" s="95" t="n">
        <v>360</v>
      </c>
      <c r="E431" s="95" t="n">
        <v>59000</v>
      </c>
      <c r="F431" s="95" t="n">
        <v>12913</v>
      </c>
      <c r="G431" s="34" t="n">
        <v>3.94</v>
      </c>
      <c r="H431" s="34" t="n">
        <v>14.8</v>
      </c>
      <c r="J431" s="95" t="n">
        <f aca="false">IF(N(E431)&gt;0,E431,IF(N(F431)&gt;0,F431*가정!$B$5,0))</f>
        <v>59000</v>
      </c>
      <c r="K431" s="95" t="n">
        <f aca="false">IF(N(F431)&gt;0,F431,IF(N(E431)&gt;0,E431/가정!$B$5,0))</f>
        <v>12913</v>
      </c>
      <c r="L431" s="95" t="n">
        <f aca="false">IF(B431="CN",IF(N(I431)&gt;0,I431*가정!$B$3,K431*(1+가정!$B$6)),IF(N(H431)&gt;0,H431*가정!$B$3,J431*가정!$B$4))</f>
        <v>20169.144</v>
      </c>
      <c r="M431" s="95" t="n">
        <f aca="false">D431*J431</f>
        <v>21240000</v>
      </c>
      <c r="N431" s="95" t="n">
        <f aca="false">D431*K431</f>
        <v>4648680</v>
      </c>
      <c r="O431" s="95" t="n">
        <f aca="false">D431*L431</f>
        <v>7260891.84</v>
      </c>
      <c r="P431" s="34" t="str">
        <f aca="false">TRIM(IF(N(E431)&lt;=0,"택가보정 ","")&amp;IF(N(F431)&lt;=0,"원가보정 ","")&amp;IF(AND(B431&lt;&gt;"CN",N(H431)&lt;=0),"공급가보정 ","")&amp;IF(AND(B431="CN",N(I431)&lt;=0),"중국공급가=원가+마진 ",""))</f>
        <v/>
      </c>
    </row>
    <row r="432" customFormat="false" ht="15.75" hidden="false" customHeight="true" outlineLevel="0" collapsed="false">
      <c r="A432" s="94" t="s">
        <v>1685</v>
      </c>
      <c r="B432" s="34" t="str">
        <f aca="false">IF(A432="100","HK",IF(A432="200","CN",IF(A432="300","TW","홀세일")))</f>
        <v>CN</v>
      </c>
      <c r="C432" s="94" t="s">
        <v>352</v>
      </c>
      <c r="D432" s="95" t="n">
        <v>463</v>
      </c>
      <c r="E432" s="95" t="n">
        <v>59000</v>
      </c>
      <c r="F432" s="95" t="n">
        <v>12913</v>
      </c>
      <c r="G432" s="34" t="n">
        <v>3.94</v>
      </c>
      <c r="H432" s="34" t="n">
        <v>14.8</v>
      </c>
      <c r="J432" s="95" t="n">
        <f aca="false">IF(N(E432)&gt;0,E432,IF(N(F432)&gt;0,F432*가정!$B$5,0))</f>
        <v>59000</v>
      </c>
      <c r="K432" s="95" t="n">
        <f aca="false">IF(N(F432)&gt;0,F432,IF(N(E432)&gt;0,E432/가정!$B$5,0))</f>
        <v>12913</v>
      </c>
      <c r="L432" s="95" t="n">
        <f aca="false">IF(B432="CN",IF(N(I432)&gt;0,I432*가정!$B$3,K432*(1+가정!$B$6)),IF(N(H432)&gt;0,H432*가정!$B$3,J432*가정!$B$4))</f>
        <v>13558.65</v>
      </c>
      <c r="M432" s="95" t="n">
        <f aca="false">D432*J432</f>
        <v>27317000</v>
      </c>
      <c r="N432" s="95" t="n">
        <f aca="false">D432*K432</f>
        <v>5978719</v>
      </c>
      <c r="O432" s="95" t="n">
        <f aca="false">D432*L432</f>
        <v>6277654.95</v>
      </c>
      <c r="P432" s="34" t="str">
        <f aca="false">TRIM(IF(N(E432)&lt;=0,"택가보정 ","")&amp;IF(N(F432)&lt;=0,"원가보정 ","")&amp;IF(AND(B432&lt;&gt;"CN",N(H432)&lt;=0),"공급가보정 ","")&amp;IF(AND(B432="CN",N(I432)&lt;=0),"중국공급가=원가+마진 ",""))</f>
        <v>중국공급가=원가+마진</v>
      </c>
    </row>
    <row r="433" customFormat="false" ht="15" hidden="false" customHeight="true" outlineLevel="0" collapsed="false">
      <c r="A433" s="94" t="s">
        <v>1686</v>
      </c>
      <c r="B433" s="34" t="str">
        <f aca="false">IF(A433="100","HK",IF(A433="200","CN",IF(A433="300","TW","홀세일")))</f>
        <v>TW</v>
      </c>
      <c r="C433" s="94" t="s">
        <v>352</v>
      </c>
      <c r="D433" s="95" t="n">
        <v>400</v>
      </c>
      <c r="E433" s="95" t="n">
        <v>59000</v>
      </c>
      <c r="F433" s="95" t="n">
        <v>12913</v>
      </c>
      <c r="G433" s="34" t="n">
        <v>3.94</v>
      </c>
      <c r="H433" s="34" t="n">
        <v>14.8</v>
      </c>
      <c r="J433" s="95" t="n">
        <f aca="false">IF(N(E433)&gt;0,E433,IF(N(F433)&gt;0,F433*가정!$B$5,0))</f>
        <v>59000</v>
      </c>
      <c r="K433" s="95" t="n">
        <f aca="false">IF(N(F433)&gt;0,F433,IF(N(E433)&gt;0,E433/가정!$B$5,0))</f>
        <v>12913</v>
      </c>
      <c r="L433" s="95" t="n">
        <f aca="false">IF(B433="CN",IF(N(I433)&gt;0,I433*가정!$B$3,K433*(1+가정!$B$6)),IF(N(H433)&gt;0,H433*가정!$B$3,J433*가정!$B$4))</f>
        <v>20169.144</v>
      </c>
      <c r="M433" s="95" t="n">
        <f aca="false">D433*J433</f>
        <v>23600000</v>
      </c>
      <c r="N433" s="95" t="n">
        <f aca="false">D433*K433</f>
        <v>5165200</v>
      </c>
      <c r="O433" s="95" t="n">
        <f aca="false">D433*L433</f>
        <v>8067657.6</v>
      </c>
      <c r="P433" s="34" t="str">
        <f aca="false">TRIM(IF(N(E433)&lt;=0,"택가보정 ","")&amp;IF(N(F433)&lt;=0,"원가보정 ","")&amp;IF(AND(B433&lt;&gt;"CN",N(H433)&lt;=0),"공급가보정 ","")&amp;IF(AND(B433="CN",N(I433)&lt;=0),"중국공급가=원가+마진 ",""))</f>
        <v/>
      </c>
    </row>
    <row r="434" customFormat="false" ht="15" hidden="false" customHeight="true" outlineLevel="0" collapsed="false">
      <c r="A434" s="94" t="s">
        <v>1688</v>
      </c>
      <c r="B434" s="34" t="str">
        <f aca="false">IF(A434="100","HK",IF(A434="200","CN",IF(A434="300","TW","홀세일")))</f>
        <v>홀세일</v>
      </c>
      <c r="C434" s="94" t="s">
        <v>352</v>
      </c>
      <c r="D434" s="95" t="n">
        <v>40</v>
      </c>
      <c r="E434" s="95" t="n">
        <v>59000</v>
      </c>
      <c r="F434" s="95" t="n">
        <v>12913</v>
      </c>
      <c r="G434" s="34" t="n">
        <v>3.94</v>
      </c>
      <c r="H434" s="34" t="n">
        <v>14.8</v>
      </c>
      <c r="J434" s="95" t="n">
        <f aca="false">IF(N(E434)&gt;0,E434,IF(N(F434)&gt;0,F434*가정!$B$5,0))</f>
        <v>59000</v>
      </c>
      <c r="K434" s="95" t="n">
        <f aca="false">IF(N(F434)&gt;0,F434,IF(N(E434)&gt;0,E434/가정!$B$5,0))</f>
        <v>12913</v>
      </c>
      <c r="L434" s="95" t="n">
        <f aca="false">IF(B434="CN",IF(N(I434)&gt;0,I434*가정!$B$3,K434*(1+가정!$B$6)),IF(N(H434)&gt;0,H434*가정!$B$3,J434*가정!$B$4))</f>
        <v>20169.144</v>
      </c>
      <c r="M434" s="95" t="n">
        <f aca="false">D434*J434</f>
        <v>2360000</v>
      </c>
      <c r="N434" s="95" t="n">
        <f aca="false">D434*K434</f>
        <v>516520</v>
      </c>
      <c r="O434" s="95" t="n">
        <f aca="false">D434*L434</f>
        <v>806765.76</v>
      </c>
      <c r="P434" s="34" t="str">
        <f aca="false">TRIM(IF(N(E434)&lt;=0,"택가보정 ","")&amp;IF(N(F434)&lt;=0,"원가보정 ","")&amp;IF(AND(B434&lt;&gt;"CN",N(H434)&lt;=0),"공급가보정 ","")&amp;IF(AND(B434="CN",N(I434)&lt;=0),"중국공급가=원가+마진 ",""))</f>
        <v/>
      </c>
    </row>
    <row r="435" customFormat="false" ht="15" hidden="false" customHeight="true" outlineLevel="0" collapsed="false">
      <c r="A435" s="94" t="s">
        <v>1689</v>
      </c>
      <c r="B435" s="34" t="str">
        <f aca="false">IF(A435="100","HK",IF(A435="200","CN",IF(A435="300","TW","홀세일")))</f>
        <v>홀세일</v>
      </c>
      <c r="C435" s="94" t="s">
        <v>352</v>
      </c>
      <c r="D435" s="95" t="n">
        <v>40</v>
      </c>
      <c r="E435" s="95" t="n">
        <v>59000</v>
      </c>
      <c r="F435" s="95" t="n">
        <v>12913</v>
      </c>
      <c r="G435" s="34" t="n">
        <v>3.94</v>
      </c>
      <c r="H435" s="34" t="n">
        <v>14.8</v>
      </c>
      <c r="J435" s="95" t="n">
        <f aca="false">IF(N(E435)&gt;0,E435,IF(N(F435)&gt;0,F435*가정!$B$5,0))</f>
        <v>59000</v>
      </c>
      <c r="K435" s="95" t="n">
        <f aca="false">IF(N(F435)&gt;0,F435,IF(N(E435)&gt;0,E435/가정!$B$5,0))</f>
        <v>12913</v>
      </c>
      <c r="L435" s="95" t="n">
        <f aca="false">IF(B435="CN",IF(N(I435)&gt;0,I435*가정!$B$3,K435*(1+가정!$B$6)),IF(N(H435)&gt;0,H435*가정!$B$3,J435*가정!$B$4))</f>
        <v>20169.144</v>
      </c>
      <c r="M435" s="95" t="n">
        <f aca="false">D435*J435</f>
        <v>2360000</v>
      </c>
      <c r="N435" s="95" t="n">
        <f aca="false">D435*K435</f>
        <v>516520</v>
      </c>
      <c r="O435" s="95" t="n">
        <f aca="false">D435*L435</f>
        <v>806765.76</v>
      </c>
      <c r="P435" s="34" t="str">
        <f aca="false">TRIM(IF(N(E435)&lt;=0,"택가보정 ","")&amp;IF(N(F435)&lt;=0,"원가보정 ","")&amp;IF(AND(B435&lt;&gt;"CN",N(H435)&lt;=0),"공급가보정 ","")&amp;IF(AND(B435="CN",N(I435)&lt;=0),"중국공급가=원가+마진 ",""))</f>
        <v/>
      </c>
    </row>
    <row r="436" customFormat="false" ht="15" hidden="false" customHeight="true" outlineLevel="0" collapsed="false">
      <c r="A436" s="94" t="s">
        <v>1686</v>
      </c>
      <c r="B436" s="34" t="str">
        <f aca="false">IF(A436="100","HK",IF(A436="200","CN",IF(A436="300","TW","홀세일")))</f>
        <v>TW</v>
      </c>
      <c r="C436" s="94" t="s">
        <v>354</v>
      </c>
      <c r="D436" s="95" t="n">
        <v>450</v>
      </c>
      <c r="E436" s="95" t="n">
        <v>69000</v>
      </c>
      <c r="F436" s="95" t="n">
        <v>14300</v>
      </c>
      <c r="G436" s="34" t="n">
        <v>4.61</v>
      </c>
      <c r="H436" s="34" t="n">
        <v>17.3</v>
      </c>
      <c r="J436" s="95" t="n">
        <f aca="false">IF(N(E436)&gt;0,E436,IF(N(F436)&gt;0,F436*가정!$B$5,0))</f>
        <v>69000</v>
      </c>
      <c r="K436" s="95" t="n">
        <f aca="false">IF(N(F436)&gt;0,F436,IF(N(E436)&gt;0,E436/가정!$B$5,0))</f>
        <v>14300</v>
      </c>
      <c r="L436" s="95" t="n">
        <f aca="false">IF(B436="CN",IF(N(I436)&gt;0,I436*가정!$B$3,K436*(1+가정!$B$6)),IF(N(H436)&gt;0,H436*가정!$B$3,J436*가정!$B$4))</f>
        <v>23576.094</v>
      </c>
      <c r="M436" s="95" t="n">
        <f aca="false">D436*J436</f>
        <v>31050000</v>
      </c>
      <c r="N436" s="95" t="n">
        <f aca="false">D436*K436</f>
        <v>6435000</v>
      </c>
      <c r="O436" s="95" t="n">
        <f aca="false">D436*L436</f>
        <v>10609242.3</v>
      </c>
      <c r="P436" s="34" t="str">
        <f aca="false">TRIM(IF(N(E436)&lt;=0,"택가보정 ","")&amp;IF(N(F436)&lt;=0,"원가보정 ","")&amp;IF(AND(B436&lt;&gt;"CN",N(H436)&lt;=0),"공급가보정 ","")&amp;IF(AND(B436="CN",N(I436)&lt;=0),"중국공급가=원가+마진 ",""))</f>
        <v/>
      </c>
    </row>
    <row r="437" customFormat="false" ht="15" hidden="false" customHeight="true" outlineLevel="0" collapsed="false">
      <c r="A437" s="94" t="s">
        <v>1688</v>
      </c>
      <c r="B437" s="34" t="str">
        <f aca="false">IF(A437="100","HK",IF(A437="200","CN",IF(A437="300","TW","홀세일")))</f>
        <v>홀세일</v>
      </c>
      <c r="C437" s="94" t="s">
        <v>354</v>
      </c>
      <c r="D437" s="95" t="n">
        <v>170</v>
      </c>
      <c r="E437" s="95" t="n">
        <v>69000</v>
      </c>
      <c r="F437" s="95" t="n">
        <v>14300</v>
      </c>
      <c r="G437" s="34" t="n">
        <v>4.61</v>
      </c>
      <c r="H437" s="34" t="n">
        <v>17.3</v>
      </c>
      <c r="J437" s="95" t="n">
        <f aca="false">IF(N(E437)&gt;0,E437,IF(N(F437)&gt;0,F437*가정!$B$5,0))</f>
        <v>69000</v>
      </c>
      <c r="K437" s="95" t="n">
        <f aca="false">IF(N(F437)&gt;0,F437,IF(N(E437)&gt;0,E437/가정!$B$5,0))</f>
        <v>14300</v>
      </c>
      <c r="L437" s="95" t="n">
        <f aca="false">IF(B437="CN",IF(N(I437)&gt;0,I437*가정!$B$3,K437*(1+가정!$B$6)),IF(N(H437)&gt;0,H437*가정!$B$3,J437*가정!$B$4))</f>
        <v>23576.094</v>
      </c>
      <c r="M437" s="95" t="n">
        <f aca="false">D437*J437</f>
        <v>11730000</v>
      </c>
      <c r="N437" s="95" t="n">
        <f aca="false">D437*K437</f>
        <v>2431000</v>
      </c>
      <c r="O437" s="95" t="n">
        <f aca="false">D437*L437</f>
        <v>4007935.98</v>
      </c>
      <c r="P437" s="34" t="str">
        <f aca="false">TRIM(IF(N(E437)&lt;=0,"택가보정 ","")&amp;IF(N(F437)&lt;=0,"원가보정 ","")&amp;IF(AND(B437&lt;&gt;"CN",N(H437)&lt;=0),"공급가보정 ","")&amp;IF(AND(B437="CN",N(I437)&lt;=0),"중국공급가=원가+마진 ",""))</f>
        <v/>
      </c>
    </row>
    <row r="438" customFormat="false" ht="15" hidden="false" customHeight="true" outlineLevel="0" collapsed="false">
      <c r="A438" s="94" t="s">
        <v>1689</v>
      </c>
      <c r="B438" s="34" t="str">
        <f aca="false">IF(A438="100","HK",IF(A438="200","CN",IF(A438="300","TW","홀세일")))</f>
        <v>홀세일</v>
      </c>
      <c r="C438" s="94" t="s">
        <v>354</v>
      </c>
      <c r="D438" s="95" t="n">
        <v>65</v>
      </c>
      <c r="E438" s="95" t="n">
        <v>69000</v>
      </c>
      <c r="F438" s="95" t="n">
        <v>14300</v>
      </c>
      <c r="G438" s="34" t="n">
        <v>4.61</v>
      </c>
      <c r="H438" s="34" t="n">
        <v>17.3</v>
      </c>
      <c r="J438" s="95" t="n">
        <f aca="false">IF(N(E438)&gt;0,E438,IF(N(F438)&gt;0,F438*가정!$B$5,0))</f>
        <v>69000</v>
      </c>
      <c r="K438" s="95" t="n">
        <f aca="false">IF(N(F438)&gt;0,F438,IF(N(E438)&gt;0,E438/가정!$B$5,0))</f>
        <v>14300</v>
      </c>
      <c r="L438" s="95" t="n">
        <f aca="false">IF(B438="CN",IF(N(I438)&gt;0,I438*가정!$B$3,K438*(1+가정!$B$6)),IF(N(H438)&gt;0,H438*가정!$B$3,J438*가정!$B$4))</f>
        <v>23576.094</v>
      </c>
      <c r="M438" s="95" t="n">
        <f aca="false">D438*J438</f>
        <v>4485000</v>
      </c>
      <c r="N438" s="95" t="n">
        <f aca="false">D438*K438</f>
        <v>929500</v>
      </c>
      <c r="O438" s="95" t="n">
        <f aca="false">D438*L438</f>
        <v>1532446.11</v>
      </c>
      <c r="P438" s="34" t="str">
        <f aca="false">TRIM(IF(N(E438)&lt;=0,"택가보정 ","")&amp;IF(N(F438)&lt;=0,"원가보정 ","")&amp;IF(AND(B438&lt;&gt;"CN",N(H438)&lt;=0),"공급가보정 ","")&amp;IF(AND(B438="CN",N(I438)&lt;=0),"중국공급가=원가+마진 ",""))</f>
        <v/>
      </c>
    </row>
    <row r="439" customFormat="false" ht="15" hidden="false" customHeight="true" outlineLevel="0" collapsed="false">
      <c r="A439" s="94" t="s">
        <v>1684</v>
      </c>
      <c r="B439" s="34" t="str">
        <f aca="false">IF(A439="100","HK",IF(A439="200","CN",IF(A439="300","TW","홀세일")))</f>
        <v>HK</v>
      </c>
      <c r="C439" s="94" t="s">
        <v>356</v>
      </c>
      <c r="D439" s="95" t="n">
        <v>480</v>
      </c>
      <c r="E439" s="95" t="n">
        <v>59000</v>
      </c>
      <c r="F439" s="95" t="n">
        <v>12100</v>
      </c>
      <c r="G439" s="34" t="n">
        <v>4.06</v>
      </c>
      <c r="H439" s="34" t="n">
        <v>14.8</v>
      </c>
      <c r="J439" s="95" t="n">
        <f aca="false">IF(N(E439)&gt;0,E439,IF(N(F439)&gt;0,F439*가정!$B$5,0))</f>
        <v>59000</v>
      </c>
      <c r="K439" s="95" t="n">
        <f aca="false">IF(N(F439)&gt;0,F439,IF(N(E439)&gt;0,E439/가정!$B$5,0))</f>
        <v>12100</v>
      </c>
      <c r="L439" s="95" t="n">
        <f aca="false">IF(B439="CN",IF(N(I439)&gt;0,I439*가정!$B$3,K439*(1+가정!$B$6)),IF(N(H439)&gt;0,H439*가정!$B$3,J439*가정!$B$4))</f>
        <v>20169.144</v>
      </c>
      <c r="M439" s="95" t="n">
        <f aca="false">D439*J439</f>
        <v>28320000</v>
      </c>
      <c r="N439" s="95" t="n">
        <f aca="false">D439*K439</f>
        <v>5808000</v>
      </c>
      <c r="O439" s="95" t="n">
        <f aca="false">D439*L439</f>
        <v>9681189.12</v>
      </c>
      <c r="P439" s="34" t="str">
        <f aca="false">TRIM(IF(N(E439)&lt;=0,"택가보정 ","")&amp;IF(N(F439)&lt;=0,"원가보정 ","")&amp;IF(AND(B439&lt;&gt;"CN",N(H439)&lt;=0),"공급가보정 ","")&amp;IF(AND(B439="CN",N(I439)&lt;=0),"중국공급가=원가+마진 ",""))</f>
        <v/>
      </c>
    </row>
    <row r="440" customFormat="false" ht="15" hidden="false" customHeight="true" outlineLevel="0" collapsed="false">
      <c r="A440" s="94" t="s">
        <v>1686</v>
      </c>
      <c r="B440" s="34" t="str">
        <f aca="false">IF(A440="100","HK",IF(A440="200","CN",IF(A440="300","TW","홀세일")))</f>
        <v>TW</v>
      </c>
      <c r="C440" s="94" t="s">
        <v>356</v>
      </c>
      <c r="D440" s="95" t="n">
        <v>580</v>
      </c>
      <c r="E440" s="95" t="n">
        <v>59000</v>
      </c>
      <c r="F440" s="95" t="n">
        <v>12100</v>
      </c>
      <c r="G440" s="34" t="n">
        <v>4.06</v>
      </c>
      <c r="H440" s="34" t="n">
        <v>14.8</v>
      </c>
      <c r="J440" s="95" t="n">
        <f aca="false">IF(N(E440)&gt;0,E440,IF(N(F440)&gt;0,F440*가정!$B$5,0))</f>
        <v>59000</v>
      </c>
      <c r="K440" s="95" t="n">
        <f aca="false">IF(N(F440)&gt;0,F440,IF(N(E440)&gt;0,E440/가정!$B$5,0))</f>
        <v>12100</v>
      </c>
      <c r="L440" s="95" t="n">
        <f aca="false">IF(B440="CN",IF(N(I440)&gt;0,I440*가정!$B$3,K440*(1+가정!$B$6)),IF(N(H440)&gt;0,H440*가정!$B$3,J440*가정!$B$4))</f>
        <v>20169.144</v>
      </c>
      <c r="M440" s="95" t="n">
        <f aca="false">D440*J440</f>
        <v>34220000</v>
      </c>
      <c r="N440" s="95" t="n">
        <f aca="false">D440*K440</f>
        <v>7018000</v>
      </c>
      <c r="O440" s="95" t="n">
        <f aca="false">D440*L440</f>
        <v>11698103.52</v>
      </c>
      <c r="P440" s="34" t="str">
        <f aca="false">TRIM(IF(N(E440)&lt;=0,"택가보정 ","")&amp;IF(N(F440)&lt;=0,"원가보정 ","")&amp;IF(AND(B440&lt;&gt;"CN",N(H440)&lt;=0),"공급가보정 ","")&amp;IF(AND(B440="CN",N(I440)&lt;=0),"중국공급가=원가+마진 ",""))</f>
        <v/>
      </c>
    </row>
    <row r="441" customFormat="false" ht="15" hidden="false" customHeight="true" outlineLevel="0" collapsed="false">
      <c r="A441" s="94" t="s">
        <v>1688</v>
      </c>
      <c r="B441" s="34" t="str">
        <f aca="false">IF(A441="100","HK",IF(A441="200","CN",IF(A441="300","TW","홀세일")))</f>
        <v>홀세일</v>
      </c>
      <c r="C441" s="94" t="s">
        <v>356</v>
      </c>
      <c r="D441" s="95" t="n">
        <v>135</v>
      </c>
      <c r="E441" s="95" t="n">
        <v>59000</v>
      </c>
      <c r="F441" s="95" t="n">
        <v>12100</v>
      </c>
      <c r="G441" s="34" t="n">
        <v>4.06</v>
      </c>
      <c r="H441" s="34" t="n">
        <v>14.8</v>
      </c>
      <c r="J441" s="95" t="n">
        <f aca="false">IF(N(E441)&gt;0,E441,IF(N(F441)&gt;0,F441*가정!$B$5,0))</f>
        <v>59000</v>
      </c>
      <c r="K441" s="95" t="n">
        <f aca="false">IF(N(F441)&gt;0,F441,IF(N(E441)&gt;0,E441/가정!$B$5,0))</f>
        <v>12100</v>
      </c>
      <c r="L441" s="95" t="n">
        <f aca="false">IF(B441="CN",IF(N(I441)&gt;0,I441*가정!$B$3,K441*(1+가정!$B$6)),IF(N(H441)&gt;0,H441*가정!$B$3,J441*가정!$B$4))</f>
        <v>20169.144</v>
      </c>
      <c r="M441" s="95" t="n">
        <f aca="false">D441*J441</f>
        <v>7965000</v>
      </c>
      <c r="N441" s="95" t="n">
        <f aca="false">D441*K441</f>
        <v>1633500</v>
      </c>
      <c r="O441" s="95" t="n">
        <f aca="false">D441*L441</f>
        <v>2722834.44</v>
      </c>
      <c r="P441" s="34" t="str">
        <f aca="false">TRIM(IF(N(E441)&lt;=0,"택가보정 ","")&amp;IF(N(F441)&lt;=0,"원가보정 ","")&amp;IF(AND(B441&lt;&gt;"CN",N(H441)&lt;=0),"공급가보정 ","")&amp;IF(AND(B441="CN",N(I441)&lt;=0),"중국공급가=원가+마진 ",""))</f>
        <v/>
      </c>
    </row>
    <row r="442" customFormat="false" ht="15" hidden="false" customHeight="true" outlineLevel="0" collapsed="false">
      <c r="A442" s="94" t="s">
        <v>1684</v>
      </c>
      <c r="B442" s="34" t="str">
        <f aca="false">IF(A442="100","HK",IF(A442="200","CN",IF(A442="300","TW","홀세일")))</f>
        <v>HK</v>
      </c>
      <c r="C442" s="94" t="s">
        <v>358</v>
      </c>
      <c r="D442" s="95" t="n">
        <v>720</v>
      </c>
      <c r="E442" s="95" t="n">
        <v>69000</v>
      </c>
      <c r="F442" s="95" t="n">
        <v>13700</v>
      </c>
      <c r="G442" s="34" t="n">
        <v>4.39</v>
      </c>
      <c r="H442" s="34" t="n">
        <v>17.3</v>
      </c>
      <c r="J442" s="95" t="n">
        <f aca="false">IF(N(E442)&gt;0,E442,IF(N(F442)&gt;0,F442*가정!$B$5,0))</f>
        <v>69000</v>
      </c>
      <c r="K442" s="95" t="n">
        <f aca="false">IF(N(F442)&gt;0,F442,IF(N(E442)&gt;0,E442/가정!$B$5,0))</f>
        <v>13700</v>
      </c>
      <c r="L442" s="95" t="n">
        <f aca="false">IF(B442="CN",IF(N(I442)&gt;0,I442*가정!$B$3,K442*(1+가정!$B$6)),IF(N(H442)&gt;0,H442*가정!$B$3,J442*가정!$B$4))</f>
        <v>23576.094</v>
      </c>
      <c r="M442" s="95" t="n">
        <f aca="false">D442*J442</f>
        <v>49680000</v>
      </c>
      <c r="N442" s="95" t="n">
        <f aca="false">D442*K442</f>
        <v>9864000</v>
      </c>
      <c r="O442" s="95" t="n">
        <f aca="false">D442*L442</f>
        <v>16974787.68</v>
      </c>
      <c r="P442" s="34" t="str">
        <f aca="false">TRIM(IF(N(E442)&lt;=0,"택가보정 ","")&amp;IF(N(F442)&lt;=0,"원가보정 ","")&amp;IF(AND(B442&lt;&gt;"CN",N(H442)&lt;=0),"공급가보정 ","")&amp;IF(AND(B442="CN",N(I442)&lt;=0),"중국공급가=원가+마진 ",""))</f>
        <v/>
      </c>
    </row>
    <row r="443" customFormat="false" ht="15" hidden="false" customHeight="true" outlineLevel="0" collapsed="false">
      <c r="A443" s="94" t="s">
        <v>1686</v>
      </c>
      <c r="B443" s="34" t="str">
        <f aca="false">IF(A443="100","HK",IF(A443="200","CN",IF(A443="300","TW","홀세일")))</f>
        <v>TW</v>
      </c>
      <c r="C443" s="94" t="s">
        <v>358</v>
      </c>
      <c r="D443" s="95" t="n">
        <v>700</v>
      </c>
      <c r="E443" s="95" t="n">
        <v>69000</v>
      </c>
      <c r="F443" s="95" t="n">
        <v>13700</v>
      </c>
      <c r="G443" s="34" t="n">
        <v>4.39</v>
      </c>
      <c r="H443" s="34" t="n">
        <v>17.3</v>
      </c>
      <c r="J443" s="95" t="n">
        <f aca="false">IF(N(E443)&gt;0,E443,IF(N(F443)&gt;0,F443*가정!$B$5,0))</f>
        <v>69000</v>
      </c>
      <c r="K443" s="95" t="n">
        <f aca="false">IF(N(F443)&gt;0,F443,IF(N(E443)&gt;0,E443/가정!$B$5,0))</f>
        <v>13700</v>
      </c>
      <c r="L443" s="95" t="n">
        <f aca="false">IF(B443="CN",IF(N(I443)&gt;0,I443*가정!$B$3,K443*(1+가정!$B$6)),IF(N(H443)&gt;0,H443*가정!$B$3,J443*가정!$B$4))</f>
        <v>23576.094</v>
      </c>
      <c r="M443" s="95" t="n">
        <f aca="false">D443*J443</f>
        <v>48300000</v>
      </c>
      <c r="N443" s="95" t="n">
        <f aca="false">D443*K443</f>
        <v>9590000</v>
      </c>
      <c r="O443" s="95" t="n">
        <f aca="false">D443*L443</f>
        <v>16503265.8</v>
      </c>
      <c r="P443" s="34" t="str">
        <f aca="false">TRIM(IF(N(E443)&lt;=0,"택가보정 ","")&amp;IF(N(F443)&lt;=0,"원가보정 ","")&amp;IF(AND(B443&lt;&gt;"CN",N(H443)&lt;=0),"공급가보정 ","")&amp;IF(AND(B443="CN",N(I443)&lt;=0),"중국공급가=원가+마진 ",""))</f>
        <v/>
      </c>
    </row>
    <row r="444" customFormat="false" ht="15" hidden="false" customHeight="true" outlineLevel="0" collapsed="false">
      <c r="A444" s="94" t="s">
        <v>1688</v>
      </c>
      <c r="B444" s="34" t="str">
        <f aca="false">IF(A444="100","HK",IF(A444="200","CN",IF(A444="300","TW","홀세일")))</f>
        <v>홀세일</v>
      </c>
      <c r="C444" s="94" t="s">
        <v>358</v>
      </c>
      <c r="D444" s="95" t="n">
        <v>205</v>
      </c>
      <c r="E444" s="95" t="n">
        <v>69000</v>
      </c>
      <c r="F444" s="95" t="n">
        <v>13700</v>
      </c>
      <c r="G444" s="34" t="n">
        <v>4.39</v>
      </c>
      <c r="H444" s="34" t="n">
        <v>17.3</v>
      </c>
      <c r="J444" s="95" t="n">
        <f aca="false">IF(N(E444)&gt;0,E444,IF(N(F444)&gt;0,F444*가정!$B$5,0))</f>
        <v>69000</v>
      </c>
      <c r="K444" s="95" t="n">
        <f aca="false">IF(N(F444)&gt;0,F444,IF(N(E444)&gt;0,E444/가정!$B$5,0))</f>
        <v>13700</v>
      </c>
      <c r="L444" s="95" t="n">
        <f aca="false">IF(B444="CN",IF(N(I444)&gt;0,I444*가정!$B$3,K444*(1+가정!$B$6)),IF(N(H444)&gt;0,H444*가정!$B$3,J444*가정!$B$4))</f>
        <v>23576.094</v>
      </c>
      <c r="M444" s="95" t="n">
        <f aca="false">D444*J444</f>
        <v>14145000</v>
      </c>
      <c r="N444" s="95" t="n">
        <f aca="false">D444*K444</f>
        <v>2808500</v>
      </c>
      <c r="O444" s="95" t="n">
        <f aca="false">D444*L444</f>
        <v>4833099.27</v>
      </c>
      <c r="P444" s="34" t="str">
        <f aca="false">TRIM(IF(N(E444)&lt;=0,"택가보정 ","")&amp;IF(N(F444)&lt;=0,"원가보정 ","")&amp;IF(AND(B444&lt;&gt;"CN",N(H444)&lt;=0),"공급가보정 ","")&amp;IF(AND(B444="CN",N(I444)&lt;=0),"중국공급가=원가+마진 ",""))</f>
        <v/>
      </c>
    </row>
    <row r="445" customFormat="false" ht="15" hidden="false" customHeight="true" outlineLevel="0" collapsed="false">
      <c r="A445" s="94" t="s">
        <v>1692</v>
      </c>
      <c r="B445" s="34" t="str">
        <f aca="false">IF(A445="100","HK",IF(A445="200","CN",IF(A445="300","TW","홀세일")))</f>
        <v>홀세일</v>
      </c>
      <c r="C445" s="94" t="s">
        <v>358</v>
      </c>
      <c r="D445" s="95" t="n">
        <v>56</v>
      </c>
      <c r="E445" s="95" t="n">
        <v>69000</v>
      </c>
      <c r="F445" s="95" t="n">
        <v>13700</v>
      </c>
      <c r="G445" s="34" t="n">
        <v>4.39</v>
      </c>
      <c r="H445" s="34" t="n">
        <v>17.3</v>
      </c>
      <c r="J445" s="95" t="n">
        <f aca="false">IF(N(E445)&gt;0,E445,IF(N(F445)&gt;0,F445*가정!$B$5,0))</f>
        <v>69000</v>
      </c>
      <c r="K445" s="95" t="n">
        <f aca="false">IF(N(F445)&gt;0,F445,IF(N(E445)&gt;0,E445/가정!$B$5,0))</f>
        <v>13700</v>
      </c>
      <c r="L445" s="95" t="n">
        <f aca="false">IF(B445="CN",IF(N(I445)&gt;0,I445*가정!$B$3,K445*(1+가정!$B$6)),IF(N(H445)&gt;0,H445*가정!$B$3,J445*가정!$B$4))</f>
        <v>23576.094</v>
      </c>
      <c r="M445" s="95" t="n">
        <f aca="false">D445*J445</f>
        <v>3864000</v>
      </c>
      <c r="N445" s="95" t="n">
        <f aca="false">D445*K445</f>
        <v>767200</v>
      </c>
      <c r="O445" s="95" t="n">
        <f aca="false">D445*L445</f>
        <v>1320261.264</v>
      </c>
      <c r="P445" s="34" t="str">
        <f aca="false">TRIM(IF(N(E445)&lt;=0,"택가보정 ","")&amp;IF(N(F445)&lt;=0,"원가보정 ","")&amp;IF(AND(B445&lt;&gt;"CN",N(H445)&lt;=0),"공급가보정 ","")&amp;IF(AND(B445="CN",N(I445)&lt;=0),"중국공급가=원가+마진 ",""))</f>
        <v/>
      </c>
    </row>
    <row r="446" customFormat="false" ht="15" hidden="false" customHeight="true" outlineLevel="0" collapsed="false">
      <c r="A446" s="94" t="s">
        <v>1689</v>
      </c>
      <c r="B446" s="34" t="str">
        <f aca="false">IF(A446="100","HK",IF(A446="200","CN",IF(A446="300","TW","홀세일")))</f>
        <v>홀세일</v>
      </c>
      <c r="C446" s="94" t="s">
        <v>358</v>
      </c>
      <c r="D446" s="95" t="n">
        <v>65</v>
      </c>
      <c r="E446" s="95" t="n">
        <v>69000</v>
      </c>
      <c r="F446" s="95" t="n">
        <v>13700</v>
      </c>
      <c r="G446" s="34" t="n">
        <v>4.39</v>
      </c>
      <c r="H446" s="34" t="n">
        <v>17.3</v>
      </c>
      <c r="J446" s="95" t="n">
        <f aca="false">IF(N(E446)&gt;0,E446,IF(N(F446)&gt;0,F446*가정!$B$5,0))</f>
        <v>69000</v>
      </c>
      <c r="K446" s="95" t="n">
        <f aca="false">IF(N(F446)&gt;0,F446,IF(N(E446)&gt;0,E446/가정!$B$5,0))</f>
        <v>13700</v>
      </c>
      <c r="L446" s="95" t="n">
        <f aca="false">IF(B446="CN",IF(N(I446)&gt;0,I446*가정!$B$3,K446*(1+가정!$B$6)),IF(N(H446)&gt;0,H446*가정!$B$3,J446*가정!$B$4))</f>
        <v>23576.094</v>
      </c>
      <c r="M446" s="95" t="n">
        <f aca="false">D446*J446</f>
        <v>4485000</v>
      </c>
      <c r="N446" s="95" t="n">
        <f aca="false">D446*K446</f>
        <v>890500</v>
      </c>
      <c r="O446" s="95" t="n">
        <f aca="false">D446*L446</f>
        <v>1532446.11</v>
      </c>
      <c r="P446" s="34" t="str">
        <f aca="false">TRIM(IF(N(E446)&lt;=0,"택가보정 ","")&amp;IF(N(F446)&lt;=0,"원가보정 ","")&amp;IF(AND(B446&lt;&gt;"CN",N(H446)&lt;=0),"공급가보정 ","")&amp;IF(AND(B446="CN",N(I446)&lt;=0),"중국공급가=원가+마진 ",""))</f>
        <v/>
      </c>
    </row>
    <row r="447" customFormat="false" ht="15" hidden="false" customHeight="true" outlineLevel="0" collapsed="false">
      <c r="A447" s="94" t="s">
        <v>1684</v>
      </c>
      <c r="B447" s="34" t="str">
        <f aca="false">IF(A447="100","HK",IF(A447="200","CN",IF(A447="300","TW","홀세일")))</f>
        <v>HK</v>
      </c>
      <c r="C447" s="94" t="s">
        <v>360</v>
      </c>
      <c r="D447" s="95" t="n">
        <v>720</v>
      </c>
      <c r="E447" s="95" t="n">
        <v>69000</v>
      </c>
      <c r="F447" s="95" t="n">
        <v>14115</v>
      </c>
      <c r="G447" s="34" t="n">
        <v>4.48</v>
      </c>
      <c r="H447" s="34" t="n">
        <v>17.3</v>
      </c>
      <c r="J447" s="95" t="n">
        <f aca="false">IF(N(E447)&gt;0,E447,IF(N(F447)&gt;0,F447*가정!$B$5,0))</f>
        <v>69000</v>
      </c>
      <c r="K447" s="95" t="n">
        <f aca="false">IF(N(F447)&gt;0,F447,IF(N(E447)&gt;0,E447/가정!$B$5,0))</f>
        <v>14115</v>
      </c>
      <c r="L447" s="95" t="n">
        <f aca="false">IF(B447="CN",IF(N(I447)&gt;0,I447*가정!$B$3,K447*(1+가정!$B$6)),IF(N(H447)&gt;0,H447*가정!$B$3,J447*가정!$B$4))</f>
        <v>23576.094</v>
      </c>
      <c r="M447" s="95" t="n">
        <f aca="false">D447*J447</f>
        <v>49680000</v>
      </c>
      <c r="N447" s="95" t="n">
        <f aca="false">D447*K447</f>
        <v>10162800</v>
      </c>
      <c r="O447" s="95" t="n">
        <f aca="false">D447*L447</f>
        <v>16974787.68</v>
      </c>
      <c r="P447" s="34" t="str">
        <f aca="false">TRIM(IF(N(E447)&lt;=0,"택가보정 ","")&amp;IF(N(F447)&lt;=0,"원가보정 ","")&amp;IF(AND(B447&lt;&gt;"CN",N(H447)&lt;=0),"공급가보정 ","")&amp;IF(AND(B447="CN",N(I447)&lt;=0),"중국공급가=원가+마진 ",""))</f>
        <v/>
      </c>
    </row>
    <row r="448" customFormat="false" ht="15.75" hidden="false" customHeight="true" outlineLevel="0" collapsed="false">
      <c r="A448" s="94" t="s">
        <v>1685</v>
      </c>
      <c r="B448" s="34" t="str">
        <f aca="false">IF(A448="100","HK",IF(A448="200","CN",IF(A448="300","TW","홀세일")))</f>
        <v>CN</v>
      </c>
      <c r="C448" s="94" t="s">
        <v>360</v>
      </c>
      <c r="D448" s="95" t="n">
        <v>242</v>
      </c>
      <c r="E448" s="95" t="n">
        <v>69000</v>
      </c>
      <c r="F448" s="95" t="n">
        <v>14115</v>
      </c>
      <c r="G448" s="34" t="n">
        <v>4.48</v>
      </c>
      <c r="H448" s="34" t="n">
        <v>17.3</v>
      </c>
      <c r="J448" s="95" t="n">
        <f aca="false">IF(N(E448)&gt;0,E448,IF(N(F448)&gt;0,F448*가정!$B$5,0))</f>
        <v>69000</v>
      </c>
      <c r="K448" s="95" t="n">
        <f aca="false">IF(N(F448)&gt;0,F448,IF(N(E448)&gt;0,E448/가정!$B$5,0))</f>
        <v>14115</v>
      </c>
      <c r="L448" s="95" t="n">
        <f aca="false">IF(B448="CN",IF(N(I448)&gt;0,I448*가정!$B$3,K448*(1+가정!$B$6)),IF(N(H448)&gt;0,H448*가정!$B$3,J448*가정!$B$4))</f>
        <v>14820.75</v>
      </c>
      <c r="M448" s="95" t="n">
        <f aca="false">D448*J448</f>
        <v>16698000</v>
      </c>
      <c r="N448" s="95" t="n">
        <f aca="false">D448*K448</f>
        <v>3415830</v>
      </c>
      <c r="O448" s="95" t="n">
        <f aca="false">D448*L448</f>
        <v>3586621.5</v>
      </c>
      <c r="P448" s="34" t="str">
        <f aca="false">TRIM(IF(N(E448)&lt;=0,"택가보정 ","")&amp;IF(N(F448)&lt;=0,"원가보정 ","")&amp;IF(AND(B448&lt;&gt;"CN",N(H448)&lt;=0),"공급가보정 ","")&amp;IF(AND(B448="CN",N(I448)&lt;=0),"중국공급가=원가+마진 ",""))</f>
        <v>중국공급가=원가+마진</v>
      </c>
    </row>
    <row r="449" customFormat="false" ht="15" hidden="false" customHeight="true" outlineLevel="0" collapsed="false">
      <c r="A449" s="94" t="s">
        <v>1686</v>
      </c>
      <c r="B449" s="34" t="str">
        <f aca="false">IF(A449="100","HK",IF(A449="200","CN",IF(A449="300","TW","홀세일")))</f>
        <v>TW</v>
      </c>
      <c r="C449" s="94" t="s">
        <v>360</v>
      </c>
      <c r="D449" s="95" t="n">
        <v>600</v>
      </c>
      <c r="E449" s="95" t="n">
        <v>69000</v>
      </c>
      <c r="F449" s="95" t="n">
        <v>14115</v>
      </c>
      <c r="G449" s="34" t="n">
        <v>4.48</v>
      </c>
      <c r="H449" s="34" t="n">
        <v>17.3</v>
      </c>
      <c r="J449" s="95" t="n">
        <f aca="false">IF(N(E449)&gt;0,E449,IF(N(F449)&gt;0,F449*가정!$B$5,0))</f>
        <v>69000</v>
      </c>
      <c r="K449" s="95" t="n">
        <f aca="false">IF(N(F449)&gt;0,F449,IF(N(E449)&gt;0,E449/가정!$B$5,0))</f>
        <v>14115</v>
      </c>
      <c r="L449" s="95" t="n">
        <f aca="false">IF(B449="CN",IF(N(I449)&gt;0,I449*가정!$B$3,K449*(1+가정!$B$6)),IF(N(H449)&gt;0,H449*가정!$B$3,J449*가정!$B$4))</f>
        <v>23576.094</v>
      </c>
      <c r="M449" s="95" t="n">
        <f aca="false">D449*J449</f>
        <v>41400000</v>
      </c>
      <c r="N449" s="95" t="n">
        <f aca="false">D449*K449</f>
        <v>8469000</v>
      </c>
      <c r="O449" s="95" t="n">
        <f aca="false">D449*L449</f>
        <v>14145656.4</v>
      </c>
      <c r="P449" s="34" t="str">
        <f aca="false">TRIM(IF(N(E449)&lt;=0,"택가보정 ","")&amp;IF(N(F449)&lt;=0,"원가보정 ","")&amp;IF(AND(B449&lt;&gt;"CN",N(H449)&lt;=0),"공급가보정 ","")&amp;IF(AND(B449="CN",N(I449)&lt;=0),"중국공급가=원가+마진 ",""))</f>
        <v/>
      </c>
    </row>
    <row r="450" customFormat="false" ht="15" hidden="false" customHeight="true" outlineLevel="0" collapsed="false">
      <c r="A450" s="94" t="s">
        <v>1688</v>
      </c>
      <c r="B450" s="34" t="str">
        <f aca="false">IF(A450="100","HK",IF(A450="200","CN",IF(A450="300","TW","홀세일")))</f>
        <v>홀세일</v>
      </c>
      <c r="C450" s="94" t="s">
        <v>360</v>
      </c>
      <c r="D450" s="95" t="n">
        <v>50</v>
      </c>
      <c r="E450" s="95" t="n">
        <v>69000</v>
      </c>
      <c r="F450" s="95" t="n">
        <v>14115</v>
      </c>
      <c r="G450" s="34" t="n">
        <v>4.48</v>
      </c>
      <c r="H450" s="34" t="n">
        <v>17.3</v>
      </c>
      <c r="J450" s="95" t="n">
        <f aca="false">IF(N(E450)&gt;0,E450,IF(N(F450)&gt;0,F450*가정!$B$5,0))</f>
        <v>69000</v>
      </c>
      <c r="K450" s="95" t="n">
        <f aca="false">IF(N(F450)&gt;0,F450,IF(N(E450)&gt;0,E450/가정!$B$5,0))</f>
        <v>14115</v>
      </c>
      <c r="L450" s="95" t="n">
        <f aca="false">IF(B450="CN",IF(N(I450)&gt;0,I450*가정!$B$3,K450*(1+가정!$B$6)),IF(N(H450)&gt;0,H450*가정!$B$3,J450*가정!$B$4))</f>
        <v>23576.094</v>
      </c>
      <c r="M450" s="95" t="n">
        <f aca="false">D450*J450</f>
        <v>3450000</v>
      </c>
      <c r="N450" s="95" t="n">
        <f aca="false">D450*K450</f>
        <v>705750</v>
      </c>
      <c r="O450" s="95" t="n">
        <f aca="false">D450*L450</f>
        <v>1178804.7</v>
      </c>
      <c r="P450" s="34" t="str">
        <f aca="false">TRIM(IF(N(E450)&lt;=0,"택가보정 ","")&amp;IF(N(F450)&lt;=0,"원가보정 ","")&amp;IF(AND(B450&lt;&gt;"CN",N(H450)&lt;=0),"공급가보정 ","")&amp;IF(AND(B450="CN",N(I450)&lt;=0),"중국공급가=원가+마진 ",""))</f>
        <v/>
      </c>
    </row>
    <row r="451" customFormat="false" ht="15" hidden="false" customHeight="true" outlineLevel="0" collapsed="false">
      <c r="A451" s="94" t="s">
        <v>1692</v>
      </c>
      <c r="B451" s="34" t="str">
        <f aca="false">IF(A451="100","HK",IF(A451="200","CN",IF(A451="300","TW","홀세일")))</f>
        <v>홀세일</v>
      </c>
      <c r="C451" s="94" t="s">
        <v>360</v>
      </c>
      <c r="D451" s="95" t="n">
        <v>56</v>
      </c>
      <c r="E451" s="95" t="n">
        <v>69000</v>
      </c>
      <c r="F451" s="95" t="n">
        <v>14115</v>
      </c>
      <c r="G451" s="34" t="n">
        <v>4.48</v>
      </c>
      <c r="H451" s="34" t="n">
        <v>17.3</v>
      </c>
      <c r="J451" s="95" t="n">
        <f aca="false">IF(N(E451)&gt;0,E451,IF(N(F451)&gt;0,F451*가정!$B$5,0))</f>
        <v>69000</v>
      </c>
      <c r="K451" s="95" t="n">
        <f aca="false">IF(N(F451)&gt;0,F451,IF(N(E451)&gt;0,E451/가정!$B$5,0))</f>
        <v>14115</v>
      </c>
      <c r="L451" s="95" t="n">
        <f aca="false">IF(B451="CN",IF(N(I451)&gt;0,I451*가정!$B$3,K451*(1+가정!$B$6)),IF(N(H451)&gt;0,H451*가정!$B$3,J451*가정!$B$4))</f>
        <v>23576.094</v>
      </c>
      <c r="M451" s="95" t="n">
        <f aca="false">D451*J451</f>
        <v>3864000</v>
      </c>
      <c r="N451" s="95" t="n">
        <f aca="false">D451*K451</f>
        <v>790440</v>
      </c>
      <c r="O451" s="95" t="n">
        <f aca="false">D451*L451</f>
        <v>1320261.264</v>
      </c>
      <c r="P451" s="34" t="str">
        <f aca="false">TRIM(IF(N(E451)&lt;=0,"택가보정 ","")&amp;IF(N(F451)&lt;=0,"원가보정 ","")&amp;IF(AND(B451&lt;&gt;"CN",N(H451)&lt;=0),"공급가보정 ","")&amp;IF(AND(B451="CN",N(I451)&lt;=0),"중국공급가=원가+마진 ",""))</f>
        <v/>
      </c>
    </row>
    <row r="452" customFormat="false" ht="15" hidden="false" customHeight="true" outlineLevel="0" collapsed="false">
      <c r="A452" s="94" t="s">
        <v>1689</v>
      </c>
      <c r="B452" s="34" t="str">
        <f aca="false">IF(A452="100","HK",IF(A452="200","CN",IF(A452="300","TW","홀세일")))</f>
        <v>홀세일</v>
      </c>
      <c r="C452" s="94" t="s">
        <v>360</v>
      </c>
      <c r="D452" s="95" t="n">
        <v>60</v>
      </c>
      <c r="E452" s="95" t="n">
        <v>69000</v>
      </c>
      <c r="F452" s="95" t="n">
        <v>14115</v>
      </c>
      <c r="G452" s="34" t="n">
        <v>4.48</v>
      </c>
      <c r="H452" s="34" t="n">
        <v>17.3</v>
      </c>
      <c r="J452" s="95" t="n">
        <f aca="false">IF(N(E452)&gt;0,E452,IF(N(F452)&gt;0,F452*가정!$B$5,0))</f>
        <v>69000</v>
      </c>
      <c r="K452" s="95" t="n">
        <f aca="false">IF(N(F452)&gt;0,F452,IF(N(E452)&gt;0,E452/가정!$B$5,0))</f>
        <v>14115</v>
      </c>
      <c r="L452" s="95" t="n">
        <f aca="false">IF(B452="CN",IF(N(I452)&gt;0,I452*가정!$B$3,K452*(1+가정!$B$6)),IF(N(H452)&gt;0,H452*가정!$B$3,J452*가정!$B$4))</f>
        <v>23576.094</v>
      </c>
      <c r="M452" s="95" t="n">
        <f aca="false">D452*J452</f>
        <v>4140000</v>
      </c>
      <c r="N452" s="95" t="n">
        <f aca="false">D452*K452</f>
        <v>846900</v>
      </c>
      <c r="O452" s="95" t="n">
        <f aca="false">D452*L452</f>
        <v>1414565.64</v>
      </c>
      <c r="P452" s="34" t="str">
        <f aca="false">TRIM(IF(N(E452)&lt;=0,"택가보정 ","")&amp;IF(N(F452)&lt;=0,"원가보정 ","")&amp;IF(AND(B452&lt;&gt;"CN",N(H452)&lt;=0),"공급가보정 ","")&amp;IF(AND(B452="CN",N(I452)&lt;=0),"중국공급가=원가+마진 ",""))</f>
        <v/>
      </c>
    </row>
    <row r="453" customFormat="false" ht="15" hidden="false" customHeight="true" outlineLevel="0" collapsed="false">
      <c r="A453" s="94" t="s">
        <v>1684</v>
      </c>
      <c r="B453" s="34" t="str">
        <f aca="false">IF(A453="100","HK",IF(A453="200","CN",IF(A453="300","TW","홀세일")))</f>
        <v>HK</v>
      </c>
      <c r="C453" s="94" t="s">
        <v>889</v>
      </c>
      <c r="D453" s="95" t="n">
        <v>660</v>
      </c>
      <c r="E453" s="95" t="n">
        <v>59000</v>
      </c>
      <c r="F453" s="95" t="n">
        <v>11117</v>
      </c>
      <c r="G453" s="34" t="n">
        <v>4.51</v>
      </c>
      <c r="H453" s="34" t="n">
        <v>14.8</v>
      </c>
      <c r="J453" s="95" t="n">
        <f aca="false">IF(N(E453)&gt;0,E453,IF(N(F453)&gt;0,F453*가정!$B$5,0))</f>
        <v>59000</v>
      </c>
      <c r="K453" s="95" t="n">
        <f aca="false">IF(N(F453)&gt;0,F453,IF(N(E453)&gt;0,E453/가정!$B$5,0))</f>
        <v>11117</v>
      </c>
      <c r="L453" s="95" t="n">
        <f aca="false">IF(B453="CN",IF(N(I453)&gt;0,I453*가정!$B$3,K453*(1+가정!$B$6)),IF(N(H453)&gt;0,H453*가정!$B$3,J453*가정!$B$4))</f>
        <v>20169.144</v>
      </c>
      <c r="M453" s="95" t="n">
        <f aca="false">D453*J453</f>
        <v>38940000</v>
      </c>
      <c r="N453" s="95" t="n">
        <f aca="false">D453*K453</f>
        <v>7337220</v>
      </c>
      <c r="O453" s="95" t="n">
        <f aca="false">D453*L453</f>
        <v>13311635.04</v>
      </c>
      <c r="P453" s="34" t="str">
        <f aca="false">TRIM(IF(N(E453)&lt;=0,"택가보정 ","")&amp;IF(N(F453)&lt;=0,"원가보정 ","")&amp;IF(AND(B453&lt;&gt;"CN",N(H453)&lt;=0),"공급가보정 ","")&amp;IF(AND(B453="CN",N(I453)&lt;=0),"중국공급가=원가+마진 ",""))</f>
        <v/>
      </c>
    </row>
    <row r="454" customFormat="false" ht="15" hidden="false" customHeight="true" outlineLevel="0" collapsed="false">
      <c r="A454" s="94" t="s">
        <v>1684</v>
      </c>
      <c r="B454" s="34" t="str">
        <f aca="false">IF(A454="100","HK",IF(A454="200","CN",IF(A454="300","TW","홀세일")))</f>
        <v>HK</v>
      </c>
      <c r="C454" s="94" t="s">
        <v>362</v>
      </c>
      <c r="D454" s="95" t="n">
        <v>660</v>
      </c>
      <c r="E454" s="95" t="n">
        <v>59000</v>
      </c>
      <c r="F454" s="95" t="n">
        <v>9900</v>
      </c>
      <c r="G454" s="34" t="n">
        <v>4.75</v>
      </c>
      <c r="H454" s="34" t="n">
        <v>14.8</v>
      </c>
      <c r="J454" s="95" t="n">
        <f aca="false">IF(N(E454)&gt;0,E454,IF(N(F454)&gt;0,F454*가정!$B$5,0))</f>
        <v>59000</v>
      </c>
      <c r="K454" s="95" t="n">
        <f aca="false">IF(N(F454)&gt;0,F454,IF(N(E454)&gt;0,E454/가정!$B$5,0))</f>
        <v>9900</v>
      </c>
      <c r="L454" s="95" t="n">
        <f aca="false">IF(B454="CN",IF(N(I454)&gt;0,I454*가정!$B$3,K454*(1+가정!$B$6)),IF(N(H454)&gt;0,H454*가정!$B$3,J454*가정!$B$4))</f>
        <v>20169.144</v>
      </c>
      <c r="M454" s="95" t="n">
        <f aca="false">D454*J454</f>
        <v>38940000</v>
      </c>
      <c r="N454" s="95" t="n">
        <f aca="false">D454*K454</f>
        <v>6534000</v>
      </c>
      <c r="O454" s="95" t="n">
        <f aca="false">D454*L454</f>
        <v>13311635.04</v>
      </c>
      <c r="P454" s="34" t="str">
        <f aca="false">TRIM(IF(N(E454)&lt;=0,"택가보정 ","")&amp;IF(N(F454)&lt;=0,"원가보정 ","")&amp;IF(AND(B454&lt;&gt;"CN",N(H454)&lt;=0),"공급가보정 ","")&amp;IF(AND(B454="CN",N(I454)&lt;=0),"중국공급가=원가+마진 ",""))</f>
        <v/>
      </c>
    </row>
    <row r="455" customFormat="false" ht="15" hidden="false" customHeight="true" outlineLevel="0" collapsed="false">
      <c r="A455" s="94" t="s">
        <v>1684</v>
      </c>
      <c r="B455" s="34" t="str">
        <f aca="false">IF(A455="100","HK",IF(A455="200","CN",IF(A455="300","TW","홀세일")))</f>
        <v>HK</v>
      </c>
      <c r="C455" s="94" t="s">
        <v>362</v>
      </c>
      <c r="D455" s="95" t="n">
        <v>660</v>
      </c>
      <c r="E455" s="95" t="n">
        <v>59000</v>
      </c>
      <c r="F455" s="95" t="n">
        <v>9900</v>
      </c>
      <c r="G455" s="34" t="n">
        <v>4.75</v>
      </c>
      <c r="H455" s="34" t="n">
        <v>14.8</v>
      </c>
      <c r="J455" s="95" t="n">
        <f aca="false">IF(N(E455)&gt;0,E455,IF(N(F455)&gt;0,F455*가정!$B$5,0))</f>
        <v>59000</v>
      </c>
      <c r="K455" s="95" t="n">
        <f aca="false">IF(N(F455)&gt;0,F455,IF(N(E455)&gt;0,E455/가정!$B$5,0))</f>
        <v>9900</v>
      </c>
      <c r="L455" s="95" t="n">
        <f aca="false">IF(B455="CN",IF(N(I455)&gt;0,I455*가정!$B$3,K455*(1+가정!$B$6)),IF(N(H455)&gt;0,H455*가정!$B$3,J455*가정!$B$4))</f>
        <v>20169.144</v>
      </c>
      <c r="M455" s="95" t="n">
        <f aca="false">D455*J455</f>
        <v>38940000</v>
      </c>
      <c r="N455" s="95" t="n">
        <f aca="false">D455*K455</f>
        <v>6534000</v>
      </c>
      <c r="O455" s="95" t="n">
        <f aca="false">D455*L455</f>
        <v>13311635.04</v>
      </c>
      <c r="P455" s="34" t="str">
        <f aca="false">TRIM(IF(N(E455)&lt;=0,"택가보정 ","")&amp;IF(N(F455)&lt;=0,"원가보정 ","")&amp;IF(AND(B455&lt;&gt;"CN",N(H455)&lt;=0),"공급가보정 ","")&amp;IF(AND(B455="CN",N(I455)&lt;=0),"중국공급가=원가+마진 ",""))</f>
        <v/>
      </c>
    </row>
    <row r="456" customFormat="false" ht="15" hidden="false" customHeight="true" outlineLevel="0" collapsed="false">
      <c r="A456" s="94" t="s">
        <v>1686</v>
      </c>
      <c r="B456" s="34" t="str">
        <f aca="false">IF(A456="100","HK",IF(A456="200","CN",IF(A456="300","TW","홀세일")))</f>
        <v>TW</v>
      </c>
      <c r="C456" s="94" t="s">
        <v>362</v>
      </c>
      <c r="D456" s="95" t="n">
        <v>400</v>
      </c>
      <c r="E456" s="95" t="n">
        <v>59000</v>
      </c>
      <c r="F456" s="95" t="n">
        <v>9900</v>
      </c>
      <c r="G456" s="34" t="n">
        <v>4.75</v>
      </c>
      <c r="H456" s="34" t="n">
        <v>14.8</v>
      </c>
      <c r="J456" s="95" t="n">
        <f aca="false">IF(N(E456)&gt;0,E456,IF(N(F456)&gt;0,F456*가정!$B$5,0))</f>
        <v>59000</v>
      </c>
      <c r="K456" s="95" t="n">
        <f aca="false">IF(N(F456)&gt;0,F456,IF(N(E456)&gt;0,E456/가정!$B$5,0))</f>
        <v>9900</v>
      </c>
      <c r="L456" s="95" t="n">
        <f aca="false">IF(B456="CN",IF(N(I456)&gt;0,I456*가정!$B$3,K456*(1+가정!$B$6)),IF(N(H456)&gt;0,H456*가정!$B$3,J456*가정!$B$4))</f>
        <v>20169.144</v>
      </c>
      <c r="M456" s="95" t="n">
        <f aca="false">D456*J456</f>
        <v>23600000</v>
      </c>
      <c r="N456" s="95" t="n">
        <f aca="false">D456*K456</f>
        <v>3960000</v>
      </c>
      <c r="O456" s="95" t="n">
        <f aca="false">D456*L456</f>
        <v>8067657.6</v>
      </c>
      <c r="P456" s="34" t="str">
        <f aca="false">TRIM(IF(N(E456)&lt;=0,"택가보정 ","")&amp;IF(N(F456)&lt;=0,"원가보정 ","")&amp;IF(AND(B456&lt;&gt;"CN",N(H456)&lt;=0),"공급가보정 ","")&amp;IF(AND(B456="CN",N(I456)&lt;=0),"중국공급가=원가+마진 ",""))</f>
        <v/>
      </c>
    </row>
    <row r="457" customFormat="false" ht="15" hidden="false" customHeight="true" outlineLevel="0" collapsed="false">
      <c r="A457" s="94" t="s">
        <v>1688</v>
      </c>
      <c r="B457" s="34" t="str">
        <f aca="false">IF(A457="100","HK",IF(A457="200","CN",IF(A457="300","TW","홀세일")))</f>
        <v>홀세일</v>
      </c>
      <c r="C457" s="94" t="s">
        <v>362</v>
      </c>
      <c r="D457" s="95" t="n">
        <v>135</v>
      </c>
      <c r="E457" s="95" t="n">
        <v>59000</v>
      </c>
      <c r="F457" s="95" t="n">
        <v>9900</v>
      </c>
      <c r="G457" s="34" t="n">
        <v>4.75</v>
      </c>
      <c r="H457" s="34" t="n">
        <v>14.8</v>
      </c>
      <c r="J457" s="95" t="n">
        <f aca="false">IF(N(E457)&gt;0,E457,IF(N(F457)&gt;0,F457*가정!$B$5,0))</f>
        <v>59000</v>
      </c>
      <c r="K457" s="95" t="n">
        <f aca="false">IF(N(F457)&gt;0,F457,IF(N(E457)&gt;0,E457/가정!$B$5,0))</f>
        <v>9900</v>
      </c>
      <c r="L457" s="95" t="n">
        <f aca="false">IF(B457="CN",IF(N(I457)&gt;0,I457*가정!$B$3,K457*(1+가정!$B$6)),IF(N(H457)&gt;0,H457*가정!$B$3,J457*가정!$B$4))</f>
        <v>20169.144</v>
      </c>
      <c r="M457" s="95" t="n">
        <f aca="false">D457*J457</f>
        <v>7965000</v>
      </c>
      <c r="N457" s="95" t="n">
        <f aca="false">D457*K457</f>
        <v>1336500</v>
      </c>
      <c r="O457" s="95" t="n">
        <f aca="false">D457*L457</f>
        <v>2722834.44</v>
      </c>
      <c r="P457" s="34" t="str">
        <f aca="false">TRIM(IF(N(E457)&lt;=0,"택가보정 ","")&amp;IF(N(F457)&lt;=0,"원가보정 ","")&amp;IF(AND(B457&lt;&gt;"CN",N(H457)&lt;=0),"공급가보정 ","")&amp;IF(AND(B457="CN",N(I457)&lt;=0),"중국공급가=원가+마진 ",""))</f>
        <v/>
      </c>
    </row>
    <row r="458" customFormat="false" ht="15" hidden="false" customHeight="true" outlineLevel="0" collapsed="false">
      <c r="A458" s="94" t="s">
        <v>1692</v>
      </c>
      <c r="B458" s="34" t="str">
        <f aca="false">IF(A458="100","HK",IF(A458="200","CN",IF(A458="300","TW","홀세일")))</f>
        <v>홀세일</v>
      </c>
      <c r="C458" s="94" t="s">
        <v>362</v>
      </c>
      <c r="D458" s="95" t="n">
        <v>142</v>
      </c>
      <c r="E458" s="95" t="n">
        <v>59000</v>
      </c>
      <c r="F458" s="95" t="n">
        <v>9900</v>
      </c>
      <c r="G458" s="34" t="n">
        <v>4.75</v>
      </c>
      <c r="H458" s="34" t="n">
        <v>14.8</v>
      </c>
      <c r="J458" s="95" t="n">
        <f aca="false">IF(N(E458)&gt;0,E458,IF(N(F458)&gt;0,F458*가정!$B$5,0))</f>
        <v>59000</v>
      </c>
      <c r="K458" s="95" t="n">
        <f aca="false">IF(N(F458)&gt;0,F458,IF(N(E458)&gt;0,E458/가정!$B$5,0))</f>
        <v>9900</v>
      </c>
      <c r="L458" s="95" t="n">
        <f aca="false">IF(B458="CN",IF(N(I458)&gt;0,I458*가정!$B$3,K458*(1+가정!$B$6)),IF(N(H458)&gt;0,H458*가정!$B$3,J458*가정!$B$4))</f>
        <v>20169.144</v>
      </c>
      <c r="M458" s="95" t="n">
        <f aca="false">D458*J458</f>
        <v>8378000</v>
      </c>
      <c r="N458" s="95" t="n">
        <f aca="false">D458*K458</f>
        <v>1405800</v>
      </c>
      <c r="O458" s="95" t="n">
        <f aca="false">D458*L458</f>
        <v>2864018.448</v>
      </c>
      <c r="P458" s="34" t="str">
        <f aca="false">TRIM(IF(N(E458)&lt;=0,"택가보정 ","")&amp;IF(N(F458)&lt;=0,"원가보정 ","")&amp;IF(AND(B458&lt;&gt;"CN",N(H458)&lt;=0),"공급가보정 ","")&amp;IF(AND(B458="CN",N(I458)&lt;=0),"중국공급가=원가+마진 ",""))</f>
        <v/>
      </c>
    </row>
    <row r="459" customFormat="false" ht="15" hidden="false" customHeight="true" outlineLevel="0" collapsed="false">
      <c r="A459" s="94" t="s">
        <v>1684</v>
      </c>
      <c r="B459" s="34" t="str">
        <f aca="false">IF(A459="100","HK",IF(A459="200","CN",IF(A459="300","TW","홀세일")))</f>
        <v>HK</v>
      </c>
      <c r="C459" s="94" t="s">
        <v>364</v>
      </c>
      <c r="D459" s="95" t="n">
        <v>480</v>
      </c>
      <c r="E459" s="95" t="n">
        <v>69000</v>
      </c>
      <c r="F459" s="95" t="n">
        <v>13100</v>
      </c>
      <c r="G459" s="34" t="n">
        <v>4.79</v>
      </c>
      <c r="H459" s="34" t="n">
        <v>17.3</v>
      </c>
      <c r="J459" s="95" t="n">
        <f aca="false">IF(N(E459)&gt;0,E459,IF(N(F459)&gt;0,F459*가정!$B$5,0))</f>
        <v>69000</v>
      </c>
      <c r="K459" s="95" t="n">
        <f aca="false">IF(N(F459)&gt;0,F459,IF(N(E459)&gt;0,E459/가정!$B$5,0))</f>
        <v>13100</v>
      </c>
      <c r="L459" s="95" t="n">
        <f aca="false">IF(B459="CN",IF(N(I459)&gt;0,I459*가정!$B$3,K459*(1+가정!$B$6)),IF(N(H459)&gt;0,H459*가정!$B$3,J459*가정!$B$4))</f>
        <v>23576.094</v>
      </c>
      <c r="M459" s="95" t="n">
        <f aca="false">D459*J459</f>
        <v>33120000</v>
      </c>
      <c r="N459" s="95" t="n">
        <f aca="false">D459*K459</f>
        <v>6288000</v>
      </c>
      <c r="O459" s="95" t="n">
        <f aca="false">D459*L459</f>
        <v>11316525.12</v>
      </c>
      <c r="P459" s="34" t="str">
        <f aca="false">TRIM(IF(N(E459)&lt;=0,"택가보정 ","")&amp;IF(N(F459)&lt;=0,"원가보정 ","")&amp;IF(AND(B459&lt;&gt;"CN",N(H459)&lt;=0),"공급가보정 ","")&amp;IF(AND(B459="CN",N(I459)&lt;=0),"중국공급가=원가+마진 ",""))</f>
        <v/>
      </c>
    </row>
    <row r="460" customFormat="false" ht="15" hidden="false" customHeight="true" outlineLevel="0" collapsed="false">
      <c r="A460" s="94" t="s">
        <v>1684</v>
      </c>
      <c r="B460" s="34" t="str">
        <f aca="false">IF(A460="100","HK",IF(A460="200","CN",IF(A460="300","TW","홀세일")))</f>
        <v>HK</v>
      </c>
      <c r="C460" s="94" t="s">
        <v>364</v>
      </c>
      <c r="D460" s="95" t="n">
        <v>480</v>
      </c>
      <c r="E460" s="95" t="n">
        <v>69000</v>
      </c>
      <c r="F460" s="95" t="n">
        <v>13100</v>
      </c>
      <c r="G460" s="34" t="n">
        <v>4.79</v>
      </c>
      <c r="H460" s="34" t="n">
        <v>17.3</v>
      </c>
      <c r="J460" s="95" t="n">
        <f aca="false">IF(N(E460)&gt;0,E460,IF(N(F460)&gt;0,F460*가정!$B$5,0))</f>
        <v>69000</v>
      </c>
      <c r="K460" s="95" t="n">
        <f aca="false">IF(N(F460)&gt;0,F460,IF(N(E460)&gt;0,E460/가정!$B$5,0))</f>
        <v>13100</v>
      </c>
      <c r="L460" s="95" t="n">
        <f aca="false">IF(B460="CN",IF(N(I460)&gt;0,I460*가정!$B$3,K460*(1+가정!$B$6)),IF(N(H460)&gt;0,H460*가정!$B$3,J460*가정!$B$4))</f>
        <v>23576.094</v>
      </c>
      <c r="M460" s="95" t="n">
        <f aca="false">D460*J460</f>
        <v>33120000</v>
      </c>
      <c r="N460" s="95" t="n">
        <f aca="false">D460*K460</f>
        <v>6288000</v>
      </c>
      <c r="O460" s="95" t="n">
        <f aca="false">D460*L460</f>
        <v>11316525.12</v>
      </c>
      <c r="P460" s="34" t="str">
        <f aca="false">TRIM(IF(N(E460)&lt;=0,"택가보정 ","")&amp;IF(N(F460)&lt;=0,"원가보정 ","")&amp;IF(AND(B460&lt;&gt;"CN",N(H460)&lt;=0),"공급가보정 ","")&amp;IF(AND(B460="CN",N(I460)&lt;=0),"중국공급가=원가+마진 ",""))</f>
        <v/>
      </c>
    </row>
    <row r="461" customFormat="false" ht="15" hidden="false" customHeight="true" outlineLevel="0" collapsed="false">
      <c r="A461" s="94" t="s">
        <v>1686</v>
      </c>
      <c r="B461" s="34" t="str">
        <f aca="false">IF(A461="100","HK",IF(A461="200","CN",IF(A461="300","TW","홀세일")))</f>
        <v>TW</v>
      </c>
      <c r="C461" s="94" t="s">
        <v>364</v>
      </c>
      <c r="D461" s="95" t="n">
        <v>240</v>
      </c>
      <c r="E461" s="95" t="n">
        <v>69000</v>
      </c>
      <c r="F461" s="95" t="n">
        <v>13100</v>
      </c>
      <c r="G461" s="34" t="n">
        <v>4.79</v>
      </c>
      <c r="H461" s="34" t="n">
        <v>17.3</v>
      </c>
      <c r="J461" s="95" t="n">
        <f aca="false">IF(N(E461)&gt;0,E461,IF(N(F461)&gt;0,F461*가정!$B$5,0))</f>
        <v>69000</v>
      </c>
      <c r="K461" s="95" t="n">
        <f aca="false">IF(N(F461)&gt;0,F461,IF(N(E461)&gt;0,E461/가정!$B$5,0))</f>
        <v>13100</v>
      </c>
      <c r="L461" s="95" t="n">
        <f aca="false">IF(B461="CN",IF(N(I461)&gt;0,I461*가정!$B$3,K461*(1+가정!$B$6)),IF(N(H461)&gt;0,H461*가정!$B$3,J461*가정!$B$4))</f>
        <v>23576.094</v>
      </c>
      <c r="M461" s="95" t="n">
        <f aca="false">D461*J461</f>
        <v>16560000</v>
      </c>
      <c r="N461" s="95" t="n">
        <f aca="false">D461*K461</f>
        <v>3144000</v>
      </c>
      <c r="O461" s="95" t="n">
        <f aca="false">D461*L461</f>
        <v>5658262.56</v>
      </c>
      <c r="P461" s="34" t="str">
        <f aca="false">TRIM(IF(N(E461)&lt;=0,"택가보정 ","")&amp;IF(N(F461)&lt;=0,"원가보정 ","")&amp;IF(AND(B461&lt;&gt;"CN",N(H461)&lt;=0),"공급가보정 ","")&amp;IF(AND(B461="CN",N(I461)&lt;=0),"중국공급가=원가+마진 ",""))</f>
        <v/>
      </c>
    </row>
    <row r="462" customFormat="false" ht="15" hidden="false" customHeight="true" outlineLevel="0" collapsed="false">
      <c r="A462" s="94" t="s">
        <v>1689</v>
      </c>
      <c r="B462" s="34" t="str">
        <f aca="false">IF(A462="100","HK",IF(A462="200","CN",IF(A462="300","TW","홀세일")))</f>
        <v>홀세일</v>
      </c>
      <c r="C462" s="94" t="s">
        <v>364</v>
      </c>
      <c r="D462" s="95" t="n">
        <v>90</v>
      </c>
      <c r="E462" s="95" t="n">
        <v>69000</v>
      </c>
      <c r="F462" s="95" t="n">
        <v>13100</v>
      </c>
      <c r="G462" s="34" t="n">
        <v>4.79</v>
      </c>
      <c r="H462" s="34" t="n">
        <v>17.3</v>
      </c>
      <c r="J462" s="95" t="n">
        <f aca="false">IF(N(E462)&gt;0,E462,IF(N(F462)&gt;0,F462*가정!$B$5,0))</f>
        <v>69000</v>
      </c>
      <c r="K462" s="95" t="n">
        <f aca="false">IF(N(F462)&gt;0,F462,IF(N(E462)&gt;0,E462/가정!$B$5,0))</f>
        <v>13100</v>
      </c>
      <c r="L462" s="95" t="n">
        <f aca="false">IF(B462="CN",IF(N(I462)&gt;0,I462*가정!$B$3,K462*(1+가정!$B$6)),IF(N(H462)&gt;0,H462*가정!$B$3,J462*가정!$B$4))</f>
        <v>23576.094</v>
      </c>
      <c r="M462" s="95" t="n">
        <f aca="false">D462*J462</f>
        <v>6210000</v>
      </c>
      <c r="N462" s="95" t="n">
        <f aca="false">D462*K462</f>
        <v>1179000</v>
      </c>
      <c r="O462" s="95" t="n">
        <f aca="false">D462*L462</f>
        <v>2121848.46</v>
      </c>
      <c r="P462" s="34" t="str">
        <f aca="false">TRIM(IF(N(E462)&lt;=0,"택가보정 ","")&amp;IF(N(F462)&lt;=0,"원가보정 ","")&amp;IF(AND(B462&lt;&gt;"CN",N(H462)&lt;=0),"공급가보정 ","")&amp;IF(AND(B462="CN",N(I462)&lt;=0),"중국공급가=원가+마진 ",""))</f>
        <v/>
      </c>
    </row>
    <row r="463" customFormat="false" ht="15" hidden="false" customHeight="true" outlineLevel="0" collapsed="false">
      <c r="A463" s="94" t="s">
        <v>1690</v>
      </c>
      <c r="B463" s="34" t="str">
        <f aca="false">IF(A463="100","HK",IF(A463="200","CN",IF(A463="300","TW","홀세일")))</f>
        <v>홀세일</v>
      </c>
      <c r="C463" s="94" t="s">
        <v>364</v>
      </c>
      <c r="D463" s="95" t="n">
        <v>216</v>
      </c>
      <c r="E463" s="95" t="n">
        <v>69000</v>
      </c>
      <c r="F463" s="95" t="n">
        <v>13100</v>
      </c>
      <c r="G463" s="34" t="n">
        <v>4.79</v>
      </c>
      <c r="H463" s="34" t="n">
        <v>17.3</v>
      </c>
      <c r="J463" s="95" t="n">
        <f aca="false">IF(N(E463)&gt;0,E463,IF(N(F463)&gt;0,F463*가정!$B$5,0))</f>
        <v>69000</v>
      </c>
      <c r="K463" s="95" t="n">
        <f aca="false">IF(N(F463)&gt;0,F463,IF(N(E463)&gt;0,E463/가정!$B$5,0))</f>
        <v>13100</v>
      </c>
      <c r="L463" s="95" t="n">
        <f aca="false">IF(B463="CN",IF(N(I463)&gt;0,I463*가정!$B$3,K463*(1+가정!$B$6)),IF(N(H463)&gt;0,H463*가정!$B$3,J463*가정!$B$4))</f>
        <v>23576.094</v>
      </c>
      <c r="M463" s="95" t="n">
        <f aca="false">D463*J463</f>
        <v>14904000</v>
      </c>
      <c r="N463" s="95" t="n">
        <f aca="false">D463*K463</f>
        <v>2829600</v>
      </c>
      <c r="O463" s="95" t="n">
        <f aca="false">D463*L463</f>
        <v>5092436.304</v>
      </c>
      <c r="P463" s="34" t="str">
        <f aca="false">TRIM(IF(N(E463)&lt;=0,"택가보정 ","")&amp;IF(N(F463)&lt;=0,"원가보정 ","")&amp;IF(AND(B463&lt;&gt;"CN",N(H463)&lt;=0),"공급가보정 ","")&amp;IF(AND(B463="CN",N(I463)&lt;=0),"중국공급가=원가+마진 ",""))</f>
        <v/>
      </c>
    </row>
    <row r="464" customFormat="false" ht="15" hidden="false" customHeight="true" outlineLevel="0" collapsed="false">
      <c r="A464" s="94" t="s">
        <v>1684</v>
      </c>
      <c r="B464" s="34" t="str">
        <f aca="false">IF(A464="100","HK",IF(A464="200","CN",IF(A464="300","TW","홀세일")))</f>
        <v>HK</v>
      </c>
      <c r="C464" s="94" t="s">
        <v>366</v>
      </c>
      <c r="D464" s="95" t="n">
        <v>600</v>
      </c>
      <c r="E464" s="95" t="n">
        <v>89000</v>
      </c>
      <c r="F464" s="95" t="n">
        <v>17700</v>
      </c>
      <c r="G464" s="34" t="n">
        <v>4.9</v>
      </c>
      <c r="H464" s="34" t="n">
        <v>22.3</v>
      </c>
      <c r="J464" s="95" t="n">
        <f aca="false">IF(N(E464)&gt;0,E464,IF(N(F464)&gt;0,F464*가정!$B$5,0))</f>
        <v>89000</v>
      </c>
      <c r="K464" s="95" t="n">
        <f aca="false">IF(N(F464)&gt;0,F464,IF(N(E464)&gt;0,E464/가정!$B$5,0))</f>
        <v>17700</v>
      </c>
      <c r="L464" s="95" t="n">
        <f aca="false">IF(B464="CN",IF(N(I464)&gt;0,I464*가정!$B$3,K464*(1+가정!$B$6)),IF(N(H464)&gt;0,H464*가정!$B$3,J464*가정!$B$4))</f>
        <v>30389.994</v>
      </c>
      <c r="M464" s="95" t="n">
        <f aca="false">D464*J464</f>
        <v>53400000</v>
      </c>
      <c r="N464" s="95" t="n">
        <f aca="false">D464*K464</f>
        <v>10620000</v>
      </c>
      <c r="O464" s="95" t="n">
        <f aca="false">D464*L464</f>
        <v>18233996.4</v>
      </c>
      <c r="P464" s="34" t="str">
        <f aca="false">TRIM(IF(N(E464)&lt;=0,"택가보정 ","")&amp;IF(N(F464)&lt;=0,"원가보정 ","")&amp;IF(AND(B464&lt;&gt;"CN",N(H464)&lt;=0),"공급가보정 ","")&amp;IF(AND(B464="CN",N(I464)&lt;=0),"중국공급가=원가+마진 ",""))</f>
        <v/>
      </c>
    </row>
    <row r="465" customFormat="false" ht="15" hidden="false" customHeight="true" outlineLevel="0" collapsed="false">
      <c r="A465" s="94" t="s">
        <v>1686</v>
      </c>
      <c r="B465" s="34" t="str">
        <f aca="false">IF(A465="100","HK",IF(A465="200","CN",IF(A465="300","TW","홀세일")))</f>
        <v>TW</v>
      </c>
      <c r="C465" s="94" t="s">
        <v>366</v>
      </c>
      <c r="D465" s="95" t="n">
        <v>1100</v>
      </c>
      <c r="E465" s="95" t="n">
        <v>89000</v>
      </c>
      <c r="F465" s="95" t="n">
        <v>17700</v>
      </c>
      <c r="G465" s="34" t="n">
        <v>4.9</v>
      </c>
      <c r="H465" s="34" t="n">
        <v>22.3</v>
      </c>
      <c r="J465" s="95" t="n">
        <f aca="false">IF(N(E465)&gt;0,E465,IF(N(F465)&gt;0,F465*가정!$B$5,0))</f>
        <v>89000</v>
      </c>
      <c r="K465" s="95" t="n">
        <f aca="false">IF(N(F465)&gt;0,F465,IF(N(E465)&gt;0,E465/가정!$B$5,0))</f>
        <v>17700</v>
      </c>
      <c r="L465" s="95" t="n">
        <f aca="false">IF(B465="CN",IF(N(I465)&gt;0,I465*가정!$B$3,K465*(1+가정!$B$6)),IF(N(H465)&gt;0,H465*가정!$B$3,J465*가정!$B$4))</f>
        <v>30389.994</v>
      </c>
      <c r="M465" s="95" t="n">
        <f aca="false">D465*J465</f>
        <v>97900000</v>
      </c>
      <c r="N465" s="95" t="n">
        <f aca="false">D465*K465</f>
        <v>19470000</v>
      </c>
      <c r="O465" s="95" t="n">
        <f aca="false">D465*L465</f>
        <v>33428993.4</v>
      </c>
      <c r="P465" s="34" t="str">
        <f aca="false">TRIM(IF(N(E465)&lt;=0,"택가보정 ","")&amp;IF(N(F465)&lt;=0,"원가보정 ","")&amp;IF(AND(B465&lt;&gt;"CN",N(H465)&lt;=0),"공급가보정 ","")&amp;IF(AND(B465="CN",N(I465)&lt;=0),"중국공급가=원가+마진 ",""))</f>
        <v/>
      </c>
    </row>
    <row r="466" customFormat="false" ht="15" hidden="false" customHeight="true" outlineLevel="0" collapsed="false">
      <c r="A466" s="94" t="s">
        <v>1688</v>
      </c>
      <c r="B466" s="34" t="str">
        <f aca="false">IF(A466="100","HK",IF(A466="200","CN",IF(A466="300","TW","홀세일")))</f>
        <v>홀세일</v>
      </c>
      <c r="C466" s="94" t="s">
        <v>366</v>
      </c>
      <c r="D466" s="95" t="n">
        <v>75</v>
      </c>
      <c r="E466" s="95" t="n">
        <v>89000</v>
      </c>
      <c r="F466" s="95" t="n">
        <v>17700</v>
      </c>
      <c r="G466" s="34" t="n">
        <v>4.9</v>
      </c>
      <c r="H466" s="34" t="n">
        <v>22.3</v>
      </c>
      <c r="J466" s="95" t="n">
        <f aca="false">IF(N(E466)&gt;0,E466,IF(N(F466)&gt;0,F466*가정!$B$5,0))</f>
        <v>89000</v>
      </c>
      <c r="K466" s="95" t="n">
        <f aca="false">IF(N(F466)&gt;0,F466,IF(N(E466)&gt;0,E466/가정!$B$5,0))</f>
        <v>17700</v>
      </c>
      <c r="L466" s="95" t="n">
        <f aca="false">IF(B466="CN",IF(N(I466)&gt;0,I466*가정!$B$3,K466*(1+가정!$B$6)),IF(N(H466)&gt;0,H466*가정!$B$3,J466*가정!$B$4))</f>
        <v>30389.994</v>
      </c>
      <c r="M466" s="95" t="n">
        <f aca="false">D466*J466</f>
        <v>6675000</v>
      </c>
      <c r="N466" s="95" t="n">
        <f aca="false">D466*K466</f>
        <v>1327500</v>
      </c>
      <c r="O466" s="95" t="n">
        <f aca="false">D466*L466</f>
        <v>2279249.55</v>
      </c>
      <c r="P466" s="34" t="str">
        <f aca="false">TRIM(IF(N(E466)&lt;=0,"택가보정 ","")&amp;IF(N(F466)&lt;=0,"원가보정 ","")&amp;IF(AND(B466&lt;&gt;"CN",N(H466)&lt;=0),"공급가보정 ","")&amp;IF(AND(B466="CN",N(I466)&lt;=0),"중국공급가=원가+마진 ",""))</f>
        <v/>
      </c>
    </row>
    <row r="467" customFormat="false" ht="15" hidden="false" customHeight="true" outlineLevel="0" collapsed="false">
      <c r="A467" s="94" t="s">
        <v>1686</v>
      </c>
      <c r="B467" s="34" t="str">
        <f aca="false">IF(A467="100","HK",IF(A467="200","CN",IF(A467="300","TW","홀세일")))</f>
        <v>TW</v>
      </c>
      <c r="C467" s="94" t="s">
        <v>368</v>
      </c>
      <c r="D467" s="95" t="n">
        <v>480</v>
      </c>
      <c r="E467" s="95" t="n">
        <v>89000</v>
      </c>
      <c r="F467" s="95" t="n">
        <v>19622</v>
      </c>
      <c r="G467" s="34" t="n">
        <v>4.21</v>
      </c>
      <c r="H467" s="34" t="n">
        <v>22.3</v>
      </c>
      <c r="J467" s="95" t="n">
        <f aca="false">IF(N(E467)&gt;0,E467,IF(N(F467)&gt;0,F467*가정!$B$5,0))</f>
        <v>89000</v>
      </c>
      <c r="K467" s="95" t="n">
        <f aca="false">IF(N(F467)&gt;0,F467,IF(N(E467)&gt;0,E467/가정!$B$5,0))</f>
        <v>19622</v>
      </c>
      <c r="L467" s="95" t="n">
        <f aca="false">IF(B467="CN",IF(N(I467)&gt;0,I467*가정!$B$3,K467*(1+가정!$B$6)),IF(N(H467)&gt;0,H467*가정!$B$3,J467*가정!$B$4))</f>
        <v>30389.994</v>
      </c>
      <c r="M467" s="95" t="n">
        <f aca="false">D467*J467</f>
        <v>42720000</v>
      </c>
      <c r="N467" s="95" t="n">
        <f aca="false">D467*K467</f>
        <v>9418560</v>
      </c>
      <c r="O467" s="95" t="n">
        <f aca="false">D467*L467</f>
        <v>14587197.12</v>
      </c>
      <c r="P467" s="34" t="str">
        <f aca="false">TRIM(IF(N(E467)&lt;=0,"택가보정 ","")&amp;IF(N(F467)&lt;=0,"원가보정 ","")&amp;IF(AND(B467&lt;&gt;"CN",N(H467)&lt;=0),"공급가보정 ","")&amp;IF(AND(B467="CN",N(I467)&lt;=0),"중국공급가=원가+마진 ",""))</f>
        <v/>
      </c>
    </row>
    <row r="468" customFormat="false" ht="15" hidden="false" customHeight="true" outlineLevel="0" collapsed="false">
      <c r="A468" s="94" t="s">
        <v>1688</v>
      </c>
      <c r="B468" s="34" t="str">
        <f aca="false">IF(A468="100","HK",IF(A468="200","CN",IF(A468="300","TW","홀세일")))</f>
        <v>홀세일</v>
      </c>
      <c r="C468" s="94" t="s">
        <v>368</v>
      </c>
      <c r="D468" s="95" t="n">
        <v>50</v>
      </c>
      <c r="E468" s="95" t="n">
        <v>89000</v>
      </c>
      <c r="F468" s="95" t="n">
        <v>19622</v>
      </c>
      <c r="G468" s="34" t="n">
        <v>4.21</v>
      </c>
      <c r="H468" s="34" t="n">
        <v>22.3</v>
      </c>
      <c r="J468" s="95" t="n">
        <f aca="false">IF(N(E468)&gt;0,E468,IF(N(F468)&gt;0,F468*가정!$B$5,0))</f>
        <v>89000</v>
      </c>
      <c r="K468" s="95" t="n">
        <f aca="false">IF(N(F468)&gt;0,F468,IF(N(E468)&gt;0,E468/가정!$B$5,0))</f>
        <v>19622</v>
      </c>
      <c r="L468" s="95" t="n">
        <f aca="false">IF(B468="CN",IF(N(I468)&gt;0,I468*가정!$B$3,K468*(1+가정!$B$6)),IF(N(H468)&gt;0,H468*가정!$B$3,J468*가정!$B$4))</f>
        <v>30389.994</v>
      </c>
      <c r="M468" s="95" t="n">
        <f aca="false">D468*J468</f>
        <v>4450000</v>
      </c>
      <c r="N468" s="95" t="n">
        <f aca="false">D468*K468</f>
        <v>981100</v>
      </c>
      <c r="O468" s="95" t="n">
        <f aca="false">D468*L468</f>
        <v>1519499.7</v>
      </c>
      <c r="P468" s="34" t="str">
        <f aca="false">TRIM(IF(N(E468)&lt;=0,"택가보정 ","")&amp;IF(N(F468)&lt;=0,"원가보정 ","")&amp;IF(AND(B468&lt;&gt;"CN",N(H468)&lt;=0),"공급가보정 ","")&amp;IF(AND(B468="CN",N(I468)&lt;=0),"중국공급가=원가+마진 ",""))</f>
        <v/>
      </c>
    </row>
    <row r="469" customFormat="false" ht="15" hidden="false" customHeight="true" outlineLevel="0" collapsed="false">
      <c r="A469" s="94" t="s">
        <v>1684</v>
      </c>
      <c r="B469" s="34" t="str">
        <f aca="false">IF(A469="100","HK",IF(A469="200","CN",IF(A469="300","TW","홀세일")))</f>
        <v>HK</v>
      </c>
      <c r="C469" s="94" t="s">
        <v>370</v>
      </c>
      <c r="D469" s="95" t="n">
        <v>780</v>
      </c>
      <c r="E469" s="95" t="n">
        <v>89000</v>
      </c>
      <c r="F469" s="95" t="n">
        <v>14704</v>
      </c>
      <c r="G469" s="34" t="n">
        <v>4.52</v>
      </c>
      <c r="H469" s="34" t="n">
        <v>22.3</v>
      </c>
      <c r="J469" s="95" t="n">
        <f aca="false">IF(N(E469)&gt;0,E469,IF(N(F469)&gt;0,F469*가정!$B$5,0))</f>
        <v>89000</v>
      </c>
      <c r="K469" s="95" t="n">
        <f aca="false">IF(N(F469)&gt;0,F469,IF(N(E469)&gt;0,E469/가정!$B$5,0))</f>
        <v>14704</v>
      </c>
      <c r="L469" s="95" t="n">
        <f aca="false">IF(B469="CN",IF(N(I469)&gt;0,I469*가정!$B$3,K469*(1+가정!$B$6)),IF(N(H469)&gt;0,H469*가정!$B$3,J469*가정!$B$4))</f>
        <v>30389.994</v>
      </c>
      <c r="M469" s="95" t="n">
        <f aca="false">D469*J469</f>
        <v>69420000</v>
      </c>
      <c r="N469" s="95" t="n">
        <f aca="false">D469*K469</f>
        <v>11469120</v>
      </c>
      <c r="O469" s="95" t="n">
        <f aca="false">D469*L469</f>
        <v>23704195.32</v>
      </c>
      <c r="P469" s="34" t="str">
        <f aca="false">TRIM(IF(N(E469)&lt;=0,"택가보정 ","")&amp;IF(N(F469)&lt;=0,"원가보정 ","")&amp;IF(AND(B469&lt;&gt;"CN",N(H469)&lt;=0),"공급가보정 ","")&amp;IF(AND(B469="CN",N(I469)&lt;=0),"중국공급가=원가+마진 ",""))</f>
        <v/>
      </c>
    </row>
    <row r="470" customFormat="false" ht="15.75" hidden="false" customHeight="true" outlineLevel="0" collapsed="false">
      <c r="A470" s="94" t="s">
        <v>1685</v>
      </c>
      <c r="B470" s="34" t="str">
        <f aca="false">IF(A470="100","HK",IF(A470="200","CN",IF(A470="300","TW","홀세일")))</f>
        <v>CN</v>
      </c>
      <c r="C470" s="94" t="s">
        <v>370</v>
      </c>
      <c r="D470" s="95" t="n">
        <v>523</v>
      </c>
      <c r="E470" s="95" t="n">
        <v>89000</v>
      </c>
      <c r="F470" s="95" t="n">
        <v>14704</v>
      </c>
      <c r="G470" s="34" t="n">
        <v>4.52</v>
      </c>
      <c r="H470" s="34" t="n">
        <v>22.3</v>
      </c>
      <c r="J470" s="95" t="n">
        <f aca="false">IF(N(E470)&gt;0,E470,IF(N(F470)&gt;0,F470*가정!$B$5,0))</f>
        <v>89000</v>
      </c>
      <c r="K470" s="95" t="n">
        <f aca="false">IF(N(F470)&gt;0,F470,IF(N(E470)&gt;0,E470/가정!$B$5,0))</f>
        <v>14704</v>
      </c>
      <c r="L470" s="95" t="n">
        <f aca="false">IF(B470="CN",IF(N(I470)&gt;0,I470*가정!$B$3,K470*(1+가정!$B$6)),IF(N(H470)&gt;0,H470*가정!$B$3,J470*가정!$B$4))</f>
        <v>15439.2</v>
      </c>
      <c r="M470" s="95" t="n">
        <f aca="false">D470*J470</f>
        <v>46547000</v>
      </c>
      <c r="N470" s="95" t="n">
        <f aca="false">D470*K470</f>
        <v>7690192</v>
      </c>
      <c r="O470" s="95" t="n">
        <f aca="false">D470*L470</f>
        <v>8074701.6</v>
      </c>
      <c r="P470" s="34" t="str">
        <f aca="false">TRIM(IF(N(E470)&lt;=0,"택가보정 ","")&amp;IF(N(F470)&lt;=0,"원가보정 ","")&amp;IF(AND(B470&lt;&gt;"CN",N(H470)&lt;=0),"공급가보정 ","")&amp;IF(AND(B470="CN",N(I470)&lt;=0),"중국공급가=원가+마진 ",""))</f>
        <v>중국공급가=원가+마진</v>
      </c>
    </row>
    <row r="471" customFormat="false" ht="15" hidden="false" customHeight="true" outlineLevel="0" collapsed="false">
      <c r="A471" s="94" t="s">
        <v>1686</v>
      </c>
      <c r="B471" s="34" t="str">
        <f aca="false">IF(A471="100","HK",IF(A471="200","CN",IF(A471="300","TW","홀세일")))</f>
        <v>TW</v>
      </c>
      <c r="C471" s="94" t="s">
        <v>370</v>
      </c>
      <c r="D471" s="95" t="n">
        <v>900</v>
      </c>
      <c r="E471" s="95" t="n">
        <v>89000</v>
      </c>
      <c r="F471" s="95" t="n">
        <v>14704</v>
      </c>
      <c r="G471" s="34" t="n">
        <v>4.52</v>
      </c>
      <c r="H471" s="34" t="n">
        <v>22.3</v>
      </c>
      <c r="J471" s="95" t="n">
        <f aca="false">IF(N(E471)&gt;0,E471,IF(N(F471)&gt;0,F471*가정!$B$5,0))</f>
        <v>89000</v>
      </c>
      <c r="K471" s="95" t="n">
        <f aca="false">IF(N(F471)&gt;0,F471,IF(N(E471)&gt;0,E471/가정!$B$5,0))</f>
        <v>14704</v>
      </c>
      <c r="L471" s="95" t="n">
        <f aca="false">IF(B471="CN",IF(N(I471)&gt;0,I471*가정!$B$3,K471*(1+가정!$B$6)),IF(N(H471)&gt;0,H471*가정!$B$3,J471*가정!$B$4))</f>
        <v>30389.994</v>
      </c>
      <c r="M471" s="95" t="n">
        <f aca="false">D471*J471</f>
        <v>80100000</v>
      </c>
      <c r="N471" s="95" t="n">
        <f aca="false">D471*K471</f>
        <v>13233600</v>
      </c>
      <c r="O471" s="95" t="n">
        <f aca="false">D471*L471</f>
        <v>27350994.6</v>
      </c>
      <c r="P471" s="34" t="str">
        <f aca="false">TRIM(IF(N(E471)&lt;=0,"택가보정 ","")&amp;IF(N(F471)&lt;=0,"원가보정 ","")&amp;IF(AND(B471&lt;&gt;"CN",N(H471)&lt;=0),"공급가보정 ","")&amp;IF(AND(B471="CN",N(I471)&lt;=0),"중국공급가=원가+마진 ",""))</f>
        <v/>
      </c>
    </row>
    <row r="472" customFormat="false" ht="15" hidden="false" customHeight="true" outlineLevel="0" collapsed="false">
      <c r="A472" s="94" t="s">
        <v>1688</v>
      </c>
      <c r="B472" s="34" t="str">
        <f aca="false">IF(A472="100","HK",IF(A472="200","CN",IF(A472="300","TW","홀세일")))</f>
        <v>홀세일</v>
      </c>
      <c r="C472" s="94" t="s">
        <v>370</v>
      </c>
      <c r="D472" s="95" t="n">
        <v>215</v>
      </c>
      <c r="E472" s="95" t="n">
        <v>89000</v>
      </c>
      <c r="F472" s="95" t="n">
        <v>14704</v>
      </c>
      <c r="G472" s="34" t="n">
        <v>4.52</v>
      </c>
      <c r="H472" s="34" t="n">
        <v>22.3</v>
      </c>
      <c r="J472" s="95" t="n">
        <f aca="false">IF(N(E472)&gt;0,E472,IF(N(F472)&gt;0,F472*가정!$B$5,0))</f>
        <v>89000</v>
      </c>
      <c r="K472" s="95" t="n">
        <f aca="false">IF(N(F472)&gt;0,F472,IF(N(E472)&gt;0,E472/가정!$B$5,0))</f>
        <v>14704</v>
      </c>
      <c r="L472" s="95" t="n">
        <f aca="false">IF(B472="CN",IF(N(I472)&gt;0,I472*가정!$B$3,K472*(1+가정!$B$6)),IF(N(H472)&gt;0,H472*가정!$B$3,J472*가정!$B$4))</f>
        <v>30389.994</v>
      </c>
      <c r="M472" s="95" t="n">
        <f aca="false">D472*J472</f>
        <v>19135000</v>
      </c>
      <c r="N472" s="95" t="n">
        <f aca="false">D472*K472</f>
        <v>3161360</v>
      </c>
      <c r="O472" s="95" t="n">
        <f aca="false">D472*L472</f>
        <v>6533848.71</v>
      </c>
      <c r="P472" s="34" t="str">
        <f aca="false">TRIM(IF(N(E472)&lt;=0,"택가보정 ","")&amp;IF(N(F472)&lt;=0,"원가보정 ","")&amp;IF(AND(B472&lt;&gt;"CN",N(H472)&lt;=0),"공급가보정 ","")&amp;IF(AND(B472="CN",N(I472)&lt;=0),"중국공급가=원가+마진 ",""))</f>
        <v/>
      </c>
    </row>
    <row r="473" customFormat="false" ht="15" hidden="false" customHeight="true" outlineLevel="0" collapsed="false">
      <c r="A473" s="94" t="s">
        <v>1692</v>
      </c>
      <c r="B473" s="34" t="str">
        <f aca="false">IF(A473="100","HK",IF(A473="200","CN",IF(A473="300","TW","홀세일")))</f>
        <v>홀세일</v>
      </c>
      <c r="C473" s="94" t="s">
        <v>370</v>
      </c>
      <c r="D473" s="95" t="n">
        <v>56</v>
      </c>
      <c r="E473" s="95" t="n">
        <v>89000</v>
      </c>
      <c r="F473" s="95" t="n">
        <v>14704</v>
      </c>
      <c r="G473" s="34" t="n">
        <v>4.52</v>
      </c>
      <c r="H473" s="34" t="n">
        <v>22.3</v>
      </c>
      <c r="J473" s="95" t="n">
        <f aca="false">IF(N(E473)&gt;0,E473,IF(N(F473)&gt;0,F473*가정!$B$5,0))</f>
        <v>89000</v>
      </c>
      <c r="K473" s="95" t="n">
        <f aca="false">IF(N(F473)&gt;0,F473,IF(N(E473)&gt;0,E473/가정!$B$5,0))</f>
        <v>14704</v>
      </c>
      <c r="L473" s="95" t="n">
        <f aca="false">IF(B473="CN",IF(N(I473)&gt;0,I473*가정!$B$3,K473*(1+가정!$B$6)),IF(N(H473)&gt;0,H473*가정!$B$3,J473*가정!$B$4))</f>
        <v>30389.994</v>
      </c>
      <c r="M473" s="95" t="n">
        <f aca="false">D473*J473</f>
        <v>4984000</v>
      </c>
      <c r="N473" s="95" t="n">
        <f aca="false">D473*K473</f>
        <v>823424</v>
      </c>
      <c r="O473" s="95" t="n">
        <f aca="false">D473*L473</f>
        <v>1701839.664</v>
      </c>
      <c r="P473" s="34" t="str">
        <f aca="false">TRIM(IF(N(E473)&lt;=0,"택가보정 ","")&amp;IF(N(F473)&lt;=0,"원가보정 ","")&amp;IF(AND(B473&lt;&gt;"CN",N(H473)&lt;=0),"공급가보정 ","")&amp;IF(AND(B473="CN",N(I473)&lt;=0),"중국공급가=원가+마진 ",""))</f>
        <v/>
      </c>
    </row>
    <row r="474" customFormat="false" ht="15" hidden="false" customHeight="true" outlineLevel="0" collapsed="false">
      <c r="A474" s="94" t="s">
        <v>1690</v>
      </c>
      <c r="B474" s="34" t="str">
        <f aca="false">IF(A474="100","HK",IF(A474="200","CN",IF(A474="300","TW","홀세일")))</f>
        <v>홀세일</v>
      </c>
      <c r="C474" s="94" t="s">
        <v>370</v>
      </c>
      <c r="D474" s="95" t="n">
        <v>216</v>
      </c>
      <c r="E474" s="95" t="n">
        <v>89000</v>
      </c>
      <c r="F474" s="95" t="n">
        <v>14704</v>
      </c>
      <c r="G474" s="34" t="n">
        <v>4.52</v>
      </c>
      <c r="H474" s="34" t="n">
        <v>22.3</v>
      </c>
      <c r="J474" s="95" t="n">
        <f aca="false">IF(N(E474)&gt;0,E474,IF(N(F474)&gt;0,F474*가정!$B$5,0))</f>
        <v>89000</v>
      </c>
      <c r="K474" s="95" t="n">
        <f aca="false">IF(N(F474)&gt;0,F474,IF(N(E474)&gt;0,E474/가정!$B$5,0))</f>
        <v>14704</v>
      </c>
      <c r="L474" s="95" t="n">
        <f aca="false">IF(B474="CN",IF(N(I474)&gt;0,I474*가정!$B$3,K474*(1+가정!$B$6)),IF(N(H474)&gt;0,H474*가정!$B$3,J474*가정!$B$4))</f>
        <v>30389.994</v>
      </c>
      <c r="M474" s="95" t="n">
        <f aca="false">D474*J474</f>
        <v>19224000</v>
      </c>
      <c r="N474" s="95" t="n">
        <f aca="false">D474*K474</f>
        <v>3176064</v>
      </c>
      <c r="O474" s="95" t="n">
        <f aca="false">D474*L474</f>
        <v>6564238.704</v>
      </c>
      <c r="P474" s="34" t="str">
        <f aca="false">TRIM(IF(N(E474)&lt;=0,"택가보정 ","")&amp;IF(N(F474)&lt;=0,"원가보정 ","")&amp;IF(AND(B474&lt;&gt;"CN",N(H474)&lt;=0),"공급가보정 ","")&amp;IF(AND(B474="CN",N(I474)&lt;=0),"중국공급가=원가+마진 ",""))</f>
        <v/>
      </c>
    </row>
    <row r="475" customFormat="false" ht="15" hidden="false" customHeight="true" outlineLevel="0" collapsed="false">
      <c r="A475" s="94" t="s">
        <v>1688</v>
      </c>
      <c r="B475" s="34" t="str">
        <f aca="false">IF(A475="100","HK",IF(A475="200","CN",IF(A475="300","TW","홀세일")))</f>
        <v>홀세일</v>
      </c>
      <c r="C475" s="94" t="s">
        <v>1701</v>
      </c>
      <c r="D475" s="95" t="n">
        <v>80</v>
      </c>
      <c r="E475" s="95" t="n">
        <v>89000</v>
      </c>
      <c r="F475" s="95" t="n">
        <v>20486</v>
      </c>
      <c r="G475" s="34" t="n">
        <v>4.99</v>
      </c>
      <c r="H475" s="34" t="n">
        <v>0</v>
      </c>
      <c r="J475" s="95" t="n">
        <f aca="false">IF(N(E475)&gt;0,E475,IF(N(F475)&gt;0,F475*가정!$B$5,0))</f>
        <v>89000</v>
      </c>
      <c r="K475" s="95" t="n">
        <f aca="false">IF(N(F475)&gt;0,F475,IF(N(E475)&gt;0,E475/가정!$B$5,0))</f>
        <v>20486</v>
      </c>
      <c r="L475" s="95" t="n">
        <f aca="false">IF(B475="CN",IF(N(I475)&gt;0,I475*가정!$B$3,K475*(1+가정!$B$6)),IF(N(H475)&gt;0,H475*가정!$B$3,J475*가정!$B$4))</f>
        <v>29370</v>
      </c>
      <c r="M475" s="95" t="n">
        <f aca="false">D475*J475</f>
        <v>7120000</v>
      </c>
      <c r="N475" s="95" t="n">
        <f aca="false">D475*K475</f>
        <v>1638880</v>
      </c>
      <c r="O475" s="95" t="n">
        <f aca="false">D475*L475</f>
        <v>2349600</v>
      </c>
      <c r="P475" s="34" t="str">
        <f aca="false">TRIM(IF(N(E475)&lt;=0,"택가보정 ","")&amp;IF(N(F475)&lt;=0,"원가보정 ","")&amp;IF(AND(B475&lt;&gt;"CN",N(H475)&lt;=0),"공급가보정 ","")&amp;IF(AND(B475="CN",N(I475)&lt;=0),"중국공급가=원가+마진 ",""))</f>
        <v>공급가보정</v>
      </c>
    </row>
    <row r="476" customFormat="false" ht="15" hidden="false" customHeight="true" outlineLevel="0" collapsed="false">
      <c r="A476" s="94" t="s">
        <v>1684</v>
      </c>
      <c r="B476" s="34" t="str">
        <f aca="false">IF(A476="100","HK",IF(A476="200","CN",IF(A476="300","TW","홀세일")))</f>
        <v>HK</v>
      </c>
      <c r="C476" s="94" t="s">
        <v>372</v>
      </c>
      <c r="D476" s="95" t="n">
        <v>960</v>
      </c>
      <c r="E476" s="95" t="n">
        <v>59000</v>
      </c>
      <c r="F476" s="95" t="n">
        <v>14418</v>
      </c>
      <c r="G476" s="34" t="n">
        <v>3.86</v>
      </c>
      <c r="H476" s="34" t="n">
        <v>14.8</v>
      </c>
      <c r="J476" s="95" t="n">
        <f aca="false">IF(N(E476)&gt;0,E476,IF(N(F476)&gt;0,F476*가정!$B$5,0))</f>
        <v>59000</v>
      </c>
      <c r="K476" s="95" t="n">
        <f aca="false">IF(N(F476)&gt;0,F476,IF(N(E476)&gt;0,E476/가정!$B$5,0))</f>
        <v>14418</v>
      </c>
      <c r="L476" s="95" t="n">
        <f aca="false">IF(B476="CN",IF(N(I476)&gt;0,I476*가정!$B$3,K476*(1+가정!$B$6)),IF(N(H476)&gt;0,H476*가정!$B$3,J476*가정!$B$4))</f>
        <v>20169.144</v>
      </c>
      <c r="M476" s="95" t="n">
        <f aca="false">D476*J476</f>
        <v>56640000</v>
      </c>
      <c r="N476" s="95" t="n">
        <f aca="false">D476*K476</f>
        <v>13841280</v>
      </c>
      <c r="O476" s="95" t="n">
        <f aca="false">D476*L476</f>
        <v>19362378.24</v>
      </c>
      <c r="P476" s="34" t="str">
        <f aca="false">TRIM(IF(N(E476)&lt;=0,"택가보정 ","")&amp;IF(N(F476)&lt;=0,"원가보정 ","")&amp;IF(AND(B476&lt;&gt;"CN",N(H476)&lt;=0),"공급가보정 ","")&amp;IF(AND(B476="CN",N(I476)&lt;=0),"중국공급가=원가+마진 ",""))</f>
        <v/>
      </c>
    </row>
    <row r="477" customFormat="false" ht="15.75" hidden="false" customHeight="true" outlineLevel="0" collapsed="false">
      <c r="A477" s="94" t="s">
        <v>1685</v>
      </c>
      <c r="B477" s="34" t="str">
        <f aca="false">IF(A477="100","HK",IF(A477="200","CN",IF(A477="300","TW","홀세일")))</f>
        <v>CN</v>
      </c>
      <c r="C477" s="94" t="s">
        <v>372</v>
      </c>
      <c r="D477" s="95" t="n">
        <v>954</v>
      </c>
      <c r="E477" s="95" t="n">
        <v>59000</v>
      </c>
      <c r="F477" s="95" t="n">
        <v>14418</v>
      </c>
      <c r="G477" s="34" t="n">
        <v>3.86</v>
      </c>
      <c r="H477" s="34" t="n">
        <v>14.8</v>
      </c>
      <c r="J477" s="95" t="n">
        <f aca="false">IF(N(E477)&gt;0,E477,IF(N(F477)&gt;0,F477*가정!$B$5,0))</f>
        <v>59000</v>
      </c>
      <c r="K477" s="95" t="n">
        <f aca="false">IF(N(F477)&gt;0,F477,IF(N(E477)&gt;0,E477/가정!$B$5,0))</f>
        <v>14418</v>
      </c>
      <c r="L477" s="95" t="n">
        <f aca="false">IF(B477="CN",IF(N(I477)&gt;0,I477*가정!$B$3,K477*(1+가정!$B$6)),IF(N(H477)&gt;0,H477*가정!$B$3,J477*가정!$B$4))</f>
        <v>15138.9</v>
      </c>
      <c r="M477" s="95" t="n">
        <f aca="false">D477*J477</f>
        <v>56286000</v>
      </c>
      <c r="N477" s="95" t="n">
        <f aca="false">D477*K477</f>
        <v>13754772</v>
      </c>
      <c r="O477" s="95" t="n">
        <f aca="false">D477*L477</f>
        <v>14442510.6</v>
      </c>
      <c r="P477" s="34" t="str">
        <f aca="false">TRIM(IF(N(E477)&lt;=0,"택가보정 ","")&amp;IF(N(F477)&lt;=0,"원가보정 ","")&amp;IF(AND(B477&lt;&gt;"CN",N(H477)&lt;=0),"공급가보정 ","")&amp;IF(AND(B477="CN",N(I477)&lt;=0),"중국공급가=원가+마진 ",""))</f>
        <v>중국공급가=원가+마진</v>
      </c>
    </row>
    <row r="478" customFormat="false" ht="15" hidden="false" customHeight="true" outlineLevel="0" collapsed="false">
      <c r="A478" s="94" t="s">
        <v>1686</v>
      </c>
      <c r="B478" s="34" t="str">
        <f aca="false">IF(A478="100","HK",IF(A478="200","CN",IF(A478="300","TW","홀세일")))</f>
        <v>TW</v>
      </c>
      <c r="C478" s="94" t="s">
        <v>372</v>
      </c>
      <c r="D478" s="95" t="n">
        <v>300</v>
      </c>
      <c r="E478" s="95" t="n">
        <v>59000</v>
      </c>
      <c r="F478" s="95" t="n">
        <v>14418</v>
      </c>
      <c r="G478" s="34" t="n">
        <v>3.86</v>
      </c>
      <c r="H478" s="34" t="n">
        <v>14.8</v>
      </c>
      <c r="J478" s="95" t="n">
        <f aca="false">IF(N(E478)&gt;0,E478,IF(N(F478)&gt;0,F478*가정!$B$5,0))</f>
        <v>59000</v>
      </c>
      <c r="K478" s="95" t="n">
        <f aca="false">IF(N(F478)&gt;0,F478,IF(N(E478)&gt;0,E478/가정!$B$5,0))</f>
        <v>14418</v>
      </c>
      <c r="L478" s="95" t="n">
        <f aca="false">IF(B478="CN",IF(N(I478)&gt;0,I478*가정!$B$3,K478*(1+가정!$B$6)),IF(N(H478)&gt;0,H478*가정!$B$3,J478*가정!$B$4))</f>
        <v>20169.144</v>
      </c>
      <c r="M478" s="95" t="n">
        <f aca="false">D478*J478</f>
        <v>17700000</v>
      </c>
      <c r="N478" s="95" t="n">
        <f aca="false">D478*K478</f>
        <v>4325400</v>
      </c>
      <c r="O478" s="95" t="n">
        <f aca="false">D478*L478</f>
        <v>6050743.2</v>
      </c>
      <c r="P478" s="34" t="str">
        <f aca="false">TRIM(IF(N(E478)&lt;=0,"택가보정 ","")&amp;IF(N(F478)&lt;=0,"원가보정 ","")&amp;IF(AND(B478&lt;&gt;"CN",N(H478)&lt;=0),"공급가보정 ","")&amp;IF(AND(B478="CN",N(I478)&lt;=0),"중국공급가=원가+마진 ",""))</f>
        <v/>
      </c>
    </row>
    <row r="479" customFormat="false" ht="15" hidden="false" customHeight="true" outlineLevel="0" collapsed="false">
      <c r="A479" s="94" t="s">
        <v>1688</v>
      </c>
      <c r="B479" s="34" t="str">
        <f aca="false">IF(A479="100","HK",IF(A479="200","CN",IF(A479="300","TW","홀세일")))</f>
        <v>홀세일</v>
      </c>
      <c r="C479" s="94" t="s">
        <v>372</v>
      </c>
      <c r="D479" s="95" t="n">
        <v>100</v>
      </c>
      <c r="E479" s="95" t="n">
        <v>59000</v>
      </c>
      <c r="F479" s="95" t="n">
        <v>14418</v>
      </c>
      <c r="G479" s="34" t="n">
        <v>3.86</v>
      </c>
      <c r="H479" s="34" t="n">
        <v>14.8</v>
      </c>
      <c r="J479" s="95" t="n">
        <f aca="false">IF(N(E479)&gt;0,E479,IF(N(F479)&gt;0,F479*가정!$B$5,0))</f>
        <v>59000</v>
      </c>
      <c r="K479" s="95" t="n">
        <f aca="false">IF(N(F479)&gt;0,F479,IF(N(E479)&gt;0,E479/가정!$B$5,0))</f>
        <v>14418</v>
      </c>
      <c r="L479" s="95" t="n">
        <f aca="false">IF(B479="CN",IF(N(I479)&gt;0,I479*가정!$B$3,K479*(1+가정!$B$6)),IF(N(H479)&gt;0,H479*가정!$B$3,J479*가정!$B$4))</f>
        <v>20169.144</v>
      </c>
      <c r="M479" s="95" t="n">
        <f aca="false">D479*J479</f>
        <v>5900000</v>
      </c>
      <c r="N479" s="95" t="n">
        <f aca="false">D479*K479</f>
        <v>1441800</v>
      </c>
      <c r="O479" s="95" t="n">
        <f aca="false">D479*L479</f>
        <v>2016914.4</v>
      </c>
      <c r="P479" s="34" t="str">
        <f aca="false">TRIM(IF(N(E479)&lt;=0,"택가보정 ","")&amp;IF(N(F479)&lt;=0,"원가보정 ","")&amp;IF(AND(B479&lt;&gt;"CN",N(H479)&lt;=0),"공급가보정 ","")&amp;IF(AND(B479="CN",N(I479)&lt;=0),"중국공급가=원가+마진 ",""))</f>
        <v/>
      </c>
    </row>
    <row r="480" customFormat="false" ht="15" hidden="false" customHeight="true" outlineLevel="0" collapsed="false">
      <c r="A480" s="94" t="s">
        <v>1689</v>
      </c>
      <c r="B480" s="34" t="str">
        <f aca="false">IF(A480="100","HK",IF(A480="200","CN",IF(A480="300","TW","홀세일")))</f>
        <v>홀세일</v>
      </c>
      <c r="C480" s="94" t="s">
        <v>372</v>
      </c>
      <c r="D480" s="95" t="n">
        <v>85</v>
      </c>
      <c r="E480" s="95" t="n">
        <v>59000</v>
      </c>
      <c r="F480" s="95" t="n">
        <v>14418</v>
      </c>
      <c r="G480" s="34" t="n">
        <v>3.86</v>
      </c>
      <c r="H480" s="34" t="n">
        <v>14.8</v>
      </c>
      <c r="J480" s="95" t="n">
        <f aca="false">IF(N(E480)&gt;0,E480,IF(N(F480)&gt;0,F480*가정!$B$5,0))</f>
        <v>59000</v>
      </c>
      <c r="K480" s="95" t="n">
        <f aca="false">IF(N(F480)&gt;0,F480,IF(N(E480)&gt;0,E480/가정!$B$5,0))</f>
        <v>14418</v>
      </c>
      <c r="L480" s="95" t="n">
        <f aca="false">IF(B480="CN",IF(N(I480)&gt;0,I480*가정!$B$3,K480*(1+가정!$B$6)),IF(N(H480)&gt;0,H480*가정!$B$3,J480*가정!$B$4))</f>
        <v>20169.144</v>
      </c>
      <c r="M480" s="95" t="n">
        <f aca="false">D480*J480</f>
        <v>5015000</v>
      </c>
      <c r="N480" s="95" t="n">
        <f aca="false">D480*K480</f>
        <v>1225530</v>
      </c>
      <c r="O480" s="95" t="n">
        <f aca="false">D480*L480</f>
        <v>1714377.24</v>
      </c>
      <c r="P480" s="34" t="str">
        <f aca="false">TRIM(IF(N(E480)&lt;=0,"택가보정 ","")&amp;IF(N(F480)&lt;=0,"원가보정 ","")&amp;IF(AND(B480&lt;&gt;"CN",N(H480)&lt;=0),"공급가보정 ","")&amp;IF(AND(B480="CN",N(I480)&lt;=0),"중국공급가=원가+마진 ",""))</f>
        <v/>
      </c>
    </row>
    <row r="481" customFormat="false" ht="15" hidden="false" customHeight="true" outlineLevel="0" collapsed="false">
      <c r="A481" s="94" t="s">
        <v>1684</v>
      </c>
      <c r="B481" s="34" t="str">
        <f aca="false">IF(A481="100","HK",IF(A481="200","CN",IF(A481="300","TW","홀세일")))</f>
        <v>HK</v>
      </c>
      <c r="C481" s="94" t="s">
        <v>374</v>
      </c>
      <c r="D481" s="95" t="n">
        <v>780</v>
      </c>
      <c r="E481" s="95" t="n">
        <v>59000</v>
      </c>
      <c r="F481" s="95" t="n">
        <v>13800</v>
      </c>
      <c r="G481" s="34" t="n">
        <v>4.03</v>
      </c>
      <c r="H481" s="34" t="n">
        <v>14.8</v>
      </c>
      <c r="J481" s="95" t="n">
        <f aca="false">IF(N(E481)&gt;0,E481,IF(N(F481)&gt;0,F481*가정!$B$5,0))</f>
        <v>59000</v>
      </c>
      <c r="K481" s="95" t="n">
        <f aca="false">IF(N(F481)&gt;0,F481,IF(N(E481)&gt;0,E481/가정!$B$5,0))</f>
        <v>13800</v>
      </c>
      <c r="L481" s="95" t="n">
        <f aca="false">IF(B481="CN",IF(N(I481)&gt;0,I481*가정!$B$3,K481*(1+가정!$B$6)),IF(N(H481)&gt;0,H481*가정!$B$3,J481*가정!$B$4))</f>
        <v>20169.144</v>
      </c>
      <c r="M481" s="95" t="n">
        <f aca="false">D481*J481</f>
        <v>46020000</v>
      </c>
      <c r="N481" s="95" t="n">
        <f aca="false">D481*K481</f>
        <v>10764000</v>
      </c>
      <c r="O481" s="95" t="n">
        <f aca="false">D481*L481</f>
        <v>15731932.32</v>
      </c>
      <c r="P481" s="34" t="str">
        <f aca="false">TRIM(IF(N(E481)&lt;=0,"택가보정 ","")&amp;IF(N(F481)&lt;=0,"원가보정 ","")&amp;IF(AND(B481&lt;&gt;"CN",N(H481)&lt;=0),"공급가보정 ","")&amp;IF(AND(B481="CN",N(I481)&lt;=0),"중국공급가=원가+마진 ",""))</f>
        <v/>
      </c>
    </row>
    <row r="482" customFormat="false" ht="15" hidden="false" customHeight="true" outlineLevel="0" collapsed="false">
      <c r="A482" s="94" t="s">
        <v>1686</v>
      </c>
      <c r="B482" s="34" t="str">
        <f aca="false">IF(A482="100","HK",IF(A482="200","CN",IF(A482="300","TW","홀세일")))</f>
        <v>TW</v>
      </c>
      <c r="C482" s="94" t="s">
        <v>374</v>
      </c>
      <c r="D482" s="95" t="n">
        <v>150</v>
      </c>
      <c r="E482" s="95" t="n">
        <v>59000</v>
      </c>
      <c r="F482" s="95" t="n">
        <v>13800</v>
      </c>
      <c r="G482" s="34" t="n">
        <v>4.03</v>
      </c>
      <c r="H482" s="34" t="n">
        <v>14.8</v>
      </c>
      <c r="J482" s="95" t="n">
        <f aca="false">IF(N(E482)&gt;0,E482,IF(N(F482)&gt;0,F482*가정!$B$5,0))</f>
        <v>59000</v>
      </c>
      <c r="K482" s="95" t="n">
        <f aca="false">IF(N(F482)&gt;0,F482,IF(N(E482)&gt;0,E482/가정!$B$5,0))</f>
        <v>13800</v>
      </c>
      <c r="L482" s="95" t="n">
        <f aca="false">IF(B482="CN",IF(N(I482)&gt;0,I482*가정!$B$3,K482*(1+가정!$B$6)),IF(N(H482)&gt;0,H482*가정!$B$3,J482*가정!$B$4))</f>
        <v>20169.144</v>
      </c>
      <c r="M482" s="95" t="n">
        <f aca="false">D482*J482</f>
        <v>8850000</v>
      </c>
      <c r="N482" s="95" t="n">
        <f aca="false">D482*K482</f>
        <v>2070000</v>
      </c>
      <c r="O482" s="95" t="n">
        <f aca="false">D482*L482</f>
        <v>3025371.6</v>
      </c>
      <c r="P482" s="34" t="str">
        <f aca="false">TRIM(IF(N(E482)&lt;=0,"택가보정 ","")&amp;IF(N(F482)&lt;=0,"원가보정 ","")&amp;IF(AND(B482&lt;&gt;"CN",N(H482)&lt;=0),"공급가보정 ","")&amp;IF(AND(B482="CN",N(I482)&lt;=0),"중국공급가=원가+마진 ",""))</f>
        <v/>
      </c>
    </row>
    <row r="483" customFormat="false" ht="15" hidden="false" customHeight="true" outlineLevel="0" collapsed="false">
      <c r="A483" s="94" t="s">
        <v>1692</v>
      </c>
      <c r="B483" s="34" t="str">
        <f aca="false">IF(A483="100","HK",IF(A483="200","CN",IF(A483="300","TW","홀세일")))</f>
        <v>홀세일</v>
      </c>
      <c r="C483" s="94" t="s">
        <v>374</v>
      </c>
      <c r="D483" s="95" t="n">
        <v>122</v>
      </c>
      <c r="E483" s="95" t="n">
        <v>59000</v>
      </c>
      <c r="F483" s="95" t="n">
        <v>13800</v>
      </c>
      <c r="G483" s="34" t="n">
        <v>4.03</v>
      </c>
      <c r="H483" s="34" t="n">
        <v>14.8</v>
      </c>
      <c r="J483" s="95" t="n">
        <f aca="false">IF(N(E483)&gt;0,E483,IF(N(F483)&gt;0,F483*가정!$B$5,0))</f>
        <v>59000</v>
      </c>
      <c r="K483" s="95" t="n">
        <f aca="false">IF(N(F483)&gt;0,F483,IF(N(E483)&gt;0,E483/가정!$B$5,0))</f>
        <v>13800</v>
      </c>
      <c r="L483" s="95" t="n">
        <f aca="false">IF(B483="CN",IF(N(I483)&gt;0,I483*가정!$B$3,K483*(1+가정!$B$6)),IF(N(H483)&gt;0,H483*가정!$B$3,J483*가정!$B$4))</f>
        <v>20169.144</v>
      </c>
      <c r="M483" s="95" t="n">
        <f aca="false">D483*J483</f>
        <v>7198000</v>
      </c>
      <c r="N483" s="95" t="n">
        <f aca="false">D483*K483</f>
        <v>1683600</v>
      </c>
      <c r="O483" s="95" t="n">
        <f aca="false">D483*L483</f>
        <v>2460635.568</v>
      </c>
      <c r="P483" s="34" t="str">
        <f aca="false">TRIM(IF(N(E483)&lt;=0,"택가보정 ","")&amp;IF(N(F483)&lt;=0,"원가보정 ","")&amp;IF(AND(B483&lt;&gt;"CN",N(H483)&lt;=0),"공급가보정 ","")&amp;IF(AND(B483="CN",N(I483)&lt;=0),"중국공급가=원가+마진 ",""))</f>
        <v/>
      </c>
    </row>
    <row r="484" customFormat="false" ht="15" hidden="false" customHeight="true" outlineLevel="0" collapsed="false">
      <c r="A484" s="94" t="s">
        <v>1689</v>
      </c>
      <c r="B484" s="34" t="str">
        <f aca="false">IF(A484="100","HK",IF(A484="200","CN",IF(A484="300","TW","홀세일")))</f>
        <v>홀세일</v>
      </c>
      <c r="C484" s="94" t="s">
        <v>374</v>
      </c>
      <c r="D484" s="95" t="n">
        <v>110</v>
      </c>
      <c r="E484" s="95" t="n">
        <v>59000</v>
      </c>
      <c r="F484" s="95" t="n">
        <v>13800</v>
      </c>
      <c r="G484" s="34" t="n">
        <v>4.03</v>
      </c>
      <c r="H484" s="34" t="n">
        <v>14.8</v>
      </c>
      <c r="J484" s="95" t="n">
        <f aca="false">IF(N(E484)&gt;0,E484,IF(N(F484)&gt;0,F484*가정!$B$5,0))</f>
        <v>59000</v>
      </c>
      <c r="K484" s="95" t="n">
        <f aca="false">IF(N(F484)&gt;0,F484,IF(N(E484)&gt;0,E484/가정!$B$5,0))</f>
        <v>13800</v>
      </c>
      <c r="L484" s="95" t="n">
        <f aca="false">IF(B484="CN",IF(N(I484)&gt;0,I484*가정!$B$3,K484*(1+가정!$B$6)),IF(N(H484)&gt;0,H484*가정!$B$3,J484*가정!$B$4))</f>
        <v>20169.144</v>
      </c>
      <c r="M484" s="95" t="n">
        <f aca="false">D484*J484</f>
        <v>6490000</v>
      </c>
      <c r="N484" s="95" t="n">
        <f aca="false">D484*K484</f>
        <v>1518000</v>
      </c>
      <c r="O484" s="95" t="n">
        <f aca="false">D484*L484</f>
        <v>2218605.84</v>
      </c>
      <c r="P484" s="34" t="str">
        <f aca="false">TRIM(IF(N(E484)&lt;=0,"택가보정 ","")&amp;IF(N(F484)&lt;=0,"원가보정 ","")&amp;IF(AND(B484&lt;&gt;"CN",N(H484)&lt;=0),"공급가보정 ","")&amp;IF(AND(B484="CN",N(I484)&lt;=0),"중국공급가=원가+마진 ",""))</f>
        <v/>
      </c>
    </row>
    <row r="485" customFormat="false" ht="15" hidden="false" customHeight="true" outlineLevel="0" collapsed="false">
      <c r="A485" s="94" t="s">
        <v>1684</v>
      </c>
      <c r="B485" s="34" t="str">
        <f aca="false">IF(A485="100","HK",IF(A485="200","CN",IF(A485="300","TW","홀세일")))</f>
        <v>HK</v>
      </c>
      <c r="C485" s="94" t="s">
        <v>376</v>
      </c>
      <c r="D485" s="95" t="n">
        <v>660</v>
      </c>
      <c r="E485" s="95" t="n">
        <v>59000</v>
      </c>
      <c r="F485" s="95" t="n">
        <v>12901</v>
      </c>
      <c r="G485" s="34" t="n">
        <v>3.14</v>
      </c>
      <c r="H485" s="34" t="n">
        <v>14.8</v>
      </c>
      <c r="J485" s="95" t="n">
        <f aca="false">IF(N(E485)&gt;0,E485,IF(N(F485)&gt;0,F485*가정!$B$5,0))</f>
        <v>59000</v>
      </c>
      <c r="K485" s="95" t="n">
        <f aca="false">IF(N(F485)&gt;0,F485,IF(N(E485)&gt;0,E485/가정!$B$5,0))</f>
        <v>12901</v>
      </c>
      <c r="L485" s="95" t="n">
        <f aca="false">IF(B485="CN",IF(N(I485)&gt;0,I485*가정!$B$3,K485*(1+가정!$B$6)),IF(N(H485)&gt;0,H485*가정!$B$3,J485*가정!$B$4))</f>
        <v>20169.144</v>
      </c>
      <c r="M485" s="95" t="n">
        <f aca="false">D485*J485</f>
        <v>38940000</v>
      </c>
      <c r="N485" s="95" t="n">
        <f aca="false">D485*K485</f>
        <v>8514660</v>
      </c>
      <c r="O485" s="95" t="n">
        <f aca="false">D485*L485</f>
        <v>13311635.04</v>
      </c>
      <c r="P485" s="34" t="str">
        <f aca="false">TRIM(IF(N(E485)&lt;=0,"택가보정 ","")&amp;IF(N(F485)&lt;=0,"원가보정 ","")&amp;IF(AND(B485&lt;&gt;"CN",N(H485)&lt;=0),"공급가보정 ","")&amp;IF(AND(B485="CN",N(I485)&lt;=0),"중국공급가=원가+마진 ",""))</f>
        <v/>
      </c>
    </row>
    <row r="486" customFormat="false" ht="15.75" hidden="false" customHeight="true" outlineLevel="0" collapsed="false">
      <c r="A486" s="94" t="s">
        <v>1685</v>
      </c>
      <c r="B486" s="34" t="str">
        <f aca="false">IF(A486="100","HK",IF(A486="200","CN",IF(A486="300","TW","홀세일")))</f>
        <v>CN</v>
      </c>
      <c r="C486" s="94" t="s">
        <v>376</v>
      </c>
      <c r="D486" s="95" t="n">
        <v>80</v>
      </c>
      <c r="E486" s="95" t="n">
        <v>59000</v>
      </c>
      <c r="F486" s="95" t="n">
        <v>12901</v>
      </c>
      <c r="G486" s="34" t="n">
        <v>3.14</v>
      </c>
      <c r="H486" s="34" t="n">
        <v>14.8</v>
      </c>
      <c r="J486" s="95" t="n">
        <f aca="false">IF(N(E486)&gt;0,E486,IF(N(F486)&gt;0,F486*가정!$B$5,0))</f>
        <v>59000</v>
      </c>
      <c r="K486" s="95" t="n">
        <f aca="false">IF(N(F486)&gt;0,F486,IF(N(E486)&gt;0,E486/가정!$B$5,0))</f>
        <v>12901</v>
      </c>
      <c r="L486" s="95" t="n">
        <f aca="false">IF(B486="CN",IF(N(I486)&gt;0,I486*가정!$B$3,K486*(1+가정!$B$6)),IF(N(H486)&gt;0,H486*가정!$B$3,J486*가정!$B$4))</f>
        <v>13546.05</v>
      </c>
      <c r="M486" s="95" t="n">
        <f aca="false">D486*J486</f>
        <v>4720000</v>
      </c>
      <c r="N486" s="95" t="n">
        <f aca="false">D486*K486</f>
        <v>1032080</v>
      </c>
      <c r="O486" s="95" t="n">
        <f aca="false">D486*L486</f>
        <v>1083684</v>
      </c>
      <c r="P486" s="34" t="str">
        <f aca="false">TRIM(IF(N(E486)&lt;=0,"택가보정 ","")&amp;IF(N(F486)&lt;=0,"원가보정 ","")&amp;IF(AND(B486&lt;&gt;"CN",N(H486)&lt;=0),"공급가보정 ","")&amp;IF(AND(B486="CN",N(I486)&lt;=0),"중국공급가=원가+마진 ",""))</f>
        <v>중국공급가=원가+마진</v>
      </c>
    </row>
    <row r="487" customFormat="false" ht="15" hidden="false" customHeight="true" outlineLevel="0" collapsed="false">
      <c r="A487" s="94" t="s">
        <v>1686</v>
      </c>
      <c r="B487" s="34" t="str">
        <f aca="false">IF(A487="100","HK",IF(A487="200","CN",IF(A487="300","TW","홀세일")))</f>
        <v>TW</v>
      </c>
      <c r="C487" s="94" t="s">
        <v>376</v>
      </c>
      <c r="D487" s="95" t="n">
        <v>500</v>
      </c>
      <c r="E487" s="95" t="n">
        <v>59000</v>
      </c>
      <c r="F487" s="95" t="n">
        <v>12901</v>
      </c>
      <c r="G487" s="34" t="n">
        <v>3.14</v>
      </c>
      <c r="H487" s="34" t="n">
        <v>14.8</v>
      </c>
      <c r="J487" s="95" t="n">
        <f aca="false">IF(N(E487)&gt;0,E487,IF(N(F487)&gt;0,F487*가정!$B$5,0))</f>
        <v>59000</v>
      </c>
      <c r="K487" s="95" t="n">
        <f aca="false">IF(N(F487)&gt;0,F487,IF(N(E487)&gt;0,E487/가정!$B$5,0))</f>
        <v>12901</v>
      </c>
      <c r="L487" s="95" t="n">
        <f aca="false">IF(B487="CN",IF(N(I487)&gt;0,I487*가정!$B$3,K487*(1+가정!$B$6)),IF(N(H487)&gt;0,H487*가정!$B$3,J487*가정!$B$4))</f>
        <v>20169.144</v>
      </c>
      <c r="M487" s="95" t="n">
        <f aca="false">D487*J487</f>
        <v>29500000</v>
      </c>
      <c r="N487" s="95" t="n">
        <f aca="false">D487*K487</f>
        <v>6450500</v>
      </c>
      <c r="O487" s="95" t="n">
        <f aca="false">D487*L487</f>
        <v>10084572</v>
      </c>
      <c r="P487" s="34" t="str">
        <f aca="false">TRIM(IF(N(E487)&lt;=0,"택가보정 ","")&amp;IF(N(F487)&lt;=0,"원가보정 ","")&amp;IF(AND(B487&lt;&gt;"CN",N(H487)&lt;=0),"공급가보정 ","")&amp;IF(AND(B487="CN",N(I487)&lt;=0),"중국공급가=원가+마진 ",""))</f>
        <v/>
      </c>
    </row>
    <row r="488" customFormat="false" ht="15" hidden="false" customHeight="true" outlineLevel="0" collapsed="false">
      <c r="A488" s="94" t="s">
        <v>1687</v>
      </c>
      <c r="B488" s="34" t="str">
        <f aca="false">IF(A488="100","HK",IF(A488="200","CN",IF(A488="300","TW","홀세일")))</f>
        <v>홀세일</v>
      </c>
      <c r="C488" s="94" t="s">
        <v>376</v>
      </c>
      <c r="D488" s="95" t="n">
        <v>50</v>
      </c>
      <c r="E488" s="95" t="n">
        <v>59000</v>
      </c>
      <c r="F488" s="95" t="n">
        <v>12901</v>
      </c>
      <c r="G488" s="34" t="n">
        <v>3.14</v>
      </c>
      <c r="H488" s="34" t="n">
        <v>14.8</v>
      </c>
      <c r="J488" s="95" t="n">
        <f aca="false">IF(N(E488)&gt;0,E488,IF(N(F488)&gt;0,F488*가정!$B$5,0))</f>
        <v>59000</v>
      </c>
      <c r="K488" s="95" t="n">
        <f aca="false">IF(N(F488)&gt;0,F488,IF(N(E488)&gt;0,E488/가정!$B$5,0))</f>
        <v>12901</v>
      </c>
      <c r="L488" s="95" t="n">
        <f aca="false">IF(B488="CN",IF(N(I488)&gt;0,I488*가정!$B$3,K488*(1+가정!$B$6)),IF(N(H488)&gt;0,H488*가정!$B$3,J488*가정!$B$4))</f>
        <v>20169.144</v>
      </c>
      <c r="M488" s="95" t="n">
        <f aca="false">D488*J488</f>
        <v>2950000</v>
      </c>
      <c r="N488" s="95" t="n">
        <f aca="false">D488*K488</f>
        <v>645050</v>
      </c>
      <c r="O488" s="95" t="n">
        <f aca="false">D488*L488</f>
        <v>1008457.2</v>
      </c>
      <c r="P488" s="34" t="str">
        <f aca="false">TRIM(IF(N(E488)&lt;=0,"택가보정 ","")&amp;IF(N(F488)&lt;=0,"원가보정 ","")&amp;IF(AND(B488&lt;&gt;"CN",N(H488)&lt;=0),"공급가보정 ","")&amp;IF(AND(B488="CN",N(I488)&lt;=0),"중국공급가=원가+마진 ",""))</f>
        <v/>
      </c>
    </row>
    <row r="489" customFormat="false" ht="15" hidden="false" customHeight="true" outlineLevel="0" collapsed="false">
      <c r="A489" s="94" t="s">
        <v>1688</v>
      </c>
      <c r="B489" s="34" t="str">
        <f aca="false">IF(A489="100","HK",IF(A489="200","CN",IF(A489="300","TW","홀세일")))</f>
        <v>홀세일</v>
      </c>
      <c r="C489" s="94" t="s">
        <v>376</v>
      </c>
      <c r="D489" s="95" t="n">
        <v>75</v>
      </c>
      <c r="E489" s="95" t="n">
        <v>59000</v>
      </c>
      <c r="F489" s="95" t="n">
        <v>12901</v>
      </c>
      <c r="G489" s="34" t="n">
        <v>3.14</v>
      </c>
      <c r="H489" s="34" t="n">
        <v>14.8</v>
      </c>
      <c r="J489" s="95" t="n">
        <f aca="false">IF(N(E489)&gt;0,E489,IF(N(F489)&gt;0,F489*가정!$B$5,0))</f>
        <v>59000</v>
      </c>
      <c r="K489" s="95" t="n">
        <f aca="false">IF(N(F489)&gt;0,F489,IF(N(E489)&gt;0,E489/가정!$B$5,0))</f>
        <v>12901</v>
      </c>
      <c r="L489" s="95" t="n">
        <f aca="false">IF(B489="CN",IF(N(I489)&gt;0,I489*가정!$B$3,K489*(1+가정!$B$6)),IF(N(H489)&gt;0,H489*가정!$B$3,J489*가정!$B$4))</f>
        <v>20169.144</v>
      </c>
      <c r="M489" s="95" t="n">
        <f aca="false">D489*J489</f>
        <v>4425000</v>
      </c>
      <c r="N489" s="95" t="n">
        <f aca="false">D489*K489</f>
        <v>967575</v>
      </c>
      <c r="O489" s="95" t="n">
        <f aca="false">D489*L489</f>
        <v>1512685.8</v>
      </c>
      <c r="P489" s="34" t="str">
        <f aca="false">TRIM(IF(N(E489)&lt;=0,"택가보정 ","")&amp;IF(N(F489)&lt;=0,"원가보정 ","")&amp;IF(AND(B489&lt;&gt;"CN",N(H489)&lt;=0),"공급가보정 ","")&amp;IF(AND(B489="CN",N(I489)&lt;=0),"중국공급가=원가+마진 ",""))</f>
        <v/>
      </c>
    </row>
    <row r="490" customFormat="false" ht="15" hidden="false" customHeight="true" outlineLevel="0" collapsed="false">
      <c r="A490" s="94" t="s">
        <v>1689</v>
      </c>
      <c r="B490" s="34" t="str">
        <f aca="false">IF(A490="100","HK",IF(A490="200","CN",IF(A490="300","TW","홀세일")))</f>
        <v>홀세일</v>
      </c>
      <c r="C490" s="94" t="s">
        <v>376</v>
      </c>
      <c r="D490" s="95" t="n">
        <v>110</v>
      </c>
      <c r="E490" s="95" t="n">
        <v>59000</v>
      </c>
      <c r="F490" s="95" t="n">
        <v>12901</v>
      </c>
      <c r="G490" s="34" t="n">
        <v>3.14</v>
      </c>
      <c r="H490" s="34" t="n">
        <v>14.8</v>
      </c>
      <c r="J490" s="95" t="n">
        <f aca="false">IF(N(E490)&gt;0,E490,IF(N(F490)&gt;0,F490*가정!$B$5,0))</f>
        <v>59000</v>
      </c>
      <c r="K490" s="95" t="n">
        <f aca="false">IF(N(F490)&gt;0,F490,IF(N(E490)&gt;0,E490/가정!$B$5,0))</f>
        <v>12901</v>
      </c>
      <c r="L490" s="95" t="n">
        <f aca="false">IF(B490="CN",IF(N(I490)&gt;0,I490*가정!$B$3,K490*(1+가정!$B$6)),IF(N(H490)&gt;0,H490*가정!$B$3,J490*가정!$B$4))</f>
        <v>20169.144</v>
      </c>
      <c r="M490" s="95" t="n">
        <f aca="false">D490*J490</f>
        <v>6490000</v>
      </c>
      <c r="N490" s="95" t="n">
        <f aca="false">D490*K490</f>
        <v>1419110</v>
      </c>
      <c r="O490" s="95" t="n">
        <f aca="false">D490*L490</f>
        <v>2218605.84</v>
      </c>
      <c r="P490" s="34" t="str">
        <f aca="false">TRIM(IF(N(E490)&lt;=0,"택가보정 ","")&amp;IF(N(F490)&lt;=0,"원가보정 ","")&amp;IF(AND(B490&lt;&gt;"CN",N(H490)&lt;=0),"공급가보정 ","")&amp;IF(AND(B490="CN",N(I490)&lt;=0),"중국공급가=원가+마진 ",""))</f>
        <v/>
      </c>
    </row>
    <row r="491" customFormat="false" ht="15" hidden="false" customHeight="true" outlineLevel="0" collapsed="false">
      <c r="A491" s="94" t="s">
        <v>1684</v>
      </c>
      <c r="B491" s="34" t="str">
        <f aca="false">IF(A491="100","HK",IF(A491="200","CN",IF(A491="300","TW","홀세일")))</f>
        <v>HK</v>
      </c>
      <c r="C491" s="94" t="s">
        <v>378</v>
      </c>
      <c r="D491" s="95" t="n">
        <v>780</v>
      </c>
      <c r="E491" s="95" t="n">
        <v>69000</v>
      </c>
      <c r="F491" s="95" t="n">
        <v>15700</v>
      </c>
      <c r="G491" s="34" t="n">
        <v>3.8</v>
      </c>
      <c r="H491" s="34" t="n">
        <v>17.3</v>
      </c>
      <c r="J491" s="95" t="n">
        <f aca="false">IF(N(E491)&gt;0,E491,IF(N(F491)&gt;0,F491*가정!$B$5,0))</f>
        <v>69000</v>
      </c>
      <c r="K491" s="95" t="n">
        <f aca="false">IF(N(F491)&gt;0,F491,IF(N(E491)&gt;0,E491/가정!$B$5,0))</f>
        <v>15700</v>
      </c>
      <c r="L491" s="95" t="n">
        <f aca="false">IF(B491="CN",IF(N(I491)&gt;0,I491*가정!$B$3,K491*(1+가정!$B$6)),IF(N(H491)&gt;0,H491*가정!$B$3,J491*가정!$B$4))</f>
        <v>23576.094</v>
      </c>
      <c r="M491" s="95" t="n">
        <f aca="false">D491*J491</f>
        <v>53820000</v>
      </c>
      <c r="N491" s="95" t="n">
        <f aca="false">D491*K491</f>
        <v>12246000</v>
      </c>
      <c r="O491" s="95" t="n">
        <f aca="false">D491*L491</f>
        <v>18389353.32</v>
      </c>
      <c r="P491" s="34" t="str">
        <f aca="false">TRIM(IF(N(E491)&lt;=0,"택가보정 ","")&amp;IF(N(F491)&lt;=0,"원가보정 ","")&amp;IF(AND(B491&lt;&gt;"CN",N(H491)&lt;=0),"공급가보정 ","")&amp;IF(AND(B491="CN",N(I491)&lt;=0),"중국공급가=원가+마진 ",""))</f>
        <v/>
      </c>
    </row>
    <row r="492" customFormat="false" ht="15" hidden="false" customHeight="true" outlineLevel="0" collapsed="false">
      <c r="A492" s="94" t="s">
        <v>1686</v>
      </c>
      <c r="B492" s="34" t="str">
        <f aca="false">IF(A492="100","HK",IF(A492="200","CN",IF(A492="300","TW","홀세일")))</f>
        <v>TW</v>
      </c>
      <c r="C492" s="94" t="s">
        <v>378</v>
      </c>
      <c r="D492" s="95" t="n">
        <v>200</v>
      </c>
      <c r="E492" s="95" t="n">
        <v>69000</v>
      </c>
      <c r="F492" s="95" t="n">
        <v>15700</v>
      </c>
      <c r="G492" s="34" t="n">
        <v>3.8</v>
      </c>
      <c r="H492" s="34" t="n">
        <v>17.3</v>
      </c>
      <c r="J492" s="95" t="n">
        <f aca="false">IF(N(E492)&gt;0,E492,IF(N(F492)&gt;0,F492*가정!$B$5,0))</f>
        <v>69000</v>
      </c>
      <c r="K492" s="95" t="n">
        <f aca="false">IF(N(F492)&gt;0,F492,IF(N(E492)&gt;0,E492/가정!$B$5,0))</f>
        <v>15700</v>
      </c>
      <c r="L492" s="95" t="n">
        <f aca="false">IF(B492="CN",IF(N(I492)&gt;0,I492*가정!$B$3,K492*(1+가정!$B$6)),IF(N(H492)&gt;0,H492*가정!$B$3,J492*가정!$B$4))</f>
        <v>23576.094</v>
      </c>
      <c r="M492" s="95" t="n">
        <f aca="false">D492*J492</f>
        <v>13800000</v>
      </c>
      <c r="N492" s="95" t="n">
        <f aca="false">D492*K492</f>
        <v>3140000</v>
      </c>
      <c r="O492" s="95" t="n">
        <f aca="false">D492*L492</f>
        <v>4715218.8</v>
      </c>
      <c r="P492" s="34" t="str">
        <f aca="false">TRIM(IF(N(E492)&lt;=0,"택가보정 ","")&amp;IF(N(F492)&lt;=0,"원가보정 ","")&amp;IF(AND(B492&lt;&gt;"CN",N(H492)&lt;=0),"공급가보정 ","")&amp;IF(AND(B492="CN",N(I492)&lt;=0),"중국공급가=원가+마진 ",""))</f>
        <v/>
      </c>
    </row>
    <row r="493" customFormat="false" ht="15" hidden="false" customHeight="true" outlineLevel="0" collapsed="false">
      <c r="A493" s="94" t="s">
        <v>1687</v>
      </c>
      <c r="B493" s="34" t="str">
        <f aca="false">IF(A493="100","HK",IF(A493="200","CN",IF(A493="300","TW","홀세일")))</f>
        <v>홀세일</v>
      </c>
      <c r="C493" s="94" t="s">
        <v>378</v>
      </c>
      <c r="D493" s="95" t="n">
        <v>50</v>
      </c>
      <c r="E493" s="95" t="n">
        <v>69000</v>
      </c>
      <c r="F493" s="95" t="n">
        <v>15700</v>
      </c>
      <c r="G493" s="34" t="n">
        <v>3.8</v>
      </c>
      <c r="H493" s="34" t="n">
        <v>17.3</v>
      </c>
      <c r="J493" s="95" t="n">
        <f aca="false">IF(N(E493)&gt;0,E493,IF(N(F493)&gt;0,F493*가정!$B$5,0))</f>
        <v>69000</v>
      </c>
      <c r="K493" s="95" t="n">
        <f aca="false">IF(N(F493)&gt;0,F493,IF(N(E493)&gt;0,E493/가정!$B$5,0))</f>
        <v>15700</v>
      </c>
      <c r="L493" s="95" t="n">
        <f aca="false">IF(B493="CN",IF(N(I493)&gt;0,I493*가정!$B$3,K493*(1+가정!$B$6)),IF(N(H493)&gt;0,H493*가정!$B$3,J493*가정!$B$4))</f>
        <v>23576.094</v>
      </c>
      <c r="M493" s="95" t="n">
        <f aca="false">D493*J493</f>
        <v>3450000</v>
      </c>
      <c r="N493" s="95" t="n">
        <f aca="false">D493*K493</f>
        <v>785000</v>
      </c>
      <c r="O493" s="95" t="n">
        <f aca="false">D493*L493</f>
        <v>1178804.7</v>
      </c>
      <c r="P493" s="34" t="str">
        <f aca="false">TRIM(IF(N(E493)&lt;=0,"택가보정 ","")&amp;IF(N(F493)&lt;=0,"원가보정 ","")&amp;IF(AND(B493&lt;&gt;"CN",N(H493)&lt;=0),"공급가보정 ","")&amp;IF(AND(B493="CN",N(I493)&lt;=0),"중국공급가=원가+마진 ",""))</f>
        <v/>
      </c>
    </row>
    <row r="494" customFormat="false" ht="15" hidden="false" customHeight="true" outlineLevel="0" collapsed="false">
      <c r="A494" s="94" t="s">
        <v>1688</v>
      </c>
      <c r="B494" s="34" t="str">
        <f aca="false">IF(A494="100","HK",IF(A494="200","CN",IF(A494="300","TW","홀세일")))</f>
        <v>홀세일</v>
      </c>
      <c r="C494" s="94" t="s">
        <v>378</v>
      </c>
      <c r="D494" s="95" t="n">
        <v>45</v>
      </c>
      <c r="E494" s="95" t="n">
        <v>69000</v>
      </c>
      <c r="F494" s="95" t="n">
        <v>15700</v>
      </c>
      <c r="G494" s="34" t="n">
        <v>3.8</v>
      </c>
      <c r="H494" s="34" t="n">
        <v>17.3</v>
      </c>
      <c r="J494" s="95" t="n">
        <f aca="false">IF(N(E494)&gt;0,E494,IF(N(F494)&gt;0,F494*가정!$B$5,0))</f>
        <v>69000</v>
      </c>
      <c r="K494" s="95" t="n">
        <f aca="false">IF(N(F494)&gt;0,F494,IF(N(E494)&gt;0,E494/가정!$B$5,0))</f>
        <v>15700</v>
      </c>
      <c r="L494" s="95" t="n">
        <f aca="false">IF(B494="CN",IF(N(I494)&gt;0,I494*가정!$B$3,K494*(1+가정!$B$6)),IF(N(H494)&gt;0,H494*가정!$B$3,J494*가정!$B$4))</f>
        <v>23576.094</v>
      </c>
      <c r="M494" s="95" t="n">
        <f aca="false">D494*J494</f>
        <v>3105000</v>
      </c>
      <c r="N494" s="95" t="n">
        <f aca="false">D494*K494</f>
        <v>706500</v>
      </c>
      <c r="O494" s="95" t="n">
        <f aca="false">D494*L494</f>
        <v>1060924.23</v>
      </c>
      <c r="P494" s="34" t="str">
        <f aca="false">TRIM(IF(N(E494)&lt;=0,"택가보정 ","")&amp;IF(N(F494)&lt;=0,"원가보정 ","")&amp;IF(AND(B494&lt;&gt;"CN",N(H494)&lt;=0),"공급가보정 ","")&amp;IF(AND(B494="CN",N(I494)&lt;=0),"중국공급가=원가+마진 ",""))</f>
        <v/>
      </c>
    </row>
    <row r="495" customFormat="false" ht="15" hidden="false" customHeight="true" outlineLevel="0" collapsed="false">
      <c r="A495" s="94" t="s">
        <v>1692</v>
      </c>
      <c r="B495" s="34" t="str">
        <f aca="false">IF(A495="100","HK",IF(A495="200","CN",IF(A495="300","TW","홀세일")))</f>
        <v>홀세일</v>
      </c>
      <c r="C495" s="94" t="s">
        <v>378</v>
      </c>
      <c r="D495" s="95" t="n">
        <v>56</v>
      </c>
      <c r="E495" s="95" t="n">
        <v>69000</v>
      </c>
      <c r="F495" s="95" t="n">
        <v>15700</v>
      </c>
      <c r="G495" s="34" t="n">
        <v>3.8</v>
      </c>
      <c r="H495" s="34" t="n">
        <v>17.3</v>
      </c>
      <c r="J495" s="95" t="n">
        <f aca="false">IF(N(E495)&gt;0,E495,IF(N(F495)&gt;0,F495*가정!$B$5,0))</f>
        <v>69000</v>
      </c>
      <c r="K495" s="95" t="n">
        <f aca="false">IF(N(F495)&gt;0,F495,IF(N(E495)&gt;0,E495/가정!$B$5,0))</f>
        <v>15700</v>
      </c>
      <c r="L495" s="95" t="n">
        <f aca="false">IF(B495="CN",IF(N(I495)&gt;0,I495*가정!$B$3,K495*(1+가정!$B$6)),IF(N(H495)&gt;0,H495*가정!$B$3,J495*가정!$B$4))</f>
        <v>23576.094</v>
      </c>
      <c r="M495" s="95" t="n">
        <f aca="false">D495*J495</f>
        <v>3864000</v>
      </c>
      <c r="N495" s="95" t="n">
        <f aca="false">D495*K495</f>
        <v>879200</v>
      </c>
      <c r="O495" s="95" t="n">
        <f aca="false">D495*L495</f>
        <v>1320261.264</v>
      </c>
      <c r="P495" s="34" t="str">
        <f aca="false">TRIM(IF(N(E495)&lt;=0,"택가보정 ","")&amp;IF(N(F495)&lt;=0,"원가보정 ","")&amp;IF(AND(B495&lt;&gt;"CN",N(H495)&lt;=0),"공급가보정 ","")&amp;IF(AND(B495="CN",N(I495)&lt;=0),"중국공급가=원가+마진 ",""))</f>
        <v/>
      </c>
    </row>
    <row r="496" customFormat="false" ht="15" hidden="false" customHeight="true" outlineLevel="0" collapsed="false">
      <c r="A496" s="94" t="s">
        <v>1689</v>
      </c>
      <c r="B496" s="34" t="str">
        <f aca="false">IF(A496="100","HK",IF(A496="200","CN",IF(A496="300","TW","홀세일")))</f>
        <v>홀세일</v>
      </c>
      <c r="C496" s="94" t="s">
        <v>378</v>
      </c>
      <c r="D496" s="95" t="n">
        <v>80</v>
      </c>
      <c r="E496" s="95" t="n">
        <v>69000</v>
      </c>
      <c r="F496" s="95" t="n">
        <v>15700</v>
      </c>
      <c r="G496" s="34" t="n">
        <v>3.8</v>
      </c>
      <c r="H496" s="34" t="n">
        <v>17.3</v>
      </c>
      <c r="J496" s="95" t="n">
        <f aca="false">IF(N(E496)&gt;0,E496,IF(N(F496)&gt;0,F496*가정!$B$5,0))</f>
        <v>69000</v>
      </c>
      <c r="K496" s="95" t="n">
        <f aca="false">IF(N(F496)&gt;0,F496,IF(N(E496)&gt;0,E496/가정!$B$5,0))</f>
        <v>15700</v>
      </c>
      <c r="L496" s="95" t="n">
        <f aca="false">IF(B496="CN",IF(N(I496)&gt;0,I496*가정!$B$3,K496*(1+가정!$B$6)),IF(N(H496)&gt;0,H496*가정!$B$3,J496*가정!$B$4))</f>
        <v>23576.094</v>
      </c>
      <c r="M496" s="95" t="n">
        <f aca="false">D496*J496</f>
        <v>5520000</v>
      </c>
      <c r="N496" s="95" t="n">
        <f aca="false">D496*K496</f>
        <v>1256000</v>
      </c>
      <c r="O496" s="95" t="n">
        <f aca="false">D496*L496</f>
        <v>1886087.52</v>
      </c>
      <c r="P496" s="34" t="str">
        <f aca="false">TRIM(IF(N(E496)&lt;=0,"택가보정 ","")&amp;IF(N(F496)&lt;=0,"원가보정 ","")&amp;IF(AND(B496&lt;&gt;"CN",N(H496)&lt;=0),"공급가보정 ","")&amp;IF(AND(B496="CN",N(I496)&lt;=0),"중국공급가=원가+마진 ",""))</f>
        <v/>
      </c>
    </row>
    <row r="497" customFormat="false" ht="15" hidden="false" customHeight="true" outlineLevel="0" collapsed="false">
      <c r="A497" s="94" t="s">
        <v>1684</v>
      </c>
      <c r="B497" s="34" t="str">
        <f aca="false">IF(A497="100","HK",IF(A497="200","CN",IF(A497="300","TW","홀세일")))</f>
        <v>HK</v>
      </c>
      <c r="C497" s="94" t="s">
        <v>891</v>
      </c>
      <c r="D497" s="95" t="n">
        <v>180</v>
      </c>
      <c r="E497" s="95" t="n">
        <v>59000</v>
      </c>
      <c r="F497" s="95" t="n">
        <v>13900</v>
      </c>
      <c r="G497" s="34" t="n">
        <v>4.9</v>
      </c>
      <c r="H497" s="34" t="n">
        <v>14.8</v>
      </c>
      <c r="J497" s="95" t="n">
        <f aca="false">IF(N(E497)&gt;0,E497,IF(N(F497)&gt;0,F497*가정!$B$5,0))</f>
        <v>59000</v>
      </c>
      <c r="K497" s="95" t="n">
        <f aca="false">IF(N(F497)&gt;0,F497,IF(N(E497)&gt;0,E497/가정!$B$5,0))</f>
        <v>13900</v>
      </c>
      <c r="L497" s="95" t="n">
        <f aca="false">IF(B497="CN",IF(N(I497)&gt;0,I497*가정!$B$3,K497*(1+가정!$B$6)),IF(N(H497)&gt;0,H497*가정!$B$3,J497*가정!$B$4))</f>
        <v>20169.144</v>
      </c>
      <c r="M497" s="95" t="n">
        <f aca="false">D497*J497</f>
        <v>10620000</v>
      </c>
      <c r="N497" s="95" t="n">
        <f aca="false">D497*K497</f>
        <v>2502000</v>
      </c>
      <c r="O497" s="95" t="n">
        <f aca="false">D497*L497</f>
        <v>3630445.92</v>
      </c>
      <c r="P497" s="34" t="str">
        <f aca="false">TRIM(IF(N(E497)&lt;=0,"택가보정 ","")&amp;IF(N(F497)&lt;=0,"원가보정 ","")&amp;IF(AND(B497&lt;&gt;"CN",N(H497)&lt;=0),"공급가보정 ","")&amp;IF(AND(B497="CN",N(I497)&lt;=0),"중국공급가=원가+마진 ",""))</f>
        <v/>
      </c>
    </row>
    <row r="498" customFormat="false" ht="15" hidden="false" customHeight="true" outlineLevel="0" collapsed="false">
      <c r="A498" s="94" t="s">
        <v>1688</v>
      </c>
      <c r="B498" s="34" t="str">
        <f aca="false">IF(A498="100","HK",IF(A498="200","CN",IF(A498="300","TW","홀세일")))</f>
        <v>홀세일</v>
      </c>
      <c r="C498" s="94" t="s">
        <v>1341</v>
      </c>
      <c r="D498" s="95" t="n">
        <v>30</v>
      </c>
      <c r="E498" s="95" t="n">
        <v>59000</v>
      </c>
      <c r="F498" s="95" t="n">
        <v>16000</v>
      </c>
      <c r="G498" s="34" t="n">
        <v>2.9</v>
      </c>
      <c r="H498" s="34" t="n">
        <v>14.8</v>
      </c>
      <c r="J498" s="95" t="n">
        <f aca="false">IF(N(E498)&gt;0,E498,IF(N(F498)&gt;0,F498*가정!$B$5,0))</f>
        <v>59000</v>
      </c>
      <c r="K498" s="95" t="n">
        <f aca="false">IF(N(F498)&gt;0,F498,IF(N(E498)&gt;0,E498/가정!$B$5,0))</f>
        <v>16000</v>
      </c>
      <c r="L498" s="95" t="n">
        <f aca="false">IF(B498="CN",IF(N(I498)&gt;0,I498*가정!$B$3,K498*(1+가정!$B$6)),IF(N(H498)&gt;0,H498*가정!$B$3,J498*가정!$B$4))</f>
        <v>20169.144</v>
      </c>
      <c r="M498" s="95" t="n">
        <f aca="false">D498*J498</f>
        <v>1770000</v>
      </c>
      <c r="N498" s="95" t="n">
        <f aca="false">D498*K498</f>
        <v>480000</v>
      </c>
      <c r="O498" s="95" t="n">
        <f aca="false">D498*L498</f>
        <v>605074.32</v>
      </c>
      <c r="P498" s="34" t="str">
        <f aca="false">TRIM(IF(N(E498)&lt;=0,"택가보정 ","")&amp;IF(N(F498)&lt;=0,"원가보정 ","")&amp;IF(AND(B498&lt;&gt;"CN",N(H498)&lt;=0),"공급가보정 ","")&amp;IF(AND(B498="CN",N(I498)&lt;=0),"중국공급가=원가+마진 ",""))</f>
        <v/>
      </c>
    </row>
    <row r="499" customFormat="false" ht="15" hidden="false" customHeight="true" outlineLevel="0" collapsed="false">
      <c r="A499" s="94" t="s">
        <v>1690</v>
      </c>
      <c r="B499" s="34" t="str">
        <f aca="false">IF(A499="100","HK",IF(A499="200","CN",IF(A499="300","TW","홀세일")))</f>
        <v>홀세일</v>
      </c>
      <c r="C499" s="94" t="s">
        <v>1341</v>
      </c>
      <c r="D499" s="95" t="n">
        <v>216</v>
      </c>
      <c r="E499" s="95" t="n">
        <v>59000</v>
      </c>
      <c r="F499" s="95" t="n">
        <v>16000</v>
      </c>
      <c r="G499" s="34" t="n">
        <v>2.9</v>
      </c>
      <c r="H499" s="34" t="n">
        <v>14.8</v>
      </c>
      <c r="J499" s="95" t="n">
        <f aca="false">IF(N(E499)&gt;0,E499,IF(N(F499)&gt;0,F499*가정!$B$5,0))</f>
        <v>59000</v>
      </c>
      <c r="K499" s="95" t="n">
        <f aca="false">IF(N(F499)&gt;0,F499,IF(N(E499)&gt;0,E499/가정!$B$5,0))</f>
        <v>16000</v>
      </c>
      <c r="L499" s="95" t="n">
        <f aca="false">IF(B499="CN",IF(N(I499)&gt;0,I499*가정!$B$3,K499*(1+가정!$B$6)),IF(N(H499)&gt;0,H499*가정!$B$3,J499*가정!$B$4))</f>
        <v>20169.144</v>
      </c>
      <c r="M499" s="95" t="n">
        <f aca="false">D499*J499</f>
        <v>12744000</v>
      </c>
      <c r="N499" s="95" t="n">
        <f aca="false">D499*K499</f>
        <v>3456000</v>
      </c>
      <c r="O499" s="95" t="n">
        <f aca="false">D499*L499</f>
        <v>4356535.104</v>
      </c>
      <c r="P499" s="34" t="str">
        <f aca="false">TRIM(IF(N(E499)&lt;=0,"택가보정 ","")&amp;IF(N(F499)&lt;=0,"원가보정 ","")&amp;IF(AND(B499&lt;&gt;"CN",N(H499)&lt;=0),"공급가보정 ","")&amp;IF(AND(B499="CN",N(I499)&lt;=0),"중국공급가=원가+마진 ",""))</f>
        <v/>
      </c>
    </row>
    <row r="500" customFormat="false" ht="15.75" hidden="false" customHeight="true" outlineLevel="0" collapsed="false">
      <c r="A500" s="94" t="s">
        <v>1685</v>
      </c>
      <c r="B500" s="34" t="str">
        <f aca="false">IF(A500="100","HK",IF(A500="200","CN",IF(A500="300","TW","홀세일")))</f>
        <v>CN</v>
      </c>
      <c r="C500" s="94" t="s">
        <v>1102</v>
      </c>
      <c r="D500" s="95" t="n">
        <v>392</v>
      </c>
      <c r="E500" s="95" t="n">
        <v>59000</v>
      </c>
      <c r="F500" s="95" t="n">
        <v>13239</v>
      </c>
      <c r="G500" s="34" t="n">
        <v>0</v>
      </c>
      <c r="J500" s="95" t="n">
        <f aca="false">IF(N(E500)&gt;0,E500,IF(N(F500)&gt;0,F500*가정!$B$5,0))</f>
        <v>59000</v>
      </c>
      <c r="K500" s="95" t="n">
        <f aca="false">IF(N(F500)&gt;0,F500,IF(N(E500)&gt;0,E500/가정!$B$5,0))</f>
        <v>13239</v>
      </c>
      <c r="L500" s="95" t="n">
        <f aca="false">IF(B500="CN",IF(N(I500)&gt;0,I500*가정!$B$3,K500*(1+가정!$B$6)),IF(N(H500)&gt;0,H500*가정!$B$3,J500*가정!$B$4))</f>
        <v>13900.95</v>
      </c>
      <c r="M500" s="95" t="n">
        <f aca="false">D500*J500</f>
        <v>23128000</v>
      </c>
      <c r="N500" s="95" t="n">
        <f aca="false">D500*K500</f>
        <v>5189688</v>
      </c>
      <c r="O500" s="95" t="n">
        <f aca="false">D500*L500</f>
        <v>5449172.4</v>
      </c>
      <c r="P500" s="34" t="str">
        <f aca="false">TRIM(IF(N(E500)&lt;=0,"택가보정 ","")&amp;IF(N(F500)&lt;=0,"원가보정 ","")&amp;IF(AND(B500&lt;&gt;"CN",N(H500)&lt;=0),"공급가보정 ","")&amp;IF(AND(B500="CN",N(I500)&lt;=0),"중국공급가=원가+마진 ",""))</f>
        <v>중국공급가=원가+마진</v>
      </c>
    </row>
    <row r="501" customFormat="false" ht="15" hidden="false" customHeight="true" outlineLevel="0" collapsed="false">
      <c r="A501" s="94" t="s">
        <v>1689</v>
      </c>
      <c r="B501" s="34" t="str">
        <f aca="false">IF(A501="100","HK",IF(A501="200","CN",IF(A501="300","TW","홀세일")))</f>
        <v>홀세일</v>
      </c>
      <c r="C501" s="94" t="s">
        <v>1518</v>
      </c>
      <c r="D501" s="95" t="n">
        <v>85</v>
      </c>
      <c r="E501" s="95" t="n">
        <v>49000</v>
      </c>
      <c r="F501" s="95" t="n">
        <v>10000</v>
      </c>
      <c r="G501" s="34" t="n">
        <v>4.45</v>
      </c>
      <c r="H501" s="34" t="n">
        <v>12.3</v>
      </c>
      <c r="J501" s="95" t="n">
        <f aca="false">IF(N(E501)&gt;0,E501,IF(N(F501)&gt;0,F501*가정!$B$5,0))</f>
        <v>49000</v>
      </c>
      <c r="K501" s="95" t="n">
        <f aca="false">IF(N(F501)&gt;0,F501,IF(N(E501)&gt;0,E501/가정!$B$5,0))</f>
        <v>10000</v>
      </c>
      <c r="L501" s="95" t="n">
        <f aca="false">IF(B501="CN",IF(N(I501)&gt;0,I501*가정!$B$3,K501*(1+가정!$B$6)),IF(N(H501)&gt;0,H501*가정!$B$3,J501*가정!$B$4))</f>
        <v>16762.194</v>
      </c>
      <c r="M501" s="95" t="n">
        <f aca="false">D501*J501</f>
        <v>4165000</v>
      </c>
      <c r="N501" s="95" t="n">
        <f aca="false">D501*K501</f>
        <v>850000</v>
      </c>
      <c r="O501" s="95" t="n">
        <f aca="false">D501*L501</f>
        <v>1424786.49</v>
      </c>
      <c r="P501" s="34" t="str">
        <f aca="false">TRIM(IF(N(E501)&lt;=0,"택가보정 ","")&amp;IF(N(F501)&lt;=0,"원가보정 ","")&amp;IF(AND(B501&lt;&gt;"CN",N(H501)&lt;=0),"공급가보정 ","")&amp;IF(AND(B501="CN",N(I501)&lt;=0),"중국공급가=원가+마진 ",""))</f>
        <v/>
      </c>
    </row>
    <row r="502" customFormat="false" ht="15" hidden="false" customHeight="true" outlineLevel="0" collapsed="false">
      <c r="A502" s="94" t="s">
        <v>1690</v>
      </c>
      <c r="B502" s="34" t="str">
        <f aca="false">IF(A502="100","HK",IF(A502="200","CN",IF(A502="300","TW","홀세일")))</f>
        <v>홀세일</v>
      </c>
      <c r="C502" s="94" t="s">
        <v>1518</v>
      </c>
      <c r="D502" s="95" t="n">
        <v>216</v>
      </c>
      <c r="E502" s="95" t="n">
        <v>49000</v>
      </c>
      <c r="F502" s="95" t="n">
        <v>10000</v>
      </c>
      <c r="G502" s="34" t="n">
        <v>4.45</v>
      </c>
      <c r="H502" s="34" t="n">
        <v>12.3</v>
      </c>
      <c r="J502" s="95" t="n">
        <f aca="false">IF(N(E502)&gt;0,E502,IF(N(F502)&gt;0,F502*가정!$B$5,0))</f>
        <v>49000</v>
      </c>
      <c r="K502" s="95" t="n">
        <f aca="false">IF(N(F502)&gt;0,F502,IF(N(E502)&gt;0,E502/가정!$B$5,0))</f>
        <v>10000</v>
      </c>
      <c r="L502" s="95" t="n">
        <f aca="false">IF(B502="CN",IF(N(I502)&gt;0,I502*가정!$B$3,K502*(1+가정!$B$6)),IF(N(H502)&gt;0,H502*가정!$B$3,J502*가정!$B$4))</f>
        <v>16762.194</v>
      </c>
      <c r="M502" s="95" t="n">
        <f aca="false">D502*J502</f>
        <v>10584000</v>
      </c>
      <c r="N502" s="95" t="n">
        <f aca="false">D502*K502</f>
        <v>2160000</v>
      </c>
      <c r="O502" s="95" t="n">
        <f aca="false">D502*L502</f>
        <v>3620633.904</v>
      </c>
      <c r="P502" s="34" t="str">
        <f aca="false">TRIM(IF(N(E502)&lt;=0,"택가보정 ","")&amp;IF(N(F502)&lt;=0,"원가보정 ","")&amp;IF(AND(B502&lt;&gt;"CN",N(H502)&lt;=0),"공급가보정 ","")&amp;IF(AND(B502="CN",N(I502)&lt;=0),"중국공급가=원가+마진 ",""))</f>
        <v/>
      </c>
    </row>
    <row r="503" customFormat="false" ht="15" hidden="false" customHeight="true" outlineLevel="0" collapsed="false">
      <c r="A503" s="94" t="s">
        <v>1689</v>
      </c>
      <c r="B503" s="34" t="str">
        <f aca="false">IF(A503="100","HK",IF(A503="200","CN",IF(A503="300","TW","홀세일")))</f>
        <v>홀세일</v>
      </c>
      <c r="C503" s="94" t="s">
        <v>1702</v>
      </c>
      <c r="D503" s="95" t="n">
        <v>90</v>
      </c>
      <c r="E503" s="95" t="n">
        <v>59000</v>
      </c>
      <c r="F503" s="95" t="n">
        <v>11211</v>
      </c>
      <c r="G503" s="34" t="n">
        <v>4.83</v>
      </c>
      <c r="H503" s="34" t="n">
        <v>14.8</v>
      </c>
      <c r="J503" s="95" t="n">
        <f aca="false">IF(N(E503)&gt;0,E503,IF(N(F503)&gt;0,F503*가정!$B$5,0))</f>
        <v>59000</v>
      </c>
      <c r="K503" s="95" t="n">
        <f aca="false">IF(N(F503)&gt;0,F503,IF(N(E503)&gt;0,E503/가정!$B$5,0))</f>
        <v>11211</v>
      </c>
      <c r="L503" s="95" t="n">
        <f aca="false">IF(B503="CN",IF(N(I503)&gt;0,I503*가정!$B$3,K503*(1+가정!$B$6)),IF(N(H503)&gt;0,H503*가정!$B$3,J503*가정!$B$4))</f>
        <v>20169.144</v>
      </c>
      <c r="M503" s="95" t="n">
        <f aca="false">D503*J503</f>
        <v>5310000</v>
      </c>
      <c r="N503" s="95" t="n">
        <f aca="false">D503*K503</f>
        <v>1008990</v>
      </c>
      <c r="O503" s="95" t="n">
        <f aca="false">D503*L503</f>
        <v>1815222.96</v>
      </c>
      <c r="P503" s="34" t="str">
        <f aca="false">TRIM(IF(N(E503)&lt;=0,"택가보정 ","")&amp;IF(N(F503)&lt;=0,"원가보정 ","")&amp;IF(AND(B503&lt;&gt;"CN",N(H503)&lt;=0),"공급가보정 ","")&amp;IF(AND(B503="CN",N(I503)&lt;=0),"중국공급가=원가+마진 ",""))</f>
        <v/>
      </c>
    </row>
    <row r="504" customFormat="false" ht="15" hidden="false" customHeight="true" outlineLevel="0" collapsed="false">
      <c r="A504" s="94" t="s">
        <v>1692</v>
      </c>
      <c r="B504" s="34" t="str">
        <f aca="false">IF(A504="100","HK",IF(A504="200","CN",IF(A504="300","TW","홀세일")))</f>
        <v>홀세일</v>
      </c>
      <c r="C504" s="94" t="s">
        <v>1454</v>
      </c>
      <c r="D504" s="95" t="n">
        <v>61</v>
      </c>
      <c r="E504" s="95" t="n">
        <v>59000</v>
      </c>
      <c r="F504" s="95" t="n">
        <v>11400</v>
      </c>
      <c r="G504" s="34" t="n">
        <v>4.43</v>
      </c>
      <c r="H504" s="34" t="n">
        <v>14.8</v>
      </c>
      <c r="J504" s="95" t="n">
        <f aca="false">IF(N(E504)&gt;0,E504,IF(N(F504)&gt;0,F504*가정!$B$5,0))</f>
        <v>59000</v>
      </c>
      <c r="K504" s="95" t="n">
        <f aca="false">IF(N(F504)&gt;0,F504,IF(N(E504)&gt;0,E504/가정!$B$5,0))</f>
        <v>11400</v>
      </c>
      <c r="L504" s="95" t="n">
        <f aca="false">IF(B504="CN",IF(N(I504)&gt;0,I504*가정!$B$3,K504*(1+가정!$B$6)),IF(N(H504)&gt;0,H504*가정!$B$3,J504*가정!$B$4))</f>
        <v>20169.144</v>
      </c>
      <c r="M504" s="95" t="n">
        <f aca="false">D504*J504</f>
        <v>3599000</v>
      </c>
      <c r="N504" s="95" t="n">
        <f aca="false">D504*K504</f>
        <v>695400</v>
      </c>
      <c r="O504" s="95" t="n">
        <f aca="false">D504*L504</f>
        <v>1230317.784</v>
      </c>
      <c r="P504" s="34" t="str">
        <f aca="false">TRIM(IF(N(E504)&lt;=0,"택가보정 ","")&amp;IF(N(F504)&lt;=0,"원가보정 ","")&amp;IF(AND(B504&lt;&gt;"CN",N(H504)&lt;=0),"공급가보정 ","")&amp;IF(AND(B504="CN",N(I504)&lt;=0),"중국공급가=원가+마진 ",""))</f>
        <v/>
      </c>
    </row>
    <row r="505" customFormat="false" ht="15" hidden="false" customHeight="true" outlineLevel="0" collapsed="false">
      <c r="A505" s="94" t="s">
        <v>1689</v>
      </c>
      <c r="B505" s="34" t="str">
        <f aca="false">IF(A505="100","HK",IF(A505="200","CN",IF(A505="300","TW","홀세일")))</f>
        <v>홀세일</v>
      </c>
      <c r="C505" s="94" t="s">
        <v>1454</v>
      </c>
      <c r="D505" s="95" t="n">
        <v>90</v>
      </c>
      <c r="E505" s="95" t="n">
        <v>59000</v>
      </c>
      <c r="F505" s="95" t="n">
        <v>11400</v>
      </c>
      <c r="G505" s="34" t="n">
        <v>4.43</v>
      </c>
      <c r="H505" s="34" t="n">
        <v>14.8</v>
      </c>
      <c r="J505" s="95" t="n">
        <f aca="false">IF(N(E505)&gt;0,E505,IF(N(F505)&gt;0,F505*가정!$B$5,0))</f>
        <v>59000</v>
      </c>
      <c r="K505" s="95" t="n">
        <f aca="false">IF(N(F505)&gt;0,F505,IF(N(E505)&gt;0,E505/가정!$B$5,0))</f>
        <v>11400</v>
      </c>
      <c r="L505" s="95" t="n">
        <f aca="false">IF(B505="CN",IF(N(I505)&gt;0,I505*가정!$B$3,K505*(1+가정!$B$6)),IF(N(H505)&gt;0,H505*가정!$B$3,J505*가정!$B$4))</f>
        <v>20169.144</v>
      </c>
      <c r="M505" s="95" t="n">
        <f aca="false">D505*J505</f>
        <v>5310000</v>
      </c>
      <c r="N505" s="95" t="n">
        <f aca="false">D505*K505</f>
        <v>1026000</v>
      </c>
      <c r="O505" s="95" t="n">
        <f aca="false">D505*L505</f>
        <v>1815222.96</v>
      </c>
      <c r="P505" s="34" t="str">
        <f aca="false">TRIM(IF(N(E505)&lt;=0,"택가보정 ","")&amp;IF(N(F505)&lt;=0,"원가보정 ","")&amp;IF(AND(B505&lt;&gt;"CN",N(H505)&lt;=0),"공급가보정 ","")&amp;IF(AND(B505="CN",N(I505)&lt;=0),"중국공급가=원가+마진 ",""))</f>
        <v/>
      </c>
    </row>
    <row r="506" customFormat="false" ht="15" hidden="false" customHeight="true" outlineLevel="0" collapsed="false">
      <c r="A506" s="94" t="s">
        <v>1689</v>
      </c>
      <c r="B506" s="34" t="str">
        <f aca="false">IF(A506="100","HK",IF(A506="200","CN",IF(A506="300","TW","홀세일")))</f>
        <v>홀세일</v>
      </c>
      <c r="C506" s="94" t="s">
        <v>1703</v>
      </c>
      <c r="D506" s="95" t="n">
        <v>60</v>
      </c>
      <c r="E506" s="95" t="n">
        <v>59000</v>
      </c>
      <c r="F506" s="95" t="n">
        <v>13441</v>
      </c>
      <c r="G506" s="34" t="n">
        <v>4.03</v>
      </c>
      <c r="H506" s="34" t="n">
        <v>14.8</v>
      </c>
      <c r="J506" s="95" t="n">
        <f aca="false">IF(N(E506)&gt;0,E506,IF(N(F506)&gt;0,F506*가정!$B$5,0))</f>
        <v>59000</v>
      </c>
      <c r="K506" s="95" t="n">
        <f aca="false">IF(N(F506)&gt;0,F506,IF(N(E506)&gt;0,E506/가정!$B$5,0))</f>
        <v>13441</v>
      </c>
      <c r="L506" s="95" t="n">
        <f aca="false">IF(B506="CN",IF(N(I506)&gt;0,I506*가정!$B$3,K506*(1+가정!$B$6)),IF(N(H506)&gt;0,H506*가정!$B$3,J506*가정!$B$4))</f>
        <v>20169.144</v>
      </c>
      <c r="M506" s="95" t="n">
        <f aca="false">D506*J506</f>
        <v>3540000</v>
      </c>
      <c r="N506" s="95" t="n">
        <f aca="false">D506*K506</f>
        <v>806460</v>
      </c>
      <c r="O506" s="95" t="n">
        <f aca="false">D506*L506</f>
        <v>1210148.64</v>
      </c>
      <c r="P506" s="34" t="str">
        <f aca="false">TRIM(IF(N(E506)&lt;=0,"택가보정 ","")&amp;IF(N(F506)&lt;=0,"원가보정 ","")&amp;IF(AND(B506&lt;&gt;"CN",N(H506)&lt;=0),"공급가보정 ","")&amp;IF(AND(B506="CN",N(I506)&lt;=0),"중국공급가=원가+마진 ",""))</f>
        <v/>
      </c>
    </row>
    <row r="507" customFormat="false" ht="15" hidden="false" customHeight="true" outlineLevel="0" collapsed="false">
      <c r="A507" s="94" t="s">
        <v>1689</v>
      </c>
      <c r="B507" s="34" t="str">
        <f aca="false">IF(A507="100","HK",IF(A507="200","CN",IF(A507="300","TW","홀세일")))</f>
        <v>홀세일</v>
      </c>
      <c r="C507" s="94" t="s">
        <v>1704</v>
      </c>
      <c r="D507" s="95" t="n">
        <v>45</v>
      </c>
      <c r="E507" s="95" t="n">
        <v>59000</v>
      </c>
      <c r="F507" s="95" t="n">
        <v>12400</v>
      </c>
      <c r="G507" s="34" t="n">
        <v>3.89</v>
      </c>
      <c r="H507" s="34" t="n">
        <v>14.8</v>
      </c>
      <c r="J507" s="95" t="n">
        <f aca="false">IF(N(E507)&gt;0,E507,IF(N(F507)&gt;0,F507*가정!$B$5,0))</f>
        <v>59000</v>
      </c>
      <c r="K507" s="95" t="n">
        <f aca="false">IF(N(F507)&gt;0,F507,IF(N(E507)&gt;0,E507/가정!$B$5,0))</f>
        <v>12400</v>
      </c>
      <c r="L507" s="95" t="n">
        <f aca="false">IF(B507="CN",IF(N(I507)&gt;0,I507*가정!$B$3,K507*(1+가정!$B$6)),IF(N(H507)&gt;0,H507*가정!$B$3,J507*가정!$B$4))</f>
        <v>20169.144</v>
      </c>
      <c r="M507" s="95" t="n">
        <f aca="false">D507*J507</f>
        <v>2655000</v>
      </c>
      <c r="N507" s="95" t="n">
        <f aca="false">D507*K507</f>
        <v>558000</v>
      </c>
      <c r="O507" s="95" t="n">
        <f aca="false">D507*L507</f>
        <v>907611.48</v>
      </c>
      <c r="P507" s="34" t="str">
        <f aca="false">TRIM(IF(N(E507)&lt;=0,"택가보정 ","")&amp;IF(N(F507)&lt;=0,"원가보정 ","")&amp;IF(AND(B507&lt;&gt;"CN",N(H507)&lt;=0),"공급가보정 ","")&amp;IF(AND(B507="CN",N(I507)&lt;=0),"중국공급가=원가+마진 ",""))</f>
        <v/>
      </c>
    </row>
    <row r="508" customFormat="false" ht="15" hidden="false" customHeight="true" outlineLevel="0" collapsed="false">
      <c r="A508" s="94" t="s">
        <v>1687</v>
      </c>
      <c r="B508" s="34" t="str">
        <f aca="false">IF(A508="100","HK",IF(A508="200","CN",IF(A508="300","TW","홀세일")))</f>
        <v>홀세일</v>
      </c>
      <c r="C508" s="94" t="s">
        <v>1315</v>
      </c>
      <c r="D508" s="95" t="n">
        <v>25</v>
      </c>
      <c r="E508" s="95" t="n">
        <v>59000</v>
      </c>
      <c r="F508" s="95" t="n">
        <v>12200</v>
      </c>
      <c r="G508" s="34" t="n">
        <v>4.33</v>
      </c>
      <c r="H508" s="34" t="n">
        <v>14.8</v>
      </c>
      <c r="J508" s="95" t="n">
        <f aca="false">IF(N(E508)&gt;0,E508,IF(N(F508)&gt;0,F508*가정!$B$5,0))</f>
        <v>59000</v>
      </c>
      <c r="K508" s="95" t="n">
        <f aca="false">IF(N(F508)&gt;0,F508,IF(N(E508)&gt;0,E508/가정!$B$5,0))</f>
        <v>12200</v>
      </c>
      <c r="L508" s="95" t="n">
        <f aca="false">IF(B508="CN",IF(N(I508)&gt;0,I508*가정!$B$3,K508*(1+가정!$B$6)),IF(N(H508)&gt;0,H508*가정!$B$3,J508*가정!$B$4))</f>
        <v>20169.144</v>
      </c>
      <c r="M508" s="95" t="n">
        <f aca="false">D508*J508</f>
        <v>1475000</v>
      </c>
      <c r="N508" s="95" t="n">
        <f aca="false">D508*K508</f>
        <v>305000</v>
      </c>
      <c r="O508" s="95" t="n">
        <f aca="false">D508*L508</f>
        <v>504228.6</v>
      </c>
      <c r="P508" s="34" t="str">
        <f aca="false">TRIM(IF(N(E508)&lt;=0,"택가보정 ","")&amp;IF(N(F508)&lt;=0,"원가보정 ","")&amp;IF(AND(B508&lt;&gt;"CN",N(H508)&lt;=0),"공급가보정 ","")&amp;IF(AND(B508="CN",N(I508)&lt;=0),"중국공급가=원가+마진 ",""))</f>
        <v/>
      </c>
    </row>
    <row r="509" customFormat="false" ht="15" hidden="false" customHeight="true" outlineLevel="0" collapsed="false">
      <c r="A509" s="94" t="s">
        <v>1687</v>
      </c>
      <c r="B509" s="34" t="str">
        <f aca="false">IF(A509="100","HK",IF(A509="200","CN",IF(A509="300","TW","홀세일")))</f>
        <v>홀세일</v>
      </c>
      <c r="C509" s="94" t="s">
        <v>1317</v>
      </c>
      <c r="D509" s="95" t="n">
        <v>25</v>
      </c>
      <c r="E509" s="95" t="n">
        <v>59000</v>
      </c>
      <c r="F509" s="95" t="n">
        <v>13800</v>
      </c>
      <c r="G509" s="34" t="n">
        <v>4</v>
      </c>
      <c r="H509" s="34" t="n">
        <v>14.8</v>
      </c>
      <c r="J509" s="95" t="n">
        <f aca="false">IF(N(E509)&gt;0,E509,IF(N(F509)&gt;0,F509*가정!$B$5,0))</f>
        <v>59000</v>
      </c>
      <c r="K509" s="95" t="n">
        <f aca="false">IF(N(F509)&gt;0,F509,IF(N(E509)&gt;0,E509/가정!$B$5,0))</f>
        <v>13800</v>
      </c>
      <c r="L509" s="95" t="n">
        <f aca="false">IF(B509="CN",IF(N(I509)&gt;0,I509*가정!$B$3,K509*(1+가정!$B$6)),IF(N(H509)&gt;0,H509*가정!$B$3,J509*가정!$B$4))</f>
        <v>20169.144</v>
      </c>
      <c r="M509" s="95" t="n">
        <f aca="false">D509*J509</f>
        <v>1475000</v>
      </c>
      <c r="N509" s="95" t="n">
        <f aca="false">D509*K509</f>
        <v>345000</v>
      </c>
      <c r="O509" s="95" t="n">
        <f aca="false">D509*L509</f>
        <v>504228.6</v>
      </c>
      <c r="P509" s="34" t="str">
        <f aca="false">TRIM(IF(N(E509)&lt;=0,"택가보정 ","")&amp;IF(N(F509)&lt;=0,"원가보정 ","")&amp;IF(AND(B509&lt;&gt;"CN",N(H509)&lt;=0),"공급가보정 ","")&amp;IF(AND(B509="CN",N(I509)&lt;=0),"중국공급가=원가+마진 ",""))</f>
        <v/>
      </c>
    </row>
    <row r="510" customFormat="false" ht="15" hidden="false" customHeight="true" outlineLevel="0" collapsed="false">
      <c r="A510" s="94" t="s">
        <v>1684</v>
      </c>
      <c r="B510" s="34" t="str">
        <f aca="false">IF(A510="100","HK",IF(A510="200","CN",IF(A510="300","TW","홀세일")))</f>
        <v>HK</v>
      </c>
      <c r="C510" s="94" t="s">
        <v>893</v>
      </c>
      <c r="D510" s="95" t="n">
        <v>190</v>
      </c>
      <c r="E510" s="95" t="n">
        <v>49000</v>
      </c>
      <c r="F510" s="95" t="n">
        <v>13410</v>
      </c>
      <c r="G510" s="34" t="n">
        <v>3.32</v>
      </c>
      <c r="H510" s="34" t="n">
        <v>14.2</v>
      </c>
      <c r="J510" s="95" t="n">
        <f aca="false">IF(N(E510)&gt;0,E510,IF(N(F510)&gt;0,F510*가정!$B$5,0))</f>
        <v>49000</v>
      </c>
      <c r="K510" s="95" t="n">
        <f aca="false">IF(N(F510)&gt;0,F510,IF(N(E510)&gt;0,E510/가정!$B$5,0))</f>
        <v>13410</v>
      </c>
      <c r="L510" s="95" t="n">
        <f aca="false">IF(B510="CN",IF(N(I510)&gt;0,I510*가정!$B$3,K510*(1+가정!$B$6)),IF(N(H510)&gt;0,H510*가정!$B$3,J510*가정!$B$4))</f>
        <v>19351.476</v>
      </c>
      <c r="M510" s="95" t="n">
        <f aca="false">D510*J510</f>
        <v>9310000</v>
      </c>
      <c r="N510" s="95" t="n">
        <f aca="false">D510*K510</f>
        <v>2547900</v>
      </c>
      <c r="O510" s="95" t="n">
        <f aca="false">D510*L510</f>
        <v>3676780.44</v>
      </c>
      <c r="P510" s="34" t="str">
        <f aca="false">TRIM(IF(N(E510)&lt;=0,"택가보정 ","")&amp;IF(N(F510)&lt;=0,"원가보정 ","")&amp;IF(AND(B510&lt;&gt;"CN",N(H510)&lt;=0),"공급가보정 ","")&amp;IF(AND(B510="CN",N(I510)&lt;=0),"중국공급가=원가+마진 ",""))</f>
        <v/>
      </c>
    </row>
    <row r="511" customFormat="false" ht="15" hidden="false" customHeight="true" outlineLevel="0" collapsed="false">
      <c r="A511" s="94" t="s">
        <v>1692</v>
      </c>
      <c r="B511" s="34" t="str">
        <f aca="false">IF(A511="100","HK",IF(A511="200","CN",IF(A511="300","TW","홀세일")))</f>
        <v>홀세일</v>
      </c>
      <c r="C511" s="94" t="s">
        <v>1456</v>
      </c>
      <c r="D511" s="95" t="n">
        <v>120</v>
      </c>
      <c r="E511" s="95" t="n">
        <v>129000</v>
      </c>
      <c r="F511" s="95" t="n">
        <v>30000</v>
      </c>
      <c r="G511" s="34" t="n">
        <v>3.91</v>
      </c>
      <c r="H511" s="34" t="n">
        <v>37.2</v>
      </c>
      <c r="J511" s="95" t="n">
        <f aca="false">IF(N(E511)&gt;0,E511,IF(N(F511)&gt;0,F511*가정!$B$5,0))</f>
        <v>129000</v>
      </c>
      <c r="K511" s="95" t="n">
        <f aca="false">IF(N(F511)&gt;0,F511,IF(N(E511)&gt;0,E511/가정!$B$5,0))</f>
        <v>30000</v>
      </c>
      <c r="L511" s="95" t="n">
        <f aca="false">IF(B511="CN",IF(N(I511)&gt;0,I511*가정!$B$3,K511*(1+가정!$B$6)),IF(N(H511)&gt;0,H511*가정!$B$3,J511*가정!$B$4))</f>
        <v>50695.416</v>
      </c>
      <c r="M511" s="95" t="n">
        <f aca="false">D511*J511</f>
        <v>15480000</v>
      </c>
      <c r="N511" s="95" t="n">
        <f aca="false">D511*K511</f>
        <v>3600000</v>
      </c>
      <c r="O511" s="95" t="n">
        <f aca="false">D511*L511</f>
        <v>6083449.92</v>
      </c>
      <c r="P511" s="34" t="str">
        <f aca="false">TRIM(IF(N(E511)&lt;=0,"택가보정 ","")&amp;IF(N(F511)&lt;=0,"원가보정 ","")&amp;IF(AND(B511&lt;&gt;"CN",N(H511)&lt;=0),"공급가보정 ","")&amp;IF(AND(B511="CN",N(I511)&lt;=0),"중국공급가=원가+마진 ",""))</f>
        <v/>
      </c>
    </row>
    <row r="512" customFormat="false" ht="15" hidden="false" customHeight="true" outlineLevel="0" collapsed="false">
      <c r="A512" s="94" t="s">
        <v>1684</v>
      </c>
      <c r="B512" s="34" t="str">
        <f aca="false">IF(A512="100","HK",IF(A512="200","CN",IF(A512="300","TW","홀세일")))</f>
        <v>HK</v>
      </c>
      <c r="C512" s="94" t="s">
        <v>1104</v>
      </c>
      <c r="D512" s="95" t="n">
        <v>300</v>
      </c>
      <c r="E512" s="95" t="n">
        <v>59000</v>
      </c>
      <c r="F512" s="95" t="n">
        <v>15500</v>
      </c>
      <c r="G512" s="34" t="n">
        <v>3.39</v>
      </c>
      <c r="H512" s="34" t="n">
        <v>17.1</v>
      </c>
      <c r="J512" s="95" t="n">
        <f aca="false">IF(N(E512)&gt;0,E512,IF(N(F512)&gt;0,F512*가정!$B$5,0))</f>
        <v>59000</v>
      </c>
      <c r="K512" s="95" t="n">
        <f aca="false">IF(N(F512)&gt;0,F512,IF(N(E512)&gt;0,E512/가정!$B$5,0))</f>
        <v>15500</v>
      </c>
      <c r="L512" s="95" t="n">
        <f aca="false">IF(B512="CN",IF(N(I512)&gt;0,I512*가정!$B$3,K512*(1+가정!$B$6)),IF(N(H512)&gt;0,H512*가정!$B$3,J512*가정!$B$4))</f>
        <v>23303.538</v>
      </c>
      <c r="M512" s="95" t="n">
        <f aca="false">D512*J512</f>
        <v>17700000</v>
      </c>
      <c r="N512" s="95" t="n">
        <f aca="false">D512*K512</f>
        <v>4650000</v>
      </c>
      <c r="O512" s="95" t="n">
        <f aca="false">D512*L512</f>
        <v>6991061.4</v>
      </c>
      <c r="P512" s="34" t="str">
        <f aca="false">TRIM(IF(N(E512)&lt;=0,"택가보정 ","")&amp;IF(N(F512)&lt;=0,"원가보정 ","")&amp;IF(AND(B512&lt;&gt;"CN",N(H512)&lt;=0),"공급가보정 ","")&amp;IF(AND(B512="CN",N(I512)&lt;=0),"중국공급가=원가+마진 ",""))</f>
        <v/>
      </c>
    </row>
    <row r="513" customFormat="false" ht="15.75" hidden="false" customHeight="true" outlineLevel="0" collapsed="false">
      <c r="A513" s="94" t="s">
        <v>1685</v>
      </c>
      <c r="B513" s="34" t="str">
        <f aca="false">IF(A513="100","HK",IF(A513="200","CN",IF(A513="300","TW","홀세일")))</f>
        <v>CN</v>
      </c>
      <c r="C513" s="94" t="s">
        <v>1104</v>
      </c>
      <c r="D513" s="95" t="n">
        <v>532</v>
      </c>
      <c r="E513" s="95" t="n">
        <v>59000</v>
      </c>
      <c r="F513" s="95" t="n">
        <v>15500</v>
      </c>
      <c r="G513" s="34" t="n">
        <v>3.39</v>
      </c>
      <c r="H513" s="34" t="n">
        <v>17.1</v>
      </c>
      <c r="J513" s="95" t="n">
        <f aca="false">IF(N(E513)&gt;0,E513,IF(N(F513)&gt;0,F513*가정!$B$5,0))</f>
        <v>59000</v>
      </c>
      <c r="K513" s="95" t="n">
        <f aca="false">IF(N(F513)&gt;0,F513,IF(N(E513)&gt;0,E513/가정!$B$5,0))</f>
        <v>15500</v>
      </c>
      <c r="L513" s="95" t="n">
        <f aca="false">IF(B513="CN",IF(N(I513)&gt;0,I513*가정!$B$3,K513*(1+가정!$B$6)),IF(N(H513)&gt;0,H513*가정!$B$3,J513*가정!$B$4))</f>
        <v>16275</v>
      </c>
      <c r="M513" s="95" t="n">
        <f aca="false">D513*J513</f>
        <v>31388000</v>
      </c>
      <c r="N513" s="95" t="n">
        <f aca="false">D513*K513</f>
        <v>8246000</v>
      </c>
      <c r="O513" s="95" t="n">
        <f aca="false">D513*L513</f>
        <v>8658300</v>
      </c>
      <c r="P513" s="34" t="str">
        <f aca="false">TRIM(IF(N(E513)&lt;=0,"택가보정 ","")&amp;IF(N(F513)&lt;=0,"원가보정 ","")&amp;IF(AND(B513&lt;&gt;"CN",N(H513)&lt;=0),"공급가보정 ","")&amp;IF(AND(B513="CN",N(I513)&lt;=0),"중국공급가=원가+마진 ",""))</f>
        <v>중국공급가=원가+마진</v>
      </c>
    </row>
    <row r="514" customFormat="false" ht="15" hidden="false" customHeight="true" outlineLevel="0" collapsed="false">
      <c r="A514" s="94" t="s">
        <v>1686</v>
      </c>
      <c r="B514" s="34" t="str">
        <f aca="false">IF(A514="100","HK",IF(A514="200","CN",IF(A514="300","TW","홀세일")))</f>
        <v>TW</v>
      </c>
      <c r="C514" s="94" t="s">
        <v>1349</v>
      </c>
      <c r="D514" s="95" t="n">
        <v>620</v>
      </c>
      <c r="E514" s="95" t="n">
        <v>49000</v>
      </c>
      <c r="F514" s="95" t="n">
        <v>13800</v>
      </c>
      <c r="G514" s="34" t="n">
        <v>3.4</v>
      </c>
      <c r="H514" s="34" t="n">
        <v>14.2</v>
      </c>
      <c r="J514" s="95" t="n">
        <f aca="false">IF(N(E514)&gt;0,E514,IF(N(F514)&gt;0,F514*가정!$B$5,0))</f>
        <v>49000</v>
      </c>
      <c r="K514" s="95" t="n">
        <f aca="false">IF(N(F514)&gt;0,F514,IF(N(E514)&gt;0,E514/가정!$B$5,0))</f>
        <v>13800</v>
      </c>
      <c r="L514" s="95" t="n">
        <f aca="false">IF(B514="CN",IF(N(I514)&gt;0,I514*가정!$B$3,K514*(1+가정!$B$6)),IF(N(H514)&gt;0,H514*가정!$B$3,J514*가정!$B$4))</f>
        <v>19351.476</v>
      </c>
      <c r="M514" s="95" t="n">
        <f aca="false">D514*J514</f>
        <v>30380000</v>
      </c>
      <c r="N514" s="95" t="n">
        <f aca="false">D514*K514</f>
        <v>8556000</v>
      </c>
      <c r="O514" s="95" t="n">
        <f aca="false">D514*L514</f>
        <v>11997915.12</v>
      </c>
      <c r="P514" s="34" t="str">
        <f aca="false">TRIM(IF(N(E514)&lt;=0,"택가보정 ","")&amp;IF(N(F514)&lt;=0,"원가보정 ","")&amp;IF(AND(B514&lt;&gt;"CN",N(H514)&lt;=0),"공급가보정 ","")&amp;IF(AND(B514="CN",N(I514)&lt;=0),"중국공급가=원가+마진 ",""))</f>
        <v/>
      </c>
    </row>
    <row r="515" customFormat="false" ht="15" hidden="false" customHeight="true" outlineLevel="0" collapsed="false">
      <c r="A515" s="94" t="s">
        <v>1688</v>
      </c>
      <c r="B515" s="34" t="str">
        <f aca="false">IF(A515="100","HK",IF(A515="200","CN",IF(A515="300","TW","홀세일")))</f>
        <v>홀세일</v>
      </c>
      <c r="C515" s="94" t="s">
        <v>1349</v>
      </c>
      <c r="D515" s="95" t="n">
        <v>120</v>
      </c>
      <c r="E515" s="95" t="n">
        <v>49000</v>
      </c>
      <c r="F515" s="95" t="n">
        <v>13800</v>
      </c>
      <c r="G515" s="34" t="n">
        <v>3.4</v>
      </c>
      <c r="H515" s="34" t="n">
        <v>14.2</v>
      </c>
      <c r="J515" s="95" t="n">
        <f aca="false">IF(N(E515)&gt;0,E515,IF(N(F515)&gt;0,F515*가정!$B$5,0))</f>
        <v>49000</v>
      </c>
      <c r="K515" s="95" t="n">
        <f aca="false">IF(N(F515)&gt;0,F515,IF(N(E515)&gt;0,E515/가정!$B$5,0))</f>
        <v>13800</v>
      </c>
      <c r="L515" s="95" t="n">
        <f aca="false">IF(B515="CN",IF(N(I515)&gt;0,I515*가정!$B$3,K515*(1+가정!$B$6)),IF(N(H515)&gt;0,H515*가정!$B$3,J515*가정!$B$4))</f>
        <v>19351.476</v>
      </c>
      <c r="M515" s="95" t="n">
        <f aca="false">D515*J515</f>
        <v>5880000</v>
      </c>
      <c r="N515" s="95" t="n">
        <f aca="false">D515*K515</f>
        <v>1656000</v>
      </c>
      <c r="O515" s="95" t="n">
        <f aca="false">D515*L515</f>
        <v>2322177.12</v>
      </c>
      <c r="P515" s="34" t="str">
        <f aca="false">TRIM(IF(N(E515)&lt;=0,"택가보정 ","")&amp;IF(N(F515)&lt;=0,"원가보정 ","")&amp;IF(AND(B515&lt;&gt;"CN",N(H515)&lt;=0),"공급가보정 ","")&amp;IF(AND(B515="CN",N(I515)&lt;=0),"중국공급가=원가+마진 ",""))</f>
        <v/>
      </c>
    </row>
    <row r="516" customFormat="false" ht="15" hidden="false" customHeight="true" outlineLevel="0" collapsed="false">
      <c r="A516" s="94" t="s">
        <v>1688</v>
      </c>
      <c r="B516" s="34" t="str">
        <f aca="false">IF(A516="100","HK",IF(A516="200","CN",IF(A516="300","TW","홀세일")))</f>
        <v>홀세일</v>
      </c>
      <c r="C516" s="94" t="s">
        <v>1351</v>
      </c>
      <c r="D516" s="95" t="n">
        <v>20</v>
      </c>
      <c r="E516" s="95" t="n">
        <v>89000</v>
      </c>
      <c r="F516" s="95" t="n">
        <v>23500</v>
      </c>
      <c r="G516" s="34" t="n">
        <v>3.53</v>
      </c>
      <c r="H516" s="34" t="n">
        <v>22.3</v>
      </c>
      <c r="J516" s="95" t="n">
        <f aca="false">IF(N(E516)&gt;0,E516,IF(N(F516)&gt;0,F516*가정!$B$5,0))</f>
        <v>89000</v>
      </c>
      <c r="K516" s="95" t="n">
        <f aca="false">IF(N(F516)&gt;0,F516,IF(N(E516)&gt;0,E516/가정!$B$5,0))</f>
        <v>23500</v>
      </c>
      <c r="L516" s="95" t="n">
        <f aca="false">IF(B516="CN",IF(N(I516)&gt;0,I516*가정!$B$3,K516*(1+가정!$B$6)),IF(N(H516)&gt;0,H516*가정!$B$3,J516*가정!$B$4))</f>
        <v>30389.994</v>
      </c>
      <c r="M516" s="95" t="n">
        <f aca="false">D516*J516</f>
        <v>1780000</v>
      </c>
      <c r="N516" s="95" t="n">
        <f aca="false">D516*K516</f>
        <v>470000</v>
      </c>
      <c r="O516" s="95" t="n">
        <f aca="false">D516*L516</f>
        <v>607799.88</v>
      </c>
      <c r="P516" s="34" t="str">
        <f aca="false">TRIM(IF(N(E516)&lt;=0,"택가보정 ","")&amp;IF(N(F516)&lt;=0,"원가보정 ","")&amp;IF(AND(B516&lt;&gt;"CN",N(H516)&lt;=0),"공급가보정 ","")&amp;IF(AND(B516="CN",N(I516)&lt;=0),"중국공급가=원가+마진 ",""))</f>
        <v/>
      </c>
    </row>
    <row r="517" customFormat="false" ht="15" hidden="false" customHeight="true" outlineLevel="0" collapsed="false">
      <c r="A517" s="94" t="s">
        <v>1690</v>
      </c>
      <c r="B517" s="34" t="str">
        <f aca="false">IF(A517="100","HK",IF(A517="200","CN",IF(A517="300","TW","홀세일")))</f>
        <v>홀세일</v>
      </c>
      <c r="C517" s="94" t="s">
        <v>1351</v>
      </c>
      <c r="D517" s="95" t="n">
        <v>132</v>
      </c>
      <c r="E517" s="95" t="n">
        <v>89000</v>
      </c>
      <c r="F517" s="95" t="n">
        <v>23500</v>
      </c>
      <c r="G517" s="34" t="n">
        <v>3.53</v>
      </c>
      <c r="H517" s="34" t="n">
        <v>22.3</v>
      </c>
      <c r="J517" s="95" t="n">
        <f aca="false">IF(N(E517)&gt;0,E517,IF(N(F517)&gt;0,F517*가정!$B$5,0))</f>
        <v>89000</v>
      </c>
      <c r="K517" s="95" t="n">
        <f aca="false">IF(N(F517)&gt;0,F517,IF(N(E517)&gt;0,E517/가정!$B$5,0))</f>
        <v>23500</v>
      </c>
      <c r="L517" s="95" t="n">
        <f aca="false">IF(B517="CN",IF(N(I517)&gt;0,I517*가정!$B$3,K517*(1+가정!$B$6)),IF(N(H517)&gt;0,H517*가정!$B$3,J517*가정!$B$4))</f>
        <v>30389.994</v>
      </c>
      <c r="M517" s="95" t="n">
        <f aca="false">D517*J517</f>
        <v>11748000</v>
      </c>
      <c r="N517" s="95" t="n">
        <f aca="false">D517*K517</f>
        <v>3102000</v>
      </c>
      <c r="O517" s="95" t="n">
        <f aca="false">D517*L517</f>
        <v>4011479.208</v>
      </c>
      <c r="P517" s="34" t="str">
        <f aca="false">TRIM(IF(N(E517)&lt;=0,"택가보정 ","")&amp;IF(N(F517)&lt;=0,"원가보정 ","")&amp;IF(AND(B517&lt;&gt;"CN",N(H517)&lt;=0),"공급가보정 ","")&amp;IF(AND(B517="CN",N(I517)&lt;=0),"중국공급가=원가+마진 ",""))</f>
        <v/>
      </c>
    </row>
    <row r="518" customFormat="false" ht="15" hidden="false" customHeight="true" outlineLevel="0" collapsed="false">
      <c r="A518" s="94" t="s">
        <v>1684</v>
      </c>
      <c r="B518" s="34" t="str">
        <f aca="false">IF(A518="100","HK",IF(A518="200","CN",IF(A518="300","TW","홀세일")))</f>
        <v>HK</v>
      </c>
      <c r="C518" s="94" t="s">
        <v>380</v>
      </c>
      <c r="D518" s="95" t="n">
        <v>200</v>
      </c>
      <c r="E518" s="95" t="n">
        <v>79000</v>
      </c>
      <c r="F518" s="95" t="n">
        <v>15300</v>
      </c>
      <c r="G518" s="34" t="n">
        <v>4.03</v>
      </c>
      <c r="H518" s="34" t="n">
        <v>19.8</v>
      </c>
      <c r="J518" s="95" t="n">
        <f aca="false">IF(N(E518)&gt;0,E518,IF(N(F518)&gt;0,F518*가정!$B$5,0))</f>
        <v>79000</v>
      </c>
      <c r="K518" s="95" t="n">
        <f aca="false">IF(N(F518)&gt;0,F518,IF(N(E518)&gt;0,E518/가정!$B$5,0))</f>
        <v>15300</v>
      </c>
      <c r="L518" s="95" t="n">
        <f aca="false">IF(B518="CN",IF(N(I518)&gt;0,I518*가정!$B$3,K518*(1+가정!$B$6)),IF(N(H518)&gt;0,H518*가정!$B$3,J518*가정!$B$4))</f>
        <v>26983.044</v>
      </c>
      <c r="M518" s="95" t="n">
        <f aca="false">D518*J518</f>
        <v>15800000</v>
      </c>
      <c r="N518" s="95" t="n">
        <f aca="false">D518*K518</f>
        <v>3060000</v>
      </c>
      <c r="O518" s="95" t="n">
        <f aca="false">D518*L518</f>
        <v>5396608.8</v>
      </c>
      <c r="P518" s="34" t="str">
        <f aca="false">TRIM(IF(N(E518)&lt;=0,"택가보정 ","")&amp;IF(N(F518)&lt;=0,"원가보정 ","")&amp;IF(AND(B518&lt;&gt;"CN",N(H518)&lt;=0),"공급가보정 ","")&amp;IF(AND(B518="CN",N(I518)&lt;=0),"중국공급가=원가+마진 ",""))</f>
        <v/>
      </c>
    </row>
    <row r="519" customFormat="false" ht="15" hidden="false" customHeight="true" outlineLevel="0" collapsed="false">
      <c r="A519" s="94" t="s">
        <v>1686</v>
      </c>
      <c r="B519" s="34" t="str">
        <f aca="false">IF(A519="100","HK",IF(A519="200","CN",IF(A519="300","TW","홀세일")))</f>
        <v>TW</v>
      </c>
      <c r="C519" s="94" t="s">
        <v>380</v>
      </c>
      <c r="D519" s="95" t="n">
        <v>300</v>
      </c>
      <c r="E519" s="95" t="n">
        <v>79000</v>
      </c>
      <c r="F519" s="95" t="n">
        <v>15300</v>
      </c>
      <c r="G519" s="34" t="n">
        <v>4.03</v>
      </c>
      <c r="H519" s="34" t="n">
        <v>19.8</v>
      </c>
      <c r="J519" s="95" t="n">
        <f aca="false">IF(N(E519)&gt;0,E519,IF(N(F519)&gt;0,F519*가정!$B$5,0))</f>
        <v>79000</v>
      </c>
      <c r="K519" s="95" t="n">
        <f aca="false">IF(N(F519)&gt;0,F519,IF(N(E519)&gt;0,E519/가정!$B$5,0))</f>
        <v>15300</v>
      </c>
      <c r="L519" s="95" t="n">
        <f aca="false">IF(B519="CN",IF(N(I519)&gt;0,I519*가정!$B$3,K519*(1+가정!$B$6)),IF(N(H519)&gt;0,H519*가정!$B$3,J519*가정!$B$4))</f>
        <v>26983.044</v>
      </c>
      <c r="M519" s="95" t="n">
        <f aca="false">D519*J519</f>
        <v>23700000</v>
      </c>
      <c r="N519" s="95" t="n">
        <f aca="false">D519*K519</f>
        <v>4590000</v>
      </c>
      <c r="O519" s="95" t="n">
        <f aca="false">D519*L519</f>
        <v>8094913.2</v>
      </c>
      <c r="P519" s="34" t="str">
        <f aca="false">TRIM(IF(N(E519)&lt;=0,"택가보정 ","")&amp;IF(N(F519)&lt;=0,"원가보정 ","")&amp;IF(AND(B519&lt;&gt;"CN",N(H519)&lt;=0),"공급가보정 ","")&amp;IF(AND(B519="CN",N(I519)&lt;=0),"중국공급가=원가+마진 ",""))</f>
        <v/>
      </c>
    </row>
    <row r="520" customFormat="false" ht="15" hidden="false" customHeight="true" outlineLevel="0" collapsed="false">
      <c r="A520" s="94" t="s">
        <v>1688</v>
      </c>
      <c r="B520" s="34" t="str">
        <f aca="false">IF(A520="100","HK",IF(A520="200","CN",IF(A520="300","TW","홀세일")))</f>
        <v>홀세일</v>
      </c>
      <c r="C520" s="94" t="s">
        <v>380</v>
      </c>
      <c r="D520" s="95" t="n">
        <v>15</v>
      </c>
      <c r="E520" s="95" t="n">
        <v>79000</v>
      </c>
      <c r="F520" s="95" t="n">
        <v>15300</v>
      </c>
      <c r="G520" s="34" t="n">
        <v>4.03</v>
      </c>
      <c r="H520" s="34" t="n">
        <v>19.8</v>
      </c>
      <c r="J520" s="95" t="n">
        <f aca="false">IF(N(E520)&gt;0,E520,IF(N(F520)&gt;0,F520*가정!$B$5,0))</f>
        <v>79000</v>
      </c>
      <c r="K520" s="95" t="n">
        <f aca="false">IF(N(F520)&gt;0,F520,IF(N(E520)&gt;0,E520/가정!$B$5,0))</f>
        <v>15300</v>
      </c>
      <c r="L520" s="95" t="n">
        <f aca="false">IF(B520="CN",IF(N(I520)&gt;0,I520*가정!$B$3,K520*(1+가정!$B$6)),IF(N(H520)&gt;0,H520*가정!$B$3,J520*가정!$B$4))</f>
        <v>26983.044</v>
      </c>
      <c r="M520" s="95" t="n">
        <f aca="false">D520*J520</f>
        <v>1185000</v>
      </c>
      <c r="N520" s="95" t="n">
        <f aca="false">D520*K520</f>
        <v>229500</v>
      </c>
      <c r="O520" s="95" t="n">
        <f aca="false">D520*L520</f>
        <v>404745.66</v>
      </c>
      <c r="P520" s="34" t="str">
        <f aca="false">TRIM(IF(N(E520)&lt;=0,"택가보정 ","")&amp;IF(N(F520)&lt;=0,"원가보정 ","")&amp;IF(AND(B520&lt;&gt;"CN",N(H520)&lt;=0),"공급가보정 ","")&amp;IF(AND(B520="CN",N(I520)&lt;=0),"중국공급가=원가+마진 ",""))</f>
        <v/>
      </c>
    </row>
    <row r="521" customFormat="false" ht="15" hidden="false" customHeight="true" outlineLevel="0" collapsed="false">
      <c r="A521" s="94" t="s">
        <v>1689</v>
      </c>
      <c r="B521" s="34" t="str">
        <f aca="false">IF(A521="100","HK",IF(A521="200","CN",IF(A521="300","TW","홀세일")))</f>
        <v>홀세일</v>
      </c>
      <c r="C521" s="94" t="s">
        <v>380</v>
      </c>
      <c r="D521" s="95" t="n">
        <v>30</v>
      </c>
      <c r="E521" s="95" t="n">
        <v>79000</v>
      </c>
      <c r="F521" s="95" t="n">
        <v>15300</v>
      </c>
      <c r="G521" s="34" t="n">
        <v>4.03</v>
      </c>
      <c r="H521" s="34" t="n">
        <v>19.8</v>
      </c>
      <c r="J521" s="95" t="n">
        <f aca="false">IF(N(E521)&gt;0,E521,IF(N(F521)&gt;0,F521*가정!$B$5,0))</f>
        <v>79000</v>
      </c>
      <c r="K521" s="95" t="n">
        <f aca="false">IF(N(F521)&gt;0,F521,IF(N(E521)&gt;0,E521/가정!$B$5,0))</f>
        <v>15300</v>
      </c>
      <c r="L521" s="95" t="n">
        <f aca="false">IF(B521="CN",IF(N(I521)&gt;0,I521*가정!$B$3,K521*(1+가정!$B$6)),IF(N(H521)&gt;0,H521*가정!$B$3,J521*가정!$B$4))</f>
        <v>26983.044</v>
      </c>
      <c r="M521" s="95" t="n">
        <f aca="false">D521*J521</f>
        <v>2370000</v>
      </c>
      <c r="N521" s="95" t="n">
        <f aca="false">D521*K521</f>
        <v>459000</v>
      </c>
      <c r="O521" s="95" t="n">
        <f aca="false">D521*L521</f>
        <v>809491.32</v>
      </c>
      <c r="P521" s="34" t="str">
        <f aca="false">TRIM(IF(N(E521)&lt;=0,"택가보정 ","")&amp;IF(N(F521)&lt;=0,"원가보정 ","")&amp;IF(AND(B521&lt;&gt;"CN",N(H521)&lt;=0),"공급가보정 ","")&amp;IF(AND(B521="CN",N(I521)&lt;=0),"중국공급가=원가+마진 ",""))</f>
        <v/>
      </c>
    </row>
    <row r="522" customFormat="false" ht="15" hidden="false" customHeight="true" outlineLevel="0" collapsed="false">
      <c r="A522" s="94" t="s">
        <v>1686</v>
      </c>
      <c r="B522" s="34" t="str">
        <f aca="false">IF(A522="100","HK",IF(A522="200","CN",IF(A522="300","TW","홀세일")))</f>
        <v>TW</v>
      </c>
      <c r="C522" s="94" t="s">
        <v>382</v>
      </c>
      <c r="D522" s="95" t="n">
        <v>150</v>
      </c>
      <c r="E522" s="95" t="n">
        <v>119000</v>
      </c>
      <c r="F522" s="95" t="n">
        <v>25500</v>
      </c>
      <c r="G522" s="34" t="n">
        <v>3.91</v>
      </c>
      <c r="H522" s="34" t="n">
        <v>29.8</v>
      </c>
      <c r="J522" s="95" t="n">
        <f aca="false">IF(N(E522)&gt;0,E522,IF(N(F522)&gt;0,F522*가정!$B$5,0))</f>
        <v>119000</v>
      </c>
      <c r="K522" s="95" t="n">
        <f aca="false">IF(N(F522)&gt;0,F522,IF(N(E522)&gt;0,E522/가정!$B$5,0))</f>
        <v>25500</v>
      </c>
      <c r="L522" s="95" t="n">
        <f aca="false">IF(B522="CN",IF(N(I522)&gt;0,I522*가정!$B$3,K522*(1+가정!$B$6)),IF(N(H522)&gt;0,H522*가정!$B$3,J522*가정!$B$4))</f>
        <v>40610.844</v>
      </c>
      <c r="M522" s="95" t="n">
        <f aca="false">D522*J522</f>
        <v>17850000</v>
      </c>
      <c r="N522" s="95" t="n">
        <f aca="false">D522*K522</f>
        <v>3825000</v>
      </c>
      <c r="O522" s="95" t="n">
        <f aca="false">D522*L522</f>
        <v>6091626.6</v>
      </c>
      <c r="P522" s="34" t="str">
        <f aca="false">TRIM(IF(N(E522)&lt;=0,"택가보정 ","")&amp;IF(N(F522)&lt;=0,"원가보정 ","")&amp;IF(AND(B522&lt;&gt;"CN",N(H522)&lt;=0),"공급가보정 ","")&amp;IF(AND(B522="CN",N(I522)&lt;=0),"중국공급가=원가+마진 ",""))</f>
        <v/>
      </c>
    </row>
    <row r="523" customFormat="false" ht="15" hidden="false" customHeight="true" outlineLevel="0" collapsed="false">
      <c r="A523" s="94" t="s">
        <v>1684</v>
      </c>
      <c r="B523" s="34" t="str">
        <f aca="false">IF(A523="100","HK",IF(A523="200","CN",IF(A523="300","TW","홀세일")))</f>
        <v>HK</v>
      </c>
      <c r="C523" s="94" t="s">
        <v>384</v>
      </c>
      <c r="D523" s="95" t="n">
        <v>300</v>
      </c>
      <c r="E523" s="95" t="n">
        <v>79000</v>
      </c>
      <c r="F523" s="95" t="n">
        <v>18398</v>
      </c>
      <c r="G523" s="34" t="n">
        <v>3.59</v>
      </c>
      <c r="H523" s="34" t="n">
        <v>19.8</v>
      </c>
      <c r="J523" s="95" t="n">
        <f aca="false">IF(N(E523)&gt;0,E523,IF(N(F523)&gt;0,F523*가정!$B$5,0))</f>
        <v>79000</v>
      </c>
      <c r="K523" s="95" t="n">
        <f aca="false">IF(N(F523)&gt;0,F523,IF(N(E523)&gt;0,E523/가정!$B$5,0))</f>
        <v>18398</v>
      </c>
      <c r="L523" s="95" t="n">
        <f aca="false">IF(B523="CN",IF(N(I523)&gt;0,I523*가정!$B$3,K523*(1+가정!$B$6)),IF(N(H523)&gt;0,H523*가정!$B$3,J523*가정!$B$4))</f>
        <v>26983.044</v>
      </c>
      <c r="M523" s="95" t="n">
        <f aca="false">D523*J523</f>
        <v>23700000</v>
      </c>
      <c r="N523" s="95" t="n">
        <f aca="false">D523*K523</f>
        <v>5519400</v>
      </c>
      <c r="O523" s="95" t="n">
        <f aca="false">D523*L523</f>
        <v>8094913.2</v>
      </c>
      <c r="P523" s="34" t="str">
        <f aca="false">TRIM(IF(N(E523)&lt;=0,"택가보정 ","")&amp;IF(N(F523)&lt;=0,"원가보정 ","")&amp;IF(AND(B523&lt;&gt;"CN",N(H523)&lt;=0),"공급가보정 ","")&amp;IF(AND(B523="CN",N(I523)&lt;=0),"중국공급가=원가+마진 ",""))</f>
        <v/>
      </c>
    </row>
    <row r="524" customFormat="false" ht="15.75" hidden="false" customHeight="true" outlineLevel="0" collapsed="false">
      <c r="A524" s="94" t="s">
        <v>1685</v>
      </c>
      <c r="B524" s="34" t="str">
        <f aca="false">IF(A524="100","HK",IF(A524="200","CN",IF(A524="300","TW","홀세일")))</f>
        <v>CN</v>
      </c>
      <c r="C524" s="94" t="s">
        <v>384</v>
      </c>
      <c r="D524" s="95" t="n">
        <v>453</v>
      </c>
      <c r="E524" s="95" t="n">
        <v>79000</v>
      </c>
      <c r="F524" s="95" t="n">
        <v>18398</v>
      </c>
      <c r="G524" s="34" t="n">
        <v>3.59</v>
      </c>
      <c r="H524" s="34" t="n">
        <v>19.8</v>
      </c>
      <c r="J524" s="95" t="n">
        <f aca="false">IF(N(E524)&gt;0,E524,IF(N(F524)&gt;0,F524*가정!$B$5,0))</f>
        <v>79000</v>
      </c>
      <c r="K524" s="95" t="n">
        <f aca="false">IF(N(F524)&gt;0,F524,IF(N(E524)&gt;0,E524/가정!$B$5,0))</f>
        <v>18398</v>
      </c>
      <c r="L524" s="95" t="n">
        <f aca="false">IF(B524="CN",IF(N(I524)&gt;0,I524*가정!$B$3,K524*(1+가정!$B$6)),IF(N(H524)&gt;0,H524*가정!$B$3,J524*가정!$B$4))</f>
        <v>19317.9</v>
      </c>
      <c r="M524" s="95" t="n">
        <f aca="false">D524*J524</f>
        <v>35787000</v>
      </c>
      <c r="N524" s="95" t="n">
        <f aca="false">D524*K524</f>
        <v>8334294</v>
      </c>
      <c r="O524" s="95" t="n">
        <f aca="false">D524*L524</f>
        <v>8751008.7</v>
      </c>
      <c r="P524" s="34" t="str">
        <f aca="false">TRIM(IF(N(E524)&lt;=0,"택가보정 ","")&amp;IF(N(F524)&lt;=0,"원가보정 ","")&amp;IF(AND(B524&lt;&gt;"CN",N(H524)&lt;=0),"공급가보정 ","")&amp;IF(AND(B524="CN",N(I524)&lt;=0),"중국공급가=원가+마진 ",""))</f>
        <v>중국공급가=원가+마진</v>
      </c>
    </row>
    <row r="525" customFormat="false" ht="15" hidden="false" customHeight="true" outlineLevel="0" collapsed="false">
      <c r="A525" s="94" t="s">
        <v>1686</v>
      </c>
      <c r="B525" s="34" t="str">
        <f aca="false">IF(A525="100","HK",IF(A525="200","CN",IF(A525="300","TW","홀세일")))</f>
        <v>TW</v>
      </c>
      <c r="C525" s="94" t="s">
        <v>384</v>
      </c>
      <c r="D525" s="95" t="n">
        <v>150</v>
      </c>
      <c r="E525" s="95" t="n">
        <v>79000</v>
      </c>
      <c r="F525" s="95" t="n">
        <v>18398</v>
      </c>
      <c r="G525" s="34" t="n">
        <v>3.59</v>
      </c>
      <c r="H525" s="34" t="n">
        <v>19.8</v>
      </c>
      <c r="J525" s="95" t="n">
        <f aca="false">IF(N(E525)&gt;0,E525,IF(N(F525)&gt;0,F525*가정!$B$5,0))</f>
        <v>79000</v>
      </c>
      <c r="K525" s="95" t="n">
        <f aca="false">IF(N(F525)&gt;0,F525,IF(N(E525)&gt;0,E525/가정!$B$5,0))</f>
        <v>18398</v>
      </c>
      <c r="L525" s="95" t="n">
        <f aca="false">IF(B525="CN",IF(N(I525)&gt;0,I525*가정!$B$3,K525*(1+가정!$B$6)),IF(N(H525)&gt;0,H525*가정!$B$3,J525*가정!$B$4))</f>
        <v>26983.044</v>
      </c>
      <c r="M525" s="95" t="n">
        <f aca="false">D525*J525</f>
        <v>11850000</v>
      </c>
      <c r="N525" s="95" t="n">
        <f aca="false">D525*K525</f>
        <v>2759700</v>
      </c>
      <c r="O525" s="95" t="n">
        <f aca="false">D525*L525</f>
        <v>4047456.6</v>
      </c>
      <c r="P525" s="34" t="str">
        <f aca="false">TRIM(IF(N(E525)&lt;=0,"택가보정 ","")&amp;IF(N(F525)&lt;=0,"원가보정 ","")&amp;IF(AND(B525&lt;&gt;"CN",N(H525)&lt;=0),"공급가보정 ","")&amp;IF(AND(B525="CN",N(I525)&lt;=0),"중국공급가=원가+마진 ",""))</f>
        <v/>
      </c>
    </row>
    <row r="526" customFormat="false" ht="15" hidden="false" customHeight="true" outlineLevel="0" collapsed="false">
      <c r="A526" s="94" t="s">
        <v>1688</v>
      </c>
      <c r="B526" s="34" t="str">
        <f aca="false">IF(A526="100","HK",IF(A526="200","CN",IF(A526="300","TW","홀세일")))</f>
        <v>홀세일</v>
      </c>
      <c r="C526" s="94" t="s">
        <v>384</v>
      </c>
      <c r="D526" s="95" t="n">
        <v>35</v>
      </c>
      <c r="E526" s="95" t="n">
        <v>79000</v>
      </c>
      <c r="F526" s="95" t="n">
        <v>18398</v>
      </c>
      <c r="G526" s="34" t="n">
        <v>3.59</v>
      </c>
      <c r="H526" s="34" t="n">
        <v>19.8</v>
      </c>
      <c r="J526" s="95" t="n">
        <f aca="false">IF(N(E526)&gt;0,E526,IF(N(F526)&gt;0,F526*가정!$B$5,0))</f>
        <v>79000</v>
      </c>
      <c r="K526" s="95" t="n">
        <f aca="false">IF(N(F526)&gt;0,F526,IF(N(E526)&gt;0,E526/가정!$B$5,0))</f>
        <v>18398</v>
      </c>
      <c r="L526" s="95" t="n">
        <f aca="false">IF(B526="CN",IF(N(I526)&gt;0,I526*가정!$B$3,K526*(1+가정!$B$6)),IF(N(H526)&gt;0,H526*가정!$B$3,J526*가정!$B$4))</f>
        <v>26983.044</v>
      </c>
      <c r="M526" s="95" t="n">
        <f aca="false">D526*J526</f>
        <v>2765000</v>
      </c>
      <c r="N526" s="95" t="n">
        <f aca="false">D526*K526</f>
        <v>643930</v>
      </c>
      <c r="O526" s="95" t="n">
        <f aca="false">D526*L526</f>
        <v>944406.54</v>
      </c>
      <c r="P526" s="34" t="str">
        <f aca="false">TRIM(IF(N(E526)&lt;=0,"택가보정 ","")&amp;IF(N(F526)&lt;=0,"원가보정 ","")&amp;IF(AND(B526&lt;&gt;"CN",N(H526)&lt;=0),"공급가보정 ","")&amp;IF(AND(B526="CN",N(I526)&lt;=0),"중국공급가=원가+마진 ",""))</f>
        <v/>
      </c>
    </row>
    <row r="527" customFormat="false" ht="15" hidden="false" customHeight="true" outlineLevel="0" collapsed="false">
      <c r="A527" s="94" t="s">
        <v>1689</v>
      </c>
      <c r="B527" s="34" t="str">
        <f aca="false">IF(A527="100","HK",IF(A527="200","CN",IF(A527="300","TW","홀세일")))</f>
        <v>홀세일</v>
      </c>
      <c r="C527" s="94" t="s">
        <v>384</v>
      </c>
      <c r="D527" s="95" t="n">
        <v>60</v>
      </c>
      <c r="E527" s="95" t="n">
        <v>79000</v>
      </c>
      <c r="F527" s="95" t="n">
        <v>18398</v>
      </c>
      <c r="G527" s="34" t="n">
        <v>3.59</v>
      </c>
      <c r="H527" s="34" t="n">
        <v>19.8</v>
      </c>
      <c r="J527" s="95" t="n">
        <f aca="false">IF(N(E527)&gt;0,E527,IF(N(F527)&gt;0,F527*가정!$B$5,0))</f>
        <v>79000</v>
      </c>
      <c r="K527" s="95" t="n">
        <f aca="false">IF(N(F527)&gt;0,F527,IF(N(E527)&gt;0,E527/가정!$B$5,0))</f>
        <v>18398</v>
      </c>
      <c r="L527" s="95" t="n">
        <f aca="false">IF(B527="CN",IF(N(I527)&gt;0,I527*가정!$B$3,K527*(1+가정!$B$6)),IF(N(H527)&gt;0,H527*가정!$B$3,J527*가정!$B$4))</f>
        <v>26983.044</v>
      </c>
      <c r="M527" s="95" t="n">
        <f aca="false">D527*J527</f>
        <v>4740000</v>
      </c>
      <c r="N527" s="95" t="n">
        <f aca="false">D527*K527</f>
        <v>1103880</v>
      </c>
      <c r="O527" s="95" t="n">
        <f aca="false">D527*L527</f>
        <v>1618982.64</v>
      </c>
      <c r="P527" s="34" t="str">
        <f aca="false">TRIM(IF(N(E527)&lt;=0,"택가보정 ","")&amp;IF(N(F527)&lt;=0,"원가보정 ","")&amp;IF(AND(B527&lt;&gt;"CN",N(H527)&lt;=0),"공급가보정 ","")&amp;IF(AND(B527="CN",N(I527)&lt;=0),"중국공급가=원가+마진 ",""))</f>
        <v/>
      </c>
    </row>
    <row r="528" customFormat="false" ht="15" hidden="false" customHeight="true" outlineLevel="0" collapsed="false">
      <c r="A528" s="94" t="s">
        <v>1684</v>
      </c>
      <c r="B528" s="34" t="str">
        <f aca="false">IF(A528="100","HK",IF(A528="200","CN",IF(A528="300","TW","홀세일")))</f>
        <v>HK</v>
      </c>
      <c r="C528" s="94" t="s">
        <v>895</v>
      </c>
      <c r="D528" s="95" t="n">
        <v>180</v>
      </c>
      <c r="E528" s="95" t="n">
        <v>89000</v>
      </c>
      <c r="F528" s="95" t="n">
        <v>22900</v>
      </c>
      <c r="G528" s="34" t="n">
        <v>3.55</v>
      </c>
      <c r="H528" s="34" t="n">
        <v>22.3</v>
      </c>
      <c r="J528" s="95" t="n">
        <f aca="false">IF(N(E528)&gt;0,E528,IF(N(F528)&gt;0,F528*가정!$B$5,0))</f>
        <v>89000</v>
      </c>
      <c r="K528" s="95" t="n">
        <f aca="false">IF(N(F528)&gt;0,F528,IF(N(E528)&gt;0,E528/가정!$B$5,0))</f>
        <v>22900</v>
      </c>
      <c r="L528" s="95" t="n">
        <f aca="false">IF(B528="CN",IF(N(I528)&gt;0,I528*가정!$B$3,K528*(1+가정!$B$6)),IF(N(H528)&gt;0,H528*가정!$B$3,J528*가정!$B$4))</f>
        <v>30389.994</v>
      </c>
      <c r="M528" s="95" t="n">
        <f aca="false">D528*J528</f>
        <v>16020000</v>
      </c>
      <c r="N528" s="95" t="n">
        <f aca="false">D528*K528</f>
        <v>4122000</v>
      </c>
      <c r="O528" s="95" t="n">
        <f aca="false">D528*L528</f>
        <v>5470198.92</v>
      </c>
      <c r="P528" s="34" t="str">
        <f aca="false">TRIM(IF(N(E528)&lt;=0,"택가보정 ","")&amp;IF(N(F528)&lt;=0,"원가보정 ","")&amp;IF(AND(B528&lt;&gt;"CN",N(H528)&lt;=0),"공급가보정 ","")&amp;IF(AND(B528="CN",N(I528)&lt;=0),"중국공급가=원가+마진 ",""))</f>
        <v/>
      </c>
    </row>
    <row r="529" customFormat="false" ht="15" hidden="false" customHeight="true" outlineLevel="0" collapsed="false">
      <c r="A529" s="94" t="s">
        <v>1688</v>
      </c>
      <c r="B529" s="34" t="str">
        <f aca="false">IF(A529="100","HK",IF(A529="200","CN",IF(A529="300","TW","홀세일")))</f>
        <v>홀세일</v>
      </c>
      <c r="C529" s="94" t="s">
        <v>895</v>
      </c>
      <c r="D529" s="95" t="n">
        <v>20</v>
      </c>
      <c r="E529" s="95" t="n">
        <v>89000</v>
      </c>
      <c r="F529" s="95" t="n">
        <v>22900</v>
      </c>
      <c r="G529" s="34" t="n">
        <v>3.55</v>
      </c>
      <c r="H529" s="34" t="n">
        <v>22.3</v>
      </c>
      <c r="J529" s="95" t="n">
        <f aca="false">IF(N(E529)&gt;0,E529,IF(N(F529)&gt;0,F529*가정!$B$5,0))</f>
        <v>89000</v>
      </c>
      <c r="K529" s="95" t="n">
        <f aca="false">IF(N(F529)&gt;0,F529,IF(N(E529)&gt;0,E529/가정!$B$5,0))</f>
        <v>22900</v>
      </c>
      <c r="L529" s="95" t="n">
        <f aca="false">IF(B529="CN",IF(N(I529)&gt;0,I529*가정!$B$3,K529*(1+가정!$B$6)),IF(N(H529)&gt;0,H529*가정!$B$3,J529*가정!$B$4))</f>
        <v>30389.994</v>
      </c>
      <c r="M529" s="95" t="n">
        <f aca="false">D529*J529</f>
        <v>1780000</v>
      </c>
      <c r="N529" s="95" t="n">
        <f aca="false">D529*K529</f>
        <v>458000</v>
      </c>
      <c r="O529" s="95" t="n">
        <f aca="false">D529*L529</f>
        <v>607799.88</v>
      </c>
      <c r="P529" s="34" t="str">
        <f aca="false">TRIM(IF(N(E529)&lt;=0,"택가보정 ","")&amp;IF(N(F529)&lt;=0,"원가보정 ","")&amp;IF(AND(B529&lt;&gt;"CN",N(H529)&lt;=0),"공급가보정 ","")&amp;IF(AND(B529="CN",N(I529)&lt;=0),"중국공급가=원가+마진 ",""))</f>
        <v/>
      </c>
    </row>
    <row r="530" customFormat="false" ht="15" hidden="false" customHeight="true" outlineLevel="0" collapsed="false">
      <c r="A530" s="94" t="s">
        <v>1689</v>
      </c>
      <c r="B530" s="34" t="str">
        <f aca="false">IF(A530="100","HK",IF(A530="200","CN",IF(A530="300","TW","홀세일")))</f>
        <v>홀세일</v>
      </c>
      <c r="C530" s="94" t="s">
        <v>895</v>
      </c>
      <c r="D530" s="95" t="n">
        <v>30</v>
      </c>
      <c r="E530" s="95" t="n">
        <v>89000</v>
      </c>
      <c r="F530" s="95" t="n">
        <v>22900</v>
      </c>
      <c r="G530" s="34" t="n">
        <v>3.55</v>
      </c>
      <c r="H530" s="34" t="n">
        <v>22.3</v>
      </c>
      <c r="J530" s="95" t="n">
        <f aca="false">IF(N(E530)&gt;0,E530,IF(N(F530)&gt;0,F530*가정!$B$5,0))</f>
        <v>89000</v>
      </c>
      <c r="K530" s="95" t="n">
        <f aca="false">IF(N(F530)&gt;0,F530,IF(N(E530)&gt;0,E530/가정!$B$5,0))</f>
        <v>22900</v>
      </c>
      <c r="L530" s="95" t="n">
        <f aca="false">IF(B530="CN",IF(N(I530)&gt;0,I530*가정!$B$3,K530*(1+가정!$B$6)),IF(N(H530)&gt;0,H530*가정!$B$3,J530*가정!$B$4))</f>
        <v>30389.994</v>
      </c>
      <c r="M530" s="95" t="n">
        <f aca="false">D530*J530</f>
        <v>2670000</v>
      </c>
      <c r="N530" s="95" t="n">
        <f aca="false">D530*K530</f>
        <v>687000</v>
      </c>
      <c r="O530" s="95" t="n">
        <f aca="false">D530*L530</f>
        <v>911699.82</v>
      </c>
      <c r="P530" s="34" t="str">
        <f aca="false">TRIM(IF(N(E530)&lt;=0,"택가보정 ","")&amp;IF(N(F530)&lt;=0,"원가보정 ","")&amp;IF(AND(B530&lt;&gt;"CN",N(H530)&lt;=0),"공급가보정 ","")&amp;IF(AND(B530="CN",N(I530)&lt;=0),"중국공급가=원가+마진 ",""))</f>
        <v/>
      </c>
    </row>
    <row r="531" customFormat="false" ht="15" hidden="false" customHeight="true" outlineLevel="0" collapsed="false">
      <c r="A531" s="94" t="s">
        <v>1690</v>
      </c>
      <c r="B531" s="34" t="str">
        <f aca="false">IF(A531="100","HK",IF(A531="200","CN",IF(A531="300","TW","홀세일")))</f>
        <v>홀세일</v>
      </c>
      <c r="C531" s="94" t="s">
        <v>895</v>
      </c>
      <c r="D531" s="95" t="n">
        <v>192</v>
      </c>
      <c r="E531" s="95" t="n">
        <v>89000</v>
      </c>
      <c r="F531" s="95" t="n">
        <v>22900</v>
      </c>
      <c r="G531" s="34" t="n">
        <v>3.55</v>
      </c>
      <c r="H531" s="34" t="n">
        <v>22.3</v>
      </c>
      <c r="J531" s="95" t="n">
        <f aca="false">IF(N(E531)&gt;0,E531,IF(N(F531)&gt;0,F531*가정!$B$5,0))</f>
        <v>89000</v>
      </c>
      <c r="K531" s="95" t="n">
        <f aca="false">IF(N(F531)&gt;0,F531,IF(N(E531)&gt;0,E531/가정!$B$5,0))</f>
        <v>22900</v>
      </c>
      <c r="L531" s="95" t="n">
        <f aca="false">IF(B531="CN",IF(N(I531)&gt;0,I531*가정!$B$3,K531*(1+가정!$B$6)),IF(N(H531)&gt;0,H531*가정!$B$3,J531*가정!$B$4))</f>
        <v>30389.994</v>
      </c>
      <c r="M531" s="95" t="n">
        <f aca="false">D531*J531</f>
        <v>17088000</v>
      </c>
      <c r="N531" s="95" t="n">
        <f aca="false">D531*K531</f>
        <v>4396800</v>
      </c>
      <c r="O531" s="95" t="n">
        <f aca="false">D531*L531</f>
        <v>5834878.848</v>
      </c>
      <c r="P531" s="34" t="str">
        <f aca="false">TRIM(IF(N(E531)&lt;=0,"택가보정 ","")&amp;IF(N(F531)&lt;=0,"원가보정 ","")&amp;IF(AND(B531&lt;&gt;"CN",N(H531)&lt;=0),"공급가보정 ","")&amp;IF(AND(B531="CN",N(I531)&lt;=0),"중국공급가=원가+마진 ",""))</f>
        <v/>
      </c>
    </row>
    <row r="532" customFormat="false" ht="15" hidden="false" customHeight="true" outlineLevel="0" collapsed="false">
      <c r="A532" s="94" t="s">
        <v>1686</v>
      </c>
      <c r="B532" s="34" t="str">
        <f aca="false">IF(A532="100","HK",IF(A532="200","CN",IF(A532="300","TW","홀세일")))</f>
        <v>TW</v>
      </c>
      <c r="C532" s="94" t="s">
        <v>386</v>
      </c>
      <c r="D532" s="95" t="n">
        <v>200</v>
      </c>
      <c r="E532" s="95" t="n">
        <v>89000</v>
      </c>
      <c r="F532" s="95" t="n">
        <v>15700</v>
      </c>
      <c r="G532" s="34" t="n">
        <v>4.96</v>
      </c>
      <c r="H532" s="34" t="n">
        <v>22.3</v>
      </c>
      <c r="J532" s="95" t="n">
        <f aca="false">IF(N(E532)&gt;0,E532,IF(N(F532)&gt;0,F532*가정!$B$5,0))</f>
        <v>89000</v>
      </c>
      <c r="K532" s="95" t="n">
        <f aca="false">IF(N(F532)&gt;0,F532,IF(N(E532)&gt;0,E532/가정!$B$5,0))</f>
        <v>15700</v>
      </c>
      <c r="L532" s="95" t="n">
        <f aca="false">IF(B532="CN",IF(N(I532)&gt;0,I532*가정!$B$3,K532*(1+가정!$B$6)),IF(N(H532)&gt;0,H532*가정!$B$3,J532*가정!$B$4))</f>
        <v>30389.994</v>
      </c>
      <c r="M532" s="95" t="n">
        <f aca="false">D532*J532</f>
        <v>17800000</v>
      </c>
      <c r="N532" s="95" t="n">
        <f aca="false">D532*K532</f>
        <v>3140000</v>
      </c>
      <c r="O532" s="95" t="n">
        <f aca="false">D532*L532</f>
        <v>6077998.8</v>
      </c>
      <c r="P532" s="34" t="str">
        <f aca="false">TRIM(IF(N(E532)&lt;=0,"택가보정 ","")&amp;IF(N(F532)&lt;=0,"원가보정 ","")&amp;IF(AND(B532&lt;&gt;"CN",N(H532)&lt;=0),"공급가보정 ","")&amp;IF(AND(B532="CN",N(I532)&lt;=0),"중국공급가=원가+마진 ",""))</f>
        <v/>
      </c>
    </row>
    <row r="533" customFormat="false" ht="15" hidden="false" customHeight="true" outlineLevel="0" collapsed="false">
      <c r="A533" s="94" t="s">
        <v>1684</v>
      </c>
      <c r="B533" s="34" t="str">
        <f aca="false">IF(A533="100","HK",IF(A533="200","CN",IF(A533="300","TW","홀세일")))</f>
        <v>HK</v>
      </c>
      <c r="C533" s="94" t="s">
        <v>388</v>
      </c>
      <c r="D533" s="95" t="n">
        <v>200</v>
      </c>
      <c r="E533" s="95" t="n">
        <v>139000</v>
      </c>
      <c r="F533" s="95" t="n">
        <v>30125</v>
      </c>
      <c r="G533" s="34" t="n">
        <v>4.31</v>
      </c>
      <c r="H533" s="34" t="n">
        <v>34.8</v>
      </c>
      <c r="J533" s="95" t="n">
        <f aca="false">IF(N(E533)&gt;0,E533,IF(N(F533)&gt;0,F533*가정!$B$5,0))</f>
        <v>139000</v>
      </c>
      <c r="K533" s="95" t="n">
        <f aca="false">IF(N(F533)&gt;0,F533,IF(N(E533)&gt;0,E533/가정!$B$5,0))</f>
        <v>30125</v>
      </c>
      <c r="L533" s="95" t="n">
        <f aca="false">IF(B533="CN",IF(N(I533)&gt;0,I533*가정!$B$3,K533*(1+가정!$B$6)),IF(N(H533)&gt;0,H533*가정!$B$3,J533*가정!$B$4))</f>
        <v>47424.744</v>
      </c>
      <c r="M533" s="95" t="n">
        <f aca="false">D533*J533</f>
        <v>27800000</v>
      </c>
      <c r="N533" s="95" t="n">
        <f aca="false">D533*K533</f>
        <v>6025000</v>
      </c>
      <c r="O533" s="95" t="n">
        <f aca="false">D533*L533</f>
        <v>9484948.8</v>
      </c>
      <c r="P533" s="34" t="str">
        <f aca="false">TRIM(IF(N(E533)&lt;=0,"택가보정 ","")&amp;IF(N(F533)&lt;=0,"원가보정 ","")&amp;IF(AND(B533&lt;&gt;"CN",N(H533)&lt;=0),"공급가보정 ","")&amp;IF(AND(B533="CN",N(I533)&lt;=0),"중국공급가=원가+마진 ",""))</f>
        <v/>
      </c>
    </row>
    <row r="534" customFormat="false" ht="15" hidden="false" customHeight="true" outlineLevel="0" collapsed="false">
      <c r="A534" s="94" t="s">
        <v>1686</v>
      </c>
      <c r="B534" s="34" t="str">
        <f aca="false">IF(A534="100","HK",IF(A534="200","CN",IF(A534="300","TW","홀세일")))</f>
        <v>TW</v>
      </c>
      <c r="C534" s="94" t="s">
        <v>388</v>
      </c>
      <c r="D534" s="95" t="n">
        <v>380</v>
      </c>
      <c r="E534" s="95" t="n">
        <v>139000</v>
      </c>
      <c r="F534" s="95" t="n">
        <v>30125</v>
      </c>
      <c r="G534" s="34" t="n">
        <v>4.31</v>
      </c>
      <c r="H534" s="34" t="n">
        <v>34.8</v>
      </c>
      <c r="J534" s="95" t="n">
        <f aca="false">IF(N(E534)&gt;0,E534,IF(N(F534)&gt;0,F534*가정!$B$5,0))</f>
        <v>139000</v>
      </c>
      <c r="K534" s="95" t="n">
        <f aca="false">IF(N(F534)&gt;0,F534,IF(N(E534)&gt;0,E534/가정!$B$5,0))</f>
        <v>30125</v>
      </c>
      <c r="L534" s="95" t="n">
        <f aca="false">IF(B534="CN",IF(N(I534)&gt;0,I534*가정!$B$3,K534*(1+가정!$B$6)),IF(N(H534)&gt;0,H534*가정!$B$3,J534*가정!$B$4))</f>
        <v>47424.744</v>
      </c>
      <c r="M534" s="95" t="n">
        <f aca="false">D534*J534</f>
        <v>52820000</v>
      </c>
      <c r="N534" s="95" t="n">
        <f aca="false">D534*K534</f>
        <v>11447500</v>
      </c>
      <c r="O534" s="95" t="n">
        <f aca="false">D534*L534</f>
        <v>18021402.72</v>
      </c>
      <c r="P534" s="34" t="str">
        <f aca="false">TRIM(IF(N(E534)&lt;=0,"택가보정 ","")&amp;IF(N(F534)&lt;=0,"원가보정 ","")&amp;IF(AND(B534&lt;&gt;"CN",N(H534)&lt;=0),"공급가보정 ","")&amp;IF(AND(B534="CN",N(I534)&lt;=0),"중국공급가=원가+마진 ",""))</f>
        <v/>
      </c>
    </row>
    <row r="535" customFormat="false" ht="15" hidden="false" customHeight="true" outlineLevel="0" collapsed="false">
      <c r="A535" s="94" t="s">
        <v>1687</v>
      </c>
      <c r="B535" s="34" t="str">
        <f aca="false">IF(A535="100","HK",IF(A535="200","CN",IF(A535="300","TW","홀세일")))</f>
        <v>홀세일</v>
      </c>
      <c r="C535" s="94" t="s">
        <v>388</v>
      </c>
      <c r="D535" s="95" t="n">
        <v>40</v>
      </c>
      <c r="E535" s="95" t="n">
        <v>139000</v>
      </c>
      <c r="F535" s="95" t="n">
        <v>30125</v>
      </c>
      <c r="G535" s="34" t="n">
        <v>4.31</v>
      </c>
      <c r="H535" s="34" t="n">
        <v>34.8</v>
      </c>
      <c r="J535" s="95" t="n">
        <f aca="false">IF(N(E535)&gt;0,E535,IF(N(F535)&gt;0,F535*가정!$B$5,0))</f>
        <v>139000</v>
      </c>
      <c r="K535" s="95" t="n">
        <f aca="false">IF(N(F535)&gt;0,F535,IF(N(E535)&gt;0,E535/가정!$B$5,0))</f>
        <v>30125</v>
      </c>
      <c r="L535" s="95" t="n">
        <f aca="false">IF(B535="CN",IF(N(I535)&gt;0,I535*가정!$B$3,K535*(1+가정!$B$6)),IF(N(H535)&gt;0,H535*가정!$B$3,J535*가정!$B$4))</f>
        <v>47424.744</v>
      </c>
      <c r="M535" s="95" t="n">
        <f aca="false">D535*J535</f>
        <v>5560000</v>
      </c>
      <c r="N535" s="95" t="n">
        <f aca="false">D535*K535</f>
        <v>1205000</v>
      </c>
      <c r="O535" s="95" t="n">
        <f aca="false">D535*L535</f>
        <v>1896989.76</v>
      </c>
      <c r="P535" s="34" t="str">
        <f aca="false">TRIM(IF(N(E535)&lt;=0,"택가보정 ","")&amp;IF(N(F535)&lt;=0,"원가보정 ","")&amp;IF(AND(B535&lt;&gt;"CN",N(H535)&lt;=0),"공급가보정 ","")&amp;IF(AND(B535="CN",N(I535)&lt;=0),"중국공급가=원가+마진 ",""))</f>
        <v/>
      </c>
    </row>
    <row r="536" customFormat="false" ht="15" hidden="false" customHeight="true" outlineLevel="0" collapsed="false">
      <c r="A536" s="94" t="s">
        <v>1688</v>
      </c>
      <c r="B536" s="34" t="str">
        <f aca="false">IF(A536="100","HK",IF(A536="200","CN",IF(A536="300","TW","홀세일")))</f>
        <v>홀세일</v>
      </c>
      <c r="C536" s="94" t="s">
        <v>388</v>
      </c>
      <c r="D536" s="95" t="n">
        <v>20</v>
      </c>
      <c r="E536" s="95" t="n">
        <v>139000</v>
      </c>
      <c r="F536" s="95" t="n">
        <v>30125</v>
      </c>
      <c r="G536" s="34" t="n">
        <v>4.31</v>
      </c>
      <c r="H536" s="34" t="n">
        <v>34.8</v>
      </c>
      <c r="J536" s="95" t="n">
        <f aca="false">IF(N(E536)&gt;0,E536,IF(N(F536)&gt;0,F536*가정!$B$5,0))</f>
        <v>139000</v>
      </c>
      <c r="K536" s="95" t="n">
        <f aca="false">IF(N(F536)&gt;0,F536,IF(N(E536)&gt;0,E536/가정!$B$5,0))</f>
        <v>30125</v>
      </c>
      <c r="L536" s="95" t="n">
        <f aca="false">IF(B536="CN",IF(N(I536)&gt;0,I536*가정!$B$3,K536*(1+가정!$B$6)),IF(N(H536)&gt;0,H536*가정!$B$3,J536*가정!$B$4))</f>
        <v>47424.744</v>
      </c>
      <c r="M536" s="95" t="n">
        <f aca="false">D536*J536</f>
        <v>2780000</v>
      </c>
      <c r="N536" s="95" t="n">
        <f aca="false">D536*K536</f>
        <v>602500</v>
      </c>
      <c r="O536" s="95" t="n">
        <f aca="false">D536*L536</f>
        <v>948494.88</v>
      </c>
      <c r="P536" s="34" t="str">
        <f aca="false">TRIM(IF(N(E536)&lt;=0,"택가보정 ","")&amp;IF(N(F536)&lt;=0,"원가보정 ","")&amp;IF(AND(B536&lt;&gt;"CN",N(H536)&lt;=0),"공급가보정 ","")&amp;IF(AND(B536="CN",N(I536)&lt;=0),"중국공급가=원가+마진 ",""))</f>
        <v/>
      </c>
    </row>
    <row r="537" customFormat="false" ht="15" hidden="false" customHeight="true" outlineLevel="0" collapsed="false">
      <c r="A537" s="94" t="s">
        <v>1684</v>
      </c>
      <c r="B537" s="34" t="str">
        <f aca="false">IF(A537="100","HK",IF(A537="200","CN",IF(A537="300","TW","홀세일")))</f>
        <v>HK</v>
      </c>
      <c r="C537" s="94" t="s">
        <v>390</v>
      </c>
      <c r="D537" s="95" t="n">
        <v>200</v>
      </c>
      <c r="E537" s="95" t="n">
        <v>129000</v>
      </c>
      <c r="F537" s="95" t="n">
        <v>26800</v>
      </c>
      <c r="G537" s="34" t="n">
        <v>4.06</v>
      </c>
      <c r="H537" s="34" t="n">
        <v>32.3</v>
      </c>
      <c r="J537" s="95" t="n">
        <f aca="false">IF(N(E537)&gt;0,E537,IF(N(F537)&gt;0,F537*가정!$B$5,0))</f>
        <v>129000</v>
      </c>
      <c r="K537" s="95" t="n">
        <f aca="false">IF(N(F537)&gt;0,F537,IF(N(E537)&gt;0,E537/가정!$B$5,0))</f>
        <v>26800</v>
      </c>
      <c r="L537" s="95" t="n">
        <f aca="false">IF(B537="CN",IF(N(I537)&gt;0,I537*가정!$B$3,K537*(1+가정!$B$6)),IF(N(H537)&gt;0,H537*가정!$B$3,J537*가정!$B$4))</f>
        <v>44017.794</v>
      </c>
      <c r="M537" s="95" t="n">
        <f aca="false">D537*J537</f>
        <v>25800000</v>
      </c>
      <c r="N537" s="95" t="n">
        <f aca="false">D537*K537</f>
        <v>5360000</v>
      </c>
      <c r="O537" s="95" t="n">
        <f aca="false">D537*L537</f>
        <v>8803558.8</v>
      </c>
      <c r="P537" s="34" t="str">
        <f aca="false">TRIM(IF(N(E537)&lt;=0,"택가보정 ","")&amp;IF(N(F537)&lt;=0,"원가보정 ","")&amp;IF(AND(B537&lt;&gt;"CN",N(H537)&lt;=0),"공급가보정 ","")&amp;IF(AND(B537="CN",N(I537)&lt;=0),"중국공급가=원가+마진 ",""))</f>
        <v/>
      </c>
    </row>
    <row r="538" customFormat="false" ht="15.75" hidden="false" customHeight="true" outlineLevel="0" collapsed="false">
      <c r="A538" s="94" t="s">
        <v>1685</v>
      </c>
      <c r="B538" s="34" t="str">
        <f aca="false">IF(A538="100","HK",IF(A538="200","CN",IF(A538="300","TW","홀세일")))</f>
        <v>CN</v>
      </c>
      <c r="C538" s="94" t="s">
        <v>390</v>
      </c>
      <c r="D538" s="95" t="n">
        <v>362</v>
      </c>
      <c r="E538" s="95" t="n">
        <v>129000</v>
      </c>
      <c r="F538" s="95" t="n">
        <v>26800</v>
      </c>
      <c r="G538" s="34" t="n">
        <v>4.06</v>
      </c>
      <c r="H538" s="34" t="n">
        <v>32.3</v>
      </c>
      <c r="J538" s="95" t="n">
        <f aca="false">IF(N(E538)&gt;0,E538,IF(N(F538)&gt;0,F538*가정!$B$5,0))</f>
        <v>129000</v>
      </c>
      <c r="K538" s="95" t="n">
        <f aca="false">IF(N(F538)&gt;0,F538,IF(N(E538)&gt;0,E538/가정!$B$5,0))</f>
        <v>26800</v>
      </c>
      <c r="L538" s="95" t="n">
        <f aca="false">IF(B538="CN",IF(N(I538)&gt;0,I538*가정!$B$3,K538*(1+가정!$B$6)),IF(N(H538)&gt;0,H538*가정!$B$3,J538*가정!$B$4))</f>
        <v>28140</v>
      </c>
      <c r="M538" s="95" t="n">
        <f aca="false">D538*J538</f>
        <v>46698000</v>
      </c>
      <c r="N538" s="95" t="n">
        <f aca="false">D538*K538</f>
        <v>9701600</v>
      </c>
      <c r="O538" s="95" t="n">
        <f aca="false">D538*L538</f>
        <v>10186680</v>
      </c>
      <c r="P538" s="34" t="str">
        <f aca="false">TRIM(IF(N(E538)&lt;=0,"택가보정 ","")&amp;IF(N(F538)&lt;=0,"원가보정 ","")&amp;IF(AND(B538&lt;&gt;"CN",N(H538)&lt;=0),"공급가보정 ","")&amp;IF(AND(B538="CN",N(I538)&lt;=0),"중국공급가=원가+마진 ",""))</f>
        <v>중국공급가=원가+마진</v>
      </c>
    </row>
    <row r="539" customFormat="false" ht="15" hidden="false" customHeight="true" outlineLevel="0" collapsed="false">
      <c r="A539" s="94" t="s">
        <v>1686</v>
      </c>
      <c r="B539" s="34" t="str">
        <f aca="false">IF(A539="100","HK",IF(A539="200","CN",IF(A539="300","TW","홀세일")))</f>
        <v>TW</v>
      </c>
      <c r="C539" s="94" t="s">
        <v>390</v>
      </c>
      <c r="D539" s="95" t="n">
        <v>300</v>
      </c>
      <c r="E539" s="95" t="n">
        <v>129000</v>
      </c>
      <c r="F539" s="95" t="n">
        <v>26800</v>
      </c>
      <c r="G539" s="34" t="n">
        <v>4.06</v>
      </c>
      <c r="H539" s="34" t="n">
        <v>32.3</v>
      </c>
      <c r="J539" s="95" t="n">
        <f aca="false">IF(N(E539)&gt;0,E539,IF(N(F539)&gt;0,F539*가정!$B$5,0))</f>
        <v>129000</v>
      </c>
      <c r="K539" s="95" t="n">
        <f aca="false">IF(N(F539)&gt;0,F539,IF(N(E539)&gt;0,E539/가정!$B$5,0))</f>
        <v>26800</v>
      </c>
      <c r="L539" s="95" t="n">
        <f aca="false">IF(B539="CN",IF(N(I539)&gt;0,I539*가정!$B$3,K539*(1+가정!$B$6)),IF(N(H539)&gt;0,H539*가정!$B$3,J539*가정!$B$4))</f>
        <v>44017.794</v>
      </c>
      <c r="M539" s="95" t="n">
        <f aca="false">D539*J539</f>
        <v>38700000</v>
      </c>
      <c r="N539" s="95" t="n">
        <f aca="false">D539*K539</f>
        <v>8040000</v>
      </c>
      <c r="O539" s="95" t="n">
        <f aca="false">D539*L539</f>
        <v>13205338.2</v>
      </c>
      <c r="P539" s="34" t="str">
        <f aca="false">TRIM(IF(N(E539)&lt;=0,"택가보정 ","")&amp;IF(N(F539)&lt;=0,"원가보정 ","")&amp;IF(AND(B539&lt;&gt;"CN",N(H539)&lt;=0),"공급가보정 ","")&amp;IF(AND(B539="CN",N(I539)&lt;=0),"중국공급가=원가+마진 ",""))</f>
        <v/>
      </c>
    </row>
    <row r="540" customFormat="false" ht="15" hidden="false" customHeight="true" outlineLevel="0" collapsed="false">
      <c r="A540" s="94" t="s">
        <v>1688</v>
      </c>
      <c r="B540" s="34" t="str">
        <f aca="false">IF(A540="100","HK",IF(A540="200","CN",IF(A540="300","TW","홀세일")))</f>
        <v>홀세일</v>
      </c>
      <c r="C540" s="94" t="s">
        <v>390</v>
      </c>
      <c r="D540" s="95" t="n">
        <v>30</v>
      </c>
      <c r="E540" s="95" t="n">
        <v>129000</v>
      </c>
      <c r="F540" s="95" t="n">
        <v>26800</v>
      </c>
      <c r="G540" s="34" t="n">
        <v>4.06</v>
      </c>
      <c r="H540" s="34" t="n">
        <v>32.3</v>
      </c>
      <c r="J540" s="95" t="n">
        <f aca="false">IF(N(E540)&gt;0,E540,IF(N(F540)&gt;0,F540*가정!$B$5,0))</f>
        <v>129000</v>
      </c>
      <c r="K540" s="95" t="n">
        <f aca="false">IF(N(F540)&gt;0,F540,IF(N(E540)&gt;0,E540/가정!$B$5,0))</f>
        <v>26800</v>
      </c>
      <c r="L540" s="95" t="n">
        <f aca="false">IF(B540="CN",IF(N(I540)&gt;0,I540*가정!$B$3,K540*(1+가정!$B$6)),IF(N(H540)&gt;0,H540*가정!$B$3,J540*가정!$B$4))</f>
        <v>44017.794</v>
      </c>
      <c r="M540" s="95" t="n">
        <f aca="false">D540*J540</f>
        <v>3870000</v>
      </c>
      <c r="N540" s="95" t="n">
        <f aca="false">D540*K540</f>
        <v>804000</v>
      </c>
      <c r="O540" s="95" t="n">
        <f aca="false">D540*L540</f>
        <v>1320533.82</v>
      </c>
      <c r="P540" s="34" t="str">
        <f aca="false">TRIM(IF(N(E540)&lt;=0,"택가보정 ","")&amp;IF(N(F540)&lt;=0,"원가보정 ","")&amp;IF(AND(B540&lt;&gt;"CN",N(H540)&lt;=0),"공급가보정 ","")&amp;IF(AND(B540="CN",N(I540)&lt;=0),"중국공급가=원가+마진 ",""))</f>
        <v/>
      </c>
    </row>
    <row r="541" customFormat="false" ht="15" hidden="false" customHeight="true" outlineLevel="0" collapsed="false">
      <c r="A541" s="94" t="s">
        <v>1692</v>
      </c>
      <c r="B541" s="34" t="str">
        <f aca="false">IF(A541="100","HK",IF(A541="200","CN",IF(A541="300","TW","홀세일")))</f>
        <v>홀세일</v>
      </c>
      <c r="C541" s="94" t="s">
        <v>390</v>
      </c>
      <c r="D541" s="95" t="n">
        <v>82</v>
      </c>
      <c r="E541" s="95" t="n">
        <v>129000</v>
      </c>
      <c r="F541" s="95" t="n">
        <v>26800</v>
      </c>
      <c r="G541" s="34" t="n">
        <v>4.06</v>
      </c>
      <c r="H541" s="34" t="n">
        <v>32.3</v>
      </c>
      <c r="J541" s="95" t="n">
        <f aca="false">IF(N(E541)&gt;0,E541,IF(N(F541)&gt;0,F541*가정!$B$5,0))</f>
        <v>129000</v>
      </c>
      <c r="K541" s="95" t="n">
        <f aca="false">IF(N(F541)&gt;0,F541,IF(N(E541)&gt;0,E541/가정!$B$5,0))</f>
        <v>26800</v>
      </c>
      <c r="L541" s="95" t="n">
        <f aca="false">IF(B541="CN",IF(N(I541)&gt;0,I541*가정!$B$3,K541*(1+가정!$B$6)),IF(N(H541)&gt;0,H541*가정!$B$3,J541*가정!$B$4))</f>
        <v>44017.794</v>
      </c>
      <c r="M541" s="95" t="n">
        <f aca="false">D541*J541</f>
        <v>10578000</v>
      </c>
      <c r="N541" s="95" t="n">
        <f aca="false">D541*K541</f>
        <v>2197600</v>
      </c>
      <c r="O541" s="95" t="n">
        <f aca="false">D541*L541</f>
        <v>3609459.108</v>
      </c>
      <c r="P541" s="34" t="str">
        <f aca="false">TRIM(IF(N(E541)&lt;=0,"택가보정 ","")&amp;IF(N(F541)&lt;=0,"원가보정 ","")&amp;IF(AND(B541&lt;&gt;"CN",N(H541)&lt;=0),"공급가보정 ","")&amp;IF(AND(B541="CN",N(I541)&lt;=0),"중국공급가=원가+마진 ",""))</f>
        <v/>
      </c>
    </row>
    <row r="542" customFormat="false" ht="15" hidden="false" customHeight="true" outlineLevel="0" collapsed="false">
      <c r="A542" s="94" t="s">
        <v>1684</v>
      </c>
      <c r="B542" s="34" t="str">
        <f aca="false">IF(A542="100","HK",IF(A542="200","CN",IF(A542="300","TW","홀세일")))</f>
        <v>HK</v>
      </c>
      <c r="C542" s="94" t="s">
        <v>392</v>
      </c>
      <c r="D542" s="95" t="n">
        <v>90</v>
      </c>
      <c r="E542" s="95" t="n">
        <v>149000</v>
      </c>
      <c r="F542" s="95" t="n">
        <v>32364</v>
      </c>
      <c r="G542" s="34" t="n">
        <v>4.33</v>
      </c>
      <c r="H542" s="34" t="n">
        <v>37.3</v>
      </c>
      <c r="J542" s="95" t="n">
        <f aca="false">IF(N(E542)&gt;0,E542,IF(N(F542)&gt;0,F542*가정!$B$5,0))</f>
        <v>149000</v>
      </c>
      <c r="K542" s="95" t="n">
        <f aca="false">IF(N(F542)&gt;0,F542,IF(N(E542)&gt;0,E542/가정!$B$5,0))</f>
        <v>32364</v>
      </c>
      <c r="L542" s="95" t="n">
        <f aca="false">IF(B542="CN",IF(N(I542)&gt;0,I542*가정!$B$3,K542*(1+가정!$B$6)),IF(N(H542)&gt;0,H542*가정!$B$3,J542*가정!$B$4))</f>
        <v>50831.694</v>
      </c>
      <c r="M542" s="95" t="n">
        <f aca="false">D542*J542</f>
        <v>13410000</v>
      </c>
      <c r="N542" s="95" t="n">
        <f aca="false">D542*K542</f>
        <v>2912760</v>
      </c>
      <c r="O542" s="95" t="n">
        <f aca="false">D542*L542</f>
        <v>4574852.46</v>
      </c>
      <c r="P542" s="34" t="str">
        <f aca="false">TRIM(IF(N(E542)&lt;=0,"택가보정 ","")&amp;IF(N(F542)&lt;=0,"원가보정 ","")&amp;IF(AND(B542&lt;&gt;"CN",N(H542)&lt;=0),"공급가보정 ","")&amp;IF(AND(B542="CN",N(I542)&lt;=0),"중국공급가=원가+마진 ",""))</f>
        <v/>
      </c>
    </row>
    <row r="543" customFormat="false" ht="15.75" hidden="false" customHeight="true" outlineLevel="0" collapsed="false">
      <c r="A543" s="94" t="s">
        <v>1685</v>
      </c>
      <c r="B543" s="34" t="str">
        <f aca="false">IF(A543="100","HK",IF(A543="200","CN",IF(A543="300","TW","홀세일")))</f>
        <v>CN</v>
      </c>
      <c r="C543" s="94" t="s">
        <v>392</v>
      </c>
      <c r="D543" s="95" t="n">
        <v>76</v>
      </c>
      <c r="E543" s="95" t="n">
        <v>149000</v>
      </c>
      <c r="F543" s="95" t="n">
        <v>32364</v>
      </c>
      <c r="G543" s="34" t="n">
        <v>4.33</v>
      </c>
      <c r="H543" s="34" t="n">
        <v>37.3</v>
      </c>
      <c r="J543" s="95" t="n">
        <f aca="false">IF(N(E543)&gt;0,E543,IF(N(F543)&gt;0,F543*가정!$B$5,0))</f>
        <v>149000</v>
      </c>
      <c r="K543" s="95" t="n">
        <f aca="false">IF(N(F543)&gt;0,F543,IF(N(E543)&gt;0,E543/가정!$B$5,0))</f>
        <v>32364</v>
      </c>
      <c r="L543" s="95" t="n">
        <f aca="false">IF(B543="CN",IF(N(I543)&gt;0,I543*가정!$B$3,K543*(1+가정!$B$6)),IF(N(H543)&gt;0,H543*가정!$B$3,J543*가정!$B$4))</f>
        <v>33982.2</v>
      </c>
      <c r="M543" s="95" t="n">
        <f aca="false">D543*J543</f>
        <v>11324000</v>
      </c>
      <c r="N543" s="95" t="n">
        <f aca="false">D543*K543</f>
        <v>2459664</v>
      </c>
      <c r="O543" s="95" t="n">
        <f aca="false">D543*L543</f>
        <v>2582647.2</v>
      </c>
      <c r="P543" s="34" t="str">
        <f aca="false">TRIM(IF(N(E543)&lt;=0,"택가보정 ","")&amp;IF(N(F543)&lt;=0,"원가보정 ","")&amp;IF(AND(B543&lt;&gt;"CN",N(H543)&lt;=0),"공급가보정 ","")&amp;IF(AND(B543="CN",N(I543)&lt;=0),"중국공급가=원가+마진 ",""))</f>
        <v>중국공급가=원가+마진</v>
      </c>
    </row>
    <row r="544" customFormat="false" ht="15" hidden="false" customHeight="true" outlineLevel="0" collapsed="false">
      <c r="A544" s="94" t="s">
        <v>1686</v>
      </c>
      <c r="B544" s="34" t="str">
        <f aca="false">IF(A544="100","HK",IF(A544="200","CN",IF(A544="300","TW","홀세일")))</f>
        <v>TW</v>
      </c>
      <c r="C544" s="94" t="s">
        <v>392</v>
      </c>
      <c r="D544" s="95" t="n">
        <v>300</v>
      </c>
      <c r="E544" s="95" t="n">
        <v>149000</v>
      </c>
      <c r="F544" s="95" t="n">
        <v>32364</v>
      </c>
      <c r="G544" s="34" t="n">
        <v>4.33</v>
      </c>
      <c r="H544" s="34" t="n">
        <v>37.3</v>
      </c>
      <c r="J544" s="95" t="n">
        <f aca="false">IF(N(E544)&gt;0,E544,IF(N(F544)&gt;0,F544*가정!$B$5,0))</f>
        <v>149000</v>
      </c>
      <c r="K544" s="95" t="n">
        <f aca="false">IF(N(F544)&gt;0,F544,IF(N(E544)&gt;0,E544/가정!$B$5,0))</f>
        <v>32364</v>
      </c>
      <c r="L544" s="95" t="n">
        <f aca="false">IF(B544="CN",IF(N(I544)&gt;0,I544*가정!$B$3,K544*(1+가정!$B$6)),IF(N(H544)&gt;0,H544*가정!$B$3,J544*가정!$B$4))</f>
        <v>50831.694</v>
      </c>
      <c r="M544" s="95" t="n">
        <f aca="false">D544*J544</f>
        <v>44700000</v>
      </c>
      <c r="N544" s="95" t="n">
        <f aca="false">D544*K544</f>
        <v>9709200</v>
      </c>
      <c r="O544" s="95" t="n">
        <f aca="false">D544*L544</f>
        <v>15249508.2</v>
      </c>
      <c r="P544" s="34" t="str">
        <f aca="false">TRIM(IF(N(E544)&lt;=0,"택가보정 ","")&amp;IF(N(F544)&lt;=0,"원가보정 ","")&amp;IF(AND(B544&lt;&gt;"CN",N(H544)&lt;=0),"공급가보정 ","")&amp;IF(AND(B544="CN",N(I544)&lt;=0),"중국공급가=원가+마진 ",""))</f>
        <v/>
      </c>
    </row>
    <row r="545" customFormat="false" ht="15" hidden="false" customHeight="true" outlineLevel="0" collapsed="false">
      <c r="A545" s="94" t="s">
        <v>1688</v>
      </c>
      <c r="B545" s="34" t="str">
        <f aca="false">IF(A545="100","HK",IF(A545="200","CN",IF(A545="300","TW","홀세일")))</f>
        <v>홀세일</v>
      </c>
      <c r="C545" s="94" t="s">
        <v>392</v>
      </c>
      <c r="D545" s="95" t="n">
        <v>20</v>
      </c>
      <c r="E545" s="95" t="n">
        <v>149000</v>
      </c>
      <c r="F545" s="95" t="n">
        <v>32364</v>
      </c>
      <c r="G545" s="34" t="n">
        <v>4.33</v>
      </c>
      <c r="H545" s="34" t="n">
        <v>37.3</v>
      </c>
      <c r="J545" s="95" t="n">
        <f aca="false">IF(N(E545)&gt;0,E545,IF(N(F545)&gt;0,F545*가정!$B$5,0))</f>
        <v>149000</v>
      </c>
      <c r="K545" s="95" t="n">
        <f aca="false">IF(N(F545)&gt;0,F545,IF(N(E545)&gt;0,E545/가정!$B$5,0))</f>
        <v>32364</v>
      </c>
      <c r="L545" s="95" t="n">
        <f aca="false">IF(B545="CN",IF(N(I545)&gt;0,I545*가정!$B$3,K545*(1+가정!$B$6)),IF(N(H545)&gt;0,H545*가정!$B$3,J545*가정!$B$4))</f>
        <v>50831.694</v>
      </c>
      <c r="M545" s="95" t="n">
        <f aca="false">D545*J545</f>
        <v>2980000</v>
      </c>
      <c r="N545" s="95" t="n">
        <f aca="false">D545*K545</f>
        <v>647280</v>
      </c>
      <c r="O545" s="95" t="n">
        <f aca="false">D545*L545</f>
        <v>1016633.88</v>
      </c>
      <c r="P545" s="34" t="str">
        <f aca="false">TRIM(IF(N(E545)&lt;=0,"택가보정 ","")&amp;IF(N(F545)&lt;=0,"원가보정 ","")&amp;IF(AND(B545&lt;&gt;"CN",N(H545)&lt;=0),"공급가보정 ","")&amp;IF(AND(B545="CN",N(I545)&lt;=0),"중국공급가=원가+마진 ",""))</f>
        <v/>
      </c>
    </row>
    <row r="546" customFormat="false" ht="15" hidden="false" customHeight="true" outlineLevel="0" collapsed="false">
      <c r="A546" s="94" t="s">
        <v>1692</v>
      </c>
      <c r="B546" s="34" t="str">
        <f aca="false">IF(A546="100","HK",IF(A546="200","CN",IF(A546="300","TW","홀세일")))</f>
        <v>홀세일</v>
      </c>
      <c r="C546" s="94" t="s">
        <v>392</v>
      </c>
      <c r="D546" s="95" t="n">
        <v>82</v>
      </c>
      <c r="E546" s="95" t="n">
        <v>149000</v>
      </c>
      <c r="F546" s="95" t="n">
        <v>32364</v>
      </c>
      <c r="G546" s="34" t="n">
        <v>4.33</v>
      </c>
      <c r="H546" s="34" t="n">
        <v>37.3</v>
      </c>
      <c r="J546" s="95" t="n">
        <f aca="false">IF(N(E546)&gt;0,E546,IF(N(F546)&gt;0,F546*가정!$B$5,0))</f>
        <v>149000</v>
      </c>
      <c r="K546" s="95" t="n">
        <f aca="false">IF(N(F546)&gt;0,F546,IF(N(E546)&gt;0,E546/가정!$B$5,0))</f>
        <v>32364</v>
      </c>
      <c r="L546" s="95" t="n">
        <f aca="false">IF(B546="CN",IF(N(I546)&gt;0,I546*가정!$B$3,K546*(1+가정!$B$6)),IF(N(H546)&gt;0,H546*가정!$B$3,J546*가정!$B$4))</f>
        <v>50831.694</v>
      </c>
      <c r="M546" s="95" t="n">
        <f aca="false">D546*J546</f>
        <v>12218000</v>
      </c>
      <c r="N546" s="95" t="n">
        <f aca="false">D546*K546</f>
        <v>2653848</v>
      </c>
      <c r="O546" s="95" t="n">
        <f aca="false">D546*L546</f>
        <v>4168198.908</v>
      </c>
      <c r="P546" s="34" t="str">
        <f aca="false">TRIM(IF(N(E546)&lt;=0,"택가보정 ","")&amp;IF(N(F546)&lt;=0,"원가보정 ","")&amp;IF(AND(B546&lt;&gt;"CN",N(H546)&lt;=0),"공급가보정 ","")&amp;IF(AND(B546="CN",N(I546)&lt;=0),"중국공급가=원가+마진 ",""))</f>
        <v/>
      </c>
    </row>
    <row r="547" customFormat="false" ht="15" hidden="false" customHeight="true" outlineLevel="0" collapsed="false">
      <c r="A547" s="94" t="s">
        <v>1684</v>
      </c>
      <c r="B547" s="34" t="str">
        <f aca="false">IF(A547="100","HK",IF(A547="200","CN",IF(A547="300","TW","홀세일")))</f>
        <v>HK</v>
      </c>
      <c r="C547" s="94" t="s">
        <v>394</v>
      </c>
      <c r="D547" s="95" t="n">
        <v>90</v>
      </c>
      <c r="E547" s="95" t="n">
        <v>109000</v>
      </c>
      <c r="F547" s="95" t="n">
        <v>27700</v>
      </c>
      <c r="G547" s="34" t="n">
        <v>4.38</v>
      </c>
      <c r="H547" s="34" t="n">
        <v>27.3</v>
      </c>
      <c r="J547" s="95" t="n">
        <f aca="false">IF(N(E547)&gt;0,E547,IF(N(F547)&gt;0,F547*가정!$B$5,0))</f>
        <v>109000</v>
      </c>
      <c r="K547" s="95" t="n">
        <f aca="false">IF(N(F547)&gt;0,F547,IF(N(E547)&gt;0,E547/가정!$B$5,0))</f>
        <v>27700</v>
      </c>
      <c r="L547" s="95" t="n">
        <f aca="false">IF(B547="CN",IF(N(I547)&gt;0,I547*가정!$B$3,K547*(1+가정!$B$6)),IF(N(H547)&gt;0,H547*가정!$B$3,J547*가정!$B$4))</f>
        <v>37203.894</v>
      </c>
      <c r="M547" s="95" t="n">
        <f aca="false">D547*J547</f>
        <v>9810000</v>
      </c>
      <c r="N547" s="95" t="n">
        <f aca="false">D547*K547</f>
        <v>2493000</v>
      </c>
      <c r="O547" s="95" t="n">
        <f aca="false">D547*L547</f>
        <v>3348350.46</v>
      </c>
      <c r="P547" s="34" t="str">
        <f aca="false">TRIM(IF(N(E547)&lt;=0,"택가보정 ","")&amp;IF(N(F547)&lt;=0,"원가보정 ","")&amp;IF(AND(B547&lt;&gt;"CN",N(H547)&lt;=0),"공급가보정 ","")&amp;IF(AND(B547="CN",N(I547)&lt;=0),"중국공급가=원가+마진 ",""))</f>
        <v/>
      </c>
    </row>
    <row r="548" customFormat="false" ht="15" hidden="false" customHeight="true" outlineLevel="0" collapsed="false">
      <c r="A548" s="94" t="s">
        <v>1686</v>
      </c>
      <c r="B548" s="34" t="str">
        <f aca="false">IF(A548="100","HK",IF(A548="200","CN",IF(A548="300","TW","홀세일")))</f>
        <v>TW</v>
      </c>
      <c r="C548" s="94" t="s">
        <v>394</v>
      </c>
      <c r="D548" s="95" t="n">
        <v>80</v>
      </c>
      <c r="E548" s="95" t="n">
        <v>109000</v>
      </c>
      <c r="F548" s="95" t="n">
        <v>27700</v>
      </c>
      <c r="G548" s="34" t="n">
        <v>4.38</v>
      </c>
      <c r="H548" s="34" t="n">
        <v>27.3</v>
      </c>
      <c r="J548" s="95" t="n">
        <f aca="false">IF(N(E548)&gt;0,E548,IF(N(F548)&gt;0,F548*가정!$B$5,0))</f>
        <v>109000</v>
      </c>
      <c r="K548" s="95" t="n">
        <f aca="false">IF(N(F548)&gt;0,F548,IF(N(E548)&gt;0,E548/가정!$B$5,0))</f>
        <v>27700</v>
      </c>
      <c r="L548" s="95" t="n">
        <f aca="false">IF(B548="CN",IF(N(I548)&gt;0,I548*가정!$B$3,K548*(1+가정!$B$6)),IF(N(H548)&gt;0,H548*가정!$B$3,J548*가정!$B$4))</f>
        <v>37203.894</v>
      </c>
      <c r="M548" s="95" t="n">
        <f aca="false">D548*J548</f>
        <v>8720000</v>
      </c>
      <c r="N548" s="95" t="n">
        <f aca="false">D548*K548</f>
        <v>2216000</v>
      </c>
      <c r="O548" s="95" t="n">
        <f aca="false">D548*L548</f>
        <v>2976311.52</v>
      </c>
      <c r="P548" s="34" t="str">
        <f aca="false">TRIM(IF(N(E548)&lt;=0,"택가보정 ","")&amp;IF(N(F548)&lt;=0,"원가보정 ","")&amp;IF(AND(B548&lt;&gt;"CN",N(H548)&lt;=0),"공급가보정 ","")&amp;IF(AND(B548="CN",N(I548)&lt;=0),"중국공급가=원가+마진 ",""))</f>
        <v/>
      </c>
    </row>
    <row r="549" customFormat="false" ht="15" hidden="false" customHeight="true" outlineLevel="0" collapsed="false">
      <c r="A549" s="94" t="s">
        <v>1686</v>
      </c>
      <c r="B549" s="34" t="str">
        <f aca="false">IF(A549="100","HK",IF(A549="200","CN",IF(A549="300","TW","홀세일")))</f>
        <v>TW</v>
      </c>
      <c r="C549" s="94" t="s">
        <v>396</v>
      </c>
      <c r="D549" s="95" t="n">
        <v>550</v>
      </c>
      <c r="E549" s="95" t="n">
        <v>129000</v>
      </c>
      <c r="F549" s="95" t="n">
        <v>29716</v>
      </c>
      <c r="G549" s="34" t="n">
        <v>3.44</v>
      </c>
      <c r="H549" s="34" t="n">
        <v>32.3</v>
      </c>
      <c r="J549" s="95" t="n">
        <f aca="false">IF(N(E549)&gt;0,E549,IF(N(F549)&gt;0,F549*가정!$B$5,0))</f>
        <v>129000</v>
      </c>
      <c r="K549" s="95" t="n">
        <f aca="false">IF(N(F549)&gt;0,F549,IF(N(E549)&gt;0,E549/가정!$B$5,0))</f>
        <v>29716</v>
      </c>
      <c r="L549" s="95" t="n">
        <f aca="false">IF(B549="CN",IF(N(I549)&gt;0,I549*가정!$B$3,K549*(1+가정!$B$6)),IF(N(H549)&gt;0,H549*가정!$B$3,J549*가정!$B$4))</f>
        <v>44017.794</v>
      </c>
      <c r="M549" s="95" t="n">
        <f aca="false">D549*J549</f>
        <v>70950000</v>
      </c>
      <c r="N549" s="95" t="n">
        <f aca="false">D549*K549</f>
        <v>16343800</v>
      </c>
      <c r="O549" s="95" t="n">
        <f aca="false">D549*L549</f>
        <v>24209786.7</v>
      </c>
      <c r="P549" s="34" t="str">
        <f aca="false">TRIM(IF(N(E549)&lt;=0,"택가보정 ","")&amp;IF(N(F549)&lt;=0,"원가보정 ","")&amp;IF(AND(B549&lt;&gt;"CN",N(H549)&lt;=0),"공급가보정 ","")&amp;IF(AND(B549="CN",N(I549)&lt;=0),"중국공급가=원가+마진 ",""))</f>
        <v/>
      </c>
    </row>
    <row r="550" customFormat="false" ht="15" hidden="false" customHeight="true" outlineLevel="0" collapsed="false">
      <c r="A550" s="94" t="s">
        <v>1688</v>
      </c>
      <c r="B550" s="34" t="str">
        <f aca="false">IF(A550="100","HK",IF(A550="200","CN",IF(A550="300","TW","홀세일")))</f>
        <v>홀세일</v>
      </c>
      <c r="C550" s="94" t="s">
        <v>396</v>
      </c>
      <c r="D550" s="95" t="n">
        <v>45</v>
      </c>
      <c r="E550" s="95" t="n">
        <v>129000</v>
      </c>
      <c r="F550" s="95" t="n">
        <v>29716</v>
      </c>
      <c r="G550" s="34" t="n">
        <v>3.44</v>
      </c>
      <c r="H550" s="34" t="n">
        <v>32.3</v>
      </c>
      <c r="J550" s="95" t="n">
        <f aca="false">IF(N(E550)&gt;0,E550,IF(N(F550)&gt;0,F550*가정!$B$5,0))</f>
        <v>129000</v>
      </c>
      <c r="K550" s="95" t="n">
        <f aca="false">IF(N(F550)&gt;0,F550,IF(N(E550)&gt;0,E550/가정!$B$5,0))</f>
        <v>29716</v>
      </c>
      <c r="L550" s="95" t="n">
        <f aca="false">IF(B550="CN",IF(N(I550)&gt;0,I550*가정!$B$3,K550*(1+가정!$B$6)),IF(N(H550)&gt;0,H550*가정!$B$3,J550*가정!$B$4))</f>
        <v>44017.794</v>
      </c>
      <c r="M550" s="95" t="n">
        <f aca="false">D550*J550</f>
        <v>5805000</v>
      </c>
      <c r="N550" s="95" t="n">
        <f aca="false">D550*K550</f>
        <v>1337220</v>
      </c>
      <c r="O550" s="95" t="n">
        <f aca="false">D550*L550</f>
        <v>1980800.73</v>
      </c>
      <c r="P550" s="34" t="str">
        <f aca="false">TRIM(IF(N(E550)&lt;=0,"택가보정 ","")&amp;IF(N(F550)&lt;=0,"원가보정 ","")&amp;IF(AND(B550&lt;&gt;"CN",N(H550)&lt;=0),"공급가보정 ","")&amp;IF(AND(B550="CN",N(I550)&lt;=0),"중국공급가=원가+마진 ",""))</f>
        <v/>
      </c>
    </row>
    <row r="551" customFormat="false" ht="15" hidden="false" customHeight="true" outlineLevel="0" collapsed="false">
      <c r="A551" s="94" t="s">
        <v>1684</v>
      </c>
      <c r="B551" s="34" t="str">
        <f aca="false">IF(A551="100","HK",IF(A551="200","CN",IF(A551="300","TW","홀세일")))</f>
        <v>HK</v>
      </c>
      <c r="C551" s="94" t="s">
        <v>398</v>
      </c>
      <c r="D551" s="95" t="n">
        <v>90</v>
      </c>
      <c r="E551" s="95" t="n">
        <v>119000</v>
      </c>
      <c r="F551" s="95" t="n">
        <v>26709</v>
      </c>
      <c r="G551" s="34" t="n">
        <v>4.24</v>
      </c>
      <c r="H551" s="34" t="n">
        <v>29.8</v>
      </c>
      <c r="J551" s="95" t="n">
        <f aca="false">IF(N(E551)&gt;0,E551,IF(N(F551)&gt;0,F551*가정!$B$5,0))</f>
        <v>119000</v>
      </c>
      <c r="K551" s="95" t="n">
        <f aca="false">IF(N(F551)&gt;0,F551,IF(N(E551)&gt;0,E551/가정!$B$5,0))</f>
        <v>26709</v>
      </c>
      <c r="L551" s="95" t="n">
        <f aca="false">IF(B551="CN",IF(N(I551)&gt;0,I551*가정!$B$3,K551*(1+가정!$B$6)),IF(N(H551)&gt;0,H551*가정!$B$3,J551*가정!$B$4))</f>
        <v>40610.844</v>
      </c>
      <c r="M551" s="95" t="n">
        <f aca="false">D551*J551</f>
        <v>10710000</v>
      </c>
      <c r="N551" s="95" t="n">
        <f aca="false">D551*K551</f>
        <v>2403810</v>
      </c>
      <c r="O551" s="95" t="n">
        <f aca="false">D551*L551</f>
        <v>3654975.96</v>
      </c>
      <c r="P551" s="34" t="str">
        <f aca="false">TRIM(IF(N(E551)&lt;=0,"택가보정 ","")&amp;IF(N(F551)&lt;=0,"원가보정 ","")&amp;IF(AND(B551&lt;&gt;"CN",N(H551)&lt;=0),"공급가보정 ","")&amp;IF(AND(B551="CN",N(I551)&lt;=0),"중국공급가=원가+마진 ",""))</f>
        <v/>
      </c>
    </row>
    <row r="552" customFormat="false" ht="15.75" hidden="false" customHeight="true" outlineLevel="0" collapsed="false">
      <c r="A552" s="94" t="s">
        <v>1685</v>
      </c>
      <c r="B552" s="34" t="str">
        <f aca="false">IF(A552="100","HK",IF(A552="200","CN",IF(A552="300","TW","홀세일")))</f>
        <v>CN</v>
      </c>
      <c r="C552" s="94" t="s">
        <v>398</v>
      </c>
      <c r="D552" s="95" t="n">
        <v>141</v>
      </c>
      <c r="E552" s="95" t="n">
        <v>119000</v>
      </c>
      <c r="F552" s="95" t="n">
        <v>26709</v>
      </c>
      <c r="G552" s="34" t="n">
        <v>4.24</v>
      </c>
      <c r="H552" s="34" t="n">
        <v>29.8</v>
      </c>
      <c r="J552" s="95" t="n">
        <f aca="false">IF(N(E552)&gt;0,E552,IF(N(F552)&gt;0,F552*가정!$B$5,0))</f>
        <v>119000</v>
      </c>
      <c r="K552" s="95" t="n">
        <f aca="false">IF(N(F552)&gt;0,F552,IF(N(E552)&gt;0,E552/가정!$B$5,0))</f>
        <v>26709</v>
      </c>
      <c r="L552" s="95" t="n">
        <f aca="false">IF(B552="CN",IF(N(I552)&gt;0,I552*가정!$B$3,K552*(1+가정!$B$6)),IF(N(H552)&gt;0,H552*가정!$B$3,J552*가정!$B$4))</f>
        <v>28044.45</v>
      </c>
      <c r="M552" s="95" t="n">
        <f aca="false">D552*J552</f>
        <v>16779000</v>
      </c>
      <c r="N552" s="95" t="n">
        <f aca="false">D552*K552</f>
        <v>3765969</v>
      </c>
      <c r="O552" s="95" t="n">
        <f aca="false">D552*L552</f>
        <v>3954267.45</v>
      </c>
      <c r="P552" s="34" t="str">
        <f aca="false">TRIM(IF(N(E552)&lt;=0,"택가보정 ","")&amp;IF(N(F552)&lt;=0,"원가보정 ","")&amp;IF(AND(B552&lt;&gt;"CN",N(H552)&lt;=0),"공급가보정 ","")&amp;IF(AND(B552="CN",N(I552)&lt;=0),"중국공급가=원가+마진 ",""))</f>
        <v>중국공급가=원가+마진</v>
      </c>
    </row>
    <row r="553" customFormat="false" ht="15" hidden="false" customHeight="true" outlineLevel="0" collapsed="false">
      <c r="A553" s="94" t="s">
        <v>1686</v>
      </c>
      <c r="B553" s="34" t="str">
        <f aca="false">IF(A553="100","HK",IF(A553="200","CN",IF(A553="300","TW","홀세일")))</f>
        <v>TW</v>
      </c>
      <c r="C553" s="94" t="s">
        <v>398</v>
      </c>
      <c r="D553" s="95" t="n">
        <v>200</v>
      </c>
      <c r="E553" s="95" t="n">
        <v>119000</v>
      </c>
      <c r="F553" s="95" t="n">
        <v>26709</v>
      </c>
      <c r="G553" s="34" t="n">
        <v>4.24</v>
      </c>
      <c r="H553" s="34" t="n">
        <v>29.8</v>
      </c>
      <c r="J553" s="95" t="n">
        <f aca="false">IF(N(E553)&gt;0,E553,IF(N(F553)&gt;0,F553*가정!$B$5,0))</f>
        <v>119000</v>
      </c>
      <c r="K553" s="95" t="n">
        <f aca="false">IF(N(F553)&gt;0,F553,IF(N(E553)&gt;0,E553/가정!$B$5,0))</f>
        <v>26709</v>
      </c>
      <c r="L553" s="95" t="n">
        <f aca="false">IF(B553="CN",IF(N(I553)&gt;0,I553*가정!$B$3,K553*(1+가정!$B$6)),IF(N(H553)&gt;0,H553*가정!$B$3,J553*가정!$B$4))</f>
        <v>40610.844</v>
      </c>
      <c r="M553" s="95" t="n">
        <f aca="false">D553*J553</f>
        <v>23800000</v>
      </c>
      <c r="N553" s="95" t="n">
        <f aca="false">D553*K553</f>
        <v>5341800</v>
      </c>
      <c r="O553" s="95" t="n">
        <f aca="false">D553*L553</f>
        <v>8122168.8</v>
      </c>
      <c r="P553" s="34" t="str">
        <f aca="false">TRIM(IF(N(E553)&lt;=0,"택가보정 ","")&amp;IF(N(F553)&lt;=0,"원가보정 ","")&amp;IF(AND(B553&lt;&gt;"CN",N(H553)&lt;=0),"공급가보정 ","")&amp;IF(AND(B553="CN",N(I553)&lt;=0),"중국공급가=원가+마진 ",""))</f>
        <v/>
      </c>
    </row>
    <row r="554" customFormat="false" ht="15" hidden="false" customHeight="true" outlineLevel="0" collapsed="false">
      <c r="A554" s="94" t="s">
        <v>1688</v>
      </c>
      <c r="B554" s="34" t="str">
        <f aca="false">IF(A554="100","HK",IF(A554="200","CN",IF(A554="300","TW","홀세일")))</f>
        <v>홀세일</v>
      </c>
      <c r="C554" s="94" t="s">
        <v>398</v>
      </c>
      <c r="D554" s="95" t="n">
        <v>40</v>
      </c>
      <c r="E554" s="95" t="n">
        <v>119000</v>
      </c>
      <c r="F554" s="95" t="n">
        <v>26709</v>
      </c>
      <c r="G554" s="34" t="n">
        <v>4.24</v>
      </c>
      <c r="H554" s="34" t="n">
        <v>29.8</v>
      </c>
      <c r="J554" s="95" t="n">
        <f aca="false">IF(N(E554)&gt;0,E554,IF(N(F554)&gt;0,F554*가정!$B$5,0))</f>
        <v>119000</v>
      </c>
      <c r="K554" s="95" t="n">
        <f aca="false">IF(N(F554)&gt;0,F554,IF(N(E554)&gt;0,E554/가정!$B$5,0))</f>
        <v>26709</v>
      </c>
      <c r="L554" s="95" t="n">
        <f aca="false">IF(B554="CN",IF(N(I554)&gt;0,I554*가정!$B$3,K554*(1+가정!$B$6)),IF(N(H554)&gt;0,H554*가정!$B$3,J554*가정!$B$4))</f>
        <v>40610.844</v>
      </c>
      <c r="M554" s="95" t="n">
        <f aca="false">D554*J554</f>
        <v>4760000</v>
      </c>
      <c r="N554" s="95" t="n">
        <f aca="false">D554*K554</f>
        <v>1068360</v>
      </c>
      <c r="O554" s="95" t="n">
        <f aca="false">D554*L554</f>
        <v>1624433.76</v>
      </c>
      <c r="P554" s="34" t="str">
        <f aca="false">TRIM(IF(N(E554)&lt;=0,"택가보정 ","")&amp;IF(N(F554)&lt;=0,"원가보정 ","")&amp;IF(AND(B554&lt;&gt;"CN",N(H554)&lt;=0),"공급가보정 ","")&amp;IF(AND(B554="CN",N(I554)&lt;=0),"중국공급가=원가+마진 ",""))</f>
        <v/>
      </c>
    </row>
    <row r="555" customFormat="false" ht="15.75" hidden="false" customHeight="true" outlineLevel="0" collapsed="false">
      <c r="A555" s="94" t="s">
        <v>1685</v>
      </c>
      <c r="B555" s="34" t="str">
        <f aca="false">IF(A555="100","HK",IF(A555="200","CN",IF(A555="300","TW","홀세일")))</f>
        <v>CN</v>
      </c>
      <c r="C555" s="94" t="s">
        <v>1106</v>
      </c>
      <c r="D555" s="95" t="n">
        <v>257</v>
      </c>
      <c r="E555" s="95" t="n">
        <v>109000</v>
      </c>
      <c r="F555" s="95" t="n">
        <v>22939</v>
      </c>
      <c r="G555" s="34" t="n">
        <v>4.16</v>
      </c>
      <c r="H555" s="34" t="n">
        <v>27.3</v>
      </c>
      <c r="J555" s="95" t="n">
        <f aca="false">IF(N(E555)&gt;0,E555,IF(N(F555)&gt;0,F555*가정!$B$5,0))</f>
        <v>109000</v>
      </c>
      <c r="K555" s="95" t="n">
        <f aca="false">IF(N(F555)&gt;0,F555,IF(N(E555)&gt;0,E555/가정!$B$5,0))</f>
        <v>22939</v>
      </c>
      <c r="L555" s="95" t="n">
        <f aca="false">IF(B555="CN",IF(N(I555)&gt;0,I555*가정!$B$3,K555*(1+가정!$B$6)),IF(N(H555)&gt;0,H555*가정!$B$3,J555*가정!$B$4))</f>
        <v>24085.95</v>
      </c>
      <c r="M555" s="95" t="n">
        <f aca="false">D555*J555</f>
        <v>28013000</v>
      </c>
      <c r="N555" s="95" t="n">
        <f aca="false">D555*K555</f>
        <v>5895323</v>
      </c>
      <c r="O555" s="95" t="n">
        <f aca="false">D555*L555</f>
        <v>6190089.15</v>
      </c>
      <c r="P555" s="34" t="str">
        <f aca="false">TRIM(IF(N(E555)&lt;=0,"택가보정 ","")&amp;IF(N(F555)&lt;=0,"원가보정 ","")&amp;IF(AND(B555&lt;&gt;"CN",N(H555)&lt;=0),"공급가보정 ","")&amp;IF(AND(B555="CN",N(I555)&lt;=0),"중국공급가=원가+마진 ",""))</f>
        <v>중국공급가=원가+마진</v>
      </c>
    </row>
    <row r="556" customFormat="false" ht="15" hidden="false" customHeight="true" outlineLevel="0" collapsed="false">
      <c r="A556" s="94" t="s">
        <v>1684</v>
      </c>
      <c r="B556" s="34" t="str">
        <f aca="false">IF(A556="100","HK",IF(A556="200","CN",IF(A556="300","TW","홀세일")))</f>
        <v>HK</v>
      </c>
      <c r="C556" s="94" t="s">
        <v>400</v>
      </c>
      <c r="D556" s="95" t="n">
        <v>320</v>
      </c>
      <c r="E556" s="95" t="n">
        <v>169000</v>
      </c>
      <c r="F556" s="95" t="n">
        <v>28695</v>
      </c>
      <c r="G556" s="34" t="n">
        <v>4.51</v>
      </c>
      <c r="H556" s="34" t="n">
        <v>44.9</v>
      </c>
      <c r="J556" s="95" t="n">
        <f aca="false">IF(N(E556)&gt;0,E556,IF(N(F556)&gt;0,F556*가정!$B$5,0))</f>
        <v>169000</v>
      </c>
      <c r="K556" s="95" t="n">
        <f aca="false">IF(N(F556)&gt;0,F556,IF(N(E556)&gt;0,E556/가정!$B$5,0))</f>
        <v>28695</v>
      </c>
      <c r="L556" s="95" t="n">
        <f aca="false">IF(B556="CN",IF(N(I556)&gt;0,I556*가정!$B$3,K556*(1+가정!$B$6)),IF(N(H556)&gt;0,H556*가정!$B$3,J556*가정!$B$4))</f>
        <v>61188.822</v>
      </c>
      <c r="M556" s="95" t="n">
        <f aca="false">D556*J556</f>
        <v>54080000</v>
      </c>
      <c r="N556" s="95" t="n">
        <f aca="false">D556*K556</f>
        <v>9182400</v>
      </c>
      <c r="O556" s="95" t="n">
        <f aca="false">D556*L556</f>
        <v>19580423.04</v>
      </c>
      <c r="P556" s="34" t="str">
        <f aca="false">TRIM(IF(N(E556)&lt;=0,"택가보정 ","")&amp;IF(N(F556)&lt;=0,"원가보정 ","")&amp;IF(AND(B556&lt;&gt;"CN",N(H556)&lt;=0),"공급가보정 ","")&amp;IF(AND(B556="CN",N(I556)&lt;=0),"중국공급가=원가+마진 ",""))</f>
        <v/>
      </c>
    </row>
    <row r="557" customFormat="false" ht="15" hidden="false" customHeight="true" outlineLevel="0" collapsed="false">
      <c r="A557" s="94" t="s">
        <v>1686</v>
      </c>
      <c r="B557" s="34" t="str">
        <f aca="false">IF(A557="100","HK",IF(A557="200","CN",IF(A557="300","TW","홀세일")))</f>
        <v>TW</v>
      </c>
      <c r="C557" s="94" t="s">
        <v>400</v>
      </c>
      <c r="D557" s="95" t="n">
        <v>300</v>
      </c>
      <c r="E557" s="95" t="n">
        <v>169000</v>
      </c>
      <c r="F557" s="95" t="n">
        <v>28695</v>
      </c>
      <c r="G557" s="34" t="n">
        <v>4.51</v>
      </c>
      <c r="H557" s="34" t="n">
        <v>44.9</v>
      </c>
      <c r="J557" s="95" t="n">
        <f aca="false">IF(N(E557)&gt;0,E557,IF(N(F557)&gt;0,F557*가정!$B$5,0))</f>
        <v>169000</v>
      </c>
      <c r="K557" s="95" t="n">
        <f aca="false">IF(N(F557)&gt;0,F557,IF(N(E557)&gt;0,E557/가정!$B$5,0))</f>
        <v>28695</v>
      </c>
      <c r="L557" s="95" t="n">
        <f aca="false">IF(B557="CN",IF(N(I557)&gt;0,I557*가정!$B$3,K557*(1+가정!$B$6)),IF(N(H557)&gt;0,H557*가정!$B$3,J557*가정!$B$4))</f>
        <v>61188.822</v>
      </c>
      <c r="M557" s="95" t="n">
        <f aca="false">D557*J557</f>
        <v>50700000</v>
      </c>
      <c r="N557" s="95" t="n">
        <f aca="false">D557*K557</f>
        <v>8608500</v>
      </c>
      <c r="O557" s="95" t="n">
        <f aca="false">D557*L557</f>
        <v>18356646.6</v>
      </c>
      <c r="P557" s="34" t="str">
        <f aca="false">TRIM(IF(N(E557)&lt;=0,"택가보정 ","")&amp;IF(N(F557)&lt;=0,"원가보정 ","")&amp;IF(AND(B557&lt;&gt;"CN",N(H557)&lt;=0),"공급가보정 ","")&amp;IF(AND(B557="CN",N(I557)&lt;=0),"중국공급가=원가+마진 ",""))</f>
        <v/>
      </c>
    </row>
    <row r="558" customFormat="false" ht="15" hidden="false" customHeight="true" outlineLevel="0" collapsed="false">
      <c r="A558" s="94" t="s">
        <v>1690</v>
      </c>
      <c r="B558" s="34" t="str">
        <f aca="false">IF(A558="100","HK",IF(A558="200","CN",IF(A558="300","TW","홀세일")))</f>
        <v>홀세일</v>
      </c>
      <c r="C558" s="94" t="s">
        <v>400</v>
      </c>
      <c r="D558" s="95" t="n">
        <v>204</v>
      </c>
      <c r="E558" s="95" t="n">
        <v>169000</v>
      </c>
      <c r="F558" s="95" t="n">
        <v>28695</v>
      </c>
      <c r="G558" s="34" t="n">
        <v>4.51</v>
      </c>
      <c r="H558" s="34" t="n">
        <v>44.9</v>
      </c>
      <c r="J558" s="95" t="n">
        <f aca="false">IF(N(E558)&gt;0,E558,IF(N(F558)&gt;0,F558*가정!$B$5,0))</f>
        <v>169000</v>
      </c>
      <c r="K558" s="95" t="n">
        <f aca="false">IF(N(F558)&gt;0,F558,IF(N(E558)&gt;0,E558/가정!$B$5,0))</f>
        <v>28695</v>
      </c>
      <c r="L558" s="95" t="n">
        <f aca="false">IF(B558="CN",IF(N(I558)&gt;0,I558*가정!$B$3,K558*(1+가정!$B$6)),IF(N(H558)&gt;0,H558*가정!$B$3,J558*가정!$B$4))</f>
        <v>61188.822</v>
      </c>
      <c r="M558" s="95" t="n">
        <f aca="false">D558*J558</f>
        <v>34476000</v>
      </c>
      <c r="N558" s="95" t="n">
        <f aca="false">D558*K558</f>
        <v>5853780</v>
      </c>
      <c r="O558" s="95" t="n">
        <f aca="false">D558*L558</f>
        <v>12482519.688</v>
      </c>
      <c r="P558" s="34" t="str">
        <f aca="false">TRIM(IF(N(E558)&lt;=0,"택가보정 ","")&amp;IF(N(F558)&lt;=0,"원가보정 ","")&amp;IF(AND(B558&lt;&gt;"CN",N(H558)&lt;=0),"공급가보정 ","")&amp;IF(AND(B558="CN",N(I558)&lt;=0),"중국공급가=원가+마진 ",""))</f>
        <v/>
      </c>
    </row>
    <row r="559" customFormat="false" ht="15" hidden="false" customHeight="true" outlineLevel="0" collapsed="false">
      <c r="A559" s="94" t="s">
        <v>1686</v>
      </c>
      <c r="B559" s="34" t="str">
        <f aca="false">IF(A559="100","HK",IF(A559="200","CN",IF(A559="300","TW","홀세일")))</f>
        <v>TW</v>
      </c>
      <c r="C559" s="94" t="s">
        <v>402</v>
      </c>
      <c r="D559" s="95" t="n">
        <v>160</v>
      </c>
      <c r="E559" s="95" t="n">
        <v>159000</v>
      </c>
      <c r="F559" s="95" t="n">
        <v>27500</v>
      </c>
      <c r="G559" s="34" t="n">
        <v>4.82</v>
      </c>
      <c r="H559" s="34" t="n">
        <v>42.2</v>
      </c>
      <c r="J559" s="95" t="n">
        <f aca="false">IF(N(E559)&gt;0,E559,IF(N(F559)&gt;0,F559*가정!$B$5,0))</f>
        <v>159000</v>
      </c>
      <c r="K559" s="95" t="n">
        <f aca="false">IF(N(F559)&gt;0,F559,IF(N(E559)&gt;0,E559/가정!$B$5,0))</f>
        <v>27500</v>
      </c>
      <c r="L559" s="95" t="n">
        <f aca="false">IF(B559="CN",IF(N(I559)&gt;0,I559*가정!$B$3,K559*(1+가정!$B$6)),IF(N(H559)&gt;0,H559*가정!$B$3,J559*가정!$B$4))</f>
        <v>57509.316</v>
      </c>
      <c r="M559" s="95" t="n">
        <f aca="false">D559*J559</f>
        <v>25440000</v>
      </c>
      <c r="N559" s="95" t="n">
        <f aca="false">D559*K559</f>
        <v>4400000</v>
      </c>
      <c r="O559" s="95" t="n">
        <f aca="false">D559*L559</f>
        <v>9201490.56</v>
      </c>
      <c r="P559" s="34" t="str">
        <f aca="false">TRIM(IF(N(E559)&lt;=0,"택가보정 ","")&amp;IF(N(F559)&lt;=0,"원가보정 ","")&amp;IF(AND(B559&lt;&gt;"CN",N(H559)&lt;=0),"공급가보정 ","")&amp;IF(AND(B559="CN",N(I559)&lt;=0),"중국공급가=원가+마진 ",""))</f>
        <v/>
      </c>
    </row>
    <row r="560" customFormat="false" ht="15" hidden="false" customHeight="true" outlineLevel="0" collapsed="false">
      <c r="A560" s="94" t="s">
        <v>1689</v>
      </c>
      <c r="B560" s="34" t="str">
        <f aca="false">IF(A560="100","HK",IF(A560="200","CN",IF(A560="300","TW","홀세일")))</f>
        <v>홀세일</v>
      </c>
      <c r="C560" s="94" t="s">
        <v>402</v>
      </c>
      <c r="D560" s="95" t="n">
        <v>40</v>
      </c>
      <c r="E560" s="95" t="n">
        <v>159000</v>
      </c>
      <c r="F560" s="95" t="n">
        <v>27500</v>
      </c>
      <c r="G560" s="34" t="n">
        <v>4.82</v>
      </c>
      <c r="H560" s="34" t="n">
        <v>42.2</v>
      </c>
      <c r="J560" s="95" t="n">
        <f aca="false">IF(N(E560)&gt;0,E560,IF(N(F560)&gt;0,F560*가정!$B$5,0))</f>
        <v>159000</v>
      </c>
      <c r="K560" s="95" t="n">
        <f aca="false">IF(N(F560)&gt;0,F560,IF(N(E560)&gt;0,E560/가정!$B$5,0))</f>
        <v>27500</v>
      </c>
      <c r="L560" s="95" t="n">
        <f aca="false">IF(B560="CN",IF(N(I560)&gt;0,I560*가정!$B$3,K560*(1+가정!$B$6)),IF(N(H560)&gt;0,H560*가정!$B$3,J560*가정!$B$4))</f>
        <v>57509.316</v>
      </c>
      <c r="M560" s="95" t="n">
        <f aca="false">D560*J560</f>
        <v>6360000</v>
      </c>
      <c r="N560" s="95" t="n">
        <f aca="false">D560*K560</f>
        <v>1100000</v>
      </c>
      <c r="O560" s="95" t="n">
        <f aca="false">D560*L560</f>
        <v>2300372.64</v>
      </c>
      <c r="P560" s="34" t="str">
        <f aca="false">TRIM(IF(N(E560)&lt;=0,"택가보정 ","")&amp;IF(N(F560)&lt;=0,"원가보정 ","")&amp;IF(AND(B560&lt;&gt;"CN",N(H560)&lt;=0),"공급가보정 ","")&amp;IF(AND(B560="CN",N(I560)&lt;=0),"중국공급가=원가+마진 ",""))</f>
        <v/>
      </c>
    </row>
    <row r="561" customFormat="false" ht="15" hidden="false" customHeight="true" outlineLevel="0" collapsed="false">
      <c r="A561" s="94" t="s">
        <v>1688</v>
      </c>
      <c r="B561" s="34" t="str">
        <f aca="false">IF(A561="100","HK",IF(A561="200","CN",IF(A561="300","TW","홀세일")))</f>
        <v>홀세일</v>
      </c>
      <c r="C561" s="94" t="s">
        <v>1353</v>
      </c>
      <c r="D561" s="95" t="n">
        <v>40</v>
      </c>
      <c r="E561" s="95" t="n">
        <v>159000</v>
      </c>
      <c r="F561" s="95" t="n">
        <v>29000</v>
      </c>
      <c r="G561" s="34" t="n">
        <v>4.43</v>
      </c>
      <c r="H561" s="34" t="n">
        <v>42.2</v>
      </c>
      <c r="J561" s="95" t="n">
        <f aca="false">IF(N(E561)&gt;0,E561,IF(N(F561)&gt;0,F561*가정!$B$5,0))</f>
        <v>159000</v>
      </c>
      <c r="K561" s="95" t="n">
        <f aca="false">IF(N(F561)&gt;0,F561,IF(N(E561)&gt;0,E561/가정!$B$5,0))</f>
        <v>29000</v>
      </c>
      <c r="L561" s="95" t="n">
        <f aca="false">IF(B561="CN",IF(N(I561)&gt;0,I561*가정!$B$3,K561*(1+가정!$B$6)),IF(N(H561)&gt;0,H561*가정!$B$3,J561*가정!$B$4))</f>
        <v>57509.316</v>
      </c>
      <c r="M561" s="95" t="n">
        <f aca="false">D561*J561</f>
        <v>6360000</v>
      </c>
      <c r="N561" s="95" t="n">
        <f aca="false">D561*K561</f>
        <v>1160000</v>
      </c>
      <c r="O561" s="95" t="n">
        <f aca="false">D561*L561</f>
        <v>2300372.64</v>
      </c>
      <c r="P561" s="34" t="str">
        <f aca="false">TRIM(IF(N(E561)&lt;=0,"택가보정 ","")&amp;IF(N(F561)&lt;=0,"원가보정 ","")&amp;IF(AND(B561&lt;&gt;"CN",N(H561)&lt;=0),"공급가보정 ","")&amp;IF(AND(B561="CN",N(I561)&lt;=0),"중국공급가=원가+마진 ",""))</f>
        <v/>
      </c>
    </row>
    <row r="562" customFormat="false" ht="15" hidden="false" customHeight="true" outlineLevel="0" collapsed="false">
      <c r="A562" s="94" t="s">
        <v>1689</v>
      </c>
      <c r="B562" s="34" t="str">
        <f aca="false">IF(A562="100","HK",IF(A562="200","CN",IF(A562="300","TW","홀세일")))</f>
        <v>홀세일</v>
      </c>
      <c r="C562" s="94" t="s">
        <v>1353</v>
      </c>
      <c r="D562" s="95" t="n">
        <v>60</v>
      </c>
      <c r="E562" s="95" t="n">
        <v>159000</v>
      </c>
      <c r="F562" s="95" t="n">
        <v>29000</v>
      </c>
      <c r="G562" s="34" t="n">
        <v>4.43</v>
      </c>
      <c r="H562" s="34" t="n">
        <v>42.2</v>
      </c>
      <c r="J562" s="95" t="n">
        <f aca="false">IF(N(E562)&gt;0,E562,IF(N(F562)&gt;0,F562*가정!$B$5,0))</f>
        <v>159000</v>
      </c>
      <c r="K562" s="95" t="n">
        <f aca="false">IF(N(F562)&gt;0,F562,IF(N(E562)&gt;0,E562/가정!$B$5,0))</f>
        <v>29000</v>
      </c>
      <c r="L562" s="95" t="n">
        <f aca="false">IF(B562="CN",IF(N(I562)&gt;0,I562*가정!$B$3,K562*(1+가정!$B$6)),IF(N(H562)&gt;0,H562*가정!$B$3,J562*가정!$B$4))</f>
        <v>57509.316</v>
      </c>
      <c r="M562" s="95" t="n">
        <f aca="false">D562*J562</f>
        <v>9540000</v>
      </c>
      <c r="N562" s="95" t="n">
        <f aca="false">D562*K562</f>
        <v>1740000</v>
      </c>
      <c r="O562" s="95" t="n">
        <f aca="false">D562*L562</f>
        <v>3450558.96</v>
      </c>
      <c r="P562" s="34" t="str">
        <f aca="false">TRIM(IF(N(E562)&lt;=0,"택가보정 ","")&amp;IF(N(F562)&lt;=0,"원가보정 ","")&amp;IF(AND(B562&lt;&gt;"CN",N(H562)&lt;=0),"공급가보정 ","")&amp;IF(AND(B562="CN",N(I562)&lt;=0),"중국공급가=원가+마진 ",""))</f>
        <v/>
      </c>
    </row>
    <row r="563" customFormat="false" ht="15" hidden="false" customHeight="true" outlineLevel="0" collapsed="false">
      <c r="A563" s="94" t="s">
        <v>1684</v>
      </c>
      <c r="B563" s="34" t="str">
        <f aca="false">IF(A563="100","HK",IF(A563="200","CN",IF(A563="300","TW","홀세일")))</f>
        <v>HK</v>
      </c>
      <c r="C563" s="94" t="s">
        <v>897</v>
      </c>
      <c r="D563" s="95" t="n">
        <v>100</v>
      </c>
      <c r="E563" s="95" t="n">
        <v>179000</v>
      </c>
      <c r="F563" s="95" t="n">
        <v>37501</v>
      </c>
      <c r="G563" s="34" t="n">
        <v>4.11</v>
      </c>
      <c r="H563" s="34" t="n">
        <v>47.6</v>
      </c>
      <c r="J563" s="95" t="n">
        <f aca="false">IF(N(E563)&gt;0,E563,IF(N(F563)&gt;0,F563*가정!$B$5,0))</f>
        <v>179000</v>
      </c>
      <c r="K563" s="95" t="n">
        <f aca="false">IF(N(F563)&gt;0,F563,IF(N(E563)&gt;0,E563/가정!$B$5,0))</f>
        <v>37501</v>
      </c>
      <c r="L563" s="95" t="n">
        <f aca="false">IF(B563="CN",IF(N(I563)&gt;0,I563*가정!$B$3,K563*(1+가정!$B$6)),IF(N(H563)&gt;0,H563*가정!$B$3,J563*가정!$B$4))</f>
        <v>64868.328</v>
      </c>
      <c r="M563" s="95" t="n">
        <f aca="false">D563*J563</f>
        <v>17900000</v>
      </c>
      <c r="N563" s="95" t="n">
        <f aca="false">D563*K563</f>
        <v>3750100</v>
      </c>
      <c r="O563" s="95" t="n">
        <f aca="false">D563*L563</f>
        <v>6486832.8</v>
      </c>
      <c r="P563" s="34" t="str">
        <f aca="false">TRIM(IF(N(E563)&lt;=0,"택가보정 ","")&amp;IF(N(F563)&lt;=0,"원가보정 ","")&amp;IF(AND(B563&lt;&gt;"CN",N(H563)&lt;=0),"공급가보정 ","")&amp;IF(AND(B563="CN",N(I563)&lt;=0),"중국공급가=원가+마진 ",""))</f>
        <v/>
      </c>
    </row>
    <row r="564" customFormat="false" ht="15" hidden="false" customHeight="true" outlineLevel="0" collapsed="false">
      <c r="A564" s="94" t="s">
        <v>1689</v>
      </c>
      <c r="B564" s="34" t="str">
        <f aca="false">IF(A564="100","HK",IF(A564="200","CN",IF(A564="300","TW","홀세일")))</f>
        <v>홀세일</v>
      </c>
      <c r="C564" s="94" t="s">
        <v>897</v>
      </c>
      <c r="D564" s="95" t="n">
        <v>15</v>
      </c>
      <c r="E564" s="95" t="n">
        <v>179000</v>
      </c>
      <c r="F564" s="95" t="n">
        <v>37501</v>
      </c>
      <c r="G564" s="34" t="n">
        <v>4.11</v>
      </c>
      <c r="H564" s="34" t="n">
        <v>47.6</v>
      </c>
      <c r="J564" s="95" t="n">
        <f aca="false">IF(N(E564)&gt;0,E564,IF(N(F564)&gt;0,F564*가정!$B$5,0))</f>
        <v>179000</v>
      </c>
      <c r="K564" s="95" t="n">
        <f aca="false">IF(N(F564)&gt;0,F564,IF(N(E564)&gt;0,E564/가정!$B$5,0))</f>
        <v>37501</v>
      </c>
      <c r="L564" s="95" t="n">
        <f aca="false">IF(B564="CN",IF(N(I564)&gt;0,I564*가정!$B$3,K564*(1+가정!$B$6)),IF(N(H564)&gt;0,H564*가정!$B$3,J564*가정!$B$4))</f>
        <v>64868.328</v>
      </c>
      <c r="M564" s="95" t="n">
        <f aca="false">D564*J564</f>
        <v>2685000</v>
      </c>
      <c r="N564" s="95" t="n">
        <f aca="false">D564*K564</f>
        <v>562515</v>
      </c>
      <c r="O564" s="95" t="n">
        <f aca="false">D564*L564</f>
        <v>973024.92</v>
      </c>
      <c r="P564" s="34" t="str">
        <f aca="false">TRIM(IF(N(E564)&lt;=0,"택가보정 ","")&amp;IF(N(F564)&lt;=0,"원가보정 ","")&amp;IF(AND(B564&lt;&gt;"CN",N(H564)&lt;=0),"공급가보정 ","")&amp;IF(AND(B564="CN",N(I564)&lt;=0),"중국공급가=원가+마진 ",""))</f>
        <v/>
      </c>
    </row>
    <row r="565" customFormat="false" ht="15" hidden="false" customHeight="true" outlineLevel="0" collapsed="false">
      <c r="A565" s="94" t="s">
        <v>1684</v>
      </c>
      <c r="B565" s="34" t="str">
        <f aca="false">IF(A565="100","HK",IF(A565="200","CN",IF(A565="300","TW","홀세일")))</f>
        <v>HK</v>
      </c>
      <c r="C565" s="94" t="s">
        <v>899</v>
      </c>
      <c r="D565" s="95" t="n">
        <v>240</v>
      </c>
      <c r="E565" s="95" t="n">
        <v>179000</v>
      </c>
      <c r="F565" s="95" t="n">
        <v>35400</v>
      </c>
      <c r="G565" s="34" t="n">
        <v>4.62</v>
      </c>
      <c r="H565" s="34" t="n">
        <v>47.6</v>
      </c>
      <c r="J565" s="95" t="n">
        <f aca="false">IF(N(E565)&gt;0,E565,IF(N(F565)&gt;0,F565*가정!$B$5,0))</f>
        <v>179000</v>
      </c>
      <c r="K565" s="95" t="n">
        <f aca="false">IF(N(F565)&gt;0,F565,IF(N(E565)&gt;0,E565/가정!$B$5,0))</f>
        <v>35400</v>
      </c>
      <c r="L565" s="95" t="n">
        <f aca="false">IF(B565="CN",IF(N(I565)&gt;0,I565*가정!$B$3,K565*(1+가정!$B$6)),IF(N(H565)&gt;0,H565*가정!$B$3,J565*가정!$B$4))</f>
        <v>64868.328</v>
      </c>
      <c r="M565" s="95" t="n">
        <f aca="false">D565*J565</f>
        <v>42960000</v>
      </c>
      <c r="N565" s="95" t="n">
        <f aca="false">D565*K565</f>
        <v>8496000</v>
      </c>
      <c r="O565" s="95" t="n">
        <f aca="false">D565*L565</f>
        <v>15568398.72</v>
      </c>
      <c r="P565" s="34" t="str">
        <f aca="false">TRIM(IF(N(E565)&lt;=0,"택가보정 ","")&amp;IF(N(F565)&lt;=0,"원가보정 ","")&amp;IF(AND(B565&lt;&gt;"CN",N(H565)&lt;=0),"공급가보정 ","")&amp;IF(AND(B565="CN",N(I565)&lt;=0),"중국공급가=원가+마진 ",""))</f>
        <v/>
      </c>
    </row>
    <row r="566" customFormat="false" ht="15" hidden="false" customHeight="true" outlineLevel="0" collapsed="false">
      <c r="A566" s="94" t="s">
        <v>1684</v>
      </c>
      <c r="B566" s="34" t="str">
        <f aca="false">IF(A566="100","HK",IF(A566="200","CN",IF(A566="300","TW","홀세일")))</f>
        <v>HK</v>
      </c>
      <c r="C566" s="94" t="s">
        <v>404</v>
      </c>
      <c r="D566" s="95" t="n">
        <v>430</v>
      </c>
      <c r="E566" s="95" t="n">
        <v>189000</v>
      </c>
      <c r="F566" s="95" t="n">
        <v>35290</v>
      </c>
      <c r="G566" s="34" t="n">
        <v>4.23</v>
      </c>
      <c r="H566" s="34" t="n">
        <v>47.3</v>
      </c>
      <c r="J566" s="95" t="n">
        <f aca="false">IF(N(E566)&gt;0,E566,IF(N(F566)&gt;0,F566*가정!$B$5,0))</f>
        <v>189000</v>
      </c>
      <c r="K566" s="95" t="n">
        <f aca="false">IF(N(F566)&gt;0,F566,IF(N(E566)&gt;0,E566/가정!$B$5,0))</f>
        <v>35290</v>
      </c>
      <c r="L566" s="95" t="n">
        <f aca="false">IF(B566="CN",IF(N(I566)&gt;0,I566*가정!$B$3,K566*(1+가정!$B$6)),IF(N(H566)&gt;0,H566*가정!$B$3,J566*가정!$B$4))</f>
        <v>64459.494</v>
      </c>
      <c r="M566" s="95" t="n">
        <f aca="false">D566*J566</f>
        <v>81270000</v>
      </c>
      <c r="N566" s="95" t="n">
        <f aca="false">D566*K566</f>
        <v>15174700</v>
      </c>
      <c r="O566" s="95" t="n">
        <f aca="false">D566*L566</f>
        <v>27717582.42</v>
      </c>
      <c r="P566" s="34" t="str">
        <f aca="false">TRIM(IF(N(E566)&lt;=0,"택가보정 ","")&amp;IF(N(F566)&lt;=0,"원가보정 ","")&amp;IF(AND(B566&lt;&gt;"CN",N(H566)&lt;=0),"공급가보정 ","")&amp;IF(AND(B566="CN",N(I566)&lt;=0),"중국공급가=원가+마진 ",""))</f>
        <v/>
      </c>
    </row>
    <row r="567" customFormat="false" ht="15" hidden="false" customHeight="true" outlineLevel="0" collapsed="false">
      <c r="A567" s="94" t="s">
        <v>1686</v>
      </c>
      <c r="B567" s="34" t="str">
        <f aca="false">IF(A567="100","HK",IF(A567="200","CN",IF(A567="300","TW","홀세일")))</f>
        <v>TW</v>
      </c>
      <c r="C567" s="94" t="s">
        <v>404</v>
      </c>
      <c r="D567" s="95" t="n">
        <v>530</v>
      </c>
      <c r="E567" s="95" t="n">
        <v>189000</v>
      </c>
      <c r="F567" s="95" t="n">
        <v>35290</v>
      </c>
      <c r="G567" s="34" t="n">
        <v>4.23</v>
      </c>
      <c r="H567" s="34" t="n">
        <v>47.3</v>
      </c>
      <c r="J567" s="95" t="n">
        <f aca="false">IF(N(E567)&gt;0,E567,IF(N(F567)&gt;0,F567*가정!$B$5,0))</f>
        <v>189000</v>
      </c>
      <c r="K567" s="95" t="n">
        <f aca="false">IF(N(F567)&gt;0,F567,IF(N(E567)&gt;0,E567/가정!$B$5,0))</f>
        <v>35290</v>
      </c>
      <c r="L567" s="95" t="n">
        <f aca="false">IF(B567="CN",IF(N(I567)&gt;0,I567*가정!$B$3,K567*(1+가정!$B$6)),IF(N(H567)&gt;0,H567*가정!$B$3,J567*가정!$B$4))</f>
        <v>64459.494</v>
      </c>
      <c r="M567" s="95" t="n">
        <f aca="false">D567*J567</f>
        <v>100170000</v>
      </c>
      <c r="N567" s="95" t="n">
        <f aca="false">D567*K567</f>
        <v>18703700</v>
      </c>
      <c r="O567" s="95" t="n">
        <f aca="false">D567*L567</f>
        <v>34163531.82</v>
      </c>
      <c r="P567" s="34" t="str">
        <f aca="false">TRIM(IF(N(E567)&lt;=0,"택가보정 ","")&amp;IF(N(F567)&lt;=0,"원가보정 ","")&amp;IF(AND(B567&lt;&gt;"CN",N(H567)&lt;=0),"공급가보정 ","")&amp;IF(AND(B567="CN",N(I567)&lt;=0),"중국공급가=원가+마진 ",""))</f>
        <v/>
      </c>
    </row>
    <row r="568" customFormat="false" ht="15" hidden="false" customHeight="true" outlineLevel="0" collapsed="false">
      <c r="A568" s="94" t="s">
        <v>1688</v>
      </c>
      <c r="B568" s="34" t="str">
        <f aca="false">IF(A568="100","HK",IF(A568="200","CN",IF(A568="300","TW","홀세일")))</f>
        <v>홀세일</v>
      </c>
      <c r="C568" s="94" t="s">
        <v>404</v>
      </c>
      <c r="D568" s="95" t="n">
        <v>50</v>
      </c>
      <c r="E568" s="95" t="n">
        <v>189000</v>
      </c>
      <c r="F568" s="95" t="n">
        <v>35290</v>
      </c>
      <c r="G568" s="34" t="n">
        <v>4.23</v>
      </c>
      <c r="H568" s="34" t="n">
        <v>47.3</v>
      </c>
      <c r="J568" s="95" t="n">
        <f aca="false">IF(N(E568)&gt;0,E568,IF(N(F568)&gt;0,F568*가정!$B$5,0))</f>
        <v>189000</v>
      </c>
      <c r="K568" s="95" t="n">
        <f aca="false">IF(N(F568)&gt;0,F568,IF(N(E568)&gt;0,E568/가정!$B$5,0))</f>
        <v>35290</v>
      </c>
      <c r="L568" s="95" t="n">
        <f aca="false">IF(B568="CN",IF(N(I568)&gt;0,I568*가정!$B$3,K568*(1+가정!$B$6)),IF(N(H568)&gt;0,H568*가정!$B$3,J568*가정!$B$4))</f>
        <v>64459.494</v>
      </c>
      <c r="M568" s="95" t="n">
        <f aca="false">D568*J568</f>
        <v>9450000</v>
      </c>
      <c r="N568" s="95" t="n">
        <f aca="false">D568*K568</f>
        <v>1764500</v>
      </c>
      <c r="O568" s="95" t="n">
        <f aca="false">D568*L568</f>
        <v>3222974.7</v>
      </c>
      <c r="P568" s="34" t="str">
        <f aca="false">TRIM(IF(N(E568)&lt;=0,"택가보정 ","")&amp;IF(N(F568)&lt;=0,"원가보정 ","")&amp;IF(AND(B568&lt;&gt;"CN",N(H568)&lt;=0),"공급가보정 ","")&amp;IF(AND(B568="CN",N(I568)&lt;=0),"중국공급가=원가+마진 ",""))</f>
        <v/>
      </c>
    </row>
    <row r="569" customFormat="false" ht="15" hidden="false" customHeight="true" outlineLevel="0" collapsed="false">
      <c r="A569" s="94" t="s">
        <v>1689</v>
      </c>
      <c r="B569" s="34" t="str">
        <f aca="false">IF(A569="100","HK",IF(A569="200","CN",IF(A569="300","TW","홀세일")))</f>
        <v>홀세일</v>
      </c>
      <c r="C569" s="94" t="s">
        <v>404</v>
      </c>
      <c r="D569" s="95" t="n">
        <v>70</v>
      </c>
      <c r="E569" s="95" t="n">
        <v>189000</v>
      </c>
      <c r="F569" s="95" t="n">
        <v>35290</v>
      </c>
      <c r="G569" s="34" t="n">
        <v>4.23</v>
      </c>
      <c r="H569" s="34" t="n">
        <v>47.3</v>
      </c>
      <c r="J569" s="95" t="n">
        <f aca="false">IF(N(E569)&gt;0,E569,IF(N(F569)&gt;0,F569*가정!$B$5,0))</f>
        <v>189000</v>
      </c>
      <c r="K569" s="95" t="n">
        <f aca="false">IF(N(F569)&gt;0,F569,IF(N(E569)&gt;0,E569/가정!$B$5,0))</f>
        <v>35290</v>
      </c>
      <c r="L569" s="95" t="n">
        <f aca="false">IF(B569="CN",IF(N(I569)&gt;0,I569*가정!$B$3,K569*(1+가정!$B$6)),IF(N(H569)&gt;0,H569*가정!$B$3,J569*가정!$B$4))</f>
        <v>64459.494</v>
      </c>
      <c r="M569" s="95" t="n">
        <f aca="false">D569*J569</f>
        <v>13230000</v>
      </c>
      <c r="N569" s="95" t="n">
        <f aca="false">D569*K569</f>
        <v>2470300</v>
      </c>
      <c r="O569" s="95" t="n">
        <f aca="false">D569*L569</f>
        <v>4512164.58</v>
      </c>
      <c r="P569" s="34" t="str">
        <f aca="false">TRIM(IF(N(E569)&lt;=0,"택가보정 ","")&amp;IF(N(F569)&lt;=0,"원가보정 ","")&amp;IF(AND(B569&lt;&gt;"CN",N(H569)&lt;=0),"공급가보정 ","")&amp;IF(AND(B569="CN",N(I569)&lt;=0),"중국공급가=원가+마진 ",""))</f>
        <v/>
      </c>
    </row>
    <row r="570" customFormat="false" ht="15" hidden="false" customHeight="true" outlineLevel="0" collapsed="false">
      <c r="A570" s="94" t="s">
        <v>1684</v>
      </c>
      <c r="B570" s="34" t="str">
        <f aca="false">IF(A570="100","HK",IF(A570="200","CN",IF(A570="300","TW","홀세일")))</f>
        <v>HK</v>
      </c>
      <c r="C570" s="94" t="s">
        <v>406</v>
      </c>
      <c r="D570" s="95" t="n">
        <v>220</v>
      </c>
      <c r="E570" s="95" t="n">
        <v>149000</v>
      </c>
      <c r="F570" s="95" t="n">
        <v>40267</v>
      </c>
      <c r="G570" s="34" t="n">
        <v>3.86</v>
      </c>
      <c r="H570" s="34" t="n">
        <v>37.3</v>
      </c>
      <c r="J570" s="95" t="n">
        <f aca="false">IF(N(E570)&gt;0,E570,IF(N(F570)&gt;0,F570*가정!$B$5,0))</f>
        <v>149000</v>
      </c>
      <c r="K570" s="95" t="n">
        <f aca="false">IF(N(F570)&gt;0,F570,IF(N(E570)&gt;0,E570/가정!$B$5,0))</f>
        <v>40267</v>
      </c>
      <c r="L570" s="95" t="n">
        <f aca="false">IF(B570="CN",IF(N(I570)&gt;0,I570*가정!$B$3,K570*(1+가정!$B$6)),IF(N(H570)&gt;0,H570*가정!$B$3,J570*가정!$B$4))</f>
        <v>50831.694</v>
      </c>
      <c r="M570" s="95" t="n">
        <f aca="false">D570*J570</f>
        <v>32780000</v>
      </c>
      <c r="N570" s="95" t="n">
        <f aca="false">D570*K570</f>
        <v>8858740</v>
      </c>
      <c r="O570" s="95" t="n">
        <f aca="false">D570*L570</f>
        <v>11182972.68</v>
      </c>
      <c r="P570" s="34" t="str">
        <f aca="false">TRIM(IF(N(E570)&lt;=0,"택가보정 ","")&amp;IF(N(F570)&lt;=0,"원가보정 ","")&amp;IF(AND(B570&lt;&gt;"CN",N(H570)&lt;=0),"공급가보정 ","")&amp;IF(AND(B570="CN",N(I570)&lt;=0),"중국공급가=원가+마진 ",""))</f>
        <v/>
      </c>
    </row>
    <row r="571" customFormat="false" ht="15.75" hidden="false" customHeight="true" outlineLevel="0" collapsed="false">
      <c r="A571" s="94" t="s">
        <v>1685</v>
      </c>
      <c r="B571" s="34" t="str">
        <f aca="false">IF(A571="100","HK",IF(A571="200","CN",IF(A571="300","TW","홀세일")))</f>
        <v>CN</v>
      </c>
      <c r="C571" s="94" t="s">
        <v>406</v>
      </c>
      <c r="D571" s="95" t="n">
        <v>172</v>
      </c>
      <c r="E571" s="95" t="n">
        <v>149000</v>
      </c>
      <c r="F571" s="95" t="n">
        <v>40267</v>
      </c>
      <c r="G571" s="34" t="n">
        <v>3.86</v>
      </c>
      <c r="H571" s="34" t="n">
        <v>37.3</v>
      </c>
      <c r="J571" s="95" t="n">
        <f aca="false">IF(N(E571)&gt;0,E571,IF(N(F571)&gt;0,F571*가정!$B$5,0))</f>
        <v>149000</v>
      </c>
      <c r="K571" s="95" t="n">
        <f aca="false">IF(N(F571)&gt;0,F571,IF(N(E571)&gt;0,E571/가정!$B$5,0))</f>
        <v>40267</v>
      </c>
      <c r="L571" s="95" t="n">
        <f aca="false">IF(B571="CN",IF(N(I571)&gt;0,I571*가정!$B$3,K571*(1+가정!$B$6)),IF(N(H571)&gt;0,H571*가정!$B$3,J571*가정!$B$4))</f>
        <v>42280.35</v>
      </c>
      <c r="M571" s="95" t="n">
        <f aca="false">D571*J571</f>
        <v>25628000</v>
      </c>
      <c r="N571" s="95" t="n">
        <f aca="false">D571*K571</f>
        <v>6925924</v>
      </c>
      <c r="O571" s="95" t="n">
        <f aca="false">D571*L571</f>
        <v>7272220.2</v>
      </c>
      <c r="P571" s="34" t="str">
        <f aca="false">TRIM(IF(N(E571)&lt;=0,"택가보정 ","")&amp;IF(N(F571)&lt;=0,"원가보정 ","")&amp;IF(AND(B571&lt;&gt;"CN",N(H571)&lt;=0),"공급가보정 ","")&amp;IF(AND(B571="CN",N(I571)&lt;=0),"중국공급가=원가+마진 ",""))</f>
        <v>중국공급가=원가+마진</v>
      </c>
    </row>
    <row r="572" customFormat="false" ht="15" hidden="false" customHeight="true" outlineLevel="0" collapsed="false">
      <c r="A572" s="94" t="s">
        <v>1686</v>
      </c>
      <c r="B572" s="34" t="str">
        <f aca="false">IF(A572="100","HK",IF(A572="200","CN",IF(A572="300","TW","홀세일")))</f>
        <v>TW</v>
      </c>
      <c r="C572" s="94" t="s">
        <v>406</v>
      </c>
      <c r="D572" s="95" t="n">
        <v>150</v>
      </c>
      <c r="E572" s="95" t="n">
        <v>149000</v>
      </c>
      <c r="F572" s="95" t="n">
        <v>40267</v>
      </c>
      <c r="G572" s="34" t="n">
        <v>3.86</v>
      </c>
      <c r="H572" s="34" t="n">
        <v>37.3</v>
      </c>
      <c r="J572" s="95" t="n">
        <f aca="false">IF(N(E572)&gt;0,E572,IF(N(F572)&gt;0,F572*가정!$B$5,0))</f>
        <v>149000</v>
      </c>
      <c r="K572" s="95" t="n">
        <f aca="false">IF(N(F572)&gt;0,F572,IF(N(E572)&gt;0,E572/가정!$B$5,0))</f>
        <v>40267</v>
      </c>
      <c r="L572" s="95" t="n">
        <f aca="false">IF(B572="CN",IF(N(I572)&gt;0,I572*가정!$B$3,K572*(1+가정!$B$6)),IF(N(H572)&gt;0,H572*가정!$B$3,J572*가정!$B$4))</f>
        <v>50831.694</v>
      </c>
      <c r="M572" s="95" t="n">
        <f aca="false">D572*J572</f>
        <v>22350000</v>
      </c>
      <c r="N572" s="95" t="n">
        <f aca="false">D572*K572</f>
        <v>6040050</v>
      </c>
      <c r="O572" s="95" t="n">
        <f aca="false">D572*L572</f>
        <v>7624754.1</v>
      </c>
      <c r="P572" s="34" t="str">
        <f aca="false">TRIM(IF(N(E572)&lt;=0,"택가보정 ","")&amp;IF(N(F572)&lt;=0,"원가보정 ","")&amp;IF(AND(B572&lt;&gt;"CN",N(H572)&lt;=0),"공급가보정 ","")&amp;IF(AND(B572="CN",N(I572)&lt;=0),"중국공급가=원가+마진 ",""))</f>
        <v/>
      </c>
    </row>
    <row r="573" customFormat="false" ht="15" hidden="false" customHeight="true" outlineLevel="0" collapsed="false">
      <c r="A573" s="94" t="s">
        <v>1689</v>
      </c>
      <c r="B573" s="34" t="str">
        <f aca="false">IF(A573="100","HK",IF(A573="200","CN",IF(A573="300","TW","홀세일")))</f>
        <v>홀세일</v>
      </c>
      <c r="C573" s="94" t="s">
        <v>406</v>
      </c>
      <c r="D573" s="95" t="n">
        <v>40</v>
      </c>
      <c r="E573" s="95" t="n">
        <v>149000</v>
      </c>
      <c r="F573" s="95" t="n">
        <v>40267</v>
      </c>
      <c r="G573" s="34" t="n">
        <v>3.86</v>
      </c>
      <c r="H573" s="34" t="n">
        <v>37.3</v>
      </c>
      <c r="J573" s="95" t="n">
        <f aca="false">IF(N(E573)&gt;0,E573,IF(N(F573)&gt;0,F573*가정!$B$5,0))</f>
        <v>149000</v>
      </c>
      <c r="K573" s="95" t="n">
        <f aca="false">IF(N(F573)&gt;0,F573,IF(N(E573)&gt;0,E573/가정!$B$5,0))</f>
        <v>40267</v>
      </c>
      <c r="L573" s="95" t="n">
        <f aca="false">IF(B573="CN",IF(N(I573)&gt;0,I573*가정!$B$3,K573*(1+가정!$B$6)),IF(N(H573)&gt;0,H573*가정!$B$3,J573*가정!$B$4))</f>
        <v>50831.694</v>
      </c>
      <c r="M573" s="95" t="n">
        <f aca="false">D573*J573</f>
        <v>5960000</v>
      </c>
      <c r="N573" s="95" t="n">
        <f aca="false">D573*K573</f>
        <v>1610680</v>
      </c>
      <c r="O573" s="95" t="n">
        <f aca="false">D573*L573</f>
        <v>2033267.76</v>
      </c>
      <c r="P573" s="34" t="str">
        <f aca="false">TRIM(IF(N(E573)&lt;=0,"택가보정 ","")&amp;IF(N(F573)&lt;=0,"원가보정 ","")&amp;IF(AND(B573&lt;&gt;"CN",N(H573)&lt;=0),"공급가보정 ","")&amp;IF(AND(B573="CN",N(I573)&lt;=0),"중국공급가=원가+마진 ",""))</f>
        <v/>
      </c>
    </row>
    <row r="574" customFormat="false" ht="15" hidden="false" customHeight="true" outlineLevel="0" collapsed="false">
      <c r="A574" s="94" t="s">
        <v>1688</v>
      </c>
      <c r="B574" s="34" t="str">
        <f aca="false">IF(A574="100","HK",IF(A574="200","CN",IF(A574="300","TW","홀세일")))</f>
        <v>홀세일</v>
      </c>
      <c r="C574" s="94" t="s">
        <v>1355</v>
      </c>
      <c r="D574" s="95" t="n">
        <v>20</v>
      </c>
      <c r="E574" s="95" t="n">
        <v>129000</v>
      </c>
      <c r="F574" s="95" t="n">
        <v>21803</v>
      </c>
      <c r="G574" s="34" t="n">
        <v>4.89</v>
      </c>
      <c r="H574" s="34" t="n">
        <v>32.3</v>
      </c>
      <c r="J574" s="95" t="n">
        <f aca="false">IF(N(E574)&gt;0,E574,IF(N(F574)&gt;0,F574*가정!$B$5,0))</f>
        <v>129000</v>
      </c>
      <c r="K574" s="95" t="n">
        <f aca="false">IF(N(F574)&gt;0,F574,IF(N(E574)&gt;0,E574/가정!$B$5,0))</f>
        <v>21803</v>
      </c>
      <c r="L574" s="95" t="n">
        <f aca="false">IF(B574="CN",IF(N(I574)&gt;0,I574*가정!$B$3,K574*(1+가정!$B$6)),IF(N(H574)&gt;0,H574*가정!$B$3,J574*가정!$B$4))</f>
        <v>44017.794</v>
      </c>
      <c r="M574" s="95" t="n">
        <f aca="false">D574*J574</f>
        <v>2580000</v>
      </c>
      <c r="N574" s="95" t="n">
        <f aca="false">D574*K574</f>
        <v>436060</v>
      </c>
      <c r="O574" s="95" t="n">
        <f aca="false">D574*L574</f>
        <v>880355.88</v>
      </c>
      <c r="P574" s="34" t="str">
        <f aca="false">TRIM(IF(N(E574)&lt;=0,"택가보정 ","")&amp;IF(N(F574)&lt;=0,"원가보정 ","")&amp;IF(AND(B574&lt;&gt;"CN",N(H574)&lt;=0),"공급가보정 ","")&amp;IF(AND(B574="CN",N(I574)&lt;=0),"중국공급가=원가+마진 ",""))</f>
        <v/>
      </c>
    </row>
    <row r="575" customFormat="false" ht="15" hidden="false" customHeight="true" outlineLevel="0" collapsed="false">
      <c r="A575" s="94" t="s">
        <v>1692</v>
      </c>
      <c r="B575" s="34" t="str">
        <f aca="false">IF(A575="100","HK",IF(A575="200","CN",IF(A575="300","TW","홀세일")))</f>
        <v>홀세일</v>
      </c>
      <c r="C575" s="94" t="s">
        <v>1355</v>
      </c>
      <c r="D575" s="95" t="n">
        <v>92</v>
      </c>
      <c r="E575" s="95" t="n">
        <v>129000</v>
      </c>
      <c r="F575" s="95" t="n">
        <v>21803</v>
      </c>
      <c r="G575" s="34" t="n">
        <v>4.89</v>
      </c>
      <c r="H575" s="34" t="n">
        <v>32.3</v>
      </c>
      <c r="J575" s="95" t="n">
        <f aca="false">IF(N(E575)&gt;0,E575,IF(N(F575)&gt;0,F575*가정!$B$5,0))</f>
        <v>129000</v>
      </c>
      <c r="K575" s="95" t="n">
        <f aca="false">IF(N(F575)&gt;0,F575,IF(N(E575)&gt;0,E575/가정!$B$5,0))</f>
        <v>21803</v>
      </c>
      <c r="L575" s="95" t="n">
        <f aca="false">IF(B575="CN",IF(N(I575)&gt;0,I575*가정!$B$3,K575*(1+가정!$B$6)),IF(N(H575)&gt;0,H575*가정!$B$3,J575*가정!$B$4))</f>
        <v>44017.794</v>
      </c>
      <c r="M575" s="95" t="n">
        <f aca="false">D575*J575</f>
        <v>11868000</v>
      </c>
      <c r="N575" s="95" t="n">
        <f aca="false">D575*K575</f>
        <v>2005876</v>
      </c>
      <c r="O575" s="95" t="n">
        <f aca="false">D575*L575</f>
        <v>4049637.048</v>
      </c>
      <c r="P575" s="34" t="str">
        <f aca="false">TRIM(IF(N(E575)&lt;=0,"택가보정 ","")&amp;IF(N(F575)&lt;=0,"원가보정 ","")&amp;IF(AND(B575&lt;&gt;"CN",N(H575)&lt;=0),"공급가보정 ","")&amp;IF(AND(B575="CN",N(I575)&lt;=0),"중국공급가=원가+마진 ",""))</f>
        <v/>
      </c>
    </row>
    <row r="576" customFormat="false" ht="15" hidden="false" customHeight="true" outlineLevel="0" collapsed="false">
      <c r="A576" s="94" t="s">
        <v>1684</v>
      </c>
      <c r="B576" s="34" t="str">
        <f aca="false">IF(A576="100","HK",IF(A576="200","CN",IF(A576="300","TW","홀세일")))</f>
        <v>HK</v>
      </c>
      <c r="C576" s="94" t="s">
        <v>901</v>
      </c>
      <c r="D576" s="95" t="n">
        <v>140</v>
      </c>
      <c r="E576" s="95" t="n">
        <v>159000</v>
      </c>
      <c r="F576" s="95" t="n">
        <v>34100</v>
      </c>
      <c r="G576" s="34" t="n">
        <v>3.79</v>
      </c>
      <c r="H576" s="34" t="n">
        <v>39.8</v>
      </c>
      <c r="J576" s="95" t="n">
        <f aca="false">IF(N(E576)&gt;0,E576,IF(N(F576)&gt;0,F576*가정!$B$5,0))</f>
        <v>159000</v>
      </c>
      <c r="K576" s="95" t="n">
        <f aca="false">IF(N(F576)&gt;0,F576,IF(N(E576)&gt;0,E576/가정!$B$5,0))</f>
        <v>34100</v>
      </c>
      <c r="L576" s="95" t="n">
        <f aca="false">IF(B576="CN",IF(N(I576)&gt;0,I576*가정!$B$3,K576*(1+가정!$B$6)),IF(N(H576)&gt;0,H576*가정!$B$3,J576*가정!$B$4))</f>
        <v>54238.644</v>
      </c>
      <c r="M576" s="95" t="n">
        <f aca="false">D576*J576</f>
        <v>22260000</v>
      </c>
      <c r="N576" s="95" t="n">
        <f aca="false">D576*K576</f>
        <v>4774000</v>
      </c>
      <c r="O576" s="95" t="n">
        <f aca="false">D576*L576</f>
        <v>7593410.16</v>
      </c>
      <c r="P576" s="34" t="str">
        <f aca="false">TRIM(IF(N(E576)&lt;=0,"택가보정 ","")&amp;IF(N(F576)&lt;=0,"원가보정 ","")&amp;IF(AND(B576&lt;&gt;"CN",N(H576)&lt;=0),"공급가보정 ","")&amp;IF(AND(B576="CN",N(I576)&lt;=0),"중국공급가=원가+마진 ",""))</f>
        <v/>
      </c>
    </row>
    <row r="577" customFormat="false" ht="15" hidden="false" customHeight="true" outlineLevel="0" collapsed="false">
      <c r="A577" s="94" t="s">
        <v>1684</v>
      </c>
      <c r="B577" s="34" t="str">
        <f aca="false">IF(A577="100","HK",IF(A577="200","CN",IF(A577="300","TW","홀세일")))</f>
        <v>HK</v>
      </c>
      <c r="C577" s="94" t="s">
        <v>903</v>
      </c>
      <c r="D577" s="95" t="n">
        <v>170</v>
      </c>
      <c r="E577" s="95" t="n">
        <v>179000</v>
      </c>
      <c r="F577" s="95" t="n">
        <v>39368</v>
      </c>
      <c r="G577" s="34" t="n">
        <v>3.77</v>
      </c>
      <c r="H577" s="34" t="n">
        <v>44.8</v>
      </c>
      <c r="J577" s="95" t="n">
        <f aca="false">IF(N(E577)&gt;0,E577,IF(N(F577)&gt;0,F577*가정!$B$5,0))</f>
        <v>179000</v>
      </c>
      <c r="K577" s="95" t="n">
        <f aca="false">IF(N(F577)&gt;0,F577,IF(N(E577)&gt;0,E577/가정!$B$5,0))</f>
        <v>39368</v>
      </c>
      <c r="L577" s="95" t="n">
        <f aca="false">IF(B577="CN",IF(N(I577)&gt;0,I577*가정!$B$3,K577*(1+가정!$B$6)),IF(N(H577)&gt;0,H577*가정!$B$3,J577*가정!$B$4))</f>
        <v>61052.544</v>
      </c>
      <c r="M577" s="95" t="n">
        <f aca="false">D577*J577</f>
        <v>30430000</v>
      </c>
      <c r="N577" s="95" t="n">
        <f aca="false">D577*K577</f>
        <v>6692560</v>
      </c>
      <c r="O577" s="95" t="n">
        <f aca="false">D577*L577</f>
        <v>10378932.48</v>
      </c>
      <c r="P577" s="34" t="str">
        <f aca="false">TRIM(IF(N(E577)&lt;=0,"택가보정 ","")&amp;IF(N(F577)&lt;=0,"원가보정 ","")&amp;IF(AND(B577&lt;&gt;"CN",N(H577)&lt;=0),"공급가보정 ","")&amp;IF(AND(B577="CN",N(I577)&lt;=0),"중국공급가=원가+마진 ",""))</f>
        <v/>
      </c>
    </row>
    <row r="578" customFormat="false" ht="15.75" hidden="false" customHeight="true" outlineLevel="0" collapsed="false">
      <c r="A578" s="94" t="s">
        <v>1685</v>
      </c>
      <c r="B578" s="34" t="str">
        <f aca="false">IF(A578="100","HK",IF(A578="200","CN",IF(A578="300","TW","홀세일")))</f>
        <v>CN</v>
      </c>
      <c r="C578" s="94" t="s">
        <v>903</v>
      </c>
      <c r="D578" s="95" t="n">
        <v>458</v>
      </c>
      <c r="E578" s="95" t="n">
        <v>179000</v>
      </c>
      <c r="F578" s="95" t="n">
        <v>39368</v>
      </c>
      <c r="G578" s="34" t="n">
        <v>3.77</v>
      </c>
      <c r="H578" s="34" t="n">
        <v>44.8</v>
      </c>
      <c r="J578" s="95" t="n">
        <f aca="false">IF(N(E578)&gt;0,E578,IF(N(F578)&gt;0,F578*가정!$B$5,0))</f>
        <v>179000</v>
      </c>
      <c r="K578" s="95" t="n">
        <f aca="false">IF(N(F578)&gt;0,F578,IF(N(E578)&gt;0,E578/가정!$B$5,0))</f>
        <v>39368</v>
      </c>
      <c r="L578" s="95" t="n">
        <f aca="false">IF(B578="CN",IF(N(I578)&gt;0,I578*가정!$B$3,K578*(1+가정!$B$6)),IF(N(H578)&gt;0,H578*가정!$B$3,J578*가정!$B$4))</f>
        <v>41336.4</v>
      </c>
      <c r="M578" s="95" t="n">
        <f aca="false">D578*J578</f>
        <v>81982000</v>
      </c>
      <c r="N578" s="95" t="n">
        <f aca="false">D578*K578</f>
        <v>18030544</v>
      </c>
      <c r="O578" s="95" t="n">
        <f aca="false">D578*L578</f>
        <v>18932071.2</v>
      </c>
      <c r="P578" s="34" t="str">
        <f aca="false">TRIM(IF(N(E578)&lt;=0,"택가보정 ","")&amp;IF(N(F578)&lt;=0,"원가보정 ","")&amp;IF(AND(B578&lt;&gt;"CN",N(H578)&lt;=0),"공급가보정 ","")&amp;IF(AND(B578="CN",N(I578)&lt;=0),"중국공급가=원가+마진 ",""))</f>
        <v>중국공급가=원가+마진</v>
      </c>
    </row>
    <row r="579" customFormat="false" ht="15" hidden="false" customHeight="true" outlineLevel="0" collapsed="false">
      <c r="A579" s="94" t="s">
        <v>1688</v>
      </c>
      <c r="B579" s="34" t="str">
        <f aca="false">IF(A579="100","HK",IF(A579="200","CN",IF(A579="300","TW","홀세일")))</f>
        <v>홀세일</v>
      </c>
      <c r="C579" s="94" t="s">
        <v>903</v>
      </c>
      <c r="D579" s="95" t="n">
        <v>40</v>
      </c>
      <c r="E579" s="95" t="n">
        <v>179000</v>
      </c>
      <c r="F579" s="95" t="n">
        <v>39368</v>
      </c>
      <c r="G579" s="34" t="n">
        <v>3.77</v>
      </c>
      <c r="H579" s="34" t="n">
        <v>44.8</v>
      </c>
      <c r="J579" s="95" t="n">
        <f aca="false">IF(N(E579)&gt;0,E579,IF(N(F579)&gt;0,F579*가정!$B$5,0))</f>
        <v>179000</v>
      </c>
      <c r="K579" s="95" t="n">
        <f aca="false">IF(N(F579)&gt;0,F579,IF(N(E579)&gt;0,E579/가정!$B$5,0))</f>
        <v>39368</v>
      </c>
      <c r="L579" s="95" t="n">
        <f aca="false">IF(B579="CN",IF(N(I579)&gt;0,I579*가정!$B$3,K579*(1+가정!$B$6)),IF(N(H579)&gt;0,H579*가정!$B$3,J579*가정!$B$4))</f>
        <v>61052.544</v>
      </c>
      <c r="M579" s="95" t="n">
        <f aca="false">D579*J579</f>
        <v>7160000</v>
      </c>
      <c r="N579" s="95" t="n">
        <f aca="false">D579*K579</f>
        <v>1574720</v>
      </c>
      <c r="O579" s="95" t="n">
        <f aca="false">D579*L579</f>
        <v>2442101.76</v>
      </c>
      <c r="P579" s="34" t="str">
        <f aca="false">TRIM(IF(N(E579)&lt;=0,"택가보정 ","")&amp;IF(N(F579)&lt;=0,"원가보정 ","")&amp;IF(AND(B579&lt;&gt;"CN",N(H579)&lt;=0),"공급가보정 ","")&amp;IF(AND(B579="CN",N(I579)&lt;=0),"중국공급가=원가+마진 ",""))</f>
        <v/>
      </c>
    </row>
    <row r="580" customFormat="false" ht="15.75" hidden="false" customHeight="true" outlineLevel="0" collapsed="false">
      <c r="A580" s="94" t="s">
        <v>1685</v>
      </c>
      <c r="B580" s="34" t="str">
        <f aca="false">IF(A580="100","HK",IF(A580="200","CN",IF(A580="300","TW","홀세일")))</f>
        <v>CN</v>
      </c>
      <c r="C580" s="94" t="s">
        <v>408</v>
      </c>
      <c r="D580" s="95" t="n">
        <v>111</v>
      </c>
      <c r="E580" s="95" t="n">
        <v>159000</v>
      </c>
      <c r="F580" s="95" t="n">
        <v>35785</v>
      </c>
      <c r="G580" s="34" t="n">
        <v>4.19</v>
      </c>
      <c r="H580" s="34" t="n">
        <v>39.8</v>
      </c>
      <c r="J580" s="95" t="n">
        <f aca="false">IF(N(E580)&gt;0,E580,IF(N(F580)&gt;0,F580*가정!$B$5,0))</f>
        <v>159000</v>
      </c>
      <c r="K580" s="95" t="n">
        <f aca="false">IF(N(F580)&gt;0,F580,IF(N(E580)&gt;0,E580/가정!$B$5,0))</f>
        <v>35785</v>
      </c>
      <c r="L580" s="95" t="n">
        <f aca="false">IF(B580="CN",IF(N(I580)&gt;0,I580*가정!$B$3,K580*(1+가정!$B$6)),IF(N(H580)&gt;0,H580*가정!$B$3,J580*가정!$B$4))</f>
        <v>37574.25</v>
      </c>
      <c r="M580" s="95" t="n">
        <f aca="false">D580*J580</f>
        <v>17649000</v>
      </c>
      <c r="N580" s="95" t="n">
        <f aca="false">D580*K580</f>
        <v>3972135</v>
      </c>
      <c r="O580" s="95" t="n">
        <f aca="false">D580*L580</f>
        <v>4170741.75</v>
      </c>
      <c r="P580" s="34" t="str">
        <f aca="false">TRIM(IF(N(E580)&lt;=0,"택가보정 ","")&amp;IF(N(F580)&lt;=0,"원가보정 ","")&amp;IF(AND(B580&lt;&gt;"CN",N(H580)&lt;=0),"공급가보정 ","")&amp;IF(AND(B580="CN",N(I580)&lt;=0),"중국공급가=원가+마진 ",""))</f>
        <v>중국공급가=원가+마진</v>
      </c>
    </row>
    <row r="581" customFormat="false" ht="15" hidden="false" customHeight="true" outlineLevel="0" collapsed="false">
      <c r="A581" s="94" t="s">
        <v>1686</v>
      </c>
      <c r="B581" s="34" t="str">
        <f aca="false">IF(A581="100","HK",IF(A581="200","CN",IF(A581="300","TW","홀세일")))</f>
        <v>TW</v>
      </c>
      <c r="C581" s="94" t="s">
        <v>408</v>
      </c>
      <c r="D581" s="95" t="n">
        <v>120</v>
      </c>
      <c r="E581" s="95" t="n">
        <v>159000</v>
      </c>
      <c r="F581" s="95" t="n">
        <v>35785</v>
      </c>
      <c r="G581" s="34" t="n">
        <v>4.19</v>
      </c>
      <c r="H581" s="34" t="n">
        <v>39.8</v>
      </c>
      <c r="J581" s="95" t="n">
        <f aca="false">IF(N(E581)&gt;0,E581,IF(N(F581)&gt;0,F581*가정!$B$5,0))</f>
        <v>159000</v>
      </c>
      <c r="K581" s="95" t="n">
        <f aca="false">IF(N(F581)&gt;0,F581,IF(N(E581)&gt;0,E581/가정!$B$5,0))</f>
        <v>35785</v>
      </c>
      <c r="L581" s="95" t="n">
        <f aca="false">IF(B581="CN",IF(N(I581)&gt;0,I581*가정!$B$3,K581*(1+가정!$B$6)),IF(N(H581)&gt;0,H581*가정!$B$3,J581*가정!$B$4))</f>
        <v>54238.644</v>
      </c>
      <c r="M581" s="95" t="n">
        <f aca="false">D581*J581</f>
        <v>19080000</v>
      </c>
      <c r="N581" s="95" t="n">
        <f aca="false">D581*K581</f>
        <v>4294200</v>
      </c>
      <c r="O581" s="95" t="n">
        <f aca="false">D581*L581</f>
        <v>6508637.28</v>
      </c>
      <c r="P581" s="34" t="str">
        <f aca="false">TRIM(IF(N(E581)&lt;=0,"택가보정 ","")&amp;IF(N(F581)&lt;=0,"원가보정 ","")&amp;IF(AND(B581&lt;&gt;"CN",N(H581)&lt;=0),"공급가보정 ","")&amp;IF(AND(B581="CN",N(I581)&lt;=0),"중국공급가=원가+마진 ",""))</f>
        <v/>
      </c>
    </row>
    <row r="582" customFormat="false" ht="15" hidden="false" customHeight="true" outlineLevel="0" collapsed="false">
      <c r="A582" s="94" t="s">
        <v>1688</v>
      </c>
      <c r="B582" s="34" t="str">
        <f aca="false">IF(A582="100","HK",IF(A582="200","CN",IF(A582="300","TW","홀세일")))</f>
        <v>홀세일</v>
      </c>
      <c r="C582" s="94" t="s">
        <v>408</v>
      </c>
      <c r="D582" s="95" t="n">
        <v>15</v>
      </c>
      <c r="E582" s="95" t="n">
        <v>159000</v>
      </c>
      <c r="F582" s="95" t="n">
        <v>35785</v>
      </c>
      <c r="G582" s="34" t="n">
        <v>4.19</v>
      </c>
      <c r="H582" s="34" t="n">
        <v>39.8</v>
      </c>
      <c r="J582" s="95" t="n">
        <f aca="false">IF(N(E582)&gt;0,E582,IF(N(F582)&gt;0,F582*가정!$B$5,0))</f>
        <v>159000</v>
      </c>
      <c r="K582" s="95" t="n">
        <f aca="false">IF(N(F582)&gt;0,F582,IF(N(E582)&gt;0,E582/가정!$B$5,0))</f>
        <v>35785</v>
      </c>
      <c r="L582" s="95" t="n">
        <f aca="false">IF(B582="CN",IF(N(I582)&gt;0,I582*가정!$B$3,K582*(1+가정!$B$6)),IF(N(H582)&gt;0,H582*가정!$B$3,J582*가정!$B$4))</f>
        <v>54238.644</v>
      </c>
      <c r="M582" s="95" t="n">
        <f aca="false">D582*J582</f>
        <v>2385000</v>
      </c>
      <c r="N582" s="95" t="n">
        <f aca="false">D582*K582</f>
        <v>536775</v>
      </c>
      <c r="O582" s="95" t="n">
        <f aca="false">D582*L582</f>
        <v>813579.66</v>
      </c>
      <c r="P582" s="34" t="str">
        <f aca="false">TRIM(IF(N(E582)&lt;=0,"택가보정 ","")&amp;IF(N(F582)&lt;=0,"원가보정 ","")&amp;IF(AND(B582&lt;&gt;"CN",N(H582)&lt;=0),"공급가보정 ","")&amp;IF(AND(B582="CN",N(I582)&lt;=0),"중국공급가=원가+마진 ",""))</f>
        <v/>
      </c>
    </row>
    <row r="583" customFormat="false" ht="15.75" hidden="false" customHeight="true" outlineLevel="0" collapsed="false">
      <c r="A583" s="94" t="s">
        <v>1685</v>
      </c>
      <c r="B583" s="34" t="str">
        <f aca="false">IF(A583="100","HK",IF(A583="200","CN",IF(A583="300","TW","홀세일")))</f>
        <v>CN</v>
      </c>
      <c r="C583" s="94" t="s">
        <v>1108</v>
      </c>
      <c r="D583" s="95" t="n">
        <v>202</v>
      </c>
      <c r="E583" s="95" t="n">
        <v>179000</v>
      </c>
      <c r="F583" s="95" t="n">
        <v>34936</v>
      </c>
      <c r="G583" s="34" t="n">
        <v>4.2</v>
      </c>
      <c r="H583" s="34" t="n">
        <v>44.8</v>
      </c>
      <c r="J583" s="95" t="n">
        <f aca="false">IF(N(E583)&gt;0,E583,IF(N(F583)&gt;0,F583*가정!$B$5,0))</f>
        <v>179000</v>
      </c>
      <c r="K583" s="95" t="n">
        <f aca="false">IF(N(F583)&gt;0,F583,IF(N(E583)&gt;0,E583/가정!$B$5,0))</f>
        <v>34936</v>
      </c>
      <c r="L583" s="95" t="n">
        <f aca="false">IF(B583="CN",IF(N(I583)&gt;0,I583*가정!$B$3,K583*(1+가정!$B$6)),IF(N(H583)&gt;0,H583*가정!$B$3,J583*가정!$B$4))</f>
        <v>36682.8</v>
      </c>
      <c r="M583" s="95" t="n">
        <f aca="false">D583*J583</f>
        <v>36158000</v>
      </c>
      <c r="N583" s="95" t="n">
        <f aca="false">D583*K583</f>
        <v>7057072</v>
      </c>
      <c r="O583" s="95" t="n">
        <f aca="false">D583*L583</f>
        <v>7409925.6</v>
      </c>
      <c r="P583" s="34" t="str">
        <f aca="false">TRIM(IF(N(E583)&lt;=0,"택가보정 ","")&amp;IF(N(F583)&lt;=0,"원가보정 ","")&amp;IF(AND(B583&lt;&gt;"CN",N(H583)&lt;=0),"공급가보정 ","")&amp;IF(AND(B583="CN",N(I583)&lt;=0),"중국공급가=원가+마진 ",""))</f>
        <v>중국공급가=원가+마진</v>
      </c>
    </row>
    <row r="584" customFormat="false" ht="15" hidden="false" customHeight="true" outlineLevel="0" collapsed="false">
      <c r="A584" s="94" t="s">
        <v>1688</v>
      </c>
      <c r="B584" s="34" t="str">
        <f aca="false">IF(A584="100","HK",IF(A584="200","CN",IF(A584="300","TW","홀세일")))</f>
        <v>홀세일</v>
      </c>
      <c r="C584" s="94" t="s">
        <v>1357</v>
      </c>
      <c r="D584" s="95" t="n">
        <v>30</v>
      </c>
      <c r="E584" s="95" t="n">
        <v>89000</v>
      </c>
      <c r="F584" s="95" t="n">
        <v>16201</v>
      </c>
      <c r="G584" s="34" t="n">
        <v>4.57</v>
      </c>
      <c r="H584" s="34" t="n">
        <v>22.3</v>
      </c>
      <c r="J584" s="95" t="n">
        <f aca="false">IF(N(E584)&gt;0,E584,IF(N(F584)&gt;0,F584*가정!$B$5,0))</f>
        <v>89000</v>
      </c>
      <c r="K584" s="95" t="n">
        <f aca="false">IF(N(F584)&gt;0,F584,IF(N(E584)&gt;0,E584/가정!$B$5,0))</f>
        <v>16201</v>
      </c>
      <c r="L584" s="95" t="n">
        <f aca="false">IF(B584="CN",IF(N(I584)&gt;0,I584*가정!$B$3,K584*(1+가정!$B$6)),IF(N(H584)&gt;0,H584*가정!$B$3,J584*가정!$B$4))</f>
        <v>30389.994</v>
      </c>
      <c r="M584" s="95" t="n">
        <f aca="false">D584*J584</f>
        <v>2670000</v>
      </c>
      <c r="N584" s="95" t="n">
        <f aca="false">D584*K584</f>
        <v>486030</v>
      </c>
      <c r="O584" s="95" t="n">
        <f aca="false">D584*L584</f>
        <v>911699.82</v>
      </c>
      <c r="P584" s="34" t="str">
        <f aca="false">TRIM(IF(N(E584)&lt;=0,"택가보정 ","")&amp;IF(N(F584)&lt;=0,"원가보정 ","")&amp;IF(AND(B584&lt;&gt;"CN",N(H584)&lt;=0),"공급가보정 ","")&amp;IF(AND(B584="CN",N(I584)&lt;=0),"중국공급가=원가+마진 ",""))</f>
        <v/>
      </c>
    </row>
    <row r="585" customFormat="false" ht="15" hidden="false" customHeight="true" outlineLevel="0" collapsed="false">
      <c r="A585" s="94" t="s">
        <v>1692</v>
      </c>
      <c r="B585" s="34" t="str">
        <f aca="false">IF(A585="100","HK",IF(A585="200","CN",IF(A585="300","TW","홀세일")))</f>
        <v>홀세일</v>
      </c>
      <c r="C585" s="94" t="s">
        <v>1357</v>
      </c>
      <c r="D585" s="95" t="n">
        <v>183</v>
      </c>
      <c r="E585" s="95" t="n">
        <v>89000</v>
      </c>
      <c r="F585" s="95" t="n">
        <v>16201</v>
      </c>
      <c r="G585" s="34" t="n">
        <v>4.57</v>
      </c>
      <c r="H585" s="34" t="n">
        <v>22.3</v>
      </c>
      <c r="J585" s="95" t="n">
        <f aca="false">IF(N(E585)&gt;0,E585,IF(N(F585)&gt;0,F585*가정!$B$5,0))</f>
        <v>89000</v>
      </c>
      <c r="K585" s="95" t="n">
        <f aca="false">IF(N(F585)&gt;0,F585,IF(N(E585)&gt;0,E585/가정!$B$5,0))</f>
        <v>16201</v>
      </c>
      <c r="L585" s="95" t="n">
        <f aca="false">IF(B585="CN",IF(N(I585)&gt;0,I585*가정!$B$3,K585*(1+가정!$B$6)),IF(N(H585)&gt;0,H585*가정!$B$3,J585*가정!$B$4))</f>
        <v>30389.994</v>
      </c>
      <c r="M585" s="95" t="n">
        <f aca="false">D585*J585</f>
        <v>16287000</v>
      </c>
      <c r="N585" s="95" t="n">
        <f aca="false">D585*K585</f>
        <v>2964783</v>
      </c>
      <c r="O585" s="95" t="n">
        <f aca="false">D585*L585</f>
        <v>5561368.902</v>
      </c>
      <c r="P585" s="34" t="str">
        <f aca="false">TRIM(IF(N(E585)&lt;=0,"택가보정 ","")&amp;IF(N(F585)&lt;=0,"원가보정 ","")&amp;IF(AND(B585&lt;&gt;"CN",N(H585)&lt;=0),"공급가보정 ","")&amp;IF(AND(B585="CN",N(I585)&lt;=0),"중국공급가=원가+마진 ",""))</f>
        <v/>
      </c>
    </row>
    <row r="586" customFormat="false" ht="15" hidden="false" customHeight="true" outlineLevel="0" collapsed="false">
      <c r="A586" s="94" t="s">
        <v>1688</v>
      </c>
      <c r="B586" s="34" t="str">
        <f aca="false">IF(A586="100","HK",IF(A586="200","CN",IF(A586="300","TW","홀세일")))</f>
        <v>홀세일</v>
      </c>
      <c r="C586" s="94" t="s">
        <v>1359</v>
      </c>
      <c r="D586" s="95" t="n">
        <v>20</v>
      </c>
      <c r="E586" s="95" t="n">
        <v>99000</v>
      </c>
      <c r="F586" s="95" t="n">
        <v>16801</v>
      </c>
      <c r="G586" s="34" t="n">
        <v>5.96</v>
      </c>
      <c r="H586" s="34" t="n">
        <v>24.8</v>
      </c>
      <c r="J586" s="95" t="n">
        <f aca="false">IF(N(E586)&gt;0,E586,IF(N(F586)&gt;0,F586*가정!$B$5,0))</f>
        <v>99000</v>
      </c>
      <c r="K586" s="95" t="n">
        <f aca="false">IF(N(F586)&gt;0,F586,IF(N(E586)&gt;0,E586/가정!$B$5,0))</f>
        <v>16801</v>
      </c>
      <c r="L586" s="95" t="n">
        <f aca="false">IF(B586="CN",IF(N(I586)&gt;0,I586*가정!$B$3,K586*(1+가정!$B$6)),IF(N(H586)&gt;0,H586*가정!$B$3,J586*가정!$B$4))</f>
        <v>33796.944</v>
      </c>
      <c r="M586" s="95" t="n">
        <f aca="false">D586*J586</f>
        <v>1980000</v>
      </c>
      <c r="N586" s="95" t="n">
        <f aca="false">D586*K586</f>
        <v>336020</v>
      </c>
      <c r="O586" s="95" t="n">
        <f aca="false">D586*L586</f>
        <v>675938.88</v>
      </c>
      <c r="P586" s="34" t="str">
        <f aca="false">TRIM(IF(N(E586)&lt;=0,"택가보정 ","")&amp;IF(N(F586)&lt;=0,"원가보정 ","")&amp;IF(AND(B586&lt;&gt;"CN",N(H586)&lt;=0),"공급가보정 ","")&amp;IF(AND(B586="CN",N(I586)&lt;=0),"중국공급가=원가+마진 ",""))</f>
        <v/>
      </c>
    </row>
    <row r="587" customFormat="false" ht="15" hidden="false" customHeight="true" outlineLevel="0" collapsed="false">
      <c r="A587" s="94" t="s">
        <v>1692</v>
      </c>
      <c r="B587" s="34" t="str">
        <f aca="false">IF(A587="100","HK",IF(A587="200","CN",IF(A587="300","TW","홀세일")))</f>
        <v>홀세일</v>
      </c>
      <c r="C587" s="94" t="s">
        <v>1359</v>
      </c>
      <c r="D587" s="95" t="n">
        <v>107</v>
      </c>
      <c r="E587" s="95" t="n">
        <v>99000</v>
      </c>
      <c r="F587" s="95" t="n">
        <v>16801</v>
      </c>
      <c r="G587" s="34" t="n">
        <v>5.96</v>
      </c>
      <c r="H587" s="34" t="n">
        <v>24.8</v>
      </c>
      <c r="J587" s="95" t="n">
        <f aca="false">IF(N(E587)&gt;0,E587,IF(N(F587)&gt;0,F587*가정!$B$5,0))</f>
        <v>99000</v>
      </c>
      <c r="K587" s="95" t="n">
        <f aca="false">IF(N(F587)&gt;0,F587,IF(N(E587)&gt;0,E587/가정!$B$5,0))</f>
        <v>16801</v>
      </c>
      <c r="L587" s="95" t="n">
        <f aca="false">IF(B587="CN",IF(N(I587)&gt;0,I587*가정!$B$3,K587*(1+가정!$B$6)),IF(N(H587)&gt;0,H587*가정!$B$3,J587*가정!$B$4))</f>
        <v>33796.944</v>
      </c>
      <c r="M587" s="95" t="n">
        <f aca="false">D587*J587</f>
        <v>10593000</v>
      </c>
      <c r="N587" s="95" t="n">
        <f aca="false">D587*K587</f>
        <v>1797707</v>
      </c>
      <c r="O587" s="95" t="n">
        <f aca="false">D587*L587</f>
        <v>3616273.008</v>
      </c>
      <c r="P587" s="34" t="str">
        <f aca="false">TRIM(IF(N(E587)&lt;=0,"택가보정 ","")&amp;IF(N(F587)&lt;=0,"원가보정 ","")&amp;IF(AND(B587&lt;&gt;"CN",N(H587)&lt;=0),"공급가보정 ","")&amp;IF(AND(B587="CN",N(I587)&lt;=0),"중국공급가=원가+마진 ",""))</f>
        <v/>
      </c>
    </row>
    <row r="588" customFormat="false" ht="15" hidden="false" customHeight="true" outlineLevel="0" collapsed="false">
      <c r="A588" s="94" t="s">
        <v>1689</v>
      </c>
      <c r="B588" s="34" t="str">
        <f aca="false">IF(A588="100","HK",IF(A588="200","CN",IF(A588="300","TW","홀세일")))</f>
        <v>홀세일</v>
      </c>
      <c r="C588" s="94" t="s">
        <v>1359</v>
      </c>
      <c r="D588" s="95" t="n">
        <v>40</v>
      </c>
      <c r="E588" s="95" t="n">
        <v>99000</v>
      </c>
      <c r="F588" s="95" t="n">
        <v>16801</v>
      </c>
      <c r="G588" s="34" t="n">
        <v>5.96</v>
      </c>
      <c r="H588" s="34" t="n">
        <v>24.8</v>
      </c>
      <c r="J588" s="95" t="n">
        <f aca="false">IF(N(E588)&gt;0,E588,IF(N(F588)&gt;0,F588*가정!$B$5,0))</f>
        <v>99000</v>
      </c>
      <c r="K588" s="95" t="n">
        <f aca="false">IF(N(F588)&gt;0,F588,IF(N(E588)&gt;0,E588/가정!$B$5,0))</f>
        <v>16801</v>
      </c>
      <c r="L588" s="95" t="n">
        <f aca="false">IF(B588="CN",IF(N(I588)&gt;0,I588*가정!$B$3,K588*(1+가정!$B$6)),IF(N(H588)&gt;0,H588*가정!$B$3,J588*가정!$B$4))</f>
        <v>33796.944</v>
      </c>
      <c r="M588" s="95" t="n">
        <f aca="false">D588*J588</f>
        <v>3960000</v>
      </c>
      <c r="N588" s="95" t="n">
        <f aca="false">D588*K588</f>
        <v>672040</v>
      </c>
      <c r="O588" s="95" t="n">
        <f aca="false">D588*L588</f>
        <v>1351877.76</v>
      </c>
      <c r="P588" s="34" t="str">
        <f aca="false">TRIM(IF(N(E588)&lt;=0,"택가보정 ","")&amp;IF(N(F588)&lt;=0,"원가보정 ","")&amp;IF(AND(B588&lt;&gt;"CN",N(H588)&lt;=0),"공급가보정 ","")&amp;IF(AND(B588="CN",N(I588)&lt;=0),"중국공급가=원가+마진 ",""))</f>
        <v/>
      </c>
    </row>
    <row r="589" customFormat="false" ht="15" hidden="false" customHeight="true" outlineLevel="0" collapsed="false">
      <c r="A589" s="94" t="s">
        <v>1684</v>
      </c>
      <c r="B589" s="34" t="str">
        <f aca="false">IF(A589="100","HK",IF(A589="200","CN",IF(A589="300","TW","홀세일")))</f>
        <v>HK</v>
      </c>
      <c r="C589" s="94" t="s">
        <v>410</v>
      </c>
      <c r="D589" s="95" t="n">
        <v>160</v>
      </c>
      <c r="E589" s="95" t="n">
        <v>99000</v>
      </c>
      <c r="F589" s="95" t="n">
        <v>18501</v>
      </c>
      <c r="G589" s="34" t="n">
        <v>5.39</v>
      </c>
      <c r="H589" s="34" t="n">
        <v>24.8</v>
      </c>
      <c r="J589" s="95" t="n">
        <f aca="false">IF(N(E589)&gt;0,E589,IF(N(F589)&gt;0,F589*가정!$B$5,0))</f>
        <v>99000</v>
      </c>
      <c r="K589" s="95" t="n">
        <f aca="false">IF(N(F589)&gt;0,F589,IF(N(E589)&gt;0,E589/가정!$B$5,0))</f>
        <v>18501</v>
      </c>
      <c r="L589" s="95" t="n">
        <f aca="false">IF(B589="CN",IF(N(I589)&gt;0,I589*가정!$B$3,K589*(1+가정!$B$6)),IF(N(H589)&gt;0,H589*가정!$B$3,J589*가정!$B$4))</f>
        <v>33796.944</v>
      </c>
      <c r="M589" s="95" t="n">
        <f aca="false">D589*J589</f>
        <v>15840000</v>
      </c>
      <c r="N589" s="95" t="n">
        <f aca="false">D589*K589</f>
        <v>2960160</v>
      </c>
      <c r="O589" s="95" t="n">
        <f aca="false">D589*L589</f>
        <v>5407511.04</v>
      </c>
      <c r="P589" s="34" t="str">
        <f aca="false">TRIM(IF(N(E589)&lt;=0,"택가보정 ","")&amp;IF(N(F589)&lt;=0,"원가보정 ","")&amp;IF(AND(B589&lt;&gt;"CN",N(H589)&lt;=0),"공급가보정 ","")&amp;IF(AND(B589="CN",N(I589)&lt;=0),"중국공급가=원가+마진 ",""))</f>
        <v/>
      </c>
    </row>
    <row r="590" customFormat="false" ht="15" hidden="false" customHeight="true" outlineLevel="0" collapsed="false">
      <c r="A590" s="94" t="s">
        <v>1686</v>
      </c>
      <c r="B590" s="34" t="str">
        <f aca="false">IF(A590="100","HK",IF(A590="200","CN",IF(A590="300","TW","홀세일")))</f>
        <v>TW</v>
      </c>
      <c r="C590" s="94" t="s">
        <v>410</v>
      </c>
      <c r="D590" s="95" t="n">
        <v>80</v>
      </c>
      <c r="E590" s="95" t="n">
        <v>99000</v>
      </c>
      <c r="F590" s="95" t="n">
        <v>18501</v>
      </c>
      <c r="G590" s="34" t="n">
        <v>5.39</v>
      </c>
      <c r="H590" s="34" t="n">
        <v>24.8</v>
      </c>
      <c r="J590" s="95" t="n">
        <f aca="false">IF(N(E590)&gt;0,E590,IF(N(F590)&gt;0,F590*가정!$B$5,0))</f>
        <v>99000</v>
      </c>
      <c r="K590" s="95" t="n">
        <f aca="false">IF(N(F590)&gt;0,F590,IF(N(E590)&gt;0,E590/가정!$B$5,0))</f>
        <v>18501</v>
      </c>
      <c r="L590" s="95" t="n">
        <f aca="false">IF(B590="CN",IF(N(I590)&gt;0,I590*가정!$B$3,K590*(1+가정!$B$6)),IF(N(H590)&gt;0,H590*가정!$B$3,J590*가정!$B$4))</f>
        <v>33796.944</v>
      </c>
      <c r="M590" s="95" t="n">
        <f aca="false">D590*J590</f>
        <v>7920000</v>
      </c>
      <c r="N590" s="95" t="n">
        <f aca="false">D590*K590</f>
        <v>1480080</v>
      </c>
      <c r="O590" s="95" t="n">
        <f aca="false">D590*L590</f>
        <v>2703755.52</v>
      </c>
      <c r="P590" s="34" t="str">
        <f aca="false">TRIM(IF(N(E590)&lt;=0,"택가보정 ","")&amp;IF(N(F590)&lt;=0,"원가보정 ","")&amp;IF(AND(B590&lt;&gt;"CN",N(H590)&lt;=0),"공급가보정 ","")&amp;IF(AND(B590="CN",N(I590)&lt;=0),"중국공급가=원가+마진 ",""))</f>
        <v/>
      </c>
    </row>
    <row r="591" customFormat="false" ht="15" hidden="false" customHeight="true" outlineLevel="0" collapsed="false">
      <c r="A591" s="94" t="s">
        <v>1692</v>
      </c>
      <c r="B591" s="34" t="str">
        <f aca="false">IF(A591="100","HK",IF(A591="200","CN",IF(A591="300","TW","홀세일")))</f>
        <v>홀세일</v>
      </c>
      <c r="C591" s="94" t="s">
        <v>410</v>
      </c>
      <c r="D591" s="95" t="n">
        <v>46</v>
      </c>
      <c r="E591" s="95" t="n">
        <v>99000</v>
      </c>
      <c r="F591" s="95" t="n">
        <v>18501</v>
      </c>
      <c r="G591" s="34" t="n">
        <v>5.39</v>
      </c>
      <c r="H591" s="34" t="n">
        <v>24.8</v>
      </c>
      <c r="J591" s="95" t="n">
        <f aca="false">IF(N(E591)&gt;0,E591,IF(N(F591)&gt;0,F591*가정!$B$5,0))</f>
        <v>99000</v>
      </c>
      <c r="K591" s="95" t="n">
        <f aca="false">IF(N(F591)&gt;0,F591,IF(N(E591)&gt;0,E591/가정!$B$5,0))</f>
        <v>18501</v>
      </c>
      <c r="L591" s="95" t="n">
        <f aca="false">IF(B591="CN",IF(N(I591)&gt;0,I591*가정!$B$3,K591*(1+가정!$B$6)),IF(N(H591)&gt;0,H591*가정!$B$3,J591*가정!$B$4))</f>
        <v>33796.944</v>
      </c>
      <c r="M591" s="95" t="n">
        <f aca="false">D591*J591</f>
        <v>4554000</v>
      </c>
      <c r="N591" s="95" t="n">
        <f aca="false">D591*K591</f>
        <v>851046</v>
      </c>
      <c r="O591" s="95" t="n">
        <f aca="false">D591*L591</f>
        <v>1554659.424</v>
      </c>
      <c r="P591" s="34" t="str">
        <f aca="false">TRIM(IF(N(E591)&lt;=0,"택가보정 ","")&amp;IF(N(F591)&lt;=0,"원가보정 ","")&amp;IF(AND(B591&lt;&gt;"CN",N(H591)&lt;=0),"공급가보정 ","")&amp;IF(AND(B591="CN",N(I591)&lt;=0),"중국공급가=원가+마진 ",""))</f>
        <v/>
      </c>
    </row>
    <row r="592" customFormat="false" ht="15" hidden="false" customHeight="true" outlineLevel="0" collapsed="false">
      <c r="A592" s="94" t="s">
        <v>1688</v>
      </c>
      <c r="B592" s="34" t="str">
        <f aca="false">IF(A592="100","HK",IF(A592="200","CN",IF(A592="300","TW","홀세일")))</f>
        <v>홀세일</v>
      </c>
      <c r="C592" s="94" t="s">
        <v>1361</v>
      </c>
      <c r="D592" s="95" t="n">
        <v>20</v>
      </c>
      <c r="E592" s="95" t="n">
        <v>99000</v>
      </c>
      <c r="F592" s="95" t="n">
        <v>20600</v>
      </c>
      <c r="G592" s="34" t="n">
        <v>5.08</v>
      </c>
      <c r="H592" s="34" t="n">
        <v>24.8</v>
      </c>
      <c r="J592" s="95" t="n">
        <f aca="false">IF(N(E592)&gt;0,E592,IF(N(F592)&gt;0,F592*가정!$B$5,0))</f>
        <v>99000</v>
      </c>
      <c r="K592" s="95" t="n">
        <f aca="false">IF(N(F592)&gt;0,F592,IF(N(E592)&gt;0,E592/가정!$B$5,0))</f>
        <v>20600</v>
      </c>
      <c r="L592" s="95" t="n">
        <f aca="false">IF(B592="CN",IF(N(I592)&gt;0,I592*가정!$B$3,K592*(1+가정!$B$6)),IF(N(H592)&gt;0,H592*가정!$B$3,J592*가정!$B$4))</f>
        <v>33796.944</v>
      </c>
      <c r="M592" s="95" t="n">
        <f aca="false">D592*J592</f>
        <v>1980000</v>
      </c>
      <c r="N592" s="95" t="n">
        <f aca="false">D592*K592</f>
        <v>412000</v>
      </c>
      <c r="O592" s="95" t="n">
        <f aca="false">D592*L592</f>
        <v>675938.88</v>
      </c>
      <c r="P592" s="34" t="str">
        <f aca="false">TRIM(IF(N(E592)&lt;=0,"택가보정 ","")&amp;IF(N(F592)&lt;=0,"원가보정 ","")&amp;IF(AND(B592&lt;&gt;"CN",N(H592)&lt;=0),"공급가보정 ","")&amp;IF(AND(B592="CN",N(I592)&lt;=0),"중국공급가=원가+마진 ",""))</f>
        <v/>
      </c>
    </row>
    <row r="593" customFormat="false" ht="15" hidden="false" customHeight="true" outlineLevel="0" collapsed="false">
      <c r="A593" s="94" t="s">
        <v>1690</v>
      </c>
      <c r="B593" s="34" t="str">
        <f aca="false">IF(A593="100","HK",IF(A593="200","CN",IF(A593="300","TW","홀세일")))</f>
        <v>홀세일</v>
      </c>
      <c r="C593" s="94" t="s">
        <v>1361</v>
      </c>
      <c r="D593" s="95" t="n">
        <v>204</v>
      </c>
      <c r="E593" s="95" t="n">
        <v>99000</v>
      </c>
      <c r="F593" s="95" t="n">
        <v>20600</v>
      </c>
      <c r="G593" s="34" t="n">
        <v>5.08</v>
      </c>
      <c r="H593" s="34" t="n">
        <v>24.8</v>
      </c>
      <c r="J593" s="95" t="n">
        <f aca="false">IF(N(E593)&gt;0,E593,IF(N(F593)&gt;0,F593*가정!$B$5,0))</f>
        <v>99000</v>
      </c>
      <c r="K593" s="95" t="n">
        <f aca="false">IF(N(F593)&gt;0,F593,IF(N(E593)&gt;0,E593/가정!$B$5,0))</f>
        <v>20600</v>
      </c>
      <c r="L593" s="95" t="n">
        <f aca="false">IF(B593="CN",IF(N(I593)&gt;0,I593*가정!$B$3,K593*(1+가정!$B$6)),IF(N(H593)&gt;0,H593*가정!$B$3,J593*가정!$B$4))</f>
        <v>33796.944</v>
      </c>
      <c r="M593" s="95" t="n">
        <f aca="false">D593*J593</f>
        <v>20196000</v>
      </c>
      <c r="N593" s="95" t="n">
        <f aca="false">D593*K593</f>
        <v>4202400</v>
      </c>
      <c r="O593" s="95" t="n">
        <f aca="false">D593*L593</f>
        <v>6894576.576</v>
      </c>
      <c r="P593" s="34" t="str">
        <f aca="false">TRIM(IF(N(E593)&lt;=0,"택가보정 ","")&amp;IF(N(F593)&lt;=0,"원가보정 ","")&amp;IF(AND(B593&lt;&gt;"CN",N(H593)&lt;=0),"공급가보정 ","")&amp;IF(AND(B593="CN",N(I593)&lt;=0),"중국공급가=원가+마진 ",""))</f>
        <v/>
      </c>
    </row>
    <row r="594" customFormat="false" ht="15" hidden="false" customHeight="true" outlineLevel="0" collapsed="false">
      <c r="A594" s="94" t="s">
        <v>1684</v>
      </c>
      <c r="B594" s="34" t="str">
        <f aca="false">IF(A594="100","HK",IF(A594="200","CN",IF(A594="300","TW","홀세일")))</f>
        <v>HK</v>
      </c>
      <c r="C594" s="94" t="s">
        <v>412</v>
      </c>
      <c r="D594" s="95" t="n">
        <v>90</v>
      </c>
      <c r="E594" s="95" t="n">
        <v>109000</v>
      </c>
      <c r="F594" s="95" t="n">
        <v>23808</v>
      </c>
      <c r="G594" s="34" t="n">
        <v>4.38</v>
      </c>
      <c r="H594" s="34" t="n">
        <v>27.3</v>
      </c>
      <c r="J594" s="95" t="n">
        <f aca="false">IF(N(E594)&gt;0,E594,IF(N(F594)&gt;0,F594*가정!$B$5,0))</f>
        <v>109000</v>
      </c>
      <c r="K594" s="95" t="n">
        <f aca="false">IF(N(F594)&gt;0,F594,IF(N(E594)&gt;0,E594/가정!$B$5,0))</f>
        <v>23808</v>
      </c>
      <c r="L594" s="95" t="n">
        <f aca="false">IF(B594="CN",IF(N(I594)&gt;0,I594*가정!$B$3,K594*(1+가정!$B$6)),IF(N(H594)&gt;0,H594*가정!$B$3,J594*가정!$B$4))</f>
        <v>37203.894</v>
      </c>
      <c r="M594" s="95" t="n">
        <f aca="false">D594*J594</f>
        <v>9810000</v>
      </c>
      <c r="N594" s="95" t="n">
        <f aca="false">D594*K594</f>
        <v>2142720</v>
      </c>
      <c r="O594" s="95" t="n">
        <f aca="false">D594*L594</f>
        <v>3348350.46</v>
      </c>
      <c r="P594" s="34" t="str">
        <f aca="false">TRIM(IF(N(E594)&lt;=0,"택가보정 ","")&amp;IF(N(F594)&lt;=0,"원가보정 ","")&amp;IF(AND(B594&lt;&gt;"CN",N(H594)&lt;=0),"공급가보정 ","")&amp;IF(AND(B594="CN",N(I594)&lt;=0),"중국공급가=원가+마진 ",""))</f>
        <v/>
      </c>
    </row>
    <row r="595" customFormat="false" ht="15.75" hidden="false" customHeight="true" outlineLevel="0" collapsed="false">
      <c r="A595" s="94" t="s">
        <v>1685</v>
      </c>
      <c r="B595" s="34" t="str">
        <f aca="false">IF(A595="100","HK",IF(A595="200","CN",IF(A595="300","TW","홀세일")))</f>
        <v>CN</v>
      </c>
      <c r="C595" s="94" t="s">
        <v>412</v>
      </c>
      <c r="D595" s="95" t="n">
        <v>171</v>
      </c>
      <c r="E595" s="95" t="n">
        <v>109000</v>
      </c>
      <c r="F595" s="95" t="n">
        <v>23808</v>
      </c>
      <c r="G595" s="34" t="n">
        <v>4.38</v>
      </c>
      <c r="H595" s="34" t="n">
        <v>27.3</v>
      </c>
      <c r="J595" s="95" t="n">
        <f aca="false">IF(N(E595)&gt;0,E595,IF(N(F595)&gt;0,F595*가정!$B$5,0))</f>
        <v>109000</v>
      </c>
      <c r="K595" s="95" t="n">
        <f aca="false">IF(N(F595)&gt;0,F595,IF(N(E595)&gt;0,E595/가정!$B$5,0))</f>
        <v>23808</v>
      </c>
      <c r="L595" s="95" t="n">
        <f aca="false">IF(B595="CN",IF(N(I595)&gt;0,I595*가정!$B$3,K595*(1+가정!$B$6)),IF(N(H595)&gt;0,H595*가정!$B$3,J595*가정!$B$4))</f>
        <v>24998.4</v>
      </c>
      <c r="M595" s="95" t="n">
        <f aca="false">D595*J595</f>
        <v>18639000</v>
      </c>
      <c r="N595" s="95" t="n">
        <f aca="false">D595*K595</f>
        <v>4071168</v>
      </c>
      <c r="O595" s="95" t="n">
        <f aca="false">D595*L595</f>
        <v>4274726.4</v>
      </c>
      <c r="P595" s="34" t="str">
        <f aca="false">TRIM(IF(N(E595)&lt;=0,"택가보정 ","")&amp;IF(N(F595)&lt;=0,"원가보정 ","")&amp;IF(AND(B595&lt;&gt;"CN",N(H595)&lt;=0),"공급가보정 ","")&amp;IF(AND(B595="CN",N(I595)&lt;=0),"중국공급가=원가+마진 ",""))</f>
        <v>중국공급가=원가+마진</v>
      </c>
    </row>
    <row r="596" customFormat="false" ht="15" hidden="false" customHeight="true" outlineLevel="0" collapsed="false">
      <c r="A596" s="94" t="s">
        <v>1686</v>
      </c>
      <c r="B596" s="34" t="str">
        <f aca="false">IF(A596="100","HK",IF(A596="200","CN",IF(A596="300","TW","홀세일")))</f>
        <v>TW</v>
      </c>
      <c r="C596" s="94" t="s">
        <v>412</v>
      </c>
      <c r="D596" s="95" t="n">
        <v>160</v>
      </c>
      <c r="E596" s="95" t="n">
        <v>109000</v>
      </c>
      <c r="F596" s="95" t="n">
        <v>23808</v>
      </c>
      <c r="G596" s="34" t="n">
        <v>4.38</v>
      </c>
      <c r="H596" s="34" t="n">
        <v>27.3</v>
      </c>
      <c r="J596" s="95" t="n">
        <f aca="false">IF(N(E596)&gt;0,E596,IF(N(F596)&gt;0,F596*가정!$B$5,0))</f>
        <v>109000</v>
      </c>
      <c r="K596" s="95" t="n">
        <f aca="false">IF(N(F596)&gt;0,F596,IF(N(E596)&gt;0,E596/가정!$B$5,0))</f>
        <v>23808</v>
      </c>
      <c r="L596" s="95" t="n">
        <f aca="false">IF(B596="CN",IF(N(I596)&gt;0,I596*가정!$B$3,K596*(1+가정!$B$6)),IF(N(H596)&gt;0,H596*가정!$B$3,J596*가정!$B$4))</f>
        <v>37203.894</v>
      </c>
      <c r="M596" s="95" t="n">
        <f aca="false">D596*J596</f>
        <v>17440000</v>
      </c>
      <c r="N596" s="95" t="n">
        <f aca="false">D596*K596</f>
        <v>3809280</v>
      </c>
      <c r="O596" s="95" t="n">
        <f aca="false">D596*L596</f>
        <v>5952623.04</v>
      </c>
      <c r="P596" s="34" t="str">
        <f aca="false">TRIM(IF(N(E596)&lt;=0,"택가보정 ","")&amp;IF(N(F596)&lt;=0,"원가보정 ","")&amp;IF(AND(B596&lt;&gt;"CN",N(H596)&lt;=0),"공급가보정 ","")&amp;IF(AND(B596="CN",N(I596)&lt;=0),"중국공급가=원가+마진 ",""))</f>
        <v/>
      </c>
    </row>
    <row r="597" customFormat="false" ht="15" hidden="false" customHeight="true" outlineLevel="0" collapsed="false">
      <c r="A597" s="94" t="s">
        <v>1688</v>
      </c>
      <c r="B597" s="34" t="str">
        <f aca="false">IF(A597="100","HK",IF(A597="200","CN",IF(A597="300","TW","홀세일")))</f>
        <v>홀세일</v>
      </c>
      <c r="C597" s="94" t="s">
        <v>412</v>
      </c>
      <c r="D597" s="95" t="n">
        <v>30</v>
      </c>
      <c r="E597" s="95" t="n">
        <v>109000</v>
      </c>
      <c r="F597" s="95" t="n">
        <v>23808</v>
      </c>
      <c r="G597" s="34" t="n">
        <v>4.38</v>
      </c>
      <c r="H597" s="34" t="n">
        <v>27.3</v>
      </c>
      <c r="J597" s="95" t="n">
        <f aca="false">IF(N(E597)&gt;0,E597,IF(N(F597)&gt;0,F597*가정!$B$5,0))</f>
        <v>109000</v>
      </c>
      <c r="K597" s="95" t="n">
        <f aca="false">IF(N(F597)&gt;0,F597,IF(N(E597)&gt;0,E597/가정!$B$5,0))</f>
        <v>23808</v>
      </c>
      <c r="L597" s="95" t="n">
        <f aca="false">IF(B597="CN",IF(N(I597)&gt;0,I597*가정!$B$3,K597*(1+가정!$B$6)),IF(N(H597)&gt;0,H597*가정!$B$3,J597*가정!$B$4))</f>
        <v>37203.894</v>
      </c>
      <c r="M597" s="95" t="n">
        <f aca="false">D597*J597</f>
        <v>3270000</v>
      </c>
      <c r="N597" s="95" t="n">
        <f aca="false">D597*K597</f>
        <v>714240</v>
      </c>
      <c r="O597" s="95" t="n">
        <f aca="false">D597*L597</f>
        <v>1116116.82</v>
      </c>
      <c r="P597" s="34" t="str">
        <f aca="false">TRIM(IF(N(E597)&lt;=0,"택가보정 ","")&amp;IF(N(F597)&lt;=0,"원가보정 ","")&amp;IF(AND(B597&lt;&gt;"CN",N(H597)&lt;=0),"공급가보정 ","")&amp;IF(AND(B597="CN",N(I597)&lt;=0),"중국공급가=원가+마진 ",""))</f>
        <v/>
      </c>
    </row>
    <row r="598" customFormat="false" ht="15" hidden="false" customHeight="true" outlineLevel="0" collapsed="false">
      <c r="A598" s="94" t="s">
        <v>1690</v>
      </c>
      <c r="B598" s="34" t="str">
        <f aca="false">IF(A598="100","HK",IF(A598="200","CN",IF(A598="300","TW","홀세일")))</f>
        <v>홀세일</v>
      </c>
      <c r="C598" s="94" t="s">
        <v>412</v>
      </c>
      <c r="D598" s="95" t="n">
        <v>204</v>
      </c>
      <c r="E598" s="95" t="n">
        <v>109000</v>
      </c>
      <c r="F598" s="95" t="n">
        <v>23808</v>
      </c>
      <c r="G598" s="34" t="n">
        <v>4.38</v>
      </c>
      <c r="H598" s="34" t="n">
        <v>27.3</v>
      </c>
      <c r="J598" s="95" t="n">
        <f aca="false">IF(N(E598)&gt;0,E598,IF(N(F598)&gt;0,F598*가정!$B$5,0))</f>
        <v>109000</v>
      </c>
      <c r="K598" s="95" t="n">
        <f aca="false">IF(N(F598)&gt;0,F598,IF(N(E598)&gt;0,E598/가정!$B$5,0))</f>
        <v>23808</v>
      </c>
      <c r="L598" s="95" t="n">
        <f aca="false">IF(B598="CN",IF(N(I598)&gt;0,I598*가정!$B$3,K598*(1+가정!$B$6)),IF(N(H598)&gt;0,H598*가정!$B$3,J598*가정!$B$4))</f>
        <v>37203.894</v>
      </c>
      <c r="M598" s="95" t="n">
        <f aca="false">D598*J598</f>
        <v>22236000</v>
      </c>
      <c r="N598" s="95" t="n">
        <f aca="false">D598*K598</f>
        <v>4856832</v>
      </c>
      <c r="O598" s="95" t="n">
        <f aca="false">D598*L598</f>
        <v>7589594.376</v>
      </c>
      <c r="P598" s="34" t="str">
        <f aca="false">TRIM(IF(N(E598)&lt;=0,"택가보정 ","")&amp;IF(N(F598)&lt;=0,"원가보정 ","")&amp;IF(AND(B598&lt;&gt;"CN",N(H598)&lt;=0),"공급가보정 ","")&amp;IF(AND(B598="CN",N(I598)&lt;=0),"중국공급가=원가+마진 ",""))</f>
        <v/>
      </c>
    </row>
    <row r="599" customFormat="false" ht="15.75" hidden="false" customHeight="true" outlineLevel="0" collapsed="false">
      <c r="A599" s="94" t="s">
        <v>1685</v>
      </c>
      <c r="B599" s="34" t="str">
        <f aca="false">IF(A599="100","HK",IF(A599="200","CN",IF(A599="300","TW","홀세일")))</f>
        <v>CN</v>
      </c>
      <c r="C599" s="94" t="s">
        <v>1110</v>
      </c>
      <c r="D599" s="95" t="n">
        <v>293</v>
      </c>
      <c r="E599" s="95" t="n">
        <v>129000</v>
      </c>
      <c r="F599" s="95" t="n">
        <v>29144</v>
      </c>
      <c r="G599" s="34" t="n">
        <v>3.96</v>
      </c>
      <c r="H599" s="34" t="n">
        <v>32.3</v>
      </c>
      <c r="J599" s="95" t="n">
        <f aca="false">IF(N(E599)&gt;0,E599,IF(N(F599)&gt;0,F599*가정!$B$5,0))</f>
        <v>129000</v>
      </c>
      <c r="K599" s="95" t="n">
        <f aca="false">IF(N(F599)&gt;0,F599,IF(N(E599)&gt;0,E599/가정!$B$5,0))</f>
        <v>29144</v>
      </c>
      <c r="L599" s="95" t="n">
        <f aca="false">IF(B599="CN",IF(N(I599)&gt;0,I599*가정!$B$3,K599*(1+가정!$B$6)),IF(N(H599)&gt;0,H599*가정!$B$3,J599*가정!$B$4))</f>
        <v>30601.2</v>
      </c>
      <c r="M599" s="95" t="n">
        <f aca="false">D599*J599</f>
        <v>37797000</v>
      </c>
      <c r="N599" s="95" t="n">
        <f aca="false">D599*K599</f>
        <v>8539192</v>
      </c>
      <c r="O599" s="95" t="n">
        <f aca="false">D599*L599</f>
        <v>8966151.6</v>
      </c>
      <c r="P599" s="34" t="str">
        <f aca="false">TRIM(IF(N(E599)&lt;=0,"택가보정 ","")&amp;IF(N(F599)&lt;=0,"원가보정 ","")&amp;IF(AND(B599&lt;&gt;"CN",N(H599)&lt;=0),"공급가보정 ","")&amp;IF(AND(B599="CN",N(I599)&lt;=0),"중국공급가=원가+마진 ",""))</f>
        <v>중국공급가=원가+마진</v>
      </c>
    </row>
    <row r="600" customFormat="false" ht="15" hidden="false" customHeight="true" outlineLevel="0" collapsed="false">
      <c r="A600" s="94" t="s">
        <v>1688</v>
      </c>
      <c r="B600" s="34" t="str">
        <f aca="false">IF(A600="100","HK",IF(A600="200","CN",IF(A600="300","TW","홀세일")))</f>
        <v>홀세일</v>
      </c>
      <c r="C600" s="94" t="s">
        <v>1110</v>
      </c>
      <c r="D600" s="95" t="n">
        <v>30</v>
      </c>
      <c r="E600" s="95" t="n">
        <v>129000</v>
      </c>
      <c r="F600" s="95" t="n">
        <v>29144</v>
      </c>
      <c r="G600" s="34" t="n">
        <v>3.96</v>
      </c>
      <c r="H600" s="34" t="n">
        <v>32.3</v>
      </c>
      <c r="J600" s="95" t="n">
        <f aca="false">IF(N(E600)&gt;0,E600,IF(N(F600)&gt;0,F600*가정!$B$5,0))</f>
        <v>129000</v>
      </c>
      <c r="K600" s="95" t="n">
        <f aca="false">IF(N(F600)&gt;0,F600,IF(N(E600)&gt;0,E600/가정!$B$5,0))</f>
        <v>29144</v>
      </c>
      <c r="L600" s="95" t="n">
        <f aca="false">IF(B600="CN",IF(N(I600)&gt;0,I600*가정!$B$3,K600*(1+가정!$B$6)),IF(N(H600)&gt;0,H600*가정!$B$3,J600*가정!$B$4))</f>
        <v>44017.794</v>
      </c>
      <c r="M600" s="95" t="n">
        <f aca="false">D600*J600</f>
        <v>3870000</v>
      </c>
      <c r="N600" s="95" t="n">
        <f aca="false">D600*K600</f>
        <v>874320</v>
      </c>
      <c r="O600" s="95" t="n">
        <f aca="false">D600*L600</f>
        <v>1320533.82</v>
      </c>
      <c r="P600" s="34" t="str">
        <f aca="false">TRIM(IF(N(E600)&lt;=0,"택가보정 ","")&amp;IF(N(F600)&lt;=0,"원가보정 ","")&amp;IF(AND(B600&lt;&gt;"CN",N(H600)&lt;=0),"공급가보정 ","")&amp;IF(AND(B600="CN",N(I600)&lt;=0),"중국공급가=원가+마진 ",""))</f>
        <v/>
      </c>
    </row>
    <row r="601" customFormat="false" ht="15" hidden="false" customHeight="true" outlineLevel="0" collapsed="false">
      <c r="A601" s="94" t="s">
        <v>1684</v>
      </c>
      <c r="B601" s="34" t="str">
        <f aca="false">IF(A601="100","HK",IF(A601="200","CN",IF(A601="300","TW","홀세일")))</f>
        <v>HK</v>
      </c>
      <c r="C601" s="94" t="s">
        <v>905</v>
      </c>
      <c r="D601" s="95" t="n">
        <v>300</v>
      </c>
      <c r="E601" s="95" t="n">
        <v>59000</v>
      </c>
      <c r="F601" s="95" t="n">
        <v>8200</v>
      </c>
      <c r="G601" s="34" t="n">
        <v>6.1</v>
      </c>
      <c r="H601" s="34" t="n">
        <v>14.8</v>
      </c>
      <c r="J601" s="95" t="n">
        <f aca="false">IF(N(E601)&gt;0,E601,IF(N(F601)&gt;0,F601*가정!$B$5,0))</f>
        <v>59000</v>
      </c>
      <c r="K601" s="95" t="n">
        <f aca="false">IF(N(F601)&gt;0,F601,IF(N(E601)&gt;0,E601/가정!$B$5,0))</f>
        <v>8200</v>
      </c>
      <c r="L601" s="95" t="n">
        <f aca="false">IF(B601="CN",IF(N(I601)&gt;0,I601*가정!$B$3,K601*(1+가정!$B$6)),IF(N(H601)&gt;0,H601*가정!$B$3,J601*가정!$B$4))</f>
        <v>20169.144</v>
      </c>
      <c r="M601" s="95" t="n">
        <f aca="false">D601*J601</f>
        <v>17700000</v>
      </c>
      <c r="N601" s="95" t="n">
        <f aca="false">D601*K601</f>
        <v>2460000</v>
      </c>
      <c r="O601" s="95" t="n">
        <f aca="false">D601*L601</f>
        <v>6050743.2</v>
      </c>
      <c r="P601" s="34" t="str">
        <f aca="false">TRIM(IF(N(E601)&lt;=0,"택가보정 ","")&amp;IF(N(F601)&lt;=0,"원가보정 ","")&amp;IF(AND(B601&lt;&gt;"CN",N(H601)&lt;=0),"공급가보정 ","")&amp;IF(AND(B601="CN",N(I601)&lt;=0),"중국공급가=원가+마진 ",""))</f>
        <v/>
      </c>
    </row>
    <row r="602" customFormat="false" ht="15" hidden="false" customHeight="true" outlineLevel="0" collapsed="false">
      <c r="A602" s="94" t="s">
        <v>1688</v>
      </c>
      <c r="B602" s="34" t="str">
        <f aca="false">IF(A602="100","HK",IF(A602="200","CN",IF(A602="300","TW","홀세일")))</f>
        <v>홀세일</v>
      </c>
      <c r="C602" s="94" t="s">
        <v>905</v>
      </c>
      <c r="D602" s="95" t="n">
        <v>38</v>
      </c>
      <c r="E602" s="95" t="n">
        <v>59000</v>
      </c>
      <c r="F602" s="95" t="n">
        <v>8200</v>
      </c>
      <c r="G602" s="34" t="n">
        <v>6.1</v>
      </c>
      <c r="H602" s="34" t="n">
        <v>14.8</v>
      </c>
      <c r="J602" s="95" t="n">
        <f aca="false">IF(N(E602)&gt;0,E602,IF(N(F602)&gt;0,F602*가정!$B$5,0))</f>
        <v>59000</v>
      </c>
      <c r="K602" s="95" t="n">
        <f aca="false">IF(N(F602)&gt;0,F602,IF(N(E602)&gt;0,E602/가정!$B$5,0))</f>
        <v>8200</v>
      </c>
      <c r="L602" s="95" t="n">
        <f aca="false">IF(B602="CN",IF(N(I602)&gt;0,I602*가정!$B$3,K602*(1+가정!$B$6)),IF(N(H602)&gt;0,H602*가정!$B$3,J602*가정!$B$4))</f>
        <v>20169.144</v>
      </c>
      <c r="M602" s="95" t="n">
        <f aca="false">D602*J602</f>
        <v>2242000</v>
      </c>
      <c r="N602" s="95" t="n">
        <f aca="false">D602*K602</f>
        <v>311600</v>
      </c>
      <c r="O602" s="95" t="n">
        <f aca="false">D602*L602</f>
        <v>766427.472</v>
      </c>
      <c r="P602" s="34" t="str">
        <f aca="false">TRIM(IF(N(E602)&lt;=0,"택가보정 ","")&amp;IF(N(F602)&lt;=0,"원가보정 ","")&amp;IF(AND(B602&lt;&gt;"CN",N(H602)&lt;=0),"공급가보정 ","")&amp;IF(AND(B602="CN",N(I602)&lt;=0),"중국공급가=원가+마진 ",""))</f>
        <v/>
      </c>
    </row>
    <row r="603" customFormat="false" ht="15" hidden="false" customHeight="true" outlineLevel="0" collapsed="false">
      <c r="A603" s="94" t="s">
        <v>1684</v>
      </c>
      <c r="B603" s="34" t="str">
        <f aca="false">IF(A603="100","HK",IF(A603="200","CN",IF(A603="300","TW","홀세일")))</f>
        <v>HK</v>
      </c>
      <c r="C603" s="94" t="s">
        <v>907</v>
      </c>
      <c r="D603" s="95" t="n">
        <v>300</v>
      </c>
      <c r="E603" s="95" t="n">
        <v>69000</v>
      </c>
      <c r="F603" s="95" t="n">
        <v>12100</v>
      </c>
      <c r="G603" s="34" t="n">
        <v>4.68</v>
      </c>
      <c r="H603" s="34" t="n">
        <v>17.3</v>
      </c>
      <c r="J603" s="95" t="n">
        <f aca="false">IF(N(E603)&gt;0,E603,IF(N(F603)&gt;0,F603*가정!$B$5,0))</f>
        <v>69000</v>
      </c>
      <c r="K603" s="95" t="n">
        <f aca="false">IF(N(F603)&gt;0,F603,IF(N(E603)&gt;0,E603/가정!$B$5,0))</f>
        <v>12100</v>
      </c>
      <c r="L603" s="95" t="n">
        <f aca="false">IF(B603="CN",IF(N(I603)&gt;0,I603*가정!$B$3,K603*(1+가정!$B$6)),IF(N(H603)&gt;0,H603*가정!$B$3,J603*가정!$B$4))</f>
        <v>23576.094</v>
      </c>
      <c r="M603" s="95" t="n">
        <f aca="false">D603*J603</f>
        <v>20700000</v>
      </c>
      <c r="N603" s="95" t="n">
        <f aca="false">D603*K603</f>
        <v>3630000</v>
      </c>
      <c r="O603" s="95" t="n">
        <f aca="false">D603*L603</f>
        <v>7072828.2</v>
      </c>
      <c r="P603" s="34" t="str">
        <f aca="false">TRIM(IF(N(E603)&lt;=0,"택가보정 ","")&amp;IF(N(F603)&lt;=0,"원가보정 ","")&amp;IF(AND(B603&lt;&gt;"CN",N(H603)&lt;=0),"공급가보정 ","")&amp;IF(AND(B603="CN",N(I603)&lt;=0),"중국공급가=원가+마진 ",""))</f>
        <v/>
      </c>
    </row>
    <row r="604" customFormat="false" ht="15" hidden="false" customHeight="true" outlineLevel="0" collapsed="false">
      <c r="A604" s="94" t="s">
        <v>1684</v>
      </c>
      <c r="B604" s="34" t="str">
        <f aca="false">IF(A604="100","HK",IF(A604="200","CN",IF(A604="300","TW","홀세일")))</f>
        <v>HK</v>
      </c>
      <c r="C604" s="94" t="s">
        <v>909</v>
      </c>
      <c r="D604" s="95" t="n">
        <v>150</v>
      </c>
      <c r="E604" s="95" t="n">
        <v>69000</v>
      </c>
      <c r="F604" s="95" t="n">
        <v>11018</v>
      </c>
      <c r="G604" s="34" t="n">
        <v>4.19</v>
      </c>
      <c r="H604" s="34" t="n">
        <v>17.3</v>
      </c>
      <c r="J604" s="95" t="n">
        <f aca="false">IF(N(E604)&gt;0,E604,IF(N(F604)&gt;0,F604*가정!$B$5,0))</f>
        <v>69000</v>
      </c>
      <c r="K604" s="95" t="n">
        <f aca="false">IF(N(F604)&gt;0,F604,IF(N(E604)&gt;0,E604/가정!$B$5,0))</f>
        <v>11018</v>
      </c>
      <c r="L604" s="95" t="n">
        <f aca="false">IF(B604="CN",IF(N(I604)&gt;0,I604*가정!$B$3,K604*(1+가정!$B$6)),IF(N(H604)&gt;0,H604*가정!$B$3,J604*가정!$B$4))</f>
        <v>23576.094</v>
      </c>
      <c r="M604" s="95" t="n">
        <f aca="false">D604*J604</f>
        <v>10350000</v>
      </c>
      <c r="N604" s="95" t="n">
        <f aca="false">D604*K604</f>
        <v>1652700</v>
      </c>
      <c r="O604" s="95" t="n">
        <f aca="false">D604*L604</f>
        <v>3536414.1</v>
      </c>
      <c r="P604" s="34" t="str">
        <f aca="false">TRIM(IF(N(E604)&lt;=0,"택가보정 ","")&amp;IF(N(F604)&lt;=0,"원가보정 ","")&amp;IF(AND(B604&lt;&gt;"CN",N(H604)&lt;=0),"공급가보정 ","")&amp;IF(AND(B604="CN",N(I604)&lt;=0),"중국공급가=원가+마진 ",""))</f>
        <v/>
      </c>
    </row>
    <row r="605" customFormat="false" ht="15.75" hidden="false" customHeight="true" outlineLevel="0" collapsed="false">
      <c r="A605" s="94" t="s">
        <v>1685</v>
      </c>
      <c r="B605" s="34" t="str">
        <f aca="false">IF(A605="100","HK",IF(A605="200","CN",IF(A605="300","TW","홀세일")))</f>
        <v>CN</v>
      </c>
      <c r="C605" s="94" t="s">
        <v>909</v>
      </c>
      <c r="D605" s="95" t="n">
        <v>192</v>
      </c>
      <c r="E605" s="95" t="n">
        <v>69000</v>
      </c>
      <c r="F605" s="95" t="n">
        <v>11018</v>
      </c>
      <c r="G605" s="34" t="n">
        <v>4.19</v>
      </c>
      <c r="H605" s="34" t="n">
        <v>17.3</v>
      </c>
      <c r="J605" s="95" t="n">
        <f aca="false">IF(N(E605)&gt;0,E605,IF(N(F605)&gt;0,F605*가정!$B$5,0))</f>
        <v>69000</v>
      </c>
      <c r="K605" s="95" t="n">
        <f aca="false">IF(N(F605)&gt;0,F605,IF(N(E605)&gt;0,E605/가정!$B$5,0))</f>
        <v>11018</v>
      </c>
      <c r="L605" s="95" t="n">
        <f aca="false">IF(B605="CN",IF(N(I605)&gt;0,I605*가정!$B$3,K605*(1+가정!$B$6)),IF(N(H605)&gt;0,H605*가정!$B$3,J605*가정!$B$4))</f>
        <v>11568.9</v>
      </c>
      <c r="M605" s="95" t="n">
        <f aca="false">D605*J605</f>
        <v>13248000</v>
      </c>
      <c r="N605" s="95" t="n">
        <f aca="false">D605*K605</f>
        <v>2115456</v>
      </c>
      <c r="O605" s="95" t="n">
        <f aca="false">D605*L605</f>
        <v>2221228.8</v>
      </c>
      <c r="P605" s="34" t="str">
        <f aca="false">TRIM(IF(N(E605)&lt;=0,"택가보정 ","")&amp;IF(N(F605)&lt;=0,"원가보정 ","")&amp;IF(AND(B605&lt;&gt;"CN",N(H605)&lt;=0),"공급가보정 ","")&amp;IF(AND(B605="CN",N(I605)&lt;=0),"중국공급가=원가+마진 ",""))</f>
        <v>중국공급가=원가+마진</v>
      </c>
    </row>
    <row r="606" customFormat="false" ht="15" hidden="false" customHeight="true" outlineLevel="0" collapsed="false">
      <c r="A606" s="94" t="s">
        <v>1684</v>
      </c>
      <c r="B606" s="34" t="str">
        <f aca="false">IF(A606="100","HK",IF(A606="200","CN",IF(A606="300","TW","홀세일")))</f>
        <v>HK</v>
      </c>
      <c r="C606" s="94" t="s">
        <v>911</v>
      </c>
      <c r="D606" s="95" t="n">
        <v>400</v>
      </c>
      <c r="E606" s="95" t="n">
        <v>69000</v>
      </c>
      <c r="F606" s="95" t="n">
        <v>13000</v>
      </c>
      <c r="G606" s="34" t="n">
        <v>3.97</v>
      </c>
      <c r="H606" s="34" t="n">
        <v>17.3</v>
      </c>
      <c r="J606" s="95" t="n">
        <f aca="false">IF(N(E606)&gt;0,E606,IF(N(F606)&gt;0,F606*가정!$B$5,0))</f>
        <v>69000</v>
      </c>
      <c r="K606" s="95" t="n">
        <f aca="false">IF(N(F606)&gt;0,F606,IF(N(E606)&gt;0,E606/가정!$B$5,0))</f>
        <v>13000</v>
      </c>
      <c r="L606" s="95" t="n">
        <f aca="false">IF(B606="CN",IF(N(I606)&gt;0,I606*가정!$B$3,K606*(1+가정!$B$6)),IF(N(H606)&gt;0,H606*가정!$B$3,J606*가정!$B$4))</f>
        <v>23576.094</v>
      </c>
      <c r="M606" s="95" t="n">
        <f aca="false">D606*J606</f>
        <v>27600000</v>
      </c>
      <c r="N606" s="95" t="n">
        <f aca="false">D606*K606</f>
        <v>5200000</v>
      </c>
      <c r="O606" s="95" t="n">
        <f aca="false">D606*L606</f>
        <v>9430437.6</v>
      </c>
      <c r="P606" s="34" t="str">
        <f aca="false">TRIM(IF(N(E606)&lt;=0,"택가보정 ","")&amp;IF(N(F606)&lt;=0,"원가보정 ","")&amp;IF(AND(B606&lt;&gt;"CN",N(H606)&lt;=0),"공급가보정 ","")&amp;IF(AND(B606="CN",N(I606)&lt;=0),"중국공급가=원가+마진 ",""))</f>
        <v/>
      </c>
    </row>
    <row r="607" customFormat="false" ht="15" hidden="false" customHeight="true" outlineLevel="0" collapsed="false">
      <c r="A607" s="94" t="s">
        <v>1684</v>
      </c>
      <c r="B607" s="34" t="str">
        <f aca="false">IF(A607="100","HK",IF(A607="200","CN",IF(A607="300","TW","홀세일")))</f>
        <v>HK</v>
      </c>
      <c r="C607" s="94" t="s">
        <v>911</v>
      </c>
      <c r="D607" s="95" t="n">
        <v>400</v>
      </c>
      <c r="E607" s="95" t="n">
        <v>69000</v>
      </c>
      <c r="F607" s="95" t="n">
        <v>13000</v>
      </c>
      <c r="G607" s="34" t="n">
        <v>3.97</v>
      </c>
      <c r="H607" s="34" t="n">
        <v>17.3</v>
      </c>
      <c r="J607" s="95" t="n">
        <f aca="false">IF(N(E607)&gt;0,E607,IF(N(F607)&gt;0,F607*가정!$B$5,0))</f>
        <v>69000</v>
      </c>
      <c r="K607" s="95" t="n">
        <f aca="false">IF(N(F607)&gt;0,F607,IF(N(E607)&gt;0,E607/가정!$B$5,0))</f>
        <v>13000</v>
      </c>
      <c r="L607" s="95" t="n">
        <f aca="false">IF(B607="CN",IF(N(I607)&gt;0,I607*가정!$B$3,K607*(1+가정!$B$6)),IF(N(H607)&gt;0,H607*가정!$B$3,J607*가정!$B$4))</f>
        <v>23576.094</v>
      </c>
      <c r="M607" s="95" t="n">
        <f aca="false">D607*J607</f>
        <v>27600000</v>
      </c>
      <c r="N607" s="95" t="n">
        <f aca="false">D607*K607</f>
        <v>5200000</v>
      </c>
      <c r="O607" s="95" t="n">
        <f aca="false">D607*L607</f>
        <v>9430437.6</v>
      </c>
      <c r="P607" s="34" t="str">
        <f aca="false">TRIM(IF(N(E607)&lt;=0,"택가보정 ","")&amp;IF(N(F607)&lt;=0,"원가보정 ","")&amp;IF(AND(B607&lt;&gt;"CN",N(H607)&lt;=0),"공급가보정 ","")&amp;IF(AND(B607="CN",N(I607)&lt;=0),"중국공급가=원가+마진 ",""))</f>
        <v/>
      </c>
    </row>
    <row r="608" customFormat="false" ht="15" hidden="false" customHeight="true" outlineLevel="0" collapsed="false">
      <c r="A608" s="94" t="s">
        <v>1688</v>
      </c>
      <c r="B608" s="34" t="str">
        <f aca="false">IF(A608="100","HK",IF(A608="200","CN",IF(A608="300","TW","홀세일")))</f>
        <v>홀세일</v>
      </c>
      <c r="C608" s="94" t="s">
        <v>911</v>
      </c>
      <c r="D608" s="95" t="n">
        <v>30</v>
      </c>
      <c r="E608" s="95" t="n">
        <v>69000</v>
      </c>
      <c r="F608" s="95" t="n">
        <v>13000</v>
      </c>
      <c r="G608" s="34" t="n">
        <v>3.97</v>
      </c>
      <c r="H608" s="34" t="n">
        <v>17.3</v>
      </c>
      <c r="J608" s="95" t="n">
        <f aca="false">IF(N(E608)&gt;0,E608,IF(N(F608)&gt;0,F608*가정!$B$5,0))</f>
        <v>69000</v>
      </c>
      <c r="K608" s="95" t="n">
        <f aca="false">IF(N(F608)&gt;0,F608,IF(N(E608)&gt;0,E608/가정!$B$5,0))</f>
        <v>13000</v>
      </c>
      <c r="L608" s="95" t="n">
        <f aca="false">IF(B608="CN",IF(N(I608)&gt;0,I608*가정!$B$3,K608*(1+가정!$B$6)),IF(N(H608)&gt;0,H608*가정!$B$3,J608*가정!$B$4))</f>
        <v>23576.094</v>
      </c>
      <c r="M608" s="95" t="n">
        <f aca="false">D608*J608</f>
        <v>2070000</v>
      </c>
      <c r="N608" s="95" t="n">
        <f aca="false">D608*K608</f>
        <v>390000</v>
      </c>
      <c r="O608" s="95" t="n">
        <f aca="false">D608*L608</f>
        <v>707282.82</v>
      </c>
      <c r="P608" s="34" t="str">
        <f aca="false">TRIM(IF(N(E608)&lt;=0,"택가보정 ","")&amp;IF(N(F608)&lt;=0,"원가보정 ","")&amp;IF(AND(B608&lt;&gt;"CN",N(H608)&lt;=0),"공급가보정 ","")&amp;IF(AND(B608="CN",N(I608)&lt;=0),"중국공급가=원가+마진 ",""))</f>
        <v/>
      </c>
    </row>
    <row r="609" customFormat="false" ht="15" hidden="false" customHeight="true" outlineLevel="0" collapsed="false">
      <c r="A609" s="94" t="s">
        <v>1684</v>
      </c>
      <c r="B609" s="34" t="str">
        <f aca="false">IF(A609="100","HK",IF(A609="200","CN",IF(A609="300","TW","홀세일")))</f>
        <v>HK</v>
      </c>
      <c r="C609" s="94" t="s">
        <v>913</v>
      </c>
      <c r="D609" s="95" t="n">
        <v>550</v>
      </c>
      <c r="E609" s="95" t="n">
        <v>59000</v>
      </c>
      <c r="F609" s="95" t="n">
        <v>12400</v>
      </c>
      <c r="G609" s="34" t="n">
        <v>4.26</v>
      </c>
      <c r="H609" s="34" t="n">
        <v>14.8</v>
      </c>
      <c r="J609" s="95" t="n">
        <f aca="false">IF(N(E609)&gt;0,E609,IF(N(F609)&gt;0,F609*가정!$B$5,0))</f>
        <v>59000</v>
      </c>
      <c r="K609" s="95" t="n">
        <f aca="false">IF(N(F609)&gt;0,F609,IF(N(E609)&gt;0,E609/가정!$B$5,0))</f>
        <v>12400</v>
      </c>
      <c r="L609" s="95" t="n">
        <f aca="false">IF(B609="CN",IF(N(I609)&gt;0,I609*가정!$B$3,K609*(1+가정!$B$6)),IF(N(H609)&gt;0,H609*가정!$B$3,J609*가정!$B$4))</f>
        <v>20169.144</v>
      </c>
      <c r="M609" s="95" t="n">
        <f aca="false">D609*J609</f>
        <v>32450000</v>
      </c>
      <c r="N609" s="95" t="n">
        <f aca="false">D609*K609</f>
        <v>6820000</v>
      </c>
      <c r="O609" s="95" t="n">
        <f aca="false">D609*L609</f>
        <v>11093029.2</v>
      </c>
      <c r="P609" s="34" t="str">
        <f aca="false">TRIM(IF(N(E609)&lt;=0,"택가보정 ","")&amp;IF(N(F609)&lt;=0,"원가보정 ","")&amp;IF(AND(B609&lt;&gt;"CN",N(H609)&lt;=0),"공급가보정 ","")&amp;IF(AND(B609="CN",N(I609)&lt;=0),"중국공급가=원가+마진 ",""))</f>
        <v/>
      </c>
    </row>
    <row r="610" customFormat="false" ht="15" hidden="false" customHeight="true" outlineLevel="0" collapsed="false">
      <c r="A610" s="94" t="s">
        <v>1684</v>
      </c>
      <c r="B610" s="34" t="str">
        <f aca="false">IF(A610="100","HK",IF(A610="200","CN",IF(A610="300","TW","홀세일")))</f>
        <v>HK</v>
      </c>
      <c r="C610" s="94" t="s">
        <v>414</v>
      </c>
      <c r="D610" s="95" t="n">
        <v>300</v>
      </c>
      <c r="E610" s="95" t="n">
        <v>69000</v>
      </c>
      <c r="F610" s="95" t="n">
        <v>13000</v>
      </c>
      <c r="G610" s="34" t="n">
        <v>4.45</v>
      </c>
      <c r="H610" s="34" t="n">
        <v>17.3</v>
      </c>
      <c r="J610" s="95" t="n">
        <f aca="false">IF(N(E610)&gt;0,E610,IF(N(F610)&gt;0,F610*가정!$B$5,0))</f>
        <v>69000</v>
      </c>
      <c r="K610" s="95" t="n">
        <f aca="false">IF(N(F610)&gt;0,F610,IF(N(E610)&gt;0,E610/가정!$B$5,0))</f>
        <v>13000</v>
      </c>
      <c r="L610" s="95" t="n">
        <f aca="false">IF(B610="CN",IF(N(I610)&gt;0,I610*가정!$B$3,K610*(1+가정!$B$6)),IF(N(H610)&gt;0,H610*가정!$B$3,J610*가정!$B$4))</f>
        <v>23576.094</v>
      </c>
      <c r="M610" s="95" t="n">
        <f aca="false">D610*J610</f>
        <v>20700000</v>
      </c>
      <c r="N610" s="95" t="n">
        <f aca="false">D610*K610</f>
        <v>3900000</v>
      </c>
      <c r="O610" s="95" t="n">
        <f aca="false">D610*L610</f>
        <v>7072828.2</v>
      </c>
      <c r="P610" s="34" t="str">
        <f aca="false">TRIM(IF(N(E610)&lt;=0,"택가보정 ","")&amp;IF(N(F610)&lt;=0,"원가보정 ","")&amp;IF(AND(B610&lt;&gt;"CN",N(H610)&lt;=0),"공급가보정 ","")&amp;IF(AND(B610="CN",N(I610)&lt;=0),"중국공급가=원가+마진 ",""))</f>
        <v/>
      </c>
    </row>
    <row r="611" customFormat="false" ht="15" hidden="false" customHeight="true" outlineLevel="0" collapsed="false">
      <c r="A611" s="94" t="s">
        <v>1686</v>
      </c>
      <c r="B611" s="34" t="str">
        <f aca="false">IF(A611="100","HK",IF(A611="200","CN",IF(A611="300","TW","홀세일")))</f>
        <v>TW</v>
      </c>
      <c r="C611" s="94" t="s">
        <v>414</v>
      </c>
      <c r="D611" s="95" t="n">
        <v>80</v>
      </c>
      <c r="E611" s="95" t="n">
        <v>69000</v>
      </c>
      <c r="F611" s="95" t="n">
        <v>13000</v>
      </c>
      <c r="G611" s="34" t="n">
        <v>4.45</v>
      </c>
      <c r="H611" s="34" t="n">
        <v>17.3</v>
      </c>
      <c r="J611" s="95" t="n">
        <f aca="false">IF(N(E611)&gt;0,E611,IF(N(F611)&gt;0,F611*가정!$B$5,0))</f>
        <v>69000</v>
      </c>
      <c r="K611" s="95" t="n">
        <f aca="false">IF(N(F611)&gt;0,F611,IF(N(E611)&gt;0,E611/가정!$B$5,0))</f>
        <v>13000</v>
      </c>
      <c r="L611" s="95" t="n">
        <f aca="false">IF(B611="CN",IF(N(I611)&gt;0,I611*가정!$B$3,K611*(1+가정!$B$6)),IF(N(H611)&gt;0,H611*가정!$B$3,J611*가정!$B$4))</f>
        <v>23576.094</v>
      </c>
      <c r="M611" s="95" t="n">
        <f aca="false">D611*J611</f>
        <v>5520000</v>
      </c>
      <c r="N611" s="95" t="n">
        <f aca="false">D611*K611</f>
        <v>1040000</v>
      </c>
      <c r="O611" s="95" t="n">
        <f aca="false">D611*L611</f>
        <v>1886087.52</v>
      </c>
      <c r="P611" s="34" t="str">
        <f aca="false">TRIM(IF(N(E611)&lt;=0,"택가보정 ","")&amp;IF(N(F611)&lt;=0,"원가보정 ","")&amp;IF(AND(B611&lt;&gt;"CN",N(H611)&lt;=0),"공급가보정 ","")&amp;IF(AND(B611="CN",N(I611)&lt;=0),"중국공급가=원가+마진 ",""))</f>
        <v/>
      </c>
    </row>
    <row r="612" customFormat="false" ht="15" hidden="false" customHeight="true" outlineLevel="0" collapsed="false">
      <c r="A612" s="94" t="s">
        <v>1684</v>
      </c>
      <c r="B612" s="34" t="str">
        <f aca="false">IF(A612="100","HK",IF(A612="200","CN",IF(A612="300","TW","홀세일")))</f>
        <v>HK</v>
      </c>
      <c r="C612" s="94" t="s">
        <v>915</v>
      </c>
      <c r="D612" s="95" t="n">
        <v>300</v>
      </c>
      <c r="E612" s="95" t="n">
        <v>59000</v>
      </c>
      <c r="F612" s="95" t="n">
        <v>13800</v>
      </c>
      <c r="G612" s="34" t="n">
        <v>3.94</v>
      </c>
      <c r="H612" s="34" t="n">
        <v>14.8</v>
      </c>
      <c r="J612" s="95" t="n">
        <f aca="false">IF(N(E612)&gt;0,E612,IF(N(F612)&gt;0,F612*가정!$B$5,0))</f>
        <v>59000</v>
      </c>
      <c r="K612" s="95" t="n">
        <f aca="false">IF(N(F612)&gt;0,F612,IF(N(E612)&gt;0,E612/가정!$B$5,0))</f>
        <v>13800</v>
      </c>
      <c r="L612" s="95" t="n">
        <f aca="false">IF(B612="CN",IF(N(I612)&gt;0,I612*가정!$B$3,K612*(1+가정!$B$6)),IF(N(H612)&gt;0,H612*가정!$B$3,J612*가정!$B$4))</f>
        <v>20169.144</v>
      </c>
      <c r="M612" s="95" t="n">
        <f aca="false">D612*J612</f>
        <v>17700000</v>
      </c>
      <c r="N612" s="95" t="n">
        <f aca="false">D612*K612</f>
        <v>4140000</v>
      </c>
      <c r="O612" s="95" t="n">
        <f aca="false">D612*L612</f>
        <v>6050743.2</v>
      </c>
      <c r="P612" s="34" t="str">
        <f aca="false">TRIM(IF(N(E612)&lt;=0,"택가보정 ","")&amp;IF(N(F612)&lt;=0,"원가보정 ","")&amp;IF(AND(B612&lt;&gt;"CN",N(H612)&lt;=0),"공급가보정 ","")&amp;IF(AND(B612="CN",N(I612)&lt;=0),"중국공급가=원가+마진 ",""))</f>
        <v/>
      </c>
    </row>
    <row r="613" customFormat="false" ht="15" hidden="false" customHeight="true" outlineLevel="0" collapsed="false">
      <c r="A613" s="94" t="s">
        <v>1688</v>
      </c>
      <c r="B613" s="34" t="str">
        <f aca="false">IF(A613="100","HK",IF(A613="200","CN",IF(A613="300","TW","홀세일")))</f>
        <v>홀세일</v>
      </c>
      <c r="C613" s="94" t="s">
        <v>915</v>
      </c>
      <c r="D613" s="95" t="n">
        <v>15</v>
      </c>
      <c r="E613" s="95" t="n">
        <v>59000</v>
      </c>
      <c r="F613" s="95" t="n">
        <v>13800</v>
      </c>
      <c r="G613" s="34" t="n">
        <v>3.94</v>
      </c>
      <c r="H613" s="34" t="n">
        <v>14.8</v>
      </c>
      <c r="J613" s="95" t="n">
        <f aca="false">IF(N(E613)&gt;0,E613,IF(N(F613)&gt;0,F613*가정!$B$5,0))</f>
        <v>59000</v>
      </c>
      <c r="K613" s="95" t="n">
        <f aca="false">IF(N(F613)&gt;0,F613,IF(N(E613)&gt;0,E613/가정!$B$5,0))</f>
        <v>13800</v>
      </c>
      <c r="L613" s="95" t="n">
        <f aca="false">IF(B613="CN",IF(N(I613)&gt;0,I613*가정!$B$3,K613*(1+가정!$B$6)),IF(N(H613)&gt;0,H613*가정!$B$3,J613*가정!$B$4))</f>
        <v>20169.144</v>
      </c>
      <c r="M613" s="95" t="n">
        <f aca="false">D613*J613</f>
        <v>885000</v>
      </c>
      <c r="N613" s="95" t="n">
        <f aca="false">D613*K613</f>
        <v>207000</v>
      </c>
      <c r="O613" s="95" t="n">
        <f aca="false">D613*L613</f>
        <v>302537.16</v>
      </c>
      <c r="P613" s="34" t="str">
        <f aca="false">TRIM(IF(N(E613)&lt;=0,"택가보정 ","")&amp;IF(N(F613)&lt;=0,"원가보정 ","")&amp;IF(AND(B613&lt;&gt;"CN",N(H613)&lt;=0),"공급가보정 ","")&amp;IF(AND(B613="CN",N(I613)&lt;=0),"중국공급가=원가+마진 ",""))</f>
        <v/>
      </c>
    </row>
    <row r="614" customFormat="false" ht="15" hidden="false" customHeight="true" outlineLevel="0" collapsed="false">
      <c r="A614" s="94" t="s">
        <v>1684</v>
      </c>
      <c r="B614" s="34" t="str">
        <f aca="false">IF(A614="100","HK",IF(A614="200","CN",IF(A614="300","TW","홀세일")))</f>
        <v>HK</v>
      </c>
      <c r="C614" s="94" t="s">
        <v>416</v>
      </c>
      <c r="D614" s="95" t="n">
        <v>200</v>
      </c>
      <c r="E614" s="95" t="n">
        <v>79000</v>
      </c>
      <c r="F614" s="95" t="n">
        <v>17604</v>
      </c>
      <c r="G614" s="34" t="n">
        <v>5.09</v>
      </c>
      <c r="H614" s="34" t="n">
        <v>19.8</v>
      </c>
      <c r="J614" s="95" t="n">
        <f aca="false">IF(N(E614)&gt;0,E614,IF(N(F614)&gt;0,F614*가정!$B$5,0))</f>
        <v>79000</v>
      </c>
      <c r="K614" s="95" t="n">
        <f aca="false">IF(N(F614)&gt;0,F614,IF(N(E614)&gt;0,E614/가정!$B$5,0))</f>
        <v>17604</v>
      </c>
      <c r="L614" s="95" t="n">
        <f aca="false">IF(B614="CN",IF(N(I614)&gt;0,I614*가정!$B$3,K614*(1+가정!$B$6)),IF(N(H614)&gt;0,H614*가정!$B$3,J614*가정!$B$4))</f>
        <v>26983.044</v>
      </c>
      <c r="M614" s="95" t="n">
        <f aca="false">D614*J614</f>
        <v>15800000</v>
      </c>
      <c r="N614" s="95" t="n">
        <f aca="false">D614*K614</f>
        <v>3520800</v>
      </c>
      <c r="O614" s="95" t="n">
        <f aca="false">D614*L614</f>
        <v>5396608.8</v>
      </c>
      <c r="P614" s="34" t="str">
        <f aca="false">TRIM(IF(N(E614)&lt;=0,"택가보정 ","")&amp;IF(N(F614)&lt;=0,"원가보정 ","")&amp;IF(AND(B614&lt;&gt;"CN",N(H614)&lt;=0),"공급가보정 ","")&amp;IF(AND(B614="CN",N(I614)&lt;=0),"중국공급가=원가+마진 ",""))</f>
        <v/>
      </c>
    </row>
    <row r="615" customFormat="false" ht="15.75" hidden="false" customHeight="true" outlineLevel="0" collapsed="false">
      <c r="A615" s="94" t="s">
        <v>1685</v>
      </c>
      <c r="B615" s="34" t="str">
        <f aca="false">IF(A615="100","HK",IF(A615="200","CN",IF(A615="300","TW","홀세일")))</f>
        <v>CN</v>
      </c>
      <c r="C615" s="94" t="s">
        <v>416</v>
      </c>
      <c r="D615" s="95" t="n">
        <v>172</v>
      </c>
      <c r="E615" s="95" t="n">
        <v>79000</v>
      </c>
      <c r="F615" s="95" t="n">
        <v>17604</v>
      </c>
      <c r="G615" s="34" t="n">
        <v>5.09</v>
      </c>
      <c r="H615" s="34" t="n">
        <v>19.8</v>
      </c>
      <c r="J615" s="95" t="n">
        <f aca="false">IF(N(E615)&gt;0,E615,IF(N(F615)&gt;0,F615*가정!$B$5,0))</f>
        <v>79000</v>
      </c>
      <c r="K615" s="95" t="n">
        <f aca="false">IF(N(F615)&gt;0,F615,IF(N(E615)&gt;0,E615/가정!$B$5,0))</f>
        <v>17604</v>
      </c>
      <c r="L615" s="95" t="n">
        <f aca="false">IF(B615="CN",IF(N(I615)&gt;0,I615*가정!$B$3,K615*(1+가정!$B$6)),IF(N(H615)&gt;0,H615*가정!$B$3,J615*가정!$B$4))</f>
        <v>18484.2</v>
      </c>
      <c r="M615" s="95" t="n">
        <f aca="false">D615*J615</f>
        <v>13588000</v>
      </c>
      <c r="N615" s="95" t="n">
        <f aca="false">D615*K615</f>
        <v>3027888</v>
      </c>
      <c r="O615" s="95" t="n">
        <f aca="false">D615*L615</f>
        <v>3179282.4</v>
      </c>
      <c r="P615" s="34" t="str">
        <f aca="false">TRIM(IF(N(E615)&lt;=0,"택가보정 ","")&amp;IF(N(F615)&lt;=0,"원가보정 ","")&amp;IF(AND(B615&lt;&gt;"CN",N(H615)&lt;=0),"공급가보정 ","")&amp;IF(AND(B615="CN",N(I615)&lt;=0),"중국공급가=원가+마진 ",""))</f>
        <v>중국공급가=원가+마진</v>
      </c>
    </row>
    <row r="616" customFormat="false" ht="15" hidden="false" customHeight="true" outlineLevel="0" collapsed="false">
      <c r="A616" s="94" t="s">
        <v>1686</v>
      </c>
      <c r="B616" s="34" t="str">
        <f aca="false">IF(A616="100","HK",IF(A616="200","CN",IF(A616="300","TW","홀세일")))</f>
        <v>TW</v>
      </c>
      <c r="C616" s="94" t="s">
        <v>416</v>
      </c>
      <c r="D616" s="95" t="n">
        <v>190</v>
      </c>
      <c r="E616" s="95" t="n">
        <v>79000</v>
      </c>
      <c r="F616" s="95" t="n">
        <v>17604</v>
      </c>
      <c r="G616" s="34" t="n">
        <v>5.09</v>
      </c>
      <c r="H616" s="34" t="n">
        <v>19.8</v>
      </c>
      <c r="J616" s="95" t="n">
        <f aca="false">IF(N(E616)&gt;0,E616,IF(N(F616)&gt;0,F616*가정!$B$5,0))</f>
        <v>79000</v>
      </c>
      <c r="K616" s="95" t="n">
        <f aca="false">IF(N(F616)&gt;0,F616,IF(N(E616)&gt;0,E616/가정!$B$5,0))</f>
        <v>17604</v>
      </c>
      <c r="L616" s="95" t="n">
        <f aca="false">IF(B616="CN",IF(N(I616)&gt;0,I616*가정!$B$3,K616*(1+가정!$B$6)),IF(N(H616)&gt;0,H616*가정!$B$3,J616*가정!$B$4))</f>
        <v>26983.044</v>
      </c>
      <c r="M616" s="95" t="n">
        <f aca="false">D616*J616</f>
        <v>15010000</v>
      </c>
      <c r="N616" s="95" t="n">
        <f aca="false">D616*K616</f>
        <v>3344760</v>
      </c>
      <c r="O616" s="95" t="n">
        <f aca="false">D616*L616</f>
        <v>5126778.36</v>
      </c>
      <c r="P616" s="34" t="str">
        <f aca="false">TRIM(IF(N(E616)&lt;=0,"택가보정 ","")&amp;IF(N(F616)&lt;=0,"원가보정 ","")&amp;IF(AND(B616&lt;&gt;"CN",N(H616)&lt;=0),"공급가보정 ","")&amp;IF(AND(B616="CN",N(I616)&lt;=0),"중국공급가=원가+마진 ",""))</f>
        <v/>
      </c>
    </row>
    <row r="617" customFormat="false" ht="15" hidden="false" customHeight="true" outlineLevel="0" collapsed="false">
      <c r="A617" s="94" t="s">
        <v>1688</v>
      </c>
      <c r="B617" s="34" t="str">
        <f aca="false">IF(A617="100","HK",IF(A617="200","CN",IF(A617="300","TW","홀세일")))</f>
        <v>홀세일</v>
      </c>
      <c r="C617" s="94" t="s">
        <v>416</v>
      </c>
      <c r="D617" s="95" t="n">
        <v>45</v>
      </c>
      <c r="E617" s="95" t="n">
        <v>79000</v>
      </c>
      <c r="F617" s="95" t="n">
        <v>17604</v>
      </c>
      <c r="G617" s="34" t="n">
        <v>5.09</v>
      </c>
      <c r="H617" s="34" t="n">
        <v>19.8</v>
      </c>
      <c r="J617" s="95" t="n">
        <f aca="false">IF(N(E617)&gt;0,E617,IF(N(F617)&gt;0,F617*가정!$B$5,0))</f>
        <v>79000</v>
      </c>
      <c r="K617" s="95" t="n">
        <f aca="false">IF(N(F617)&gt;0,F617,IF(N(E617)&gt;0,E617/가정!$B$5,0))</f>
        <v>17604</v>
      </c>
      <c r="L617" s="95" t="n">
        <f aca="false">IF(B617="CN",IF(N(I617)&gt;0,I617*가정!$B$3,K617*(1+가정!$B$6)),IF(N(H617)&gt;0,H617*가정!$B$3,J617*가정!$B$4))</f>
        <v>26983.044</v>
      </c>
      <c r="M617" s="95" t="n">
        <f aca="false">D617*J617</f>
        <v>3555000</v>
      </c>
      <c r="N617" s="95" t="n">
        <f aca="false">D617*K617</f>
        <v>792180</v>
      </c>
      <c r="O617" s="95" t="n">
        <f aca="false">D617*L617</f>
        <v>1214236.98</v>
      </c>
      <c r="P617" s="34" t="str">
        <f aca="false">TRIM(IF(N(E617)&lt;=0,"택가보정 ","")&amp;IF(N(F617)&lt;=0,"원가보정 ","")&amp;IF(AND(B617&lt;&gt;"CN",N(H617)&lt;=0),"공급가보정 ","")&amp;IF(AND(B617="CN",N(I617)&lt;=0),"중국공급가=원가+마진 ",""))</f>
        <v/>
      </c>
    </row>
    <row r="618" customFormat="false" ht="15" hidden="false" customHeight="true" outlineLevel="0" collapsed="false">
      <c r="A618" s="94" t="s">
        <v>1692</v>
      </c>
      <c r="B618" s="34" t="str">
        <f aca="false">IF(A618="100","HK",IF(A618="200","CN",IF(A618="300","TW","홀세일")))</f>
        <v>홀세일</v>
      </c>
      <c r="C618" s="94" t="s">
        <v>416</v>
      </c>
      <c r="D618" s="95" t="n">
        <v>122</v>
      </c>
      <c r="E618" s="95" t="n">
        <v>79000</v>
      </c>
      <c r="F618" s="95" t="n">
        <v>17604</v>
      </c>
      <c r="G618" s="34" t="n">
        <v>5.09</v>
      </c>
      <c r="H618" s="34" t="n">
        <v>19.8</v>
      </c>
      <c r="J618" s="95" t="n">
        <f aca="false">IF(N(E618)&gt;0,E618,IF(N(F618)&gt;0,F618*가정!$B$5,0))</f>
        <v>79000</v>
      </c>
      <c r="K618" s="95" t="n">
        <f aca="false">IF(N(F618)&gt;0,F618,IF(N(E618)&gt;0,E618/가정!$B$5,0))</f>
        <v>17604</v>
      </c>
      <c r="L618" s="95" t="n">
        <f aca="false">IF(B618="CN",IF(N(I618)&gt;0,I618*가정!$B$3,K618*(1+가정!$B$6)),IF(N(H618)&gt;0,H618*가정!$B$3,J618*가정!$B$4))</f>
        <v>26983.044</v>
      </c>
      <c r="M618" s="95" t="n">
        <f aca="false">D618*J618</f>
        <v>9638000</v>
      </c>
      <c r="N618" s="95" t="n">
        <f aca="false">D618*K618</f>
        <v>2147688</v>
      </c>
      <c r="O618" s="95" t="n">
        <f aca="false">D618*L618</f>
        <v>3291931.368</v>
      </c>
      <c r="P618" s="34" t="str">
        <f aca="false">TRIM(IF(N(E618)&lt;=0,"택가보정 ","")&amp;IF(N(F618)&lt;=0,"원가보정 ","")&amp;IF(AND(B618&lt;&gt;"CN",N(H618)&lt;=0),"공급가보정 ","")&amp;IF(AND(B618="CN",N(I618)&lt;=0),"중국공급가=원가+마진 ",""))</f>
        <v/>
      </c>
    </row>
    <row r="619" customFormat="false" ht="15" hidden="false" customHeight="true" outlineLevel="0" collapsed="false">
      <c r="A619" s="94" t="s">
        <v>1684</v>
      </c>
      <c r="B619" s="34" t="str">
        <f aca="false">IF(A619="100","HK",IF(A619="200","CN",IF(A619="300","TW","홀세일")))</f>
        <v>HK</v>
      </c>
      <c r="C619" s="94" t="s">
        <v>917</v>
      </c>
      <c r="D619" s="95" t="n">
        <v>300</v>
      </c>
      <c r="E619" s="95" t="n">
        <v>89000</v>
      </c>
      <c r="F619" s="95" t="n">
        <v>19719</v>
      </c>
      <c r="G619" s="34" t="n">
        <v>3.99</v>
      </c>
      <c r="H619" s="34" t="n">
        <v>22.3</v>
      </c>
      <c r="J619" s="95" t="n">
        <f aca="false">IF(N(E619)&gt;0,E619,IF(N(F619)&gt;0,F619*가정!$B$5,0))</f>
        <v>89000</v>
      </c>
      <c r="K619" s="95" t="n">
        <f aca="false">IF(N(F619)&gt;0,F619,IF(N(E619)&gt;0,E619/가정!$B$5,0))</f>
        <v>19719</v>
      </c>
      <c r="L619" s="95" t="n">
        <f aca="false">IF(B619="CN",IF(N(I619)&gt;0,I619*가정!$B$3,K619*(1+가정!$B$6)),IF(N(H619)&gt;0,H619*가정!$B$3,J619*가정!$B$4))</f>
        <v>30389.994</v>
      </c>
      <c r="M619" s="95" t="n">
        <f aca="false">D619*J619</f>
        <v>26700000</v>
      </c>
      <c r="N619" s="95" t="n">
        <f aca="false">D619*K619</f>
        <v>5915700</v>
      </c>
      <c r="O619" s="95" t="n">
        <f aca="false">D619*L619</f>
        <v>9116998.2</v>
      </c>
      <c r="P619" s="34" t="str">
        <f aca="false">TRIM(IF(N(E619)&lt;=0,"택가보정 ","")&amp;IF(N(F619)&lt;=0,"원가보정 ","")&amp;IF(AND(B619&lt;&gt;"CN",N(H619)&lt;=0),"공급가보정 ","")&amp;IF(AND(B619="CN",N(I619)&lt;=0),"중국공급가=원가+마진 ",""))</f>
        <v/>
      </c>
    </row>
    <row r="620" customFormat="false" ht="15.75" hidden="false" customHeight="true" outlineLevel="0" collapsed="false">
      <c r="A620" s="94" t="s">
        <v>1685</v>
      </c>
      <c r="B620" s="34" t="str">
        <f aca="false">IF(A620="100","HK",IF(A620="200","CN",IF(A620="300","TW","홀세일")))</f>
        <v>CN</v>
      </c>
      <c r="C620" s="94" t="s">
        <v>917</v>
      </c>
      <c r="D620" s="95" t="n">
        <v>227</v>
      </c>
      <c r="E620" s="95" t="n">
        <v>89000</v>
      </c>
      <c r="F620" s="95" t="n">
        <v>19719</v>
      </c>
      <c r="G620" s="34" t="n">
        <v>3.99</v>
      </c>
      <c r="H620" s="34" t="n">
        <v>22.3</v>
      </c>
      <c r="J620" s="95" t="n">
        <f aca="false">IF(N(E620)&gt;0,E620,IF(N(F620)&gt;0,F620*가정!$B$5,0))</f>
        <v>89000</v>
      </c>
      <c r="K620" s="95" t="n">
        <f aca="false">IF(N(F620)&gt;0,F620,IF(N(E620)&gt;0,E620/가정!$B$5,0))</f>
        <v>19719</v>
      </c>
      <c r="L620" s="95" t="n">
        <f aca="false">IF(B620="CN",IF(N(I620)&gt;0,I620*가정!$B$3,K620*(1+가정!$B$6)),IF(N(H620)&gt;0,H620*가정!$B$3,J620*가정!$B$4))</f>
        <v>20704.95</v>
      </c>
      <c r="M620" s="95" t="n">
        <f aca="false">D620*J620</f>
        <v>20203000</v>
      </c>
      <c r="N620" s="95" t="n">
        <f aca="false">D620*K620</f>
        <v>4476213</v>
      </c>
      <c r="O620" s="95" t="n">
        <f aca="false">D620*L620</f>
        <v>4700023.65</v>
      </c>
      <c r="P620" s="34" t="str">
        <f aca="false">TRIM(IF(N(E620)&lt;=0,"택가보정 ","")&amp;IF(N(F620)&lt;=0,"원가보정 ","")&amp;IF(AND(B620&lt;&gt;"CN",N(H620)&lt;=0),"공급가보정 ","")&amp;IF(AND(B620="CN",N(I620)&lt;=0),"중국공급가=원가+마진 ",""))</f>
        <v>중국공급가=원가+마진</v>
      </c>
    </row>
    <row r="621" customFormat="false" ht="15" hidden="false" customHeight="true" outlineLevel="0" collapsed="false">
      <c r="A621" s="94" t="s">
        <v>1684</v>
      </c>
      <c r="B621" s="34" t="str">
        <f aca="false">IF(A621="100","HK",IF(A621="200","CN",IF(A621="300","TW","홀세일")))</f>
        <v>HK</v>
      </c>
      <c r="C621" s="94" t="s">
        <v>919</v>
      </c>
      <c r="D621" s="95" t="n">
        <v>350</v>
      </c>
      <c r="E621" s="95" t="n">
        <v>59000</v>
      </c>
      <c r="F621" s="95" t="n">
        <v>13600</v>
      </c>
      <c r="G621" s="34" t="n">
        <v>4.26</v>
      </c>
      <c r="H621" s="34" t="n">
        <v>14.8</v>
      </c>
      <c r="J621" s="95" t="n">
        <f aca="false">IF(N(E621)&gt;0,E621,IF(N(F621)&gt;0,F621*가정!$B$5,0))</f>
        <v>59000</v>
      </c>
      <c r="K621" s="95" t="n">
        <f aca="false">IF(N(F621)&gt;0,F621,IF(N(E621)&gt;0,E621/가정!$B$5,0))</f>
        <v>13600</v>
      </c>
      <c r="L621" s="95" t="n">
        <f aca="false">IF(B621="CN",IF(N(I621)&gt;0,I621*가정!$B$3,K621*(1+가정!$B$6)),IF(N(H621)&gt;0,H621*가정!$B$3,J621*가정!$B$4))</f>
        <v>20169.144</v>
      </c>
      <c r="M621" s="95" t="n">
        <f aca="false">D621*J621</f>
        <v>20650000</v>
      </c>
      <c r="N621" s="95" t="n">
        <f aca="false">D621*K621</f>
        <v>4760000</v>
      </c>
      <c r="O621" s="95" t="n">
        <f aca="false">D621*L621</f>
        <v>7059200.4</v>
      </c>
      <c r="P621" s="34" t="str">
        <f aca="false">TRIM(IF(N(E621)&lt;=0,"택가보정 ","")&amp;IF(N(F621)&lt;=0,"원가보정 ","")&amp;IF(AND(B621&lt;&gt;"CN",N(H621)&lt;=0),"공급가보정 ","")&amp;IF(AND(B621="CN",N(I621)&lt;=0),"중국공급가=원가+마진 ",""))</f>
        <v/>
      </c>
    </row>
    <row r="622" customFormat="false" ht="15" hidden="false" customHeight="true" outlineLevel="0" collapsed="false">
      <c r="A622" s="94" t="s">
        <v>1684</v>
      </c>
      <c r="B622" s="34" t="str">
        <f aca="false">IF(A622="100","HK",IF(A622="200","CN",IF(A622="300","TW","홀세일")))</f>
        <v>HK</v>
      </c>
      <c r="C622" s="94" t="s">
        <v>419</v>
      </c>
      <c r="D622" s="95" t="n">
        <v>160</v>
      </c>
      <c r="E622" s="95" t="n">
        <v>109000</v>
      </c>
      <c r="F622" s="95" t="n">
        <v>28300</v>
      </c>
      <c r="G622" s="34" t="n">
        <v>3.41</v>
      </c>
      <c r="H622" s="34" t="n">
        <v>31.5</v>
      </c>
      <c r="J622" s="95" t="n">
        <f aca="false">IF(N(E622)&gt;0,E622,IF(N(F622)&gt;0,F622*가정!$B$5,0))</f>
        <v>109000</v>
      </c>
      <c r="K622" s="95" t="n">
        <f aca="false">IF(N(F622)&gt;0,F622,IF(N(E622)&gt;0,E622/가정!$B$5,0))</f>
        <v>28300</v>
      </c>
      <c r="L622" s="95" t="n">
        <f aca="false">IF(B622="CN",IF(N(I622)&gt;0,I622*가정!$B$3,K622*(1+가정!$B$6)),IF(N(H622)&gt;0,H622*가정!$B$3,J622*가정!$B$4))</f>
        <v>42927.57</v>
      </c>
      <c r="M622" s="95" t="n">
        <f aca="false">D622*J622</f>
        <v>17440000</v>
      </c>
      <c r="N622" s="95" t="n">
        <f aca="false">D622*K622</f>
        <v>4528000</v>
      </c>
      <c r="O622" s="95" t="n">
        <f aca="false">D622*L622</f>
        <v>6868411.2</v>
      </c>
      <c r="P622" s="34" t="str">
        <f aca="false">TRIM(IF(N(E622)&lt;=0,"택가보정 ","")&amp;IF(N(F622)&lt;=0,"원가보정 ","")&amp;IF(AND(B622&lt;&gt;"CN",N(H622)&lt;=0),"공급가보정 ","")&amp;IF(AND(B622="CN",N(I622)&lt;=0),"중국공급가=원가+마진 ",""))</f>
        <v/>
      </c>
    </row>
    <row r="623" customFormat="false" ht="15.75" hidden="false" customHeight="true" outlineLevel="0" collapsed="false">
      <c r="A623" s="94" t="s">
        <v>1685</v>
      </c>
      <c r="B623" s="34" t="str">
        <f aca="false">IF(A623="100","HK",IF(A623="200","CN",IF(A623="300","TW","홀세일")))</f>
        <v>CN</v>
      </c>
      <c r="C623" s="94" t="s">
        <v>419</v>
      </c>
      <c r="D623" s="95" t="n">
        <v>212</v>
      </c>
      <c r="E623" s="95" t="n">
        <v>109000</v>
      </c>
      <c r="F623" s="95" t="n">
        <v>28300</v>
      </c>
      <c r="G623" s="34" t="n">
        <v>3.41</v>
      </c>
      <c r="H623" s="34" t="n">
        <v>31.5</v>
      </c>
      <c r="J623" s="95" t="n">
        <f aca="false">IF(N(E623)&gt;0,E623,IF(N(F623)&gt;0,F623*가정!$B$5,0))</f>
        <v>109000</v>
      </c>
      <c r="K623" s="95" t="n">
        <f aca="false">IF(N(F623)&gt;0,F623,IF(N(E623)&gt;0,E623/가정!$B$5,0))</f>
        <v>28300</v>
      </c>
      <c r="L623" s="95" t="n">
        <f aca="false">IF(B623="CN",IF(N(I623)&gt;0,I623*가정!$B$3,K623*(1+가정!$B$6)),IF(N(H623)&gt;0,H623*가정!$B$3,J623*가정!$B$4))</f>
        <v>29715</v>
      </c>
      <c r="M623" s="95" t="n">
        <f aca="false">D623*J623</f>
        <v>23108000</v>
      </c>
      <c r="N623" s="95" t="n">
        <f aca="false">D623*K623</f>
        <v>5999600</v>
      </c>
      <c r="O623" s="95" t="n">
        <f aca="false">D623*L623</f>
        <v>6299580</v>
      </c>
      <c r="P623" s="34" t="str">
        <f aca="false">TRIM(IF(N(E623)&lt;=0,"택가보정 ","")&amp;IF(N(F623)&lt;=0,"원가보정 ","")&amp;IF(AND(B623&lt;&gt;"CN",N(H623)&lt;=0),"공급가보정 ","")&amp;IF(AND(B623="CN",N(I623)&lt;=0),"중국공급가=원가+마진 ",""))</f>
        <v>중국공급가=원가+마진</v>
      </c>
    </row>
    <row r="624" customFormat="false" ht="15" hidden="false" customHeight="true" outlineLevel="0" collapsed="false">
      <c r="A624" s="94" t="s">
        <v>1686</v>
      </c>
      <c r="B624" s="34" t="str">
        <f aca="false">IF(A624="100","HK",IF(A624="200","CN",IF(A624="300","TW","홀세일")))</f>
        <v>TW</v>
      </c>
      <c r="C624" s="94" t="s">
        <v>419</v>
      </c>
      <c r="D624" s="95" t="n">
        <v>220</v>
      </c>
      <c r="E624" s="95" t="n">
        <v>109000</v>
      </c>
      <c r="F624" s="95" t="n">
        <v>28300</v>
      </c>
      <c r="G624" s="34" t="n">
        <v>3.41</v>
      </c>
      <c r="H624" s="34" t="n">
        <v>31.5</v>
      </c>
      <c r="J624" s="95" t="n">
        <f aca="false">IF(N(E624)&gt;0,E624,IF(N(F624)&gt;0,F624*가정!$B$5,0))</f>
        <v>109000</v>
      </c>
      <c r="K624" s="95" t="n">
        <f aca="false">IF(N(F624)&gt;0,F624,IF(N(E624)&gt;0,E624/가정!$B$5,0))</f>
        <v>28300</v>
      </c>
      <c r="L624" s="95" t="n">
        <f aca="false">IF(B624="CN",IF(N(I624)&gt;0,I624*가정!$B$3,K624*(1+가정!$B$6)),IF(N(H624)&gt;0,H624*가정!$B$3,J624*가정!$B$4))</f>
        <v>42927.57</v>
      </c>
      <c r="M624" s="95" t="n">
        <f aca="false">D624*J624</f>
        <v>23980000</v>
      </c>
      <c r="N624" s="95" t="n">
        <f aca="false">D624*K624</f>
        <v>6226000</v>
      </c>
      <c r="O624" s="95" t="n">
        <f aca="false">D624*L624</f>
        <v>9444065.4</v>
      </c>
      <c r="P624" s="34" t="str">
        <f aca="false">TRIM(IF(N(E624)&lt;=0,"택가보정 ","")&amp;IF(N(F624)&lt;=0,"원가보정 ","")&amp;IF(AND(B624&lt;&gt;"CN",N(H624)&lt;=0),"공급가보정 ","")&amp;IF(AND(B624="CN",N(I624)&lt;=0),"중국공급가=원가+마진 ",""))</f>
        <v/>
      </c>
    </row>
    <row r="625" customFormat="false" ht="15" hidden="false" customHeight="true" outlineLevel="0" collapsed="false">
      <c r="A625" s="94" t="s">
        <v>1687</v>
      </c>
      <c r="B625" s="34" t="str">
        <f aca="false">IF(A625="100","HK",IF(A625="200","CN",IF(A625="300","TW","홀세일")))</f>
        <v>홀세일</v>
      </c>
      <c r="C625" s="94" t="s">
        <v>419</v>
      </c>
      <c r="D625" s="95" t="n">
        <v>30</v>
      </c>
      <c r="E625" s="95" t="n">
        <v>109000</v>
      </c>
      <c r="F625" s="95" t="n">
        <v>28300</v>
      </c>
      <c r="G625" s="34" t="n">
        <v>3.41</v>
      </c>
      <c r="H625" s="34" t="n">
        <v>31.5</v>
      </c>
      <c r="J625" s="95" t="n">
        <f aca="false">IF(N(E625)&gt;0,E625,IF(N(F625)&gt;0,F625*가정!$B$5,0))</f>
        <v>109000</v>
      </c>
      <c r="K625" s="95" t="n">
        <f aca="false">IF(N(F625)&gt;0,F625,IF(N(E625)&gt;0,E625/가정!$B$5,0))</f>
        <v>28300</v>
      </c>
      <c r="L625" s="95" t="n">
        <f aca="false">IF(B625="CN",IF(N(I625)&gt;0,I625*가정!$B$3,K625*(1+가정!$B$6)),IF(N(H625)&gt;0,H625*가정!$B$3,J625*가정!$B$4))</f>
        <v>42927.57</v>
      </c>
      <c r="M625" s="95" t="n">
        <f aca="false">D625*J625</f>
        <v>3270000</v>
      </c>
      <c r="N625" s="95" t="n">
        <f aca="false">D625*K625</f>
        <v>849000</v>
      </c>
      <c r="O625" s="95" t="n">
        <f aca="false">D625*L625</f>
        <v>1287827.1</v>
      </c>
      <c r="P625" s="34" t="str">
        <f aca="false">TRIM(IF(N(E625)&lt;=0,"택가보정 ","")&amp;IF(N(F625)&lt;=0,"원가보정 ","")&amp;IF(AND(B625&lt;&gt;"CN",N(H625)&lt;=0),"공급가보정 ","")&amp;IF(AND(B625="CN",N(I625)&lt;=0),"중국공급가=원가+마진 ",""))</f>
        <v/>
      </c>
    </row>
    <row r="626" customFormat="false" ht="15" hidden="false" customHeight="true" outlineLevel="0" collapsed="false">
      <c r="A626" s="94" t="s">
        <v>1684</v>
      </c>
      <c r="B626" s="34" t="str">
        <f aca="false">IF(A626="100","HK",IF(A626="200","CN",IF(A626="300","TW","홀세일")))</f>
        <v>HK</v>
      </c>
      <c r="C626" s="94" t="s">
        <v>422</v>
      </c>
      <c r="D626" s="95" t="n">
        <v>140</v>
      </c>
      <c r="E626" s="95" t="n">
        <v>39000</v>
      </c>
      <c r="F626" s="95" t="n">
        <v>7600</v>
      </c>
      <c r="G626" s="34" t="n">
        <v>4.22</v>
      </c>
      <c r="H626" s="34" t="n">
        <v>9.8</v>
      </c>
      <c r="I626" s="34" t="n">
        <v>0</v>
      </c>
      <c r="J626" s="95" t="n">
        <f aca="false">IF(N(E626)&gt;0,E626,IF(N(F626)&gt;0,F626*가정!$B$5,0))</f>
        <v>39000</v>
      </c>
      <c r="K626" s="95" t="n">
        <f aca="false">IF(N(F626)&gt;0,F626,IF(N(E626)&gt;0,E626/가정!$B$5,0))</f>
        <v>7600</v>
      </c>
      <c r="L626" s="95" t="n">
        <f aca="false">IF(B626="CN",IF(N(I626)&gt;0,I626*가정!$B$3,K626*(1+가정!$B$6)),IF(N(H626)&gt;0,H626*가정!$B$3,J626*가정!$B$4))</f>
        <v>13355.244</v>
      </c>
      <c r="M626" s="95" t="n">
        <f aca="false">D626*J626</f>
        <v>5460000</v>
      </c>
      <c r="N626" s="95" t="n">
        <f aca="false">D626*K626</f>
        <v>1064000</v>
      </c>
      <c r="O626" s="95" t="n">
        <f aca="false">D626*L626</f>
        <v>1869734.16</v>
      </c>
      <c r="P626" s="34" t="str">
        <f aca="false">TRIM(IF(N(E626)&lt;=0,"택가보정 ","")&amp;IF(N(F626)&lt;=0,"원가보정 ","")&amp;IF(AND(B626&lt;&gt;"CN",N(H626)&lt;=0),"공급가보정 ","")&amp;IF(AND(B626="CN",N(I626)&lt;=0),"중국공급가=원가+마진 ",""))</f>
        <v/>
      </c>
    </row>
    <row r="627" customFormat="false" ht="15" hidden="false" customHeight="true" outlineLevel="0" collapsed="false">
      <c r="A627" s="94" t="s">
        <v>1686</v>
      </c>
      <c r="B627" s="34" t="str">
        <f aca="false">IF(A627="100","HK",IF(A627="200","CN",IF(A627="300","TW","홀세일")))</f>
        <v>TW</v>
      </c>
      <c r="C627" s="94" t="s">
        <v>422</v>
      </c>
      <c r="D627" s="95" t="n">
        <v>300</v>
      </c>
      <c r="E627" s="95" t="n">
        <v>39000</v>
      </c>
      <c r="F627" s="95" t="n">
        <v>7600</v>
      </c>
      <c r="G627" s="34" t="n">
        <v>4.22</v>
      </c>
      <c r="H627" s="34" t="n">
        <v>9.8</v>
      </c>
      <c r="I627" s="34" t="n">
        <v>0</v>
      </c>
      <c r="J627" s="95" t="n">
        <f aca="false">IF(N(E627)&gt;0,E627,IF(N(F627)&gt;0,F627*가정!$B$5,0))</f>
        <v>39000</v>
      </c>
      <c r="K627" s="95" t="n">
        <f aca="false">IF(N(F627)&gt;0,F627,IF(N(E627)&gt;0,E627/가정!$B$5,0))</f>
        <v>7600</v>
      </c>
      <c r="L627" s="95" t="n">
        <f aca="false">IF(B627="CN",IF(N(I627)&gt;0,I627*가정!$B$3,K627*(1+가정!$B$6)),IF(N(H627)&gt;0,H627*가정!$B$3,J627*가정!$B$4))</f>
        <v>13355.244</v>
      </c>
      <c r="M627" s="95" t="n">
        <f aca="false">D627*J627</f>
        <v>11700000</v>
      </c>
      <c r="N627" s="95" t="n">
        <f aca="false">D627*K627</f>
        <v>2280000</v>
      </c>
      <c r="O627" s="95" t="n">
        <f aca="false">D627*L627</f>
        <v>4006573.2</v>
      </c>
      <c r="P627" s="34" t="str">
        <f aca="false">TRIM(IF(N(E627)&lt;=0,"택가보정 ","")&amp;IF(N(F627)&lt;=0,"원가보정 ","")&amp;IF(AND(B627&lt;&gt;"CN",N(H627)&lt;=0),"공급가보정 ","")&amp;IF(AND(B627="CN",N(I627)&lt;=0),"중국공급가=원가+마진 ",""))</f>
        <v/>
      </c>
    </row>
    <row r="628" customFormat="false" ht="15" hidden="false" customHeight="true" outlineLevel="0" collapsed="false">
      <c r="A628" s="94" t="s">
        <v>1688</v>
      </c>
      <c r="B628" s="34" t="str">
        <f aca="false">IF(A628="100","HK",IF(A628="200","CN",IF(A628="300","TW","홀세일")))</f>
        <v>홀세일</v>
      </c>
      <c r="C628" s="94" t="s">
        <v>422</v>
      </c>
      <c r="D628" s="95" t="n">
        <v>35</v>
      </c>
      <c r="E628" s="95" t="n">
        <v>39000</v>
      </c>
      <c r="F628" s="95" t="n">
        <v>7600</v>
      </c>
      <c r="G628" s="34" t="n">
        <v>4.22</v>
      </c>
      <c r="H628" s="34" t="n">
        <v>9.8</v>
      </c>
      <c r="I628" s="34" t="n">
        <v>0</v>
      </c>
      <c r="J628" s="95" t="n">
        <f aca="false">IF(N(E628)&gt;0,E628,IF(N(F628)&gt;0,F628*가정!$B$5,0))</f>
        <v>39000</v>
      </c>
      <c r="K628" s="95" t="n">
        <f aca="false">IF(N(F628)&gt;0,F628,IF(N(E628)&gt;0,E628/가정!$B$5,0))</f>
        <v>7600</v>
      </c>
      <c r="L628" s="95" t="n">
        <f aca="false">IF(B628="CN",IF(N(I628)&gt;0,I628*가정!$B$3,K628*(1+가정!$B$6)),IF(N(H628)&gt;0,H628*가정!$B$3,J628*가정!$B$4))</f>
        <v>13355.244</v>
      </c>
      <c r="M628" s="95" t="n">
        <f aca="false">D628*J628</f>
        <v>1365000</v>
      </c>
      <c r="N628" s="95" t="n">
        <f aca="false">D628*K628</f>
        <v>266000</v>
      </c>
      <c r="O628" s="95" t="n">
        <f aca="false">D628*L628</f>
        <v>467433.54</v>
      </c>
      <c r="P628" s="34" t="str">
        <f aca="false">TRIM(IF(N(E628)&lt;=0,"택가보정 ","")&amp;IF(N(F628)&lt;=0,"원가보정 ","")&amp;IF(AND(B628&lt;&gt;"CN",N(H628)&lt;=0),"공급가보정 ","")&amp;IF(AND(B628="CN",N(I628)&lt;=0),"중국공급가=원가+마진 ",""))</f>
        <v/>
      </c>
    </row>
    <row r="629" customFormat="false" ht="15" hidden="false" customHeight="true" outlineLevel="0" collapsed="false">
      <c r="A629" s="94" t="s">
        <v>1692</v>
      </c>
      <c r="B629" s="34" t="str">
        <f aca="false">IF(A629="100","HK",IF(A629="200","CN",IF(A629="300","TW","홀세일")))</f>
        <v>홀세일</v>
      </c>
      <c r="C629" s="94" t="s">
        <v>422</v>
      </c>
      <c r="D629" s="95" t="n">
        <v>152</v>
      </c>
      <c r="E629" s="95" t="n">
        <v>39000</v>
      </c>
      <c r="F629" s="95" t="n">
        <v>7600</v>
      </c>
      <c r="G629" s="34" t="n">
        <v>4.22</v>
      </c>
      <c r="H629" s="34" t="n">
        <v>9.8</v>
      </c>
      <c r="I629" s="34" t="n">
        <v>0</v>
      </c>
      <c r="J629" s="95" t="n">
        <f aca="false">IF(N(E629)&gt;0,E629,IF(N(F629)&gt;0,F629*가정!$B$5,0))</f>
        <v>39000</v>
      </c>
      <c r="K629" s="95" t="n">
        <f aca="false">IF(N(F629)&gt;0,F629,IF(N(E629)&gt;0,E629/가정!$B$5,0))</f>
        <v>7600</v>
      </c>
      <c r="L629" s="95" t="n">
        <f aca="false">IF(B629="CN",IF(N(I629)&gt;0,I629*가정!$B$3,K629*(1+가정!$B$6)),IF(N(H629)&gt;0,H629*가정!$B$3,J629*가정!$B$4))</f>
        <v>13355.244</v>
      </c>
      <c r="M629" s="95" t="n">
        <f aca="false">D629*J629</f>
        <v>5928000</v>
      </c>
      <c r="N629" s="95" t="n">
        <f aca="false">D629*K629</f>
        <v>1155200</v>
      </c>
      <c r="O629" s="95" t="n">
        <f aca="false">D629*L629</f>
        <v>2029997.088</v>
      </c>
      <c r="P629" s="34" t="str">
        <f aca="false">TRIM(IF(N(E629)&lt;=0,"택가보정 ","")&amp;IF(N(F629)&lt;=0,"원가보정 ","")&amp;IF(AND(B629&lt;&gt;"CN",N(H629)&lt;=0),"공급가보정 ","")&amp;IF(AND(B629="CN",N(I629)&lt;=0),"중국공급가=원가+마진 ",""))</f>
        <v/>
      </c>
    </row>
    <row r="630" customFormat="false" ht="15" hidden="false" customHeight="true" outlineLevel="0" collapsed="false">
      <c r="A630" s="94" t="s">
        <v>1689</v>
      </c>
      <c r="B630" s="34" t="str">
        <f aca="false">IF(A630="100","HK",IF(A630="200","CN",IF(A630="300","TW","홀세일")))</f>
        <v>홀세일</v>
      </c>
      <c r="C630" s="94" t="s">
        <v>422</v>
      </c>
      <c r="D630" s="95" t="n">
        <v>20</v>
      </c>
      <c r="E630" s="95" t="n">
        <v>39000</v>
      </c>
      <c r="F630" s="95" t="n">
        <v>7600</v>
      </c>
      <c r="G630" s="34" t="n">
        <v>4.22</v>
      </c>
      <c r="H630" s="34" t="n">
        <v>9.8</v>
      </c>
      <c r="I630" s="34" t="n">
        <v>0</v>
      </c>
      <c r="J630" s="95" t="n">
        <f aca="false">IF(N(E630)&gt;0,E630,IF(N(F630)&gt;0,F630*가정!$B$5,0))</f>
        <v>39000</v>
      </c>
      <c r="K630" s="95" t="n">
        <f aca="false">IF(N(F630)&gt;0,F630,IF(N(E630)&gt;0,E630/가정!$B$5,0))</f>
        <v>7600</v>
      </c>
      <c r="L630" s="95" t="n">
        <f aca="false">IF(B630="CN",IF(N(I630)&gt;0,I630*가정!$B$3,K630*(1+가정!$B$6)),IF(N(H630)&gt;0,H630*가정!$B$3,J630*가정!$B$4))</f>
        <v>13355.244</v>
      </c>
      <c r="M630" s="95" t="n">
        <f aca="false">D630*J630</f>
        <v>780000</v>
      </c>
      <c r="N630" s="95" t="n">
        <f aca="false">D630*K630</f>
        <v>152000</v>
      </c>
      <c r="O630" s="95" t="n">
        <f aca="false">D630*L630</f>
        <v>267104.88</v>
      </c>
      <c r="P630" s="34" t="str">
        <f aca="false">TRIM(IF(N(E630)&lt;=0,"택가보정 ","")&amp;IF(N(F630)&lt;=0,"원가보정 ","")&amp;IF(AND(B630&lt;&gt;"CN",N(H630)&lt;=0),"공급가보정 ","")&amp;IF(AND(B630="CN",N(I630)&lt;=0),"중국공급가=원가+마진 ",""))</f>
        <v/>
      </c>
    </row>
    <row r="631" customFormat="false" ht="15" hidden="false" customHeight="true" outlineLevel="0" collapsed="false">
      <c r="A631" s="94" t="s">
        <v>1684</v>
      </c>
      <c r="B631" s="34" t="str">
        <f aca="false">IF(A631="100","HK",IF(A631="200","CN",IF(A631="300","TW","홀세일")))</f>
        <v>HK</v>
      </c>
      <c r="C631" s="94" t="s">
        <v>424</v>
      </c>
      <c r="D631" s="95" t="n">
        <v>140</v>
      </c>
      <c r="E631" s="95" t="n">
        <v>159000</v>
      </c>
      <c r="F631" s="95" t="n">
        <v>35833</v>
      </c>
      <c r="G631" s="34" t="n">
        <v>3.86</v>
      </c>
      <c r="H631" s="34" t="n">
        <v>39.8</v>
      </c>
      <c r="I631" s="34" t="n">
        <v>30.2</v>
      </c>
      <c r="J631" s="95" t="n">
        <f aca="false">IF(N(E631)&gt;0,E631,IF(N(F631)&gt;0,F631*가정!$B$5,0))</f>
        <v>159000</v>
      </c>
      <c r="K631" s="95" t="n">
        <f aca="false">IF(N(F631)&gt;0,F631,IF(N(E631)&gt;0,E631/가정!$B$5,0))</f>
        <v>35833</v>
      </c>
      <c r="L631" s="95" t="n">
        <f aca="false">IF(B631="CN",IF(N(I631)&gt;0,I631*가정!$B$3,K631*(1+가정!$B$6)),IF(N(H631)&gt;0,H631*가정!$B$3,J631*가정!$B$4))</f>
        <v>54238.644</v>
      </c>
      <c r="M631" s="95" t="n">
        <f aca="false">D631*J631</f>
        <v>22260000</v>
      </c>
      <c r="N631" s="95" t="n">
        <f aca="false">D631*K631</f>
        <v>5016620</v>
      </c>
      <c r="O631" s="95" t="n">
        <f aca="false">D631*L631</f>
        <v>7593410.16</v>
      </c>
      <c r="P631" s="34" t="str">
        <f aca="false">TRIM(IF(N(E631)&lt;=0,"택가보정 ","")&amp;IF(N(F631)&lt;=0,"원가보정 ","")&amp;IF(AND(B631&lt;&gt;"CN",N(H631)&lt;=0),"공급가보정 ","")&amp;IF(AND(B631="CN",N(I631)&lt;=0),"중국공급가=원가+마진 ",""))</f>
        <v/>
      </c>
    </row>
    <row r="632" customFormat="false" ht="15" hidden="false" customHeight="true" outlineLevel="0" collapsed="false">
      <c r="A632" s="94" t="s">
        <v>1685</v>
      </c>
      <c r="B632" s="34" t="str">
        <f aca="false">IF(A632="100","HK",IF(A632="200","CN",IF(A632="300","TW","홀세일")))</f>
        <v>CN</v>
      </c>
      <c r="C632" s="94" t="s">
        <v>424</v>
      </c>
      <c r="D632" s="95" t="n">
        <v>51</v>
      </c>
      <c r="E632" s="95" t="n">
        <v>159000</v>
      </c>
      <c r="F632" s="95" t="n">
        <v>35833</v>
      </c>
      <c r="G632" s="34" t="n">
        <v>3.86</v>
      </c>
      <c r="H632" s="34" t="n">
        <v>39.8</v>
      </c>
      <c r="I632" s="34" t="n">
        <v>30.2</v>
      </c>
      <c r="J632" s="95" t="n">
        <f aca="false">IF(N(E632)&gt;0,E632,IF(N(F632)&gt;0,F632*가정!$B$5,0))</f>
        <v>159000</v>
      </c>
      <c r="K632" s="95" t="n">
        <f aca="false">IF(N(F632)&gt;0,F632,IF(N(E632)&gt;0,E632/가정!$B$5,0))</f>
        <v>35833</v>
      </c>
      <c r="L632" s="95" t="n">
        <f aca="false">IF(B632="CN",IF(N(I632)&gt;0,I632*가정!$B$3,K632*(1+가정!$B$6)),IF(N(H632)&gt;0,H632*가정!$B$3,J632*가정!$B$4))</f>
        <v>41155.956</v>
      </c>
      <c r="M632" s="95" t="n">
        <f aca="false">D632*J632</f>
        <v>8109000</v>
      </c>
      <c r="N632" s="95" t="n">
        <f aca="false">D632*K632</f>
        <v>1827483</v>
      </c>
      <c r="O632" s="95" t="n">
        <f aca="false">D632*L632</f>
        <v>2098953.756</v>
      </c>
      <c r="P632" s="34" t="str">
        <f aca="false">TRIM(IF(N(E632)&lt;=0,"택가보정 ","")&amp;IF(N(F632)&lt;=0,"원가보정 ","")&amp;IF(AND(B632&lt;&gt;"CN",N(H632)&lt;=0),"공급가보정 ","")&amp;IF(AND(B632="CN",N(I632)&lt;=0),"중국공급가=원가+마진 ",""))</f>
        <v/>
      </c>
    </row>
    <row r="633" customFormat="false" ht="15" hidden="false" customHeight="true" outlineLevel="0" collapsed="false">
      <c r="A633" s="94" t="s">
        <v>1686</v>
      </c>
      <c r="B633" s="34" t="str">
        <f aca="false">IF(A633="100","HK",IF(A633="200","CN",IF(A633="300","TW","홀세일")))</f>
        <v>TW</v>
      </c>
      <c r="C633" s="94" t="s">
        <v>424</v>
      </c>
      <c r="D633" s="95" t="n">
        <v>100</v>
      </c>
      <c r="E633" s="95" t="n">
        <v>159000</v>
      </c>
      <c r="F633" s="95" t="n">
        <v>35833</v>
      </c>
      <c r="G633" s="34" t="n">
        <v>3.86</v>
      </c>
      <c r="H633" s="34" t="n">
        <v>39.8</v>
      </c>
      <c r="I633" s="34" t="n">
        <v>30.2</v>
      </c>
      <c r="J633" s="95" t="n">
        <f aca="false">IF(N(E633)&gt;0,E633,IF(N(F633)&gt;0,F633*가정!$B$5,0))</f>
        <v>159000</v>
      </c>
      <c r="K633" s="95" t="n">
        <f aca="false">IF(N(F633)&gt;0,F633,IF(N(E633)&gt;0,E633/가정!$B$5,0))</f>
        <v>35833</v>
      </c>
      <c r="L633" s="95" t="n">
        <f aca="false">IF(B633="CN",IF(N(I633)&gt;0,I633*가정!$B$3,K633*(1+가정!$B$6)),IF(N(H633)&gt;0,H633*가정!$B$3,J633*가정!$B$4))</f>
        <v>54238.644</v>
      </c>
      <c r="M633" s="95" t="n">
        <f aca="false">D633*J633</f>
        <v>15900000</v>
      </c>
      <c r="N633" s="95" t="n">
        <f aca="false">D633*K633</f>
        <v>3583300</v>
      </c>
      <c r="O633" s="95" t="n">
        <f aca="false">D633*L633</f>
        <v>5423864.4</v>
      </c>
      <c r="P633" s="34" t="str">
        <f aca="false">TRIM(IF(N(E633)&lt;=0,"택가보정 ","")&amp;IF(N(F633)&lt;=0,"원가보정 ","")&amp;IF(AND(B633&lt;&gt;"CN",N(H633)&lt;=0),"공급가보정 ","")&amp;IF(AND(B633="CN",N(I633)&lt;=0),"중국공급가=원가+마진 ",""))</f>
        <v/>
      </c>
    </row>
    <row r="634" customFormat="false" ht="15" hidden="false" customHeight="true" outlineLevel="0" collapsed="false">
      <c r="A634" s="94" t="s">
        <v>1687</v>
      </c>
      <c r="B634" s="34" t="str">
        <f aca="false">IF(A634="100","HK",IF(A634="200","CN",IF(A634="300","TW","홀세일")))</f>
        <v>홀세일</v>
      </c>
      <c r="C634" s="94" t="s">
        <v>424</v>
      </c>
      <c r="D634" s="95" t="n">
        <v>240</v>
      </c>
      <c r="E634" s="95" t="n">
        <v>159000</v>
      </c>
      <c r="F634" s="95" t="n">
        <v>35833</v>
      </c>
      <c r="G634" s="34" t="n">
        <v>3.86</v>
      </c>
      <c r="H634" s="34" t="n">
        <v>39.8</v>
      </c>
      <c r="I634" s="34" t="n">
        <v>30.2</v>
      </c>
      <c r="J634" s="95" t="n">
        <f aca="false">IF(N(E634)&gt;0,E634,IF(N(F634)&gt;0,F634*가정!$B$5,0))</f>
        <v>159000</v>
      </c>
      <c r="K634" s="95" t="n">
        <f aca="false">IF(N(F634)&gt;0,F634,IF(N(E634)&gt;0,E634/가정!$B$5,0))</f>
        <v>35833</v>
      </c>
      <c r="L634" s="95" t="n">
        <f aca="false">IF(B634="CN",IF(N(I634)&gt;0,I634*가정!$B$3,K634*(1+가정!$B$6)),IF(N(H634)&gt;0,H634*가정!$B$3,J634*가정!$B$4))</f>
        <v>54238.644</v>
      </c>
      <c r="M634" s="95" t="n">
        <f aca="false">D634*J634</f>
        <v>38160000</v>
      </c>
      <c r="N634" s="95" t="n">
        <f aca="false">D634*K634</f>
        <v>8599920</v>
      </c>
      <c r="O634" s="95" t="n">
        <f aca="false">D634*L634</f>
        <v>13017274.56</v>
      </c>
      <c r="P634" s="34" t="str">
        <f aca="false">TRIM(IF(N(E634)&lt;=0,"택가보정 ","")&amp;IF(N(F634)&lt;=0,"원가보정 ","")&amp;IF(AND(B634&lt;&gt;"CN",N(H634)&lt;=0),"공급가보정 ","")&amp;IF(AND(B634="CN",N(I634)&lt;=0),"중국공급가=원가+마진 ",""))</f>
        <v/>
      </c>
    </row>
    <row r="635" customFormat="false" ht="15" hidden="false" customHeight="true" outlineLevel="0" collapsed="false">
      <c r="A635" s="94" t="s">
        <v>1688</v>
      </c>
      <c r="B635" s="34" t="str">
        <f aca="false">IF(A635="100","HK",IF(A635="200","CN",IF(A635="300","TW","홀세일")))</f>
        <v>홀세일</v>
      </c>
      <c r="C635" s="94" t="s">
        <v>424</v>
      </c>
      <c r="D635" s="95" t="n">
        <v>50</v>
      </c>
      <c r="E635" s="95" t="n">
        <v>159000</v>
      </c>
      <c r="F635" s="95" t="n">
        <v>35833</v>
      </c>
      <c r="G635" s="34" t="n">
        <v>3.86</v>
      </c>
      <c r="H635" s="34" t="n">
        <v>39.8</v>
      </c>
      <c r="I635" s="34" t="n">
        <v>30.2</v>
      </c>
      <c r="J635" s="95" t="n">
        <f aca="false">IF(N(E635)&gt;0,E635,IF(N(F635)&gt;0,F635*가정!$B$5,0))</f>
        <v>159000</v>
      </c>
      <c r="K635" s="95" t="n">
        <f aca="false">IF(N(F635)&gt;0,F635,IF(N(E635)&gt;0,E635/가정!$B$5,0))</f>
        <v>35833</v>
      </c>
      <c r="L635" s="95" t="n">
        <f aca="false">IF(B635="CN",IF(N(I635)&gt;0,I635*가정!$B$3,K635*(1+가정!$B$6)),IF(N(H635)&gt;0,H635*가정!$B$3,J635*가정!$B$4))</f>
        <v>54238.644</v>
      </c>
      <c r="M635" s="95" t="n">
        <f aca="false">D635*J635</f>
        <v>7950000</v>
      </c>
      <c r="N635" s="95" t="n">
        <f aca="false">D635*K635</f>
        <v>1791650</v>
      </c>
      <c r="O635" s="95" t="n">
        <f aca="false">D635*L635</f>
        <v>2711932.2</v>
      </c>
      <c r="P635" s="34" t="str">
        <f aca="false">TRIM(IF(N(E635)&lt;=0,"택가보정 ","")&amp;IF(N(F635)&lt;=0,"원가보정 ","")&amp;IF(AND(B635&lt;&gt;"CN",N(H635)&lt;=0),"공급가보정 ","")&amp;IF(AND(B635="CN",N(I635)&lt;=0),"중국공급가=원가+마진 ",""))</f>
        <v/>
      </c>
    </row>
    <row r="636" customFormat="false" ht="15" hidden="false" customHeight="true" outlineLevel="0" collapsed="false">
      <c r="A636" s="94" t="s">
        <v>1689</v>
      </c>
      <c r="B636" s="34" t="str">
        <f aca="false">IF(A636="100","HK",IF(A636="200","CN",IF(A636="300","TW","홀세일")))</f>
        <v>홀세일</v>
      </c>
      <c r="C636" s="94" t="s">
        <v>424</v>
      </c>
      <c r="D636" s="95" t="n">
        <v>30</v>
      </c>
      <c r="E636" s="95" t="n">
        <v>159000</v>
      </c>
      <c r="F636" s="95" t="n">
        <v>35833</v>
      </c>
      <c r="G636" s="34" t="n">
        <v>3.86</v>
      </c>
      <c r="H636" s="34" t="n">
        <v>39.8</v>
      </c>
      <c r="I636" s="34" t="n">
        <v>30.2</v>
      </c>
      <c r="J636" s="95" t="n">
        <f aca="false">IF(N(E636)&gt;0,E636,IF(N(F636)&gt;0,F636*가정!$B$5,0))</f>
        <v>159000</v>
      </c>
      <c r="K636" s="95" t="n">
        <f aca="false">IF(N(F636)&gt;0,F636,IF(N(E636)&gt;0,E636/가정!$B$5,0))</f>
        <v>35833</v>
      </c>
      <c r="L636" s="95" t="n">
        <f aca="false">IF(B636="CN",IF(N(I636)&gt;0,I636*가정!$B$3,K636*(1+가정!$B$6)),IF(N(H636)&gt;0,H636*가정!$B$3,J636*가정!$B$4))</f>
        <v>54238.644</v>
      </c>
      <c r="M636" s="95" t="n">
        <f aca="false">D636*J636</f>
        <v>4770000</v>
      </c>
      <c r="N636" s="95" t="n">
        <f aca="false">D636*K636</f>
        <v>1074990</v>
      </c>
      <c r="O636" s="95" t="n">
        <f aca="false">D636*L636</f>
        <v>1627159.32</v>
      </c>
      <c r="P636" s="34" t="str">
        <f aca="false">TRIM(IF(N(E636)&lt;=0,"택가보정 ","")&amp;IF(N(F636)&lt;=0,"원가보정 ","")&amp;IF(AND(B636&lt;&gt;"CN",N(H636)&lt;=0),"공급가보정 ","")&amp;IF(AND(B636="CN",N(I636)&lt;=0),"중국공급가=원가+마진 ",""))</f>
        <v/>
      </c>
    </row>
    <row r="637" customFormat="false" ht="15" hidden="false" customHeight="true" outlineLevel="0" collapsed="false">
      <c r="A637" s="94" t="s">
        <v>1690</v>
      </c>
      <c r="B637" s="34" t="str">
        <f aca="false">IF(A637="100","HK",IF(A637="200","CN",IF(A637="300","TW","홀세일")))</f>
        <v>홀세일</v>
      </c>
      <c r="C637" s="94" t="s">
        <v>424</v>
      </c>
      <c r="D637" s="95" t="n">
        <v>48</v>
      </c>
      <c r="E637" s="95" t="n">
        <v>159000</v>
      </c>
      <c r="F637" s="95" t="n">
        <v>35833</v>
      </c>
      <c r="G637" s="34" t="n">
        <v>3.86</v>
      </c>
      <c r="H637" s="34" t="n">
        <v>39.8</v>
      </c>
      <c r="I637" s="34" t="n">
        <v>30.2</v>
      </c>
      <c r="J637" s="95" t="n">
        <f aca="false">IF(N(E637)&gt;0,E637,IF(N(F637)&gt;0,F637*가정!$B$5,0))</f>
        <v>159000</v>
      </c>
      <c r="K637" s="95" t="n">
        <f aca="false">IF(N(F637)&gt;0,F637,IF(N(E637)&gt;0,E637/가정!$B$5,0))</f>
        <v>35833</v>
      </c>
      <c r="L637" s="95" t="n">
        <f aca="false">IF(B637="CN",IF(N(I637)&gt;0,I637*가정!$B$3,K637*(1+가정!$B$6)),IF(N(H637)&gt;0,H637*가정!$B$3,J637*가정!$B$4))</f>
        <v>54238.644</v>
      </c>
      <c r="M637" s="95" t="n">
        <f aca="false">D637*J637</f>
        <v>7632000</v>
      </c>
      <c r="N637" s="95" t="n">
        <f aca="false">D637*K637</f>
        <v>1719984</v>
      </c>
      <c r="O637" s="95" t="n">
        <f aca="false">D637*L637</f>
        <v>2603454.912</v>
      </c>
      <c r="P637" s="34" t="str">
        <f aca="false">TRIM(IF(N(E637)&lt;=0,"택가보정 ","")&amp;IF(N(F637)&lt;=0,"원가보정 ","")&amp;IF(AND(B637&lt;&gt;"CN",N(H637)&lt;=0),"공급가보정 ","")&amp;IF(AND(B637="CN",N(I637)&lt;=0),"중국공급가=원가+마진 ",""))</f>
        <v/>
      </c>
    </row>
    <row r="638" customFormat="false" ht="15" hidden="false" customHeight="true" outlineLevel="0" collapsed="false">
      <c r="A638" s="94" t="s">
        <v>1684</v>
      </c>
      <c r="B638" s="34" t="str">
        <f aca="false">IF(A638="100","HK",IF(A638="200","CN",IF(A638="300","TW","홀세일")))</f>
        <v>HK</v>
      </c>
      <c r="C638" s="94" t="s">
        <v>921</v>
      </c>
      <c r="D638" s="95" t="n">
        <v>60</v>
      </c>
      <c r="E638" s="95" t="n">
        <v>259000</v>
      </c>
      <c r="F638" s="95" t="n">
        <v>69168</v>
      </c>
      <c r="G638" s="34" t="n">
        <v>3.06</v>
      </c>
      <c r="H638" s="34" t="n">
        <v>64.9</v>
      </c>
      <c r="I638" s="34" t="n">
        <v>56.3</v>
      </c>
      <c r="J638" s="95" t="n">
        <f aca="false">IF(N(E638)&gt;0,E638,IF(N(F638)&gt;0,F638*가정!$B$5,0))</f>
        <v>259000</v>
      </c>
      <c r="K638" s="95" t="n">
        <f aca="false">IF(N(F638)&gt;0,F638,IF(N(E638)&gt;0,E638/가정!$B$5,0))</f>
        <v>69168</v>
      </c>
      <c r="L638" s="95" t="n">
        <f aca="false">IF(B638="CN",IF(N(I638)&gt;0,I638*가정!$B$3,K638*(1+가정!$B$6)),IF(N(H638)&gt;0,H638*가정!$B$3,J638*가정!$B$4))</f>
        <v>88444.422</v>
      </c>
      <c r="M638" s="95" t="n">
        <f aca="false">D638*J638</f>
        <v>15540000</v>
      </c>
      <c r="N638" s="95" t="n">
        <f aca="false">D638*K638</f>
        <v>4150080</v>
      </c>
      <c r="O638" s="95" t="n">
        <f aca="false">D638*L638</f>
        <v>5306665.32</v>
      </c>
      <c r="P638" s="34" t="str">
        <f aca="false">TRIM(IF(N(E638)&lt;=0,"택가보정 ","")&amp;IF(N(F638)&lt;=0,"원가보정 ","")&amp;IF(AND(B638&lt;&gt;"CN",N(H638)&lt;=0),"공급가보정 ","")&amp;IF(AND(B638="CN",N(I638)&lt;=0),"중국공급가=원가+마진 ",""))</f>
        <v/>
      </c>
    </row>
    <row r="639" customFormat="false" ht="15" hidden="false" customHeight="true" outlineLevel="0" collapsed="false">
      <c r="A639" s="94" t="s">
        <v>1685</v>
      </c>
      <c r="B639" s="34" t="str">
        <f aca="false">IF(A639="100","HK",IF(A639="200","CN",IF(A639="300","TW","홀세일")))</f>
        <v>CN</v>
      </c>
      <c r="C639" s="94" t="s">
        <v>921</v>
      </c>
      <c r="D639" s="95" t="n">
        <v>82</v>
      </c>
      <c r="E639" s="95" t="n">
        <v>259000</v>
      </c>
      <c r="F639" s="95" t="n">
        <v>69168</v>
      </c>
      <c r="G639" s="34" t="n">
        <v>3.06</v>
      </c>
      <c r="H639" s="34" t="n">
        <v>64.9</v>
      </c>
      <c r="I639" s="34" t="n">
        <v>56.3</v>
      </c>
      <c r="J639" s="95" t="n">
        <f aca="false">IF(N(E639)&gt;0,E639,IF(N(F639)&gt;0,F639*가정!$B$5,0))</f>
        <v>259000</v>
      </c>
      <c r="K639" s="95" t="n">
        <f aca="false">IF(N(F639)&gt;0,F639,IF(N(E639)&gt;0,E639/가정!$B$5,0))</f>
        <v>69168</v>
      </c>
      <c r="L639" s="95" t="n">
        <f aca="false">IF(B639="CN",IF(N(I639)&gt;0,I639*가정!$B$3,K639*(1+가정!$B$6)),IF(N(H639)&gt;0,H639*가정!$B$3,J639*가정!$B$4))</f>
        <v>76724.514</v>
      </c>
      <c r="M639" s="95" t="n">
        <f aca="false">D639*J639</f>
        <v>21238000</v>
      </c>
      <c r="N639" s="95" t="n">
        <f aca="false">D639*K639</f>
        <v>5671776</v>
      </c>
      <c r="O639" s="95" t="n">
        <f aca="false">D639*L639</f>
        <v>6291410.148</v>
      </c>
      <c r="P639" s="34" t="str">
        <f aca="false">TRIM(IF(N(E639)&lt;=0,"택가보정 ","")&amp;IF(N(F639)&lt;=0,"원가보정 ","")&amp;IF(AND(B639&lt;&gt;"CN",N(H639)&lt;=0),"공급가보정 ","")&amp;IF(AND(B639="CN",N(I639)&lt;=0),"중국공급가=원가+마진 ",""))</f>
        <v/>
      </c>
    </row>
    <row r="640" customFormat="false" ht="15" hidden="false" customHeight="true" outlineLevel="0" collapsed="false">
      <c r="A640" s="94" t="s">
        <v>1687</v>
      </c>
      <c r="B640" s="34" t="str">
        <f aca="false">IF(A640="100","HK",IF(A640="200","CN",IF(A640="300","TW","홀세일")))</f>
        <v>홀세일</v>
      </c>
      <c r="C640" s="94" t="s">
        <v>921</v>
      </c>
      <c r="D640" s="95" t="n">
        <v>20</v>
      </c>
      <c r="E640" s="95" t="n">
        <v>259000</v>
      </c>
      <c r="F640" s="95" t="n">
        <v>69168</v>
      </c>
      <c r="G640" s="34" t="n">
        <v>3.06</v>
      </c>
      <c r="H640" s="34" t="n">
        <v>64.9</v>
      </c>
      <c r="I640" s="34" t="n">
        <v>56.3</v>
      </c>
      <c r="J640" s="95" t="n">
        <f aca="false">IF(N(E640)&gt;0,E640,IF(N(F640)&gt;0,F640*가정!$B$5,0))</f>
        <v>259000</v>
      </c>
      <c r="K640" s="95" t="n">
        <f aca="false">IF(N(F640)&gt;0,F640,IF(N(E640)&gt;0,E640/가정!$B$5,0))</f>
        <v>69168</v>
      </c>
      <c r="L640" s="95" t="n">
        <f aca="false">IF(B640="CN",IF(N(I640)&gt;0,I640*가정!$B$3,K640*(1+가정!$B$6)),IF(N(H640)&gt;0,H640*가정!$B$3,J640*가정!$B$4))</f>
        <v>88444.422</v>
      </c>
      <c r="M640" s="95" t="n">
        <f aca="false">D640*J640</f>
        <v>5180000</v>
      </c>
      <c r="N640" s="95" t="n">
        <f aca="false">D640*K640</f>
        <v>1383360</v>
      </c>
      <c r="O640" s="95" t="n">
        <f aca="false">D640*L640</f>
        <v>1768888.44</v>
      </c>
      <c r="P640" s="34" t="str">
        <f aca="false">TRIM(IF(N(E640)&lt;=0,"택가보정 ","")&amp;IF(N(F640)&lt;=0,"원가보정 ","")&amp;IF(AND(B640&lt;&gt;"CN",N(H640)&lt;=0),"공급가보정 ","")&amp;IF(AND(B640="CN",N(I640)&lt;=0),"중국공급가=원가+마진 ",""))</f>
        <v/>
      </c>
    </row>
    <row r="641" customFormat="false" ht="15" hidden="false" customHeight="true" outlineLevel="0" collapsed="false">
      <c r="A641" s="94" t="s">
        <v>1688</v>
      </c>
      <c r="B641" s="34" t="str">
        <f aca="false">IF(A641="100","HK",IF(A641="200","CN",IF(A641="300","TW","홀세일")))</f>
        <v>홀세일</v>
      </c>
      <c r="C641" s="94" t="s">
        <v>921</v>
      </c>
      <c r="D641" s="95" t="n">
        <v>10</v>
      </c>
      <c r="E641" s="95" t="n">
        <v>259000</v>
      </c>
      <c r="F641" s="95" t="n">
        <v>69168</v>
      </c>
      <c r="G641" s="34" t="n">
        <v>3.06</v>
      </c>
      <c r="H641" s="34" t="n">
        <v>64.9</v>
      </c>
      <c r="I641" s="34" t="n">
        <v>56.3</v>
      </c>
      <c r="J641" s="95" t="n">
        <f aca="false">IF(N(E641)&gt;0,E641,IF(N(F641)&gt;0,F641*가정!$B$5,0))</f>
        <v>259000</v>
      </c>
      <c r="K641" s="95" t="n">
        <f aca="false">IF(N(F641)&gt;0,F641,IF(N(E641)&gt;0,E641/가정!$B$5,0))</f>
        <v>69168</v>
      </c>
      <c r="L641" s="95" t="n">
        <f aca="false">IF(B641="CN",IF(N(I641)&gt;0,I641*가정!$B$3,K641*(1+가정!$B$6)),IF(N(H641)&gt;0,H641*가정!$B$3,J641*가정!$B$4))</f>
        <v>88444.422</v>
      </c>
      <c r="M641" s="95" t="n">
        <f aca="false">D641*J641</f>
        <v>2590000</v>
      </c>
      <c r="N641" s="95" t="n">
        <f aca="false">D641*K641</f>
        <v>691680</v>
      </c>
      <c r="O641" s="95" t="n">
        <f aca="false">D641*L641</f>
        <v>884444.22</v>
      </c>
      <c r="P641" s="34" t="str">
        <f aca="false">TRIM(IF(N(E641)&lt;=0,"택가보정 ","")&amp;IF(N(F641)&lt;=0,"원가보정 ","")&amp;IF(AND(B641&lt;&gt;"CN",N(H641)&lt;=0),"공급가보정 ","")&amp;IF(AND(B641="CN",N(I641)&lt;=0),"중국공급가=원가+마진 ",""))</f>
        <v/>
      </c>
    </row>
    <row r="642" customFormat="false" ht="15" hidden="false" customHeight="true" outlineLevel="0" collapsed="false">
      <c r="A642" s="94" t="s">
        <v>1689</v>
      </c>
      <c r="B642" s="34" t="str">
        <f aca="false">IF(A642="100","HK",IF(A642="200","CN",IF(A642="300","TW","홀세일")))</f>
        <v>홀세일</v>
      </c>
      <c r="C642" s="94" t="s">
        <v>921</v>
      </c>
      <c r="D642" s="95" t="n">
        <v>10</v>
      </c>
      <c r="E642" s="95" t="n">
        <v>259000</v>
      </c>
      <c r="F642" s="95" t="n">
        <v>69168</v>
      </c>
      <c r="G642" s="34" t="n">
        <v>3.06</v>
      </c>
      <c r="H642" s="34" t="n">
        <v>64.9</v>
      </c>
      <c r="I642" s="34" t="n">
        <v>56.3</v>
      </c>
      <c r="J642" s="95" t="n">
        <f aca="false">IF(N(E642)&gt;0,E642,IF(N(F642)&gt;0,F642*가정!$B$5,0))</f>
        <v>259000</v>
      </c>
      <c r="K642" s="95" t="n">
        <f aca="false">IF(N(F642)&gt;0,F642,IF(N(E642)&gt;0,E642/가정!$B$5,0))</f>
        <v>69168</v>
      </c>
      <c r="L642" s="95" t="n">
        <f aca="false">IF(B642="CN",IF(N(I642)&gt;0,I642*가정!$B$3,K642*(1+가정!$B$6)),IF(N(H642)&gt;0,H642*가정!$B$3,J642*가정!$B$4))</f>
        <v>88444.422</v>
      </c>
      <c r="M642" s="95" t="n">
        <f aca="false">D642*J642</f>
        <v>2590000</v>
      </c>
      <c r="N642" s="95" t="n">
        <f aca="false">D642*K642</f>
        <v>691680</v>
      </c>
      <c r="O642" s="95" t="n">
        <f aca="false">D642*L642</f>
        <v>884444.22</v>
      </c>
      <c r="P642" s="34" t="str">
        <f aca="false">TRIM(IF(N(E642)&lt;=0,"택가보정 ","")&amp;IF(N(F642)&lt;=0,"원가보정 ","")&amp;IF(AND(B642&lt;&gt;"CN",N(H642)&lt;=0),"공급가보정 ","")&amp;IF(AND(B642="CN",N(I642)&lt;=0),"중국공급가=원가+마진 ",""))</f>
        <v/>
      </c>
    </row>
    <row r="643" customFormat="false" ht="15" hidden="false" customHeight="true" outlineLevel="0" collapsed="false">
      <c r="A643" s="94" t="s">
        <v>1690</v>
      </c>
      <c r="B643" s="34" t="str">
        <f aca="false">IF(A643="100","HK",IF(A643="200","CN",IF(A643="300","TW","홀세일")))</f>
        <v>홀세일</v>
      </c>
      <c r="C643" s="94" t="s">
        <v>921</v>
      </c>
      <c r="D643" s="95" t="n">
        <v>36</v>
      </c>
      <c r="E643" s="95" t="n">
        <v>259000</v>
      </c>
      <c r="F643" s="95" t="n">
        <v>69168</v>
      </c>
      <c r="G643" s="34" t="n">
        <v>3.06</v>
      </c>
      <c r="H643" s="34" t="n">
        <v>64.9</v>
      </c>
      <c r="I643" s="34" t="n">
        <v>56.3</v>
      </c>
      <c r="J643" s="95" t="n">
        <f aca="false">IF(N(E643)&gt;0,E643,IF(N(F643)&gt;0,F643*가정!$B$5,0))</f>
        <v>259000</v>
      </c>
      <c r="K643" s="95" t="n">
        <f aca="false">IF(N(F643)&gt;0,F643,IF(N(E643)&gt;0,E643/가정!$B$5,0))</f>
        <v>69168</v>
      </c>
      <c r="L643" s="95" t="n">
        <f aca="false">IF(B643="CN",IF(N(I643)&gt;0,I643*가정!$B$3,K643*(1+가정!$B$6)),IF(N(H643)&gt;0,H643*가정!$B$3,J643*가정!$B$4))</f>
        <v>88444.422</v>
      </c>
      <c r="M643" s="95" t="n">
        <f aca="false">D643*J643</f>
        <v>9324000</v>
      </c>
      <c r="N643" s="95" t="n">
        <f aca="false">D643*K643</f>
        <v>2490048</v>
      </c>
      <c r="O643" s="95" t="n">
        <f aca="false">D643*L643</f>
        <v>3183999.192</v>
      </c>
      <c r="P643" s="34" t="str">
        <f aca="false">TRIM(IF(N(E643)&lt;=0,"택가보정 ","")&amp;IF(N(F643)&lt;=0,"원가보정 ","")&amp;IF(AND(B643&lt;&gt;"CN",N(H643)&lt;=0),"공급가보정 ","")&amp;IF(AND(B643="CN",N(I643)&lt;=0),"중국공급가=원가+마진 ",""))</f>
        <v/>
      </c>
    </row>
    <row r="644" customFormat="false" ht="15" hidden="false" customHeight="true" outlineLevel="0" collapsed="false">
      <c r="A644" s="94" t="s">
        <v>1684</v>
      </c>
      <c r="B644" s="34" t="str">
        <f aca="false">IF(A644="100","HK",IF(A644="200","CN",IF(A644="300","TW","홀세일")))</f>
        <v>HK</v>
      </c>
      <c r="C644" s="94" t="s">
        <v>923</v>
      </c>
      <c r="D644" s="95" t="n">
        <v>390</v>
      </c>
      <c r="E644" s="95" t="n">
        <v>109000</v>
      </c>
      <c r="F644" s="95" t="n">
        <v>27683</v>
      </c>
      <c r="G644" s="34" t="n">
        <v>3.19</v>
      </c>
      <c r="H644" s="34" t="n">
        <v>27.3</v>
      </c>
      <c r="I644" s="34" t="n">
        <v>22.5</v>
      </c>
      <c r="J644" s="95" t="n">
        <f aca="false">IF(N(E644)&gt;0,E644,IF(N(F644)&gt;0,F644*가정!$B$5,0))</f>
        <v>109000</v>
      </c>
      <c r="K644" s="95" t="n">
        <f aca="false">IF(N(F644)&gt;0,F644,IF(N(E644)&gt;0,E644/가정!$B$5,0))</f>
        <v>27683</v>
      </c>
      <c r="L644" s="95" t="n">
        <f aca="false">IF(B644="CN",IF(N(I644)&gt;0,I644*가정!$B$3,K644*(1+가정!$B$6)),IF(N(H644)&gt;0,H644*가정!$B$3,J644*가정!$B$4))</f>
        <v>37203.894</v>
      </c>
      <c r="M644" s="95" t="n">
        <f aca="false">D644*J644</f>
        <v>42510000</v>
      </c>
      <c r="N644" s="95" t="n">
        <f aca="false">D644*K644</f>
        <v>10796370</v>
      </c>
      <c r="O644" s="95" t="n">
        <f aca="false">D644*L644</f>
        <v>14509518.66</v>
      </c>
      <c r="P644" s="34" t="str">
        <f aca="false">TRIM(IF(N(E644)&lt;=0,"택가보정 ","")&amp;IF(N(F644)&lt;=0,"원가보정 ","")&amp;IF(AND(B644&lt;&gt;"CN",N(H644)&lt;=0),"공급가보정 ","")&amp;IF(AND(B644="CN",N(I644)&lt;=0),"중국공급가=원가+마진 ",""))</f>
        <v/>
      </c>
    </row>
    <row r="645" customFormat="false" ht="15" hidden="false" customHeight="true" outlineLevel="0" collapsed="false">
      <c r="A645" s="94" t="s">
        <v>1685</v>
      </c>
      <c r="B645" s="34" t="str">
        <f aca="false">IF(A645="100","HK",IF(A645="200","CN",IF(A645="300","TW","홀세일")))</f>
        <v>CN</v>
      </c>
      <c r="C645" s="94" t="s">
        <v>923</v>
      </c>
      <c r="D645" s="95" t="n">
        <v>243</v>
      </c>
      <c r="E645" s="95" t="n">
        <v>109000</v>
      </c>
      <c r="F645" s="95" t="n">
        <v>27683</v>
      </c>
      <c r="G645" s="34" t="n">
        <v>3.19</v>
      </c>
      <c r="H645" s="34" t="n">
        <v>27.3</v>
      </c>
      <c r="I645" s="34" t="n">
        <v>22.5</v>
      </c>
      <c r="J645" s="95" t="n">
        <f aca="false">IF(N(E645)&gt;0,E645,IF(N(F645)&gt;0,F645*가정!$B$5,0))</f>
        <v>109000</v>
      </c>
      <c r="K645" s="95" t="n">
        <f aca="false">IF(N(F645)&gt;0,F645,IF(N(E645)&gt;0,E645/가정!$B$5,0))</f>
        <v>27683</v>
      </c>
      <c r="L645" s="95" t="n">
        <f aca="false">IF(B645="CN",IF(N(I645)&gt;0,I645*가정!$B$3,K645*(1+가정!$B$6)),IF(N(H645)&gt;0,H645*가정!$B$3,J645*가정!$B$4))</f>
        <v>30662.55</v>
      </c>
      <c r="M645" s="95" t="n">
        <f aca="false">D645*J645</f>
        <v>26487000</v>
      </c>
      <c r="N645" s="95" t="n">
        <f aca="false">D645*K645</f>
        <v>6726969</v>
      </c>
      <c r="O645" s="95" t="n">
        <f aca="false">D645*L645</f>
        <v>7450999.65</v>
      </c>
      <c r="P645" s="34" t="str">
        <f aca="false">TRIM(IF(N(E645)&lt;=0,"택가보정 ","")&amp;IF(N(F645)&lt;=0,"원가보정 ","")&amp;IF(AND(B645&lt;&gt;"CN",N(H645)&lt;=0),"공급가보정 ","")&amp;IF(AND(B645="CN",N(I645)&lt;=0),"중국공급가=원가+마진 ",""))</f>
        <v/>
      </c>
    </row>
    <row r="646" customFormat="false" ht="15" hidden="false" customHeight="true" outlineLevel="0" collapsed="false">
      <c r="A646" s="94" t="s">
        <v>1688</v>
      </c>
      <c r="B646" s="34" t="str">
        <f aca="false">IF(A646="100","HK",IF(A646="200","CN",IF(A646="300","TW","홀세일")))</f>
        <v>홀세일</v>
      </c>
      <c r="C646" s="94" t="s">
        <v>923</v>
      </c>
      <c r="D646" s="95" t="n">
        <v>35</v>
      </c>
      <c r="E646" s="95" t="n">
        <v>109000</v>
      </c>
      <c r="F646" s="95" t="n">
        <v>27683</v>
      </c>
      <c r="G646" s="34" t="n">
        <v>3.19</v>
      </c>
      <c r="H646" s="34" t="n">
        <v>27.3</v>
      </c>
      <c r="I646" s="34" t="n">
        <v>22.5</v>
      </c>
      <c r="J646" s="95" t="n">
        <f aca="false">IF(N(E646)&gt;0,E646,IF(N(F646)&gt;0,F646*가정!$B$5,0))</f>
        <v>109000</v>
      </c>
      <c r="K646" s="95" t="n">
        <f aca="false">IF(N(F646)&gt;0,F646,IF(N(E646)&gt;0,E646/가정!$B$5,0))</f>
        <v>27683</v>
      </c>
      <c r="L646" s="95" t="n">
        <f aca="false">IF(B646="CN",IF(N(I646)&gt;0,I646*가정!$B$3,K646*(1+가정!$B$6)),IF(N(H646)&gt;0,H646*가정!$B$3,J646*가정!$B$4))</f>
        <v>37203.894</v>
      </c>
      <c r="M646" s="95" t="n">
        <f aca="false">D646*J646</f>
        <v>3815000</v>
      </c>
      <c r="N646" s="95" t="n">
        <f aca="false">D646*K646</f>
        <v>968905</v>
      </c>
      <c r="O646" s="95" t="n">
        <f aca="false">D646*L646</f>
        <v>1302136.29</v>
      </c>
      <c r="P646" s="34" t="str">
        <f aca="false">TRIM(IF(N(E646)&lt;=0,"택가보정 ","")&amp;IF(N(F646)&lt;=0,"원가보정 ","")&amp;IF(AND(B646&lt;&gt;"CN",N(H646)&lt;=0),"공급가보정 ","")&amp;IF(AND(B646="CN",N(I646)&lt;=0),"중국공급가=원가+마진 ",""))</f>
        <v/>
      </c>
    </row>
    <row r="647" customFormat="false" ht="15" hidden="false" customHeight="true" outlineLevel="0" collapsed="false">
      <c r="A647" s="94" t="s">
        <v>1690</v>
      </c>
      <c r="B647" s="34" t="str">
        <f aca="false">IF(A647="100","HK",IF(A647="200","CN",IF(A647="300","TW","홀세일")))</f>
        <v>홀세일</v>
      </c>
      <c r="C647" s="94" t="s">
        <v>923</v>
      </c>
      <c r="D647" s="95" t="n">
        <v>36</v>
      </c>
      <c r="E647" s="95" t="n">
        <v>109000</v>
      </c>
      <c r="F647" s="95" t="n">
        <v>27683</v>
      </c>
      <c r="G647" s="34" t="n">
        <v>3.19</v>
      </c>
      <c r="H647" s="34" t="n">
        <v>27.3</v>
      </c>
      <c r="I647" s="34" t="n">
        <v>22.5</v>
      </c>
      <c r="J647" s="95" t="n">
        <f aca="false">IF(N(E647)&gt;0,E647,IF(N(F647)&gt;0,F647*가정!$B$5,0))</f>
        <v>109000</v>
      </c>
      <c r="K647" s="95" t="n">
        <f aca="false">IF(N(F647)&gt;0,F647,IF(N(E647)&gt;0,E647/가정!$B$5,0))</f>
        <v>27683</v>
      </c>
      <c r="L647" s="95" t="n">
        <f aca="false">IF(B647="CN",IF(N(I647)&gt;0,I647*가정!$B$3,K647*(1+가정!$B$6)),IF(N(H647)&gt;0,H647*가정!$B$3,J647*가정!$B$4))</f>
        <v>37203.894</v>
      </c>
      <c r="M647" s="95" t="n">
        <f aca="false">D647*J647</f>
        <v>3924000</v>
      </c>
      <c r="N647" s="95" t="n">
        <f aca="false">D647*K647</f>
        <v>996588</v>
      </c>
      <c r="O647" s="95" t="n">
        <f aca="false">D647*L647</f>
        <v>1339340.184</v>
      </c>
      <c r="P647" s="34" t="str">
        <f aca="false">TRIM(IF(N(E647)&lt;=0,"택가보정 ","")&amp;IF(N(F647)&lt;=0,"원가보정 ","")&amp;IF(AND(B647&lt;&gt;"CN",N(H647)&lt;=0),"공급가보정 ","")&amp;IF(AND(B647="CN",N(I647)&lt;=0),"중국공급가=원가+마진 ",""))</f>
        <v/>
      </c>
    </row>
    <row r="648" customFormat="false" ht="15" hidden="false" customHeight="true" outlineLevel="0" collapsed="false">
      <c r="A648" s="94" t="s">
        <v>1691</v>
      </c>
      <c r="B648" s="34" t="str">
        <f aca="false">IF(A648="100","HK",IF(A648="200","CN",IF(A648="300","TW","홀세일")))</f>
        <v>홀세일</v>
      </c>
      <c r="C648" s="94" t="s">
        <v>923</v>
      </c>
      <c r="D648" s="95" t="n">
        <v>350</v>
      </c>
      <c r="E648" s="95" t="n">
        <v>109000</v>
      </c>
      <c r="F648" s="95" t="n">
        <v>27683</v>
      </c>
      <c r="G648" s="34" t="n">
        <v>3.19</v>
      </c>
      <c r="H648" s="34" t="n">
        <v>27.3</v>
      </c>
      <c r="I648" s="34" t="n">
        <v>22.5</v>
      </c>
      <c r="J648" s="95" t="n">
        <f aca="false">IF(N(E648)&gt;0,E648,IF(N(F648)&gt;0,F648*가정!$B$5,0))</f>
        <v>109000</v>
      </c>
      <c r="K648" s="95" t="n">
        <f aca="false">IF(N(F648)&gt;0,F648,IF(N(E648)&gt;0,E648/가정!$B$5,0))</f>
        <v>27683</v>
      </c>
      <c r="L648" s="95" t="n">
        <f aca="false">IF(B648="CN",IF(N(I648)&gt;0,I648*가정!$B$3,K648*(1+가정!$B$6)),IF(N(H648)&gt;0,H648*가정!$B$3,J648*가정!$B$4))</f>
        <v>37203.894</v>
      </c>
      <c r="M648" s="95" t="n">
        <f aca="false">D648*J648</f>
        <v>38150000</v>
      </c>
      <c r="N648" s="95" t="n">
        <f aca="false">D648*K648</f>
        <v>9689050</v>
      </c>
      <c r="O648" s="95" t="n">
        <f aca="false">D648*L648</f>
        <v>13021362.9</v>
      </c>
      <c r="P648" s="34" t="str">
        <f aca="false">TRIM(IF(N(E648)&lt;=0,"택가보정 ","")&amp;IF(N(F648)&lt;=0,"원가보정 ","")&amp;IF(AND(B648&lt;&gt;"CN",N(H648)&lt;=0),"공급가보정 ","")&amp;IF(AND(B648="CN",N(I648)&lt;=0),"중국공급가=원가+마진 ",""))</f>
        <v/>
      </c>
    </row>
    <row r="649" customFormat="false" ht="15" hidden="false" customHeight="true" outlineLevel="0" collapsed="false">
      <c r="A649" s="94" t="s">
        <v>1686</v>
      </c>
      <c r="B649" s="34" t="str">
        <f aca="false">IF(A649="100","HK",IF(A649="200","CN",IF(A649="300","TW","홀세일")))</f>
        <v>TW</v>
      </c>
      <c r="C649" s="94" t="s">
        <v>426</v>
      </c>
      <c r="D649" s="95" t="n">
        <v>500</v>
      </c>
      <c r="E649" s="95" t="n">
        <v>89000</v>
      </c>
      <c r="F649" s="95" t="n">
        <v>19821</v>
      </c>
      <c r="G649" s="34" t="n">
        <v>3.36</v>
      </c>
      <c r="H649" s="34" t="n">
        <v>22.3</v>
      </c>
      <c r="I649" s="34" t="n">
        <v>0</v>
      </c>
      <c r="J649" s="95" t="n">
        <f aca="false">IF(N(E649)&gt;0,E649,IF(N(F649)&gt;0,F649*가정!$B$5,0))</f>
        <v>89000</v>
      </c>
      <c r="K649" s="95" t="n">
        <f aca="false">IF(N(F649)&gt;0,F649,IF(N(E649)&gt;0,E649/가정!$B$5,0))</f>
        <v>19821</v>
      </c>
      <c r="L649" s="95" t="n">
        <f aca="false">IF(B649="CN",IF(N(I649)&gt;0,I649*가정!$B$3,K649*(1+가정!$B$6)),IF(N(H649)&gt;0,H649*가정!$B$3,J649*가정!$B$4))</f>
        <v>30389.994</v>
      </c>
      <c r="M649" s="95" t="n">
        <f aca="false">D649*J649</f>
        <v>44500000</v>
      </c>
      <c r="N649" s="95" t="n">
        <f aca="false">D649*K649</f>
        <v>9910500</v>
      </c>
      <c r="O649" s="95" t="n">
        <f aca="false">D649*L649</f>
        <v>15194997</v>
      </c>
      <c r="P649" s="34" t="str">
        <f aca="false">TRIM(IF(N(E649)&lt;=0,"택가보정 ","")&amp;IF(N(F649)&lt;=0,"원가보정 ","")&amp;IF(AND(B649&lt;&gt;"CN",N(H649)&lt;=0),"공급가보정 ","")&amp;IF(AND(B649="CN",N(I649)&lt;=0),"중국공급가=원가+마진 ",""))</f>
        <v/>
      </c>
    </row>
    <row r="650" customFormat="false" ht="15" hidden="false" customHeight="true" outlineLevel="0" collapsed="false">
      <c r="A650" s="94" t="s">
        <v>1688</v>
      </c>
      <c r="B650" s="34" t="str">
        <f aca="false">IF(A650="100","HK",IF(A650="200","CN",IF(A650="300","TW","홀세일")))</f>
        <v>홀세일</v>
      </c>
      <c r="C650" s="94" t="s">
        <v>426</v>
      </c>
      <c r="D650" s="95" t="n">
        <v>50</v>
      </c>
      <c r="E650" s="95" t="n">
        <v>89000</v>
      </c>
      <c r="F650" s="95" t="n">
        <v>19821</v>
      </c>
      <c r="G650" s="34" t="n">
        <v>3.36</v>
      </c>
      <c r="H650" s="34" t="n">
        <v>22.3</v>
      </c>
      <c r="I650" s="34" t="n">
        <v>0</v>
      </c>
      <c r="J650" s="95" t="n">
        <f aca="false">IF(N(E650)&gt;0,E650,IF(N(F650)&gt;0,F650*가정!$B$5,0))</f>
        <v>89000</v>
      </c>
      <c r="K650" s="95" t="n">
        <f aca="false">IF(N(F650)&gt;0,F650,IF(N(E650)&gt;0,E650/가정!$B$5,0))</f>
        <v>19821</v>
      </c>
      <c r="L650" s="95" t="n">
        <f aca="false">IF(B650="CN",IF(N(I650)&gt;0,I650*가정!$B$3,K650*(1+가정!$B$6)),IF(N(H650)&gt;0,H650*가정!$B$3,J650*가정!$B$4))</f>
        <v>30389.994</v>
      </c>
      <c r="M650" s="95" t="n">
        <f aca="false">D650*J650</f>
        <v>4450000</v>
      </c>
      <c r="N650" s="95" t="n">
        <f aca="false">D650*K650</f>
        <v>991050</v>
      </c>
      <c r="O650" s="95" t="n">
        <f aca="false">D650*L650</f>
        <v>1519499.7</v>
      </c>
      <c r="P650" s="34" t="str">
        <f aca="false">TRIM(IF(N(E650)&lt;=0,"택가보정 ","")&amp;IF(N(F650)&lt;=0,"원가보정 ","")&amp;IF(AND(B650&lt;&gt;"CN",N(H650)&lt;=0),"공급가보정 ","")&amp;IF(AND(B650="CN",N(I650)&lt;=0),"중국공급가=원가+마진 ",""))</f>
        <v/>
      </c>
    </row>
    <row r="651" customFormat="false" ht="15" hidden="false" customHeight="true" outlineLevel="0" collapsed="false">
      <c r="A651" s="94" t="s">
        <v>1692</v>
      </c>
      <c r="B651" s="34" t="str">
        <f aca="false">IF(A651="100","HK",IF(A651="200","CN",IF(A651="300","TW","홀세일")))</f>
        <v>홀세일</v>
      </c>
      <c r="C651" s="94" t="s">
        <v>426</v>
      </c>
      <c r="D651" s="95" t="n">
        <v>102</v>
      </c>
      <c r="E651" s="95" t="n">
        <v>89000</v>
      </c>
      <c r="F651" s="95" t="n">
        <v>19821</v>
      </c>
      <c r="G651" s="34" t="n">
        <v>3.36</v>
      </c>
      <c r="H651" s="34" t="n">
        <v>22.3</v>
      </c>
      <c r="I651" s="34" t="n">
        <v>0</v>
      </c>
      <c r="J651" s="95" t="n">
        <f aca="false">IF(N(E651)&gt;0,E651,IF(N(F651)&gt;0,F651*가정!$B$5,0))</f>
        <v>89000</v>
      </c>
      <c r="K651" s="95" t="n">
        <f aca="false">IF(N(F651)&gt;0,F651,IF(N(E651)&gt;0,E651/가정!$B$5,0))</f>
        <v>19821</v>
      </c>
      <c r="L651" s="95" t="n">
        <f aca="false">IF(B651="CN",IF(N(I651)&gt;0,I651*가정!$B$3,K651*(1+가정!$B$6)),IF(N(H651)&gt;0,H651*가정!$B$3,J651*가정!$B$4))</f>
        <v>30389.994</v>
      </c>
      <c r="M651" s="95" t="n">
        <f aca="false">D651*J651</f>
        <v>9078000</v>
      </c>
      <c r="N651" s="95" t="n">
        <f aca="false">D651*K651</f>
        <v>2021742</v>
      </c>
      <c r="O651" s="95" t="n">
        <f aca="false">D651*L651</f>
        <v>3099779.388</v>
      </c>
      <c r="P651" s="34" t="str">
        <f aca="false">TRIM(IF(N(E651)&lt;=0,"택가보정 ","")&amp;IF(N(F651)&lt;=0,"원가보정 ","")&amp;IF(AND(B651&lt;&gt;"CN",N(H651)&lt;=0),"공급가보정 ","")&amp;IF(AND(B651="CN",N(I651)&lt;=0),"중국공급가=원가+마진 ",""))</f>
        <v/>
      </c>
    </row>
    <row r="652" customFormat="false" ht="15" hidden="false" customHeight="true" outlineLevel="0" collapsed="false">
      <c r="A652" s="94" t="s">
        <v>1689</v>
      </c>
      <c r="B652" s="34" t="str">
        <f aca="false">IF(A652="100","HK",IF(A652="200","CN",IF(A652="300","TW","홀세일")))</f>
        <v>홀세일</v>
      </c>
      <c r="C652" s="94" t="s">
        <v>426</v>
      </c>
      <c r="D652" s="95" t="n">
        <v>30</v>
      </c>
      <c r="E652" s="95" t="n">
        <v>89000</v>
      </c>
      <c r="F652" s="95" t="n">
        <v>19821</v>
      </c>
      <c r="G652" s="34" t="n">
        <v>3.36</v>
      </c>
      <c r="H652" s="34" t="n">
        <v>22.3</v>
      </c>
      <c r="I652" s="34" t="n">
        <v>0</v>
      </c>
      <c r="J652" s="95" t="n">
        <f aca="false">IF(N(E652)&gt;0,E652,IF(N(F652)&gt;0,F652*가정!$B$5,0))</f>
        <v>89000</v>
      </c>
      <c r="K652" s="95" t="n">
        <f aca="false">IF(N(F652)&gt;0,F652,IF(N(E652)&gt;0,E652/가정!$B$5,0))</f>
        <v>19821</v>
      </c>
      <c r="L652" s="95" t="n">
        <f aca="false">IF(B652="CN",IF(N(I652)&gt;0,I652*가정!$B$3,K652*(1+가정!$B$6)),IF(N(H652)&gt;0,H652*가정!$B$3,J652*가정!$B$4))</f>
        <v>30389.994</v>
      </c>
      <c r="M652" s="95" t="n">
        <f aca="false">D652*J652</f>
        <v>2670000</v>
      </c>
      <c r="N652" s="95" t="n">
        <f aca="false">D652*K652</f>
        <v>594630</v>
      </c>
      <c r="O652" s="95" t="n">
        <f aca="false">D652*L652</f>
        <v>911699.82</v>
      </c>
      <c r="P652" s="34" t="str">
        <f aca="false">TRIM(IF(N(E652)&lt;=0,"택가보정 ","")&amp;IF(N(F652)&lt;=0,"원가보정 ","")&amp;IF(AND(B652&lt;&gt;"CN",N(H652)&lt;=0),"공급가보정 ","")&amp;IF(AND(B652="CN",N(I652)&lt;=0),"중국공급가=원가+마진 ",""))</f>
        <v/>
      </c>
    </row>
    <row r="653" customFormat="false" ht="15" hidden="false" customHeight="true" outlineLevel="0" collapsed="false">
      <c r="A653" s="94" t="s">
        <v>1690</v>
      </c>
      <c r="B653" s="34" t="str">
        <f aca="false">IF(A653="100","HK",IF(A653="200","CN",IF(A653="300","TW","홀세일")))</f>
        <v>홀세일</v>
      </c>
      <c r="C653" s="94" t="s">
        <v>426</v>
      </c>
      <c r="D653" s="95" t="n">
        <v>48</v>
      </c>
      <c r="E653" s="95" t="n">
        <v>89000</v>
      </c>
      <c r="F653" s="95" t="n">
        <v>19821</v>
      </c>
      <c r="G653" s="34" t="n">
        <v>3.36</v>
      </c>
      <c r="H653" s="34" t="n">
        <v>22.3</v>
      </c>
      <c r="I653" s="34" t="n">
        <v>0</v>
      </c>
      <c r="J653" s="95" t="n">
        <f aca="false">IF(N(E653)&gt;0,E653,IF(N(F653)&gt;0,F653*가정!$B$5,0))</f>
        <v>89000</v>
      </c>
      <c r="K653" s="95" t="n">
        <f aca="false">IF(N(F653)&gt;0,F653,IF(N(E653)&gt;0,E653/가정!$B$5,0))</f>
        <v>19821</v>
      </c>
      <c r="L653" s="95" t="n">
        <f aca="false">IF(B653="CN",IF(N(I653)&gt;0,I653*가정!$B$3,K653*(1+가정!$B$6)),IF(N(H653)&gt;0,H653*가정!$B$3,J653*가정!$B$4))</f>
        <v>30389.994</v>
      </c>
      <c r="M653" s="95" t="n">
        <f aca="false">D653*J653</f>
        <v>4272000</v>
      </c>
      <c r="N653" s="95" t="n">
        <f aca="false">D653*K653</f>
        <v>951408</v>
      </c>
      <c r="O653" s="95" t="n">
        <f aca="false">D653*L653</f>
        <v>1458719.712</v>
      </c>
      <c r="P653" s="34" t="str">
        <f aca="false">TRIM(IF(N(E653)&lt;=0,"택가보정 ","")&amp;IF(N(F653)&lt;=0,"원가보정 ","")&amp;IF(AND(B653&lt;&gt;"CN",N(H653)&lt;=0),"공급가보정 ","")&amp;IF(AND(B653="CN",N(I653)&lt;=0),"중국공급가=원가+마진 ",""))</f>
        <v/>
      </c>
    </row>
    <row r="654" customFormat="false" ht="15" hidden="false" customHeight="true" outlineLevel="0" collapsed="false">
      <c r="A654" s="94" t="s">
        <v>1685</v>
      </c>
      <c r="B654" s="34" t="str">
        <f aca="false">IF(A654="100","HK",IF(A654="200","CN",IF(A654="300","TW","홀세일")))</f>
        <v>CN</v>
      </c>
      <c r="C654" s="94" t="s">
        <v>428</v>
      </c>
      <c r="D654" s="95" t="n">
        <v>51</v>
      </c>
      <c r="E654" s="95" t="n">
        <v>69000</v>
      </c>
      <c r="F654" s="95" t="n">
        <v>13795</v>
      </c>
      <c r="G654" s="34" t="n">
        <v>3.91</v>
      </c>
      <c r="H654" s="34" t="n">
        <v>17.3</v>
      </c>
      <c r="I654" s="34" t="n">
        <v>11.6</v>
      </c>
      <c r="J654" s="95" t="n">
        <f aca="false">IF(N(E654)&gt;0,E654,IF(N(F654)&gt;0,F654*가정!$B$5,0))</f>
        <v>69000</v>
      </c>
      <c r="K654" s="95" t="n">
        <f aca="false">IF(N(F654)&gt;0,F654,IF(N(E654)&gt;0,E654/가정!$B$5,0))</f>
        <v>13795</v>
      </c>
      <c r="L654" s="95" t="n">
        <f aca="false">IF(B654="CN",IF(N(I654)&gt;0,I654*가정!$B$3,K654*(1+가정!$B$6)),IF(N(H654)&gt;0,H654*가정!$B$3,J654*가정!$B$4))</f>
        <v>15808.248</v>
      </c>
      <c r="M654" s="95" t="n">
        <f aca="false">D654*J654</f>
        <v>3519000</v>
      </c>
      <c r="N654" s="95" t="n">
        <f aca="false">D654*K654</f>
        <v>703545</v>
      </c>
      <c r="O654" s="95" t="n">
        <f aca="false">D654*L654</f>
        <v>806220.648</v>
      </c>
      <c r="P654" s="34" t="str">
        <f aca="false">TRIM(IF(N(E654)&lt;=0,"택가보정 ","")&amp;IF(N(F654)&lt;=0,"원가보정 ","")&amp;IF(AND(B654&lt;&gt;"CN",N(H654)&lt;=0),"공급가보정 ","")&amp;IF(AND(B654="CN",N(I654)&lt;=0),"중국공급가=원가+마진 ",""))</f>
        <v/>
      </c>
    </row>
    <row r="655" customFormat="false" ht="15" hidden="false" customHeight="true" outlineLevel="0" collapsed="false">
      <c r="A655" s="94" t="s">
        <v>1686</v>
      </c>
      <c r="B655" s="34" t="str">
        <f aca="false">IF(A655="100","HK",IF(A655="200","CN",IF(A655="300","TW","홀세일")))</f>
        <v>TW</v>
      </c>
      <c r="C655" s="94" t="s">
        <v>428</v>
      </c>
      <c r="D655" s="95" t="n">
        <v>200</v>
      </c>
      <c r="E655" s="95" t="n">
        <v>69000</v>
      </c>
      <c r="F655" s="95" t="n">
        <v>13795</v>
      </c>
      <c r="G655" s="34" t="n">
        <v>3.91</v>
      </c>
      <c r="H655" s="34" t="n">
        <v>17.3</v>
      </c>
      <c r="I655" s="34" t="n">
        <v>11.6</v>
      </c>
      <c r="J655" s="95" t="n">
        <f aca="false">IF(N(E655)&gt;0,E655,IF(N(F655)&gt;0,F655*가정!$B$5,0))</f>
        <v>69000</v>
      </c>
      <c r="K655" s="95" t="n">
        <f aca="false">IF(N(F655)&gt;0,F655,IF(N(E655)&gt;0,E655/가정!$B$5,0))</f>
        <v>13795</v>
      </c>
      <c r="L655" s="95" t="n">
        <f aca="false">IF(B655="CN",IF(N(I655)&gt;0,I655*가정!$B$3,K655*(1+가정!$B$6)),IF(N(H655)&gt;0,H655*가정!$B$3,J655*가정!$B$4))</f>
        <v>23576.094</v>
      </c>
      <c r="M655" s="95" t="n">
        <f aca="false">D655*J655</f>
        <v>13800000</v>
      </c>
      <c r="N655" s="95" t="n">
        <f aca="false">D655*K655</f>
        <v>2759000</v>
      </c>
      <c r="O655" s="95" t="n">
        <f aca="false">D655*L655</f>
        <v>4715218.8</v>
      </c>
      <c r="P655" s="34" t="str">
        <f aca="false">TRIM(IF(N(E655)&lt;=0,"택가보정 ","")&amp;IF(N(F655)&lt;=0,"원가보정 ","")&amp;IF(AND(B655&lt;&gt;"CN",N(H655)&lt;=0),"공급가보정 ","")&amp;IF(AND(B655="CN",N(I655)&lt;=0),"중국공급가=원가+마진 ",""))</f>
        <v/>
      </c>
    </row>
    <row r="656" customFormat="false" ht="15" hidden="false" customHeight="true" outlineLevel="0" collapsed="false">
      <c r="A656" s="94" t="s">
        <v>1688</v>
      </c>
      <c r="B656" s="34" t="str">
        <f aca="false">IF(A656="100","HK",IF(A656="200","CN",IF(A656="300","TW","홀세일")))</f>
        <v>홀세일</v>
      </c>
      <c r="C656" s="94" t="s">
        <v>428</v>
      </c>
      <c r="D656" s="95" t="n">
        <v>40</v>
      </c>
      <c r="E656" s="95" t="n">
        <v>69000</v>
      </c>
      <c r="F656" s="95" t="n">
        <v>13795</v>
      </c>
      <c r="G656" s="34" t="n">
        <v>3.91</v>
      </c>
      <c r="H656" s="34" t="n">
        <v>17.3</v>
      </c>
      <c r="I656" s="34" t="n">
        <v>11.6</v>
      </c>
      <c r="J656" s="95" t="n">
        <f aca="false">IF(N(E656)&gt;0,E656,IF(N(F656)&gt;0,F656*가정!$B$5,0))</f>
        <v>69000</v>
      </c>
      <c r="K656" s="95" t="n">
        <f aca="false">IF(N(F656)&gt;0,F656,IF(N(E656)&gt;0,E656/가정!$B$5,0))</f>
        <v>13795</v>
      </c>
      <c r="L656" s="95" t="n">
        <f aca="false">IF(B656="CN",IF(N(I656)&gt;0,I656*가정!$B$3,K656*(1+가정!$B$6)),IF(N(H656)&gt;0,H656*가정!$B$3,J656*가정!$B$4))</f>
        <v>23576.094</v>
      </c>
      <c r="M656" s="95" t="n">
        <f aca="false">D656*J656</f>
        <v>2760000</v>
      </c>
      <c r="N656" s="95" t="n">
        <f aca="false">D656*K656</f>
        <v>551800</v>
      </c>
      <c r="O656" s="95" t="n">
        <f aca="false">D656*L656</f>
        <v>943043.76</v>
      </c>
      <c r="P656" s="34" t="str">
        <f aca="false">TRIM(IF(N(E656)&lt;=0,"택가보정 ","")&amp;IF(N(F656)&lt;=0,"원가보정 ","")&amp;IF(AND(B656&lt;&gt;"CN",N(H656)&lt;=0),"공급가보정 ","")&amp;IF(AND(B656="CN",N(I656)&lt;=0),"중국공급가=원가+마진 ",""))</f>
        <v/>
      </c>
    </row>
    <row r="657" customFormat="false" ht="15" hidden="false" customHeight="true" outlineLevel="0" collapsed="false">
      <c r="A657" s="94" t="s">
        <v>1692</v>
      </c>
      <c r="B657" s="34" t="str">
        <f aca="false">IF(A657="100","HK",IF(A657="200","CN",IF(A657="300","TW","홀세일")))</f>
        <v>홀세일</v>
      </c>
      <c r="C657" s="94" t="s">
        <v>428</v>
      </c>
      <c r="D657" s="95" t="n">
        <v>167</v>
      </c>
      <c r="E657" s="95" t="n">
        <v>69000</v>
      </c>
      <c r="F657" s="95" t="n">
        <v>13795</v>
      </c>
      <c r="G657" s="34" t="n">
        <v>3.91</v>
      </c>
      <c r="H657" s="34" t="n">
        <v>17.3</v>
      </c>
      <c r="I657" s="34" t="n">
        <v>11.6</v>
      </c>
      <c r="J657" s="95" t="n">
        <f aca="false">IF(N(E657)&gt;0,E657,IF(N(F657)&gt;0,F657*가정!$B$5,0))</f>
        <v>69000</v>
      </c>
      <c r="K657" s="95" t="n">
        <f aca="false">IF(N(F657)&gt;0,F657,IF(N(E657)&gt;0,E657/가정!$B$5,0))</f>
        <v>13795</v>
      </c>
      <c r="L657" s="95" t="n">
        <f aca="false">IF(B657="CN",IF(N(I657)&gt;0,I657*가정!$B$3,K657*(1+가정!$B$6)),IF(N(H657)&gt;0,H657*가정!$B$3,J657*가정!$B$4))</f>
        <v>23576.094</v>
      </c>
      <c r="M657" s="95" t="n">
        <f aca="false">D657*J657</f>
        <v>11523000</v>
      </c>
      <c r="N657" s="95" t="n">
        <f aca="false">D657*K657</f>
        <v>2303765</v>
      </c>
      <c r="O657" s="95" t="n">
        <f aca="false">D657*L657</f>
        <v>3937207.698</v>
      </c>
      <c r="P657" s="34" t="str">
        <f aca="false">TRIM(IF(N(E657)&lt;=0,"택가보정 ","")&amp;IF(N(F657)&lt;=0,"원가보정 ","")&amp;IF(AND(B657&lt;&gt;"CN",N(H657)&lt;=0),"공급가보정 ","")&amp;IF(AND(B657="CN",N(I657)&lt;=0),"중국공급가=원가+마진 ",""))</f>
        <v/>
      </c>
    </row>
    <row r="658" customFormat="false" ht="15" hidden="false" customHeight="true" outlineLevel="0" collapsed="false">
      <c r="A658" s="94" t="s">
        <v>1689</v>
      </c>
      <c r="B658" s="34" t="str">
        <f aca="false">IF(A658="100","HK",IF(A658="200","CN",IF(A658="300","TW","홀세일")))</f>
        <v>홀세일</v>
      </c>
      <c r="C658" s="94" t="s">
        <v>428</v>
      </c>
      <c r="D658" s="95" t="n">
        <v>30</v>
      </c>
      <c r="E658" s="95" t="n">
        <v>69000</v>
      </c>
      <c r="F658" s="95" t="n">
        <v>13795</v>
      </c>
      <c r="G658" s="34" t="n">
        <v>3.91</v>
      </c>
      <c r="H658" s="34" t="n">
        <v>17.3</v>
      </c>
      <c r="I658" s="34" t="n">
        <v>11.6</v>
      </c>
      <c r="J658" s="95" t="n">
        <f aca="false">IF(N(E658)&gt;0,E658,IF(N(F658)&gt;0,F658*가정!$B$5,0))</f>
        <v>69000</v>
      </c>
      <c r="K658" s="95" t="n">
        <f aca="false">IF(N(F658)&gt;0,F658,IF(N(E658)&gt;0,E658/가정!$B$5,0))</f>
        <v>13795</v>
      </c>
      <c r="L658" s="95" t="n">
        <f aca="false">IF(B658="CN",IF(N(I658)&gt;0,I658*가정!$B$3,K658*(1+가정!$B$6)),IF(N(H658)&gt;0,H658*가정!$B$3,J658*가정!$B$4))</f>
        <v>23576.094</v>
      </c>
      <c r="M658" s="95" t="n">
        <f aca="false">D658*J658</f>
        <v>2070000</v>
      </c>
      <c r="N658" s="95" t="n">
        <f aca="false">D658*K658</f>
        <v>413850</v>
      </c>
      <c r="O658" s="95" t="n">
        <f aca="false">D658*L658</f>
        <v>707282.82</v>
      </c>
      <c r="P658" s="34" t="str">
        <f aca="false">TRIM(IF(N(E658)&lt;=0,"택가보정 ","")&amp;IF(N(F658)&lt;=0,"원가보정 ","")&amp;IF(AND(B658&lt;&gt;"CN",N(H658)&lt;=0),"공급가보정 ","")&amp;IF(AND(B658="CN",N(I658)&lt;=0),"중국공급가=원가+마진 ",""))</f>
        <v/>
      </c>
    </row>
    <row r="659" customFormat="false" ht="15" hidden="false" customHeight="true" outlineLevel="0" collapsed="false">
      <c r="A659" s="94" t="s">
        <v>1684</v>
      </c>
      <c r="B659" s="34" t="str">
        <f aca="false">IF(A659="100","HK",IF(A659="200","CN",IF(A659="300","TW","홀세일")))</f>
        <v>HK</v>
      </c>
      <c r="C659" s="94" t="s">
        <v>430</v>
      </c>
      <c r="D659" s="95" t="n">
        <v>200</v>
      </c>
      <c r="E659" s="95" t="n">
        <v>99000</v>
      </c>
      <c r="F659" s="95" t="n">
        <v>25836</v>
      </c>
      <c r="G659" s="34" t="n">
        <v>3.12</v>
      </c>
      <c r="H659" s="34" t="n">
        <v>24.8</v>
      </c>
      <c r="I659" s="34" t="n">
        <v>20.1</v>
      </c>
      <c r="J659" s="95" t="n">
        <f aca="false">IF(N(E659)&gt;0,E659,IF(N(F659)&gt;0,F659*가정!$B$5,0))</f>
        <v>99000</v>
      </c>
      <c r="K659" s="95" t="n">
        <f aca="false">IF(N(F659)&gt;0,F659,IF(N(E659)&gt;0,E659/가정!$B$5,0))</f>
        <v>25836</v>
      </c>
      <c r="L659" s="95" t="n">
        <f aca="false">IF(B659="CN",IF(N(I659)&gt;0,I659*가정!$B$3,K659*(1+가정!$B$6)),IF(N(H659)&gt;0,H659*가정!$B$3,J659*가정!$B$4))</f>
        <v>33796.944</v>
      </c>
      <c r="M659" s="95" t="n">
        <f aca="false">D659*J659</f>
        <v>19800000</v>
      </c>
      <c r="N659" s="95" t="n">
        <f aca="false">D659*K659</f>
        <v>5167200</v>
      </c>
      <c r="O659" s="95" t="n">
        <f aca="false">D659*L659</f>
        <v>6759388.8</v>
      </c>
      <c r="P659" s="34" t="str">
        <f aca="false">TRIM(IF(N(E659)&lt;=0,"택가보정 ","")&amp;IF(N(F659)&lt;=0,"원가보정 ","")&amp;IF(AND(B659&lt;&gt;"CN",N(H659)&lt;=0),"공급가보정 ","")&amp;IF(AND(B659="CN",N(I659)&lt;=0),"중국공급가=원가+마진 ",""))</f>
        <v/>
      </c>
    </row>
    <row r="660" customFormat="false" ht="15" hidden="false" customHeight="true" outlineLevel="0" collapsed="false">
      <c r="A660" s="94" t="s">
        <v>1685</v>
      </c>
      <c r="B660" s="34" t="str">
        <f aca="false">IF(A660="100","HK",IF(A660="200","CN",IF(A660="300","TW","홀세일")))</f>
        <v>CN</v>
      </c>
      <c r="C660" s="94" t="s">
        <v>430</v>
      </c>
      <c r="D660" s="95" t="n">
        <v>222</v>
      </c>
      <c r="E660" s="95" t="n">
        <v>99000</v>
      </c>
      <c r="F660" s="95" t="n">
        <v>25836</v>
      </c>
      <c r="G660" s="34" t="n">
        <v>3.12</v>
      </c>
      <c r="H660" s="34" t="n">
        <v>24.8</v>
      </c>
      <c r="I660" s="34" t="n">
        <v>20.1</v>
      </c>
      <c r="J660" s="95" t="n">
        <f aca="false">IF(N(E660)&gt;0,E660,IF(N(F660)&gt;0,F660*가정!$B$5,0))</f>
        <v>99000</v>
      </c>
      <c r="K660" s="95" t="n">
        <f aca="false">IF(N(F660)&gt;0,F660,IF(N(E660)&gt;0,E660/가정!$B$5,0))</f>
        <v>25836</v>
      </c>
      <c r="L660" s="95" t="n">
        <f aca="false">IF(B660="CN",IF(N(I660)&gt;0,I660*가정!$B$3,K660*(1+가정!$B$6)),IF(N(H660)&gt;0,H660*가정!$B$3,J660*가정!$B$4))</f>
        <v>27391.878</v>
      </c>
      <c r="M660" s="95" t="n">
        <f aca="false">D660*J660</f>
        <v>21978000</v>
      </c>
      <c r="N660" s="95" t="n">
        <f aca="false">D660*K660</f>
        <v>5735592</v>
      </c>
      <c r="O660" s="95" t="n">
        <f aca="false">D660*L660</f>
        <v>6080996.916</v>
      </c>
      <c r="P660" s="34" t="str">
        <f aca="false">TRIM(IF(N(E660)&lt;=0,"택가보정 ","")&amp;IF(N(F660)&lt;=0,"원가보정 ","")&amp;IF(AND(B660&lt;&gt;"CN",N(H660)&lt;=0),"공급가보정 ","")&amp;IF(AND(B660="CN",N(I660)&lt;=0),"중국공급가=원가+마진 ",""))</f>
        <v/>
      </c>
    </row>
    <row r="661" customFormat="false" ht="15" hidden="false" customHeight="true" outlineLevel="0" collapsed="false">
      <c r="A661" s="94" t="s">
        <v>1686</v>
      </c>
      <c r="B661" s="34" t="str">
        <f aca="false">IF(A661="100","HK",IF(A661="200","CN",IF(A661="300","TW","홀세일")))</f>
        <v>TW</v>
      </c>
      <c r="C661" s="94" t="s">
        <v>430</v>
      </c>
      <c r="D661" s="95" t="n">
        <v>400</v>
      </c>
      <c r="E661" s="95" t="n">
        <v>99000</v>
      </c>
      <c r="F661" s="95" t="n">
        <v>25836</v>
      </c>
      <c r="G661" s="34" t="n">
        <v>3.12</v>
      </c>
      <c r="H661" s="34" t="n">
        <v>24.8</v>
      </c>
      <c r="I661" s="34" t="n">
        <v>20.1</v>
      </c>
      <c r="J661" s="95" t="n">
        <f aca="false">IF(N(E661)&gt;0,E661,IF(N(F661)&gt;0,F661*가정!$B$5,0))</f>
        <v>99000</v>
      </c>
      <c r="K661" s="95" t="n">
        <f aca="false">IF(N(F661)&gt;0,F661,IF(N(E661)&gt;0,E661/가정!$B$5,0))</f>
        <v>25836</v>
      </c>
      <c r="L661" s="95" t="n">
        <f aca="false">IF(B661="CN",IF(N(I661)&gt;0,I661*가정!$B$3,K661*(1+가정!$B$6)),IF(N(H661)&gt;0,H661*가정!$B$3,J661*가정!$B$4))</f>
        <v>33796.944</v>
      </c>
      <c r="M661" s="95" t="n">
        <f aca="false">D661*J661</f>
        <v>39600000</v>
      </c>
      <c r="N661" s="95" t="n">
        <f aca="false">D661*K661</f>
        <v>10334400</v>
      </c>
      <c r="O661" s="95" t="n">
        <f aca="false">D661*L661</f>
        <v>13518777.6</v>
      </c>
      <c r="P661" s="34" t="str">
        <f aca="false">TRIM(IF(N(E661)&lt;=0,"택가보정 ","")&amp;IF(N(F661)&lt;=0,"원가보정 ","")&amp;IF(AND(B661&lt;&gt;"CN",N(H661)&lt;=0),"공급가보정 ","")&amp;IF(AND(B661="CN",N(I661)&lt;=0),"중국공급가=원가+마진 ",""))</f>
        <v/>
      </c>
    </row>
    <row r="662" customFormat="false" ht="15" hidden="false" customHeight="true" outlineLevel="0" collapsed="false">
      <c r="A662" s="94" t="s">
        <v>1687</v>
      </c>
      <c r="B662" s="34" t="str">
        <f aca="false">IF(A662="100","HK",IF(A662="200","CN",IF(A662="300","TW","홀세일")))</f>
        <v>홀세일</v>
      </c>
      <c r="C662" s="94" t="s">
        <v>430</v>
      </c>
      <c r="D662" s="95" t="n">
        <v>160</v>
      </c>
      <c r="E662" s="95" t="n">
        <v>99000</v>
      </c>
      <c r="F662" s="95" t="n">
        <v>25836</v>
      </c>
      <c r="G662" s="34" t="n">
        <v>3.12</v>
      </c>
      <c r="H662" s="34" t="n">
        <v>24.8</v>
      </c>
      <c r="I662" s="34" t="n">
        <v>20.1</v>
      </c>
      <c r="J662" s="95" t="n">
        <f aca="false">IF(N(E662)&gt;0,E662,IF(N(F662)&gt;0,F662*가정!$B$5,0))</f>
        <v>99000</v>
      </c>
      <c r="K662" s="95" t="n">
        <f aca="false">IF(N(F662)&gt;0,F662,IF(N(E662)&gt;0,E662/가정!$B$5,0))</f>
        <v>25836</v>
      </c>
      <c r="L662" s="95" t="n">
        <f aca="false">IF(B662="CN",IF(N(I662)&gt;0,I662*가정!$B$3,K662*(1+가정!$B$6)),IF(N(H662)&gt;0,H662*가정!$B$3,J662*가정!$B$4))</f>
        <v>33796.944</v>
      </c>
      <c r="M662" s="95" t="n">
        <f aca="false">D662*J662</f>
        <v>15840000</v>
      </c>
      <c r="N662" s="95" t="n">
        <f aca="false">D662*K662</f>
        <v>4133760</v>
      </c>
      <c r="O662" s="95" t="n">
        <f aca="false">D662*L662</f>
        <v>5407511.04</v>
      </c>
      <c r="P662" s="34" t="str">
        <f aca="false">TRIM(IF(N(E662)&lt;=0,"택가보정 ","")&amp;IF(N(F662)&lt;=0,"원가보정 ","")&amp;IF(AND(B662&lt;&gt;"CN",N(H662)&lt;=0),"공급가보정 ","")&amp;IF(AND(B662="CN",N(I662)&lt;=0),"중국공급가=원가+마진 ",""))</f>
        <v/>
      </c>
    </row>
    <row r="663" customFormat="false" ht="15" hidden="false" customHeight="true" outlineLevel="0" collapsed="false">
      <c r="A663" s="94" t="s">
        <v>1688</v>
      </c>
      <c r="B663" s="34" t="str">
        <f aca="false">IF(A663="100","HK",IF(A663="200","CN",IF(A663="300","TW","홀세일")))</f>
        <v>홀세일</v>
      </c>
      <c r="C663" s="94" t="s">
        <v>430</v>
      </c>
      <c r="D663" s="95" t="n">
        <v>40</v>
      </c>
      <c r="E663" s="95" t="n">
        <v>99000</v>
      </c>
      <c r="F663" s="95" t="n">
        <v>25836</v>
      </c>
      <c r="G663" s="34" t="n">
        <v>3.12</v>
      </c>
      <c r="H663" s="34" t="n">
        <v>24.8</v>
      </c>
      <c r="I663" s="34" t="n">
        <v>20.1</v>
      </c>
      <c r="J663" s="95" t="n">
        <f aca="false">IF(N(E663)&gt;0,E663,IF(N(F663)&gt;0,F663*가정!$B$5,0))</f>
        <v>99000</v>
      </c>
      <c r="K663" s="95" t="n">
        <f aca="false">IF(N(F663)&gt;0,F663,IF(N(E663)&gt;0,E663/가정!$B$5,0))</f>
        <v>25836</v>
      </c>
      <c r="L663" s="95" t="n">
        <f aca="false">IF(B663="CN",IF(N(I663)&gt;0,I663*가정!$B$3,K663*(1+가정!$B$6)),IF(N(H663)&gt;0,H663*가정!$B$3,J663*가정!$B$4))</f>
        <v>33796.944</v>
      </c>
      <c r="M663" s="95" t="n">
        <f aca="false">D663*J663</f>
        <v>3960000</v>
      </c>
      <c r="N663" s="95" t="n">
        <f aca="false">D663*K663</f>
        <v>1033440</v>
      </c>
      <c r="O663" s="95" t="n">
        <f aca="false">D663*L663</f>
        <v>1351877.76</v>
      </c>
      <c r="P663" s="34" t="str">
        <f aca="false">TRIM(IF(N(E663)&lt;=0,"택가보정 ","")&amp;IF(N(F663)&lt;=0,"원가보정 ","")&amp;IF(AND(B663&lt;&gt;"CN",N(H663)&lt;=0),"공급가보정 ","")&amp;IF(AND(B663="CN",N(I663)&lt;=0),"중국공급가=원가+마진 ",""))</f>
        <v/>
      </c>
    </row>
    <row r="664" customFormat="false" ht="15" hidden="false" customHeight="true" outlineLevel="0" collapsed="false">
      <c r="A664" s="94" t="s">
        <v>1692</v>
      </c>
      <c r="B664" s="34" t="str">
        <f aca="false">IF(A664="100","HK",IF(A664="200","CN",IF(A664="300","TW","홀세일")))</f>
        <v>홀세일</v>
      </c>
      <c r="C664" s="94" t="s">
        <v>430</v>
      </c>
      <c r="D664" s="95" t="n">
        <v>102</v>
      </c>
      <c r="E664" s="95" t="n">
        <v>99000</v>
      </c>
      <c r="F664" s="95" t="n">
        <v>25836</v>
      </c>
      <c r="G664" s="34" t="n">
        <v>3.12</v>
      </c>
      <c r="H664" s="34" t="n">
        <v>24.8</v>
      </c>
      <c r="I664" s="34" t="n">
        <v>20.1</v>
      </c>
      <c r="J664" s="95" t="n">
        <f aca="false">IF(N(E664)&gt;0,E664,IF(N(F664)&gt;0,F664*가정!$B$5,0))</f>
        <v>99000</v>
      </c>
      <c r="K664" s="95" t="n">
        <f aca="false">IF(N(F664)&gt;0,F664,IF(N(E664)&gt;0,E664/가정!$B$5,0))</f>
        <v>25836</v>
      </c>
      <c r="L664" s="95" t="n">
        <f aca="false">IF(B664="CN",IF(N(I664)&gt;0,I664*가정!$B$3,K664*(1+가정!$B$6)),IF(N(H664)&gt;0,H664*가정!$B$3,J664*가정!$B$4))</f>
        <v>33796.944</v>
      </c>
      <c r="M664" s="95" t="n">
        <f aca="false">D664*J664</f>
        <v>10098000</v>
      </c>
      <c r="N664" s="95" t="n">
        <f aca="false">D664*K664</f>
        <v>2635272</v>
      </c>
      <c r="O664" s="95" t="n">
        <f aca="false">D664*L664</f>
        <v>3447288.288</v>
      </c>
      <c r="P664" s="34" t="str">
        <f aca="false">TRIM(IF(N(E664)&lt;=0,"택가보정 ","")&amp;IF(N(F664)&lt;=0,"원가보정 ","")&amp;IF(AND(B664&lt;&gt;"CN",N(H664)&lt;=0),"공급가보정 ","")&amp;IF(AND(B664="CN",N(I664)&lt;=0),"중국공급가=원가+마진 ",""))</f>
        <v/>
      </c>
    </row>
    <row r="665" customFormat="false" ht="15" hidden="false" customHeight="true" outlineLevel="0" collapsed="false">
      <c r="A665" s="94" t="s">
        <v>1689</v>
      </c>
      <c r="B665" s="34" t="str">
        <f aca="false">IF(A665="100","HK",IF(A665="200","CN",IF(A665="300","TW","홀세일")))</f>
        <v>홀세일</v>
      </c>
      <c r="C665" s="94" t="s">
        <v>430</v>
      </c>
      <c r="D665" s="95" t="n">
        <v>20</v>
      </c>
      <c r="E665" s="95" t="n">
        <v>99000</v>
      </c>
      <c r="F665" s="95" t="n">
        <v>25836</v>
      </c>
      <c r="G665" s="34" t="n">
        <v>3.12</v>
      </c>
      <c r="H665" s="34" t="n">
        <v>24.8</v>
      </c>
      <c r="I665" s="34" t="n">
        <v>20.1</v>
      </c>
      <c r="J665" s="95" t="n">
        <f aca="false">IF(N(E665)&gt;0,E665,IF(N(F665)&gt;0,F665*가정!$B$5,0))</f>
        <v>99000</v>
      </c>
      <c r="K665" s="95" t="n">
        <f aca="false">IF(N(F665)&gt;0,F665,IF(N(E665)&gt;0,E665/가정!$B$5,0))</f>
        <v>25836</v>
      </c>
      <c r="L665" s="95" t="n">
        <f aca="false">IF(B665="CN",IF(N(I665)&gt;0,I665*가정!$B$3,K665*(1+가정!$B$6)),IF(N(H665)&gt;0,H665*가정!$B$3,J665*가정!$B$4))</f>
        <v>33796.944</v>
      </c>
      <c r="M665" s="95" t="n">
        <f aca="false">D665*J665</f>
        <v>1980000</v>
      </c>
      <c r="N665" s="95" t="n">
        <f aca="false">D665*K665</f>
        <v>516720</v>
      </c>
      <c r="O665" s="95" t="n">
        <f aca="false">D665*L665</f>
        <v>675938.88</v>
      </c>
      <c r="P665" s="34" t="str">
        <f aca="false">TRIM(IF(N(E665)&lt;=0,"택가보정 ","")&amp;IF(N(F665)&lt;=0,"원가보정 ","")&amp;IF(AND(B665&lt;&gt;"CN",N(H665)&lt;=0),"공급가보정 ","")&amp;IF(AND(B665="CN",N(I665)&lt;=0),"중국공급가=원가+마진 ",""))</f>
        <v/>
      </c>
    </row>
    <row r="666" customFormat="false" ht="15" hidden="false" customHeight="true" outlineLevel="0" collapsed="false">
      <c r="A666" s="94" t="s">
        <v>1691</v>
      </c>
      <c r="B666" s="34" t="str">
        <f aca="false">IF(A666="100","HK",IF(A666="200","CN",IF(A666="300","TW","홀세일")))</f>
        <v>홀세일</v>
      </c>
      <c r="C666" s="94" t="s">
        <v>430</v>
      </c>
      <c r="D666" s="95" t="n">
        <v>500</v>
      </c>
      <c r="E666" s="95" t="n">
        <v>99000</v>
      </c>
      <c r="F666" s="95" t="n">
        <v>25836</v>
      </c>
      <c r="G666" s="34" t="n">
        <v>3.12</v>
      </c>
      <c r="H666" s="34" t="n">
        <v>24.8</v>
      </c>
      <c r="I666" s="34" t="n">
        <v>20.1</v>
      </c>
      <c r="J666" s="95" t="n">
        <f aca="false">IF(N(E666)&gt;0,E666,IF(N(F666)&gt;0,F666*가정!$B$5,0))</f>
        <v>99000</v>
      </c>
      <c r="K666" s="95" t="n">
        <f aca="false">IF(N(F666)&gt;0,F666,IF(N(E666)&gt;0,E666/가정!$B$5,0))</f>
        <v>25836</v>
      </c>
      <c r="L666" s="95" t="n">
        <f aca="false">IF(B666="CN",IF(N(I666)&gt;0,I666*가정!$B$3,K666*(1+가정!$B$6)),IF(N(H666)&gt;0,H666*가정!$B$3,J666*가정!$B$4))</f>
        <v>33796.944</v>
      </c>
      <c r="M666" s="95" t="n">
        <f aca="false">D666*J666</f>
        <v>49500000</v>
      </c>
      <c r="N666" s="95" t="n">
        <f aca="false">D666*K666</f>
        <v>12918000</v>
      </c>
      <c r="O666" s="95" t="n">
        <f aca="false">D666*L666</f>
        <v>16898472</v>
      </c>
      <c r="P666" s="34" t="str">
        <f aca="false">TRIM(IF(N(E666)&lt;=0,"택가보정 ","")&amp;IF(N(F666)&lt;=0,"원가보정 ","")&amp;IF(AND(B666&lt;&gt;"CN",N(H666)&lt;=0),"공급가보정 ","")&amp;IF(AND(B666="CN",N(I666)&lt;=0),"중국공급가=원가+마진 ",""))</f>
        <v/>
      </c>
    </row>
    <row r="667" customFormat="false" ht="15" hidden="false" customHeight="true" outlineLevel="0" collapsed="false">
      <c r="A667" s="94" t="s">
        <v>1684</v>
      </c>
      <c r="B667" s="34" t="str">
        <f aca="false">IF(A667="100","HK",IF(A667="200","CN",IF(A667="300","TW","홀세일")))</f>
        <v>HK</v>
      </c>
      <c r="C667" s="94" t="s">
        <v>432</v>
      </c>
      <c r="D667" s="95" t="n">
        <v>200</v>
      </c>
      <c r="E667" s="95" t="n">
        <v>69000</v>
      </c>
      <c r="F667" s="95" t="n">
        <v>17377</v>
      </c>
      <c r="G667" s="34" t="n">
        <v>3.09</v>
      </c>
      <c r="H667" s="34" t="n">
        <v>17.3</v>
      </c>
      <c r="I667" s="34" t="n">
        <v>11.9</v>
      </c>
      <c r="J667" s="95" t="n">
        <f aca="false">IF(N(E667)&gt;0,E667,IF(N(F667)&gt;0,F667*가정!$B$5,0))</f>
        <v>69000</v>
      </c>
      <c r="K667" s="95" t="n">
        <f aca="false">IF(N(F667)&gt;0,F667,IF(N(E667)&gt;0,E667/가정!$B$5,0))</f>
        <v>17377</v>
      </c>
      <c r="L667" s="95" t="n">
        <f aca="false">IF(B667="CN",IF(N(I667)&gt;0,I667*가정!$B$3,K667*(1+가정!$B$6)),IF(N(H667)&gt;0,H667*가정!$B$3,J667*가정!$B$4))</f>
        <v>23576.094</v>
      </c>
      <c r="M667" s="95" t="n">
        <f aca="false">D667*J667</f>
        <v>13800000</v>
      </c>
      <c r="N667" s="95" t="n">
        <f aca="false">D667*K667</f>
        <v>3475400</v>
      </c>
      <c r="O667" s="95" t="n">
        <f aca="false">D667*L667</f>
        <v>4715218.8</v>
      </c>
      <c r="P667" s="34" t="str">
        <f aca="false">TRIM(IF(N(E667)&lt;=0,"택가보정 ","")&amp;IF(N(F667)&lt;=0,"원가보정 ","")&amp;IF(AND(B667&lt;&gt;"CN",N(H667)&lt;=0),"공급가보정 ","")&amp;IF(AND(B667="CN",N(I667)&lt;=0),"중국공급가=원가+마진 ",""))</f>
        <v/>
      </c>
    </row>
    <row r="668" customFormat="false" ht="15" hidden="false" customHeight="true" outlineLevel="0" collapsed="false">
      <c r="A668" s="94" t="s">
        <v>1685</v>
      </c>
      <c r="B668" s="34" t="str">
        <f aca="false">IF(A668="100","HK",IF(A668="200","CN",IF(A668="300","TW","홀세일")))</f>
        <v>CN</v>
      </c>
      <c r="C668" s="94" t="s">
        <v>432</v>
      </c>
      <c r="D668" s="95" t="n">
        <v>152</v>
      </c>
      <c r="E668" s="95" t="n">
        <v>69000</v>
      </c>
      <c r="F668" s="95" t="n">
        <v>17377</v>
      </c>
      <c r="G668" s="34" t="n">
        <v>3.09</v>
      </c>
      <c r="H668" s="34" t="n">
        <v>17.3</v>
      </c>
      <c r="I668" s="34" t="n">
        <v>11.9</v>
      </c>
      <c r="J668" s="95" t="n">
        <f aca="false">IF(N(E668)&gt;0,E668,IF(N(F668)&gt;0,F668*가정!$B$5,0))</f>
        <v>69000</v>
      </c>
      <c r="K668" s="95" t="n">
        <f aca="false">IF(N(F668)&gt;0,F668,IF(N(E668)&gt;0,E668/가정!$B$5,0))</f>
        <v>17377</v>
      </c>
      <c r="L668" s="95" t="n">
        <f aca="false">IF(B668="CN",IF(N(I668)&gt;0,I668*가정!$B$3,K668*(1+가정!$B$6)),IF(N(H668)&gt;0,H668*가정!$B$3,J668*가정!$B$4))</f>
        <v>16217.082</v>
      </c>
      <c r="M668" s="95" t="n">
        <f aca="false">D668*J668</f>
        <v>10488000</v>
      </c>
      <c r="N668" s="95" t="n">
        <f aca="false">D668*K668</f>
        <v>2641304</v>
      </c>
      <c r="O668" s="95" t="n">
        <f aca="false">D668*L668</f>
        <v>2464996.464</v>
      </c>
      <c r="P668" s="34" t="str">
        <f aca="false">TRIM(IF(N(E668)&lt;=0,"택가보정 ","")&amp;IF(N(F668)&lt;=0,"원가보정 ","")&amp;IF(AND(B668&lt;&gt;"CN",N(H668)&lt;=0),"공급가보정 ","")&amp;IF(AND(B668="CN",N(I668)&lt;=0),"중국공급가=원가+마진 ",""))</f>
        <v/>
      </c>
    </row>
    <row r="669" customFormat="false" ht="15" hidden="false" customHeight="true" outlineLevel="0" collapsed="false">
      <c r="A669" s="94" t="s">
        <v>1686</v>
      </c>
      <c r="B669" s="34" t="str">
        <f aca="false">IF(A669="100","HK",IF(A669="200","CN",IF(A669="300","TW","홀세일")))</f>
        <v>TW</v>
      </c>
      <c r="C669" s="94" t="s">
        <v>432</v>
      </c>
      <c r="D669" s="95" t="n">
        <v>500</v>
      </c>
      <c r="E669" s="95" t="n">
        <v>69000</v>
      </c>
      <c r="F669" s="95" t="n">
        <v>17377</v>
      </c>
      <c r="G669" s="34" t="n">
        <v>3.09</v>
      </c>
      <c r="H669" s="34" t="n">
        <v>17.3</v>
      </c>
      <c r="I669" s="34" t="n">
        <v>11.9</v>
      </c>
      <c r="J669" s="95" t="n">
        <f aca="false">IF(N(E669)&gt;0,E669,IF(N(F669)&gt;0,F669*가정!$B$5,0))</f>
        <v>69000</v>
      </c>
      <c r="K669" s="95" t="n">
        <f aca="false">IF(N(F669)&gt;0,F669,IF(N(E669)&gt;0,E669/가정!$B$5,0))</f>
        <v>17377</v>
      </c>
      <c r="L669" s="95" t="n">
        <f aca="false">IF(B669="CN",IF(N(I669)&gt;0,I669*가정!$B$3,K669*(1+가정!$B$6)),IF(N(H669)&gt;0,H669*가정!$B$3,J669*가정!$B$4))</f>
        <v>23576.094</v>
      </c>
      <c r="M669" s="95" t="n">
        <f aca="false">D669*J669</f>
        <v>34500000</v>
      </c>
      <c r="N669" s="95" t="n">
        <f aca="false">D669*K669</f>
        <v>8688500</v>
      </c>
      <c r="O669" s="95" t="n">
        <f aca="false">D669*L669</f>
        <v>11788047</v>
      </c>
      <c r="P669" s="34" t="str">
        <f aca="false">TRIM(IF(N(E669)&lt;=0,"택가보정 ","")&amp;IF(N(F669)&lt;=0,"원가보정 ","")&amp;IF(AND(B669&lt;&gt;"CN",N(H669)&lt;=0),"공급가보정 ","")&amp;IF(AND(B669="CN",N(I669)&lt;=0),"중국공급가=원가+마진 ",""))</f>
        <v/>
      </c>
    </row>
    <row r="670" customFormat="false" ht="15" hidden="false" customHeight="true" outlineLevel="0" collapsed="false">
      <c r="A670" s="94" t="s">
        <v>1687</v>
      </c>
      <c r="B670" s="34" t="str">
        <f aca="false">IF(A670="100","HK",IF(A670="200","CN",IF(A670="300","TW","홀세일")))</f>
        <v>홀세일</v>
      </c>
      <c r="C670" s="94" t="s">
        <v>432</v>
      </c>
      <c r="D670" s="95" t="n">
        <v>240</v>
      </c>
      <c r="E670" s="95" t="n">
        <v>69000</v>
      </c>
      <c r="F670" s="95" t="n">
        <v>17377</v>
      </c>
      <c r="G670" s="34" t="n">
        <v>3.09</v>
      </c>
      <c r="H670" s="34" t="n">
        <v>17.3</v>
      </c>
      <c r="I670" s="34" t="n">
        <v>11.9</v>
      </c>
      <c r="J670" s="95" t="n">
        <f aca="false">IF(N(E670)&gt;0,E670,IF(N(F670)&gt;0,F670*가정!$B$5,0))</f>
        <v>69000</v>
      </c>
      <c r="K670" s="95" t="n">
        <f aca="false">IF(N(F670)&gt;0,F670,IF(N(E670)&gt;0,E670/가정!$B$5,0))</f>
        <v>17377</v>
      </c>
      <c r="L670" s="95" t="n">
        <f aca="false">IF(B670="CN",IF(N(I670)&gt;0,I670*가정!$B$3,K670*(1+가정!$B$6)),IF(N(H670)&gt;0,H670*가정!$B$3,J670*가정!$B$4))</f>
        <v>23576.094</v>
      </c>
      <c r="M670" s="95" t="n">
        <f aca="false">D670*J670</f>
        <v>16560000</v>
      </c>
      <c r="N670" s="95" t="n">
        <f aca="false">D670*K670</f>
        <v>4170480</v>
      </c>
      <c r="O670" s="95" t="n">
        <f aca="false">D670*L670</f>
        <v>5658262.56</v>
      </c>
      <c r="P670" s="34" t="str">
        <f aca="false">TRIM(IF(N(E670)&lt;=0,"택가보정 ","")&amp;IF(N(F670)&lt;=0,"원가보정 ","")&amp;IF(AND(B670&lt;&gt;"CN",N(H670)&lt;=0),"공급가보정 ","")&amp;IF(AND(B670="CN",N(I670)&lt;=0),"중국공급가=원가+마진 ",""))</f>
        <v/>
      </c>
    </row>
    <row r="671" customFormat="false" ht="15" hidden="false" customHeight="true" outlineLevel="0" collapsed="false">
      <c r="A671" s="94" t="s">
        <v>1691</v>
      </c>
      <c r="B671" s="34" t="str">
        <f aca="false">IF(A671="100","HK",IF(A671="200","CN",IF(A671="300","TW","홀세일")))</f>
        <v>홀세일</v>
      </c>
      <c r="C671" s="94" t="s">
        <v>432</v>
      </c>
      <c r="D671" s="95" t="n">
        <v>30</v>
      </c>
      <c r="E671" s="95" t="n">
        <v>69000</v>
      </c>
      <c r="F671" s="95" t="n">
        <v>17377</v>
      </c>
      <c r="G671" s="34" t="n">
        <v>3.09</v>
      </c>
      <c r="H671" s="34" t="n">
        <v>17.3</v>
      </c>
      <c r="I671" s="34" t="n">
        <v>11.9</v>
      </c>
      <c r="J671" s="95" t="n">
        <f aca="false">IF(N(E671)&gt;0,E671,IF(N(F671)&gt;0,F671*가정!$B$5,0))</f>
        <v>69000</v>
      </c>
      <c r="K671" s="95" t="n">
        <f aca="false">IF(N(F671)&gt;0,F671,IF(N(E671)&gt;0,E671/가정!$B$5,0))</f>
        <v>17377</v>
      </c>
      <c r="L671" s="95" t="n">
        <f aca="false">IF(B671="CN",IF(N(I671)&gt;0,I671*가정!$B$3,K671*(1+가정!$B$6)),IF(N(H671)&gt;0,H671*가정!$B$3,J671*가정!$B$4))</f>
        <v>23576.094</v>
      </c>
      <c r="M671" s="95" t="n">
        <f aca="false">D671*J671</f>
        <v>2070000</v>
      </c>
      <c r="N671" s="95" t="n">
        <f aca="false">D671*K671</f>
        <v>521310</v>
      </c>
      <c r="O671" s="95" t="n">
        <f aca="false">D671*L671</f>
        <v>707282.82</v>
      </c>
      <c r="P671" s="34" t="str">
        <f aca="false">TRIM(IF(N(E671)&lt;=0,"택가보정 ","")&amp;IF(N(F671)&lt;=0,"원가보정 ","")&amp;IF(AND(B671&lt;&gt;"CN",N(H671)&lt;=0),"공급가보정 ","")&amp;IF(AND(B671="CN",N(I671)&lt;=0),"중국공급가=원가+마진 ",""))</f>
        <v/>
      </c>
    </row>
    <row r="672" customFormat="false" ht="15" hidden="false" customHeight="true" outlineLevel="0" collapsed="false">
      <c r="A672" s="94" t="s">
        <v>1684</v>
      </c>
      <c r="B672" s="34" t="str">
        <f aca="false">IF(A672="100","HK",IF(A672="200","CN",IF(A672="300","TW","홀세일")))</f>
        <v>HK</v>
      </c>
      <c r="C672" s="94" t="s">
        <v>434</v>
      </c>
      <c r="D672" s="95" t="n">
        <v>230</v>
      </c>
      <c r="E672" s="95" t="n">
        <v>89000</v>
      </c>
      <c r="F672" s="95" t="n">
        <v>17342</v>
      </c>
      <c r="G672" s="34" t="n">
        <v>3.98</v>
      </c>
      <c r="H672" s="34" t="n">
        <v>22.3</v>
      </c>
      <c r="I672" s="34" t="n">
        <v>0</v>
      </c>
      <c r="J672" s="95" t="n">
        <f aca="false">IF(N(E672)&gt;0,E672,IF(N(F672)&gt;0,F672*가정!$B$5,0))</f>
        <v>89000</v>
      </c>
      <c r="K672" s="95" t="n">
        <f aca="false">IF(N(F672)&gt;0,F672,IF(N(E672)&gt;0,E672/가정!$B$5,0))</f>
        <v>17342</v>
      </c>
      <c r="L672" s="95" t="n">
        <f aca="false">IF(B672="CN",IF(N(I672)&gt;0,I672*가정!$B$3,K672*(1+가정!$B$6)),IF(N(H672)&gt;0,H672*가정!$B$3,J672*가정!$B$4))</f>
        <v>30389.994</v>
      </c>
      <c r="M672" s="95" t="n">
        <f aca="false">D672*J672</f>
        <v>20470000</v>
      </c>
      <c r="N672" s="95" t="n">
        <f aca="false">D672*K672</f>
        <v>3988660</v>
      </c>
      <c r="O672" s="95" t="n">
        <f aca="false">D672*L672</f>
        <v>6989698.62</v>
      </c>
      <c r="P672" s="34" t="str">
        <f aca="false">TRIM(IF(N(E672)&lt;=0,"택가보정 ","")&amp;IF(N(F672)&lt;=0,"원가보정 ","")&amp;IF(AND(B672&lt;&gt;"CN",N(H672)&lt;=0),"공급가보정 ","")&amp;IF(AND(B672="CN",N(I672)&lt;=0),"중국공급가=원가+마진 ",""))</f>
        <v/>
      </c>
    </row>
    <row r="673" customFormat="false" ht="15" hidden="false" customHeight="true" outlineLevel="0" collapsed="false">
      <c r="A673" s="94" t="s">
        <v>1686</v>
      </c>
      <c r="B673" s="34" t="str">
        <f aca="false">IF(A673="100","HK",IF(A673="200","CN",IF(A673="300","TW","홀세일")))</f>
        <v>TW</v>
      </c>
      <c r="C673" s="94" t="s">
        <v>434</v>
      </c>
      <c r="D673" s="95" t="n">
        <v>150</v>
      </c>
      <c r="E673" s="95" t="n">
        <v>89000</v>
      </c>
      <c r="F673" s="95" t="n">
        <v>17342</v>
      </c>
      <c r="G673" s="34" t="n">
        <v>3.98</v>
      </c>
      <c r="H673" s="34" t="n">
        <v>22.3</v>
      </c>
      <c r="I673" s="34" t="n">
        <v>0</v>
      </c>
      <c r="J673" s="95" t="n">
        <f aca="false">IF(N(E673)&gt;0,E673,IF(N(F673)&gt;0,F673*가정!$B$5,0))</f>
        <v>89000</v>
      </c>
      <c r="K673" s="95" t="n">
        <f aca="false">IF(N(F673)&gt;0,F673,IF(N(E673)&gt;0,E673/가정!$B$5,0))</f>
        <v>17342</v>
      </c>
      <c r="L673" s="95" t="n">
        <f aca="false">IF(B673="CN",IF(N(I673)&gt;0,I673*가정!$B$3,K673*(1+가정!$B$6)),IF(N(H673)&gt;0,H673*가정!$B$3,J673*가정!$B$4))</f>
        <v>30389.994</v>
      </c>
      <c r="M673" s="95" t="n">
        <f aca="false">D673*J673</f>
        <v>13350000</v>
      </c>
      <c r="N673" s="95" t="n">
        <f aca="false">D673*K673</f>
        <v>2601300</v>
      </c>
      <c r="O673" s="95" t="n">
        <f aca="false">D673*L673</f>
        <v>4558499.1</v>
      </c>
      <c r="P673" s="34" t="str">
        <f aca="false">TRIM(IF(N(E673)&lt;=0,"택가보정 ","")&amp;IF(N(F673)&lt;=0,"원가보정 ","")&amp;IF(AND(B673&lt;&gt;"CN",N(H673)&lt;=0),"공급가보정 ","")&amp;IF(AND(B673="CN",N(I673)&lt;=0),"중국공급가=원가+마진 ",""))</f>
        <v/>
      </c>
    </row>
    <row r="674" customFormat="false" ht="15" hidden="false" customHeight="true" outlineLevel="0" collapsed="false">
      <c r="A674" s="94" t="s">
        <v>1688</v>
      </c>
      <c r="B674" s="34" t="str">
        <f aca="false">IF(A674="100","HK",IF(A674="200","CN",IF(A674="300","TW","홀세일")))</f>
        <v>홀세일</v>
      </c>
      <c r="C674" s="94" t="s">
        <v>434</v>
      </c>
      <c r="D674" s="95" t="n">
        <v>50</v>
      </c>
      <c r="E674" s="95" t="n">
        <v>89000</v>
      </c>
      <c r="F674" s="95" t="n">
        <v>17342</v>
      </c>
      <c r="G674" s="34" t="n">
        <v>3.98</v>
      </c>
      <c r="H674" s="34" t="n">
        <v>22.3</v>
      </c>
      <c r="I674" s="34" t="n">
        <v>0</v>
      </c>
      <c r="J674" s="95" t="n">
        <f aca="false">IF(N(E674)&gt;0,E674,IF(N(F674)&gt;0,F674*가정!$B$5,0))</f>
        <v>89000</v>
      </c>
      <c r="K674" s="95" t="n">
        <f aca="false">IF(N(F674)&gt;0,F674,IF(N(E674)&gt;0,E674/가정!$B$5,0))</f>
        <v>17342</v>
      </c>
      <c r="L674" s="95" t="n">
        <f aca="false">IF(B674="CN",IF(N(I674)&gt;0,I674*가정!$B$3,K674*(1+가정!$B$6)),IF(N(H674)&gt;0,H674*가정!$B$3,J674*가정!$B$4))</f>
        <v>30389.994</v>
      </c>
      <c r="M674" s="95" t="n">
        <f aca="false">D674*J674</f>
        <v>4450000</v>
      </c>
      <c r="N674" s="95" t="n">
        <f aca="false">D674*K674</f>
        <v>867100</v>
      </c>
      <c r="O674" s="95" t="n">
        <f aca="false">D674*L674</f>
        <v>1519499.7</v>
      </c>
      <c r="P674" s="34" t="str">
        <f aca="false">TRIM(IF(N(E674)&lt;=0,"택가보정 ","")&amp;IF(N(F674)&lt;=0,"원가보정 ","")&amp;IF(AND(B674&lt;&gt;"CN",N(H674)&lt;=0),"공급가보정 ","")&amp;IF(AND(B674="CN",N(I674)&lt;=0),"중국공급가=원가+마진 ",""))</f>
        <v/>
      </c>
    </row>
    <row r="675" customFormat="false" ht="15" hidden="false" customHeight="true" outlineLevel="0" collapsed="false">
      <c r="A675" s="94" t="s">
        <v>1692</v>
      </c>
      <c r="B675" s="34" t="str">
        <f aca="false">IF(A675="100","HK",IF(A675="200","CN",IF(A675="300","TW","홀세일")))</f>
        <v>홀세일</v>
      </c>
      <c r="C675" s="94" t="s">
        <v>434</v>
      </c>
      <c r="D675" s="95" t="n">
        <v>102</v>
      </c>
      <c r="E675" s="95" t="n">
        <v>89000</v>
      </c>
      <c r="F675" s="95" t="n">
        <v>17342</v>
      </c>
      <c r="G675" s="34" t="n">
        <v>3.98</v>
      </c>
      <c r="H675" s="34" t="n">
        <v>22.3</v>
      </c>
      <c r="I675" s="34" t="n">
        <v>0</v>
      </c>
      <c r="J675" s="95" t="n">
        <f aca="false">IF(N(E675)&gt;0,E675,IF(N(F675)&gt;0,F675*가정!$B$5,0))</f>
        <v>89000</v>
      </c>
      <c r="K675" s="95" t="n">
        <f aca="false">IF(N(F675)&gt;0,F675,IF(N(E675)&gt;0,E675/가정!$B$5,0))</f>
        <v>17342</v>
      </c>
      <c r="L675" s="95" t="n">
        <f aca="false">IF(B675="CN",IF(N(I675)&gt;0,I675*가정!$B$3,K675*(1+가정!$B$6)),IF(N(H675)&gt;0,H675*가정!$B$3,J675*가정!$B$4))</f>
        <v>30389.994</v>
      </c>
      <c r="M675" s="95" t="n">
        <f aca="false">D675*J675</f>
        <v>9078000</v>
      </c>
      <c r="N675" s="95" t="n">
        <f aca="false">D675*K675</f>
        <v>1768884</v>
      </c>
      <c r="O675" s="95" t="n">
        <f aca="false">D675*L675</f>
        <v>3099779.388</v>
      </c>
      <c r="P675" s="34" t="str">
        <f aca="false">TRIM(IF(N(E675)&lt;=0,"택가보정 ","")&amp;IF(N(F675)&lt;=0,"원가보정 ","")&amp;IF(AND(B675&lt;&gt;"CN",N(H675)&lt;=0),"공급가보정 ","")&amp;IF(AND(B675="CN",N(I675)&lt;=0),"중국공급가=원가+마진 ",""))</f>
        <v/>
      </c>
    </row>
    <row r="676" customFormat="false" ht="15" hidden="false" customHeight="true" outlineLevel="0" collapsed="false">
      <c r="A676" s="94" t="s">
        <v>1690</v>
      </c>
      <c r="B676" s="34" t="str">
        <f aca="false">IF(A676="100","HK",IF(A676="200","CN",IF(A676="300","TW","홀세일")))</f>
        <v>홀세일</v>
      </c>
      <c r="C676" s="94" t="s">
        <v>434</v>
      </c>
      <c r="D676" s="95" t="n">
        <v>48</v>
      </c>
      <c r="E676" s="95" t="n">
        <v>89000</v>
      </c>
      <c r="F676" s="95" t="n">
        <v>17342</v>
      </c>
      <c r="G676" s="34" t="n">
        <v>3.98</v>
      </c>
      <c r="H676" s="34" t="n">
        <v>22.3</v>
      </c>
      <c r="I676" s="34" t="n">
        <v>0</v>
      </c>
      <c r="J676" s="95" t="n">
        <f aca="false">IF(N(E676)&gt;0,E676,IF(N(F676)&gt;0,F676*가정!$B$5,0))</f>
        <v>89000</v>
      </c>
      <c r="K676" s="95" t="n">
        <f aca="false">IF(N(F676)&gt;0,F676,IF(N(E676)&gt;0,E676/가정!$B$5,0))</f>
        <v>17342</v>
      </c>
      <c r="L676" s="95" t="n">
        <f aca="false">IF(B676="CN",IF(N(I676)&gt;0,I676*가정!$B$3,K676*(1+가정!$B$6)),IF(N(H676)&gt;0,H676*가정!$B$3,J676*가정!$B$4))</f>
        <v>30389.994</v>
      </c>
      <c r="M676" s="95" t="n">
        <f aca="false">D676*J676</f>
        <v>4272000</v>
      </c>
      <c r="N676" s="95" t="n">
        <f aca="false">D676*K676</f>
        <v>832416</v>
      </c>
      <c r="O676" s="95" t="n">
        <f aca="false">D676*L676</f>
        <v>1458719.712</v>
      </c>
      <c r="P676" s="34" t="str">
        <f aca="false">TRIM(IF(N(E676)&lt;=0,"택가보정 ","")&amp;IF(N(F676)&lt;=0,"원가보정 ","")&amp;IF(AND(B676&lt;&gt;"CN",N(H676)&lt;=0),"공급가보정 ","")&amp;IF(AND(B676="CN",N(I676)&lt;=0),"중국공급가=원가+마진 ",""))</f>
        <v/>
      </c>
    </row>
    <row r="677" customFormat="false" ht="15" hidden="false" customHeight="true" outlineLevel="0" collapsed="false">
      <c r="A677" s="94" t="s">
        <v>1691</v>
      </c>
      <c r="B677" s="34" t="str">
        <f aca="false">IF(A677="100","HK",IF(A677="200","CN",IF(A677="300","TW","홀세일")))</f>
        <v>홀세일</v>
      </c>
      <c r="C677" s="94" t="s">
        <v>434</v>
      </c>
      <c r="D677" s="95" t="n">
        <v>1000</v>
      </c>
      <c r="E677" s="95" t="n">
        <v>89000</v>
      </c>
      <c r="F677" s="95" t="n">
        <v>17342</v>
      </c>
      <c r="G677" s="34" t="n">
        <v>3.98</v>
      </c>
      <c r="H677" s="34" t="n">
        <v>22.3</v>
      </c>
      <c r="I677" s="34" t="n">
        <v>0</v>
      </c>
      <c r="J677" s="95" t="n">
        <f aca="false">IF(N(E677)&gt;0,E677,IF(N(F677)&gt;0,F677*가정!$B$5,0))</f>
        <v>89000</v>
      </c>
      <c r="K677" s="95" t="n">
        <f aca="false">IF(N(F677)&gt;0,F677,IF(N(E677)&gt;0,E677/가정!$B$5,0))</f>
        <v>17342</v>
      </c>
      <c r="L677" s="95" t="n">
        <f aca="false">IF(B677="CN",IF(N(I677)&gt;0,I677*가정!$B$3,K677*(1+가정!$B$6)),IF(N(H677)&gt;0,H677*가정!$B$3,J677*가정!$B$4))</f>
        <v>30389.994</v>
      </c>
      <c r="M677" s="95" t="n">
        <f aca="false">D677*J677</f>
        <v>89000000</v>
      </c>
      <c r="N677" s="95" t="n">
        <f aca="false">D677*K677</f>
        <v>17342000</v>
      </c>
      <c r="O677" s="95" t="n">
        <f aca="false">D677*L677</f>
        <v>30389994</v>
      </c>
      <c r="P677" s="34" t="str">
        <f aca="false">TRIM(IF(N(E677)&lt;=0,"택가보정 ","")&amp;IF(N(F677)&lt;=0,"원가보정 ","")&amp;IF(AND(B677&lt;&gt;"CN",N(H677)&lt;=0),"공급가보정 ","")&amp;IF(AND(B677="CN",N(I677)&lt;=0),"중국공급가=원가+마진 ",""))</f>
        <v/>
      </c>
    </row>
    <row r="678" customFormat="false" ht="15" hidden="false" customHeight="true" outlineLevel="0" collapsed="false">
      <c r="A678" s="94" t="s">
        <v>1684</v>
      </c>
      <c r="B678" s="34" t="str">
        <f aca="false">IF(A678="100","HK",IF(A678="200","CN",IF(A678="300","TW","홀세일")))</f>
        <v>HK</v>
      </c>
      <c r="C678" s="94" t="s">
        <v>436</v>
      </c>
      <c r="D678" s="95" t="n">
        <v>210</v>
      </c>
      <c r="E678" s="95" t="n">
        <v>79000</v>
      </c>
      <c r="F678" s="95" t="n">
        <v>18016</v>
      </c>
      <c r="G678" s="34" t="n">
        <v>3.53</v>
      </c>
      <c r="H678" s="34" t="n">
        <v>19.8</v>
      </c>
      <c r="I678" s="34" t="n">
        <v>0</v>
      </c>
      <c r="J678" s="95" t="n">
        <f aca="false">IF(N(E678)&gt;0,E678,IF(N(F678)&gt;0,F678*가정!$B$5,0))</f>
        <v>79000</v>
      </c>
      <c r="K678" s="95" t="n">
        <f aca="false">IF(N(F678)&gt;0,F678,IF(N(E678)&gt;0,E678/가정!$B$5,0))</f>
        <v>18016</v>
      </c>
      <c r="L678" s="95" t="n">
        <f aca="false">IF(B678="CN",IF(N(I678)&gt;0,I678*가정!$B$3,K678*(1+가정!$B$6)),IF(N(H678)&gt;0,H678*가정!$B$3,J678*가정!$B$4))</f>
        <v>26983.044</v>
      </c>
      <c r="M678" s="95" t="n">
        <f aca="false">D678*J678</f>
        <v>16590000</v>
      </c>
      <c r="N678" s="95" t="n">
        <f aca="false">D678*K678</f>
        <v>3783360</v>
      </c>
      <c r="O678" s="95" t="n">
        <f aca="false">D678*L678</f>
        <v>5666439.24</v>
      </c>
      <c r="P678" s="34" t="str">
        <f aca="false">TRIM(IF(N(E678)&lt;=0,"택가보정 ","")&amp;IF(N(F678)&lt;=0,"원가보정 ","")&amp;IF(AND(B678&lt;&gt;"CN",N(H678)&lt;=0),"공급가보정 ","")&amp;IF(AND(B678="CN",N(I678)&lt;=0),"중국공급가=원가+마진 ",""))</f>
        <v/>
      </c>
    </row>
    <row r="679" customFormat="false" ht="15" hidden="false" customHeight="true" outlineLevel="0" collapsed="false">
      <c r="A679" s="94" t="s">
        <v>1686</v>
      </c>
      <c r="B679" s="34" t="str">
        <f aca="false">IF(A679="100","HK",IF(A679="200","CN",IF(A679="300","TW","홀세일")))</f>
        <v>TW</v>
      </c>
      <c r="C679" s="94" t="s">
        <v>436</v>
      </c>
      <c r="D679" s="95" t="n">
        <v>250</v>
      </c>
      <c r="E679" s="95" t="n">
        <v>79000</v>
      </c>
      <c r="F679" s="95" t="n">
        <v>18016</v>
      </c>
      <c r="G679" s="34" t="n">
        <v>3.53</v>
      </c>
      <c r="H679" s="34" t="n">
        <v>19.8</v>
      </c>
      <c r="I679" s="34" t="n">
        <v>0</v>
      </c>
      <c r="J679" s="95" t="n">
        <f aca="false">IF(N(E679)&gt;0,E679,IF(N(F679)&gt;0,F679*가정!$B$5,0))</f>
        <v>79000</v>
      </c>
      <c r="K679" s="95" t="n">
        <f aca="false">IF(N(F679)&gt;0,F679,IF(N(E679)&gt;0,E679/가정!$B$5,0))</f>
        <v>18016</v>
      </c>
      <c r="L679" s="95" t="n">
        <f aca="false">IF(B679="CN",IF(N(I679)&gt;0,I679*가정!$B$3,K679*(1+가정!$B$6)),IF(N(H679)&gt;0,H679*가정!$B$3,J679*가정!$B$4))</f>
        <v>26983.044</v>
      </c>
      <c r="M679" s="95" t="n">
        <f aca="false">D679*J679</f>
        <v>19750000</v>
      </c>
      <c r="N679" s="95" t="n">
        <f aca="false">D679*K679</f>
        <v>4504000</v>
      </c>
      <c r="O679" s="95" t="n">
        <f aca="false">D679*L679</f>
        <v>6745761</v>
      </c>
      <c r="P679" s="34" t="str">
        <f aca="false">TRIM(IF(N(E679)&lt;=0,"택가보정 ","")&amp;IF(N(F679)&lt;=0,"원가보정 ","")&amp;IF(AND(B679&lt;&gt;"CN",N(H679)&lt;=0),"공급가보정 ","")&amp;IF(AND(B679="CN",N(I679)&lt;=0),"중국공급가=원가+마진 ",""))</f>
        <v/>
      </c>
    </row>
    <row r="680" customFormat="false" ht="15" hidden="false" customHeight="true" outlineLevel="0" collapsed="false">
      <c r="A680" s="94" t="s">
        <v>1692</v>
      </c>
      <c r="B680" s="34" t="str">
        <f aca="false">IF(A680="100","HK",IF(A680="200","CN",IF(A680="300","TW","홀세일")))</f>
        <v>홀세일</v>
      </c>
      <c r="C680" s="94" t="s">
        <v>436</v>
      </c>
      <c r="D680" s="95" t="n">
        <v>31</v>
      </c>
      <c r="E680" s="95" t="n">
        <v>79000</v>
      </c>
      <c r="F680" s="95" t="n">
        <v>18016</v>
      </c>
      <c r="G680" s="34" t="n">
        <v>3.53</v>
      </c>
      <c r="H680" s="34" t="n">
        <v>19.8</v>
      </c>
      <c r="I680" s="34" t="n">
        <v>0</v>
      </c>
      <c r="J680" s="95" t="n">
        <f aca="false">IF(N(E680)&gt;0,E680,IF(N(F680)&gt;0,F680*가정!$B$5,0))</f>
        <v>79000</v>
      </c>
      <c r="K680" s="95" t="n">
        <f aca="false">IF(N(F680)&gt;0,F680,IF(N(E680)&gt;0,E680/가정!$B$5,0))</f>
        <v>18016</v>
      </c>
      <c r="L680" s="95" t="n">
        <f aca="false">IF(B680="CN",IF(N(I680)&gt;0,I680*가정!$B$3,K680*(1+가정!$B$6)),IF(N(H680)&gt;0,H680*가정!$B$3,J680*가정!$B$4))</f>
        <v>26983.044</v>
      </c>
      <c r="M680" s="95" t="n">
        <f aca="false">D680*J680</f>
        <v>2449000</v>
      </c>
      <c r="N680" s="95" t="n">
        <f aca="false">D680*K680</f>
        <v>558496</v>
      </c>
      <c r="O680" s="95" t="n">
        <f aca="false">D680*L680</f>
        <v>836474.364</v>
      </c>
      <c r="P680" s="34" t="str">
        <f aca="false">TRIM(IF(N(E680)&lt;=0,"택가보정 ","")&amp;IF(N(F680)&lt;=0,"원가보정 ","")&amp;IF(AND(B680&lt;&gt;"CN",N(H680)&lt;=0),"공급가보정 ","")&amp;IF(AND(B680="CN",N(I680)&lt;=0),"중국공급가=원가+마진 ",""))</f>
        <v/>
      </c>
    </row>
    <row r="681" customFormat="false" ht="15" hidden="false" customHeight="true" outlineLevel="0" collapsed="false">
      <c r="A681" s="94" t="s">
        <v>1690</v>
      </c>
      <c r="B681" s="34" t="str">
        <f aca="false">IF(A681="100","HK",IF(A681="200","CN",IF(A681="300","TW","홀세일")))</f>
        <v>홀세일</v>
      </c>
      <c r="C681" s="94" t="s">
        <v>436</v>
      </c>
      <c r="D681" s="95" t="n">
        <v>48</v>
      </c>
      <c r="E681" s="95" t="n">
        <v>79000</v>
      </c>
      <c r="F681" s="95" t="n">
        <v>18016</v>
      </c>
      <c r="G681" s="34" t="n">
        <v>3.53</v>
      </c>
      <c r="H681" s="34" t="n">
        <v>19.8</v>
      </c>
      <c r="I681" s="34" t="n">
        <v>0</v>
      </c>
      <c r="J681" s="95" t="n">
        <f aca="false">IF(N(E681)&gt;0,E681,IF(N(F681)&gt;0,F681*가정!$B$5,0))</f>
        <v>79000</v>
      </c>
      <c r="K681" s="95" t="n">
        <f aca="false">IF(N(F681)&gt;0,F681,IF(N(E681)&gt;0,E681/가정!$B$5,0))</f>
        <v>18016</v>
      </c>
      <c r="L681" s="95" t="n">
        <f aca="false">IF(B681="CN",IF(N(I681)&gt;0,I681*가정!$B$3,K681*(1+가정!$B$6)),IF(N(H681)&gt;0,H681*가정!$B$3,J681*가정!$B$4))</f>
        <v>26983.044</v>
      </c>
      <c r="M681" s="95" t="n">
        <f aca="false">D681*J681</f>
        <v>3792000</v>
      </c>
      <c r="N681" s="95" t="n">
        <f aca="false">D681*K681</f>
        <v>864768</v>
      </c>
      <c r="O681" s="95" t="n">
        <f aca="false">D681*L681</f>
        <v>1295186.112</v>
      </c>
      <c r="P681" s="34" t="str">
        <f aca="false">TRIM(IF(N(E681)&lt;=0,"택가보정 ","")&amp;IF(N(F681)&lt;=0,"원가보정 ","")&amp;IF(AND(B681&lt;&gt;"CN",N(H681)&lt;=0),"공급가보정 ","")&amp;IF(AND(B681="CN",N(I681)&lt;=0),"중국공급가=원가+마진 ",""))</f>
        <v/>
      </c>
    </row>
    <row r="682" customFormat="false" ht="15" hidden="false" customHeight="true" outlineLevel="0" collapsed="false">
      <c r="A682" s="94" t="s">
        <v>1691</v>
      </c>
      <c r="B682" s="34" t="str">
        <f aca="false">IF(A682="100","HK",IF(A682="200","CN",IF(A682="300","TW","홀세일")))</f>
        <v>홀세일</v>
      </c>
      <c r="C682" s="94" t="s">
        <v>436</v>
      </c>
      <c r="D682" s="95" t="n">
        <v>300</v>
      </c>
      <c r="E682" s="95" t="n">
        <v>79000</v>
      </c>
      <c r="F682" s="95" t="n">
        <v>18016</v>
      </c>
      <c r="G682" s="34" t="n">
        <v>3.53</v>
      </c>
      <c r="H682" s="34" t="n">
        <v>19.8</v>
      </c>
      <c r="I682" s="34" t="n">
        <v>0</v>
      </c>
      <c r="J682" s="95" t="n">
        <f aca="false">IF(N(E682)&gt;0,E682,IF(N(F682)&gt;0,F682*가정!$B$5,0))</f>
        <v>79000</v>
      </c>
      <c r="K682" s="95" t="n">
        <f aca="false">IF(N(F682)&gt;0,F682,IF(N(E682)&gt;0,E682/가정!$B$5,0))</f>
        <v>18016</v>
      </c>
      <c r="L682" s="95" t="n">
        <f aca="false">IF(B682="CN",IF(N(I682)&gt;0,I682*가정!$B$3,K682*(1+가정!$B$6)),IF(N(H682)&gt;0,H682*가정!$B$3,J682*가정!$B$4))</f>
        <v>26983.044</v>
      </c>
      <c r="M682" s="95" t="n">
        <f aca="false">D682*J682</f>
        <v>23700000</v>
      </c>
      <c r="N682" s="95" t="n">
        <f aca="false">D682*K682</f>
        <v>5404800</v>
      </c>
      <c r="O682" s="95" t="n">
        <f aca="false">D682*L682</f>
        <v>8094913.2</v>
      </c>
      <c r="P682" s="34" t="str">
        <f aca="false">TRIM(IF(N(E682)&lt;=0,"택가보정 ","")&amp;IF(N(F682)&lt;=0,"원가보정 ","")&amp;IF(AND(B682&lt;&gt;"CN",N(H682)&lt;=0),"공급가보정 ","")&amp;IF(AND(B682="CN",N(I682)&lt;=0),"중국공급가=원가+마진 ",""))</f>
        <v/>
      </c>
    </row>
    <row r="683" customFormat="false" ht="15" hidden="false" customHeight="true" outlineLevel="0" collapsed="false">
      <c r="A683" s="94" t="s">
        <v>1684</v>
      </c>
      <c r="B683" s="34" t="str">
        <f aca="false">IF(A683="100","HK",IF(A683="200","CN",IF(A683="300","TW","홀세일")))</f>
        <v>HK</v>
      </c>
      <c r="C683" s="94" t="s">
        <v>438</v>
      </c>
      <c r="D683" s="95" t="n">
        <v>50</v>
      </c>
      <c r="E683" s="95" t="n">
        <v>59000</v>
      </c>
      <c r="F683" s="95" t="n">
        <v>15194</v>
      </c>
      <c r="G683" s="34" t="n">
        <v>3.39</v>
      </c>
      <c r="H683" s="34" t="n">
        <v>14.8</v>
      </c>
      <c r="I683" s="34" t="n">
        <v>0</v>
      </c>
      <c r="J683" s="95" t="n">
        <f aca="false">IF(N(E683)&gt;0,E683,IF(N(F683)&gt;0,F683*가정!$B$5,0))</f>
        <v>59000</v>
      </c>
      <c r="K683" s="95" t="n">
        <f aca="false">IF(N(F683)&gt;0,F683,IF(N(E683)&gt;0,E683/가정!$B$5,0))</f>
        <v>15194</v>
      </c>
      <c r="L683" s="95" t="n">
        <f aca="false">IF(B683="CN",IF(N(I683)&gt;0,I683*가정!$B$3,K683*(1+가정!$B$6)),IF(N(H683)&gt;0,H683*가정!$B$3,J683*가정!$B$4))</f>
        <v>20169.144</v>
      </c>
      <c r="M683" s="95" t="n">
        <f aca="false">D683*J683</f>
        <v>2950000</v>
      </c>
      <c r="N683" s="95" t="n">
        <f aca="false">D683*K683</f>
        <v>759700</v>
      </c>
      <c r="O683" s="95" t="n">
        <f aca="false">D683*L683</f>
        <v>1008457.2</v>
      </c>
      <c r="P683" s="34" t="str">
        <f aca="false">TRIM(IF(N(E683)&lt;=0,"택가보정 ","")&amp;IF(N(F683)&lt;=0,"원가보정 ","")&amp;IF(AND(B683&lt;&gt;"CN",N(H683)&lt;=0),"공급가보정 ","")&amp;IF(AND(B683="CN",N(I683)&lt;=0),"중국공급가=원가+마진 ",""))</f>
        <v/>
      </c>
    </row>
    <row r="684" customFormat="false" ht="15" hidden="false" customHeight="true" outlineLevel="0" collapsed="false">
      <c r="A684" s="94" t="s">
        <v>1686</v>
      </c>
      <c r="B684" s="34" t="str">
        <f aca="false">IF(A684="100","HK",IF(A684="200","CN",IF(A684="300","TW","홀세일")))</f>
        <v>TW</v>
      </c>
      <c r="C684" s="94" t="s">
        <v>438</v>
      </c>
      <c r="D684" s="95" t="n">
        <v>100</v>
      </c>
      <c r="E684" s="95" t="n">
        <v>59000</v>
      </c>
      <c r="F684" s="95" t="n">
        <v>15194</v>
      </c>
      <c r="G684" s="34" t="n">
        <v>3.39</v>
      </c>
      <c r="H684" s="34" t="n">
        <v>14.8</v>
      </c>
      <c r="I684" s="34" t="n">
        <v>0</v>
      </c>
      <c r="J684" s="95" t="n">
        <f aca="false">IF(N(E684)&gt;0,E684,IF(N(F684)&gt;0,F684*가정!$B$5,0))</f>
        <v>59000</v>
      </c>
      <c r="K684" s="95" t="n">
        <f aca="false">IF(N(F684)&gt;0,F684,IF(N(E684)&gt;0,E684/가정!$B$5,0))</f>
        <v>15194</v>
      </c>
      <c r="L684" s="95" t="n">
        <f aca="false">IF(B684="CN",IF(N(I684)&gt;0,I684*가정!$B$3,K684*(1+가정!$B$6)),IF(N(H684)&gt;0,H684*가정!$B$3,J684*가정!$B$4))</f>
        <v>20169.144</v>
      </c>
      <c r="M684" s="95" t="n">
        <f aca="false">D684*J684</f>
        <v>5900000</v>
      </c>
      <c r="N684" s="95" t="n">
        <f aca="false">D684*K684</f>
        <v>1519400</v>
      </c>
      <c r="O684" s="95" t="n">
        <f aca="false">D684*L684</f>
        <v>2016914.4</v>
      </c>
      <c r="P684" s="34" t="str">
        <f aca="false">TRIM(IF(N(E684)&lt;=0,"택가보정 ","")&amp;IF(N(F684)&lt;=0,"원가보정 ","")&amp;IF(AND(B684&lt;&gt;"CN",N(H684)&lt;=0),"공급가보정 ","")&amp;IF(AND(B684="CN",N(I684)&lt;=0),"중국공급가=원가+마진 ",""))</f>
        <v/>
      </c>
    </row>
    <row r="685" customFormat="false" ht="15" hidden="false" customHeight="true" outlineLevel="0" collapsed="false">
      <c r="A685" s="94" t="s">
        <v>1688</v>
      </c>
      <c r="B685" s="34" t="str">
        <f aca="false">IF(A685="100","HK",IF(A685="200","CN",IF(A685="300","TW","홀세일")))</f>
        <v>홀세일</v>
      </c>
      <c r="C685" s="94" t="s">
        <v>438</v>
      </c>
      <c r="D685" s="95" t="n">
        <v>25</v>
      </c>
      <c r="E685" s="95" t="n">
        <v>59000</v>
      </c>
      <c r="F685" s="95" t="n">
        <v>15194</v>
      </c>
      <c r="G685" s="34" t="n">
        <v>3.39</v>
      </c>
      <c r="H685" s="34" t="n">
        <v>14.8</v>
      </c>
      <c r="I685" s="34" t="n">
        <v>0</v>
      </c>
      <c r="J685" s="95" t="n">
        <f aca="false">IF(N(E685)&gt;0,E685,IF(N(F685)&gt;0,F685*가정!$B$5,0))</f>
        <v>59000</v>
      </c>
      <c r="K685" s="95" t="n">
        <f aca="false">IF(N(F685)&gt;0,F685,IF(N(E685)&gt;0,E685/가정!$B$5,0))</f>
        <v>15194</v>
      </c>
      <c r="L685" s="95" t="n">
        <f aca="false">IF(B685="CN",IF(N(I685)&gt;0,I685*가정!$B$3,K685*(1+가정!$B$6)),IF(N(H685)&gt;0,H685*가정!$B$3,J685*가정!$B$4))</f>
        <v>20169.144</v>
      </c>
      <c r="M685" s="95" t="n">
        <f aca="false">D685*J685</f>
        <v>1475000</v>
      </c>
      <c r="N685" s="95" t="n">
        <f aca="false">D685*K685</f>
        <v>379850</v>
      </c>
      <c r="O685" s="95" t="n">
        <f aca="false">D685*L685</f>
        <v>504228.6</v>
      </c>
      <c r="P685" s="34" t="str">
        <f aca="false">TRIM(IF(N(E685)&lt;=0,"택가보정 ","")&amp;IF(N(F685)&lt;=0,"원가보정 ","")&amp;IF(AND(B685&lt;&gt;"CN",N(H685)&lt;=0),"공급가보정 ","")&amp;IF(AND(B685="CN",N(I685)&lt;=0),"중국공급가=원가+마진 ",""))</f>
        <v/>
      </c>
    </row>
    <row r="686" customFormat="false" ht="15" hidden="false" customHeight="true" outlineLevel="0" collapsed="false">
      <c r="A686" s="94" t="s">
        <v>1692</v>
      </c>
      <c r="B686" s="34" t="str">
        <f aca="false">IF(A686="100","HK",IF(A686="200","CN",IF(A686="300","TW","홀세일")))</f>
        <v>홀세일</v>
      </c>
      <c r="C686" s="94" t="s">
        <v>438</v>
      </c>
      <c r="D686" s="95" t="n">
        <v>91</v>
      </c>
      <c r="E686" s="95" t="n">
        <v>59000</v>
      </c>
      <c r="F686" s="95" t="n">
        <v>15194</v>
      </c>
      <c r="G686" s="34" t="n">
        <v>3.39</v>
      </c>
      <c r="H686" s="34" t="n">
        <v>14.8</v>
      </c>
      <c r="I686" s="34" t="n">
        <v>0</v>
      </c>
      <c r="J686" s="95" t="n">
        <f aca="false">IF(N(E686)&gt;0,E686,IF(N(F686)&gt;0,F686*가정!$B$5,0))</f>
        <v>59000</v>
      </c>
      <c r="K686" s="95" t="n">
        <f aca="false">IF(N(F686)&gt;0,F686,IF(N(E686)&gt;0,E686/가정!$B$5,0))</f>
        <v>15194</v>
      </c>
      <c r="L686" s="95" t="n">
        <f aca="false">IF(B686="CN",IF(N(I686)&gt;0,I686*가정!$B$3,K686*(1+가정!$B$6)),IF(N(H686)&gt;0,H686*가정!$B$3,J686*가정!$B$4))</f>
        <v>20169.144</v>
      </c>
      <c r="M686" s="95" t="n">
        <f aca="false">D686*J686</f>
        <v>5369000</v>
      </c>
      <c r="N686" s="95" t="n">
        <f aca="false">D686*K686</f>
        <v>1382654</v>
      </c>
      <c r="O686" s="95" t="n">
        <f aca="false">D686*L686</f>
        <v>1835392.104</v>
      </c>
      <c r="P686" s="34" t="str">
        <f aca="false">TRIM(IF(N(E686)&lt;=0,"택가보정 ","")&amp;IF(N(F686)&lt;=0,"원가보정 ","")&amp;IF(AND(B686&lt;&gt;"CN",N(H686)&lt;=0),"공급가보정 ","")&amp;IF(AND(B686="CN",N(I686)&lt;=0),"중국공급가=원가+마진 ",""))</f>
        <v/>
      </c>
    </row>
    <row r="687" customFormat="false" ht="15" hidden="false" customHeight="true" outlineLevel="0" collapsed="false">
      <c r="A687" s="94" t="s">
        <v>1685</v>
      </c>
      <c r="B687" s="34" t="str">
        <f aca="false">IF(A687="100","HK",IF(A687="200","CN",IF(A687="300","TW","홀세일")))</f>
        <v>CN</v>
      </c>
      <c r="C687" s="94" t="s">
        <v>1112</v>
      </c>
      <c r="D687" s="95" t="n">
        <v>131</v>
      </c>
      <c r="E687" s="95" t="n">
        <v>59000</v>
      </c>
      <c r="F687" s="95" t="n">
        <v>14597</v>
      </c>
      <c r="G687" s="34" t="n">
        <v>3.46</v>
      </c>
      <c r="H687" s="34" t="n">
        <v>14.8</v>
      </c>
      <c r="I687" s="34" t="n">
        <v>12.4</v>
      </c>
      <c r="J687" s="95" t="n">
        <f aca="false">IF(N(E687)&gt;0,E687,IF(N(F687)&gt;0,F687*가정!$B$5,0))</f>
        <v>59000</v>
      </c>
      <c r="K687" s="95" t="n">
        <f aca="false">IF(N(F687)&gt;0,F687,IF(N(E687)&gt;0,E687/가정!$B$5,0))</f>
        <v>14597</v>
      </c>
      <c r="L687" s="95" t="n">
        <f aca="false">IF(B687="CN",IF(N(I687)&gt;0,I687*가정!$B$3,K687*(1+가정!$B$6)),IF(N(H687)&gt;0,H687*가정!$B$3,J687*가정!$B$4))</f>
        <v>16898.472</v>
      </c>
      <c r="M687" s="95" t="n">
        <f aca="false">D687*J687</f>
        <v>7729000</v>
      </c>
      <c r="N687" s="95" t="n">
        <f aca="false">D687*K687</f>
        <v>1912207</v>
      </c>
      <c r="O687" s="95" t="n">
        <f aca="false">D687*L687</f>
        <v>2213699.832</v>
      </c>
      <c r="P687" s="34" t="str">
        <f aca="false">TRIM(IF(N(E687)&lt;=0,"택가보정 ","")&amp;IF(N(F687)&lt;=0,"원가보정 ","")&amp;IF(AND(B687&lt;&gt;"CN",N(H687)&lt;=0),"공급가보정 ","")&amp;IF(AND(B687="CN",N(I687)&lt;=0),"중국공급가=원가+마진 ",""))</f>
        <v/>
      </c>
    </row>
    <row r="688" customFormat="false" ht="15" hidden="false" customHeight="true" outlineLevel="0" collapsed="false">
      <c r="A688" s="94" t="s">
        <v>1688</v>
      </c>
      <c r="B688" s="34" t="str">
        <f aca="false">IF(A688="100","HK",IF(A688="200","CN",IF(A688="300","TW","홀세일")))</f>
        <v>홀세일</v>
      </c>
      <c r="C688" s="94" t="s">
        <v>1112</v>
      </c>
      <c r="D688" s="95" t="n">
        <v>25</v>
      </c>
      <c r="E688" s="95" t="n">
        <v>59000</v>
      </c>
      <c r="F688" s="95" t="n">
        <v>14597</v>
      </c>
      <c r="G688" s="34" t="n">
        <v>3.46</v>
      </c>
      <c r="H688" s="34" t="n">
        <v>14.8</v>
      </c>
      <c r="I688" s="34" t="n">
        <v>12.4</v>
      </c>
      <c r="J688" s="95" t="n">
        <f aca="false">IF(N(E688)&gt;0,E688,IF(N(F688)&gt;0,F688*가정!$B$5,0))</f>
        <v>59000</v>
      </c>
      <c r="K688" s="95" t="n">
        <f aca="false">IF(N(F688)&gt;0,F688,IF(N(E688)&gt;0,E688/가정!$B$5,0))</f>
        <v>14597</v>
      </c>
      <c r="L688" s="95" t="n">
        <f aca="false">IF(B688="CN",IF(N(I688)&gt;0,I688*가정!$B$3,K688*(1+가정!$B$6)),IF(N(H688)&gt;0,H688*가정!$B$3,J688*가정!$B$4))</f>
        <v>20169.144</v>
      </c>
      <c r="M688" s="95" t="n">
        <f aca="false">D688*J688</f>
        <v>1475000</v>
      </c>
      <c r="N688" s="95" t="n">
        <f aca="false">D688*K688</f>
        <v>364925</v>
      </c>
      <c r="O688" s="95" t="n">
        <f aca="false">D688*L688</f>
        <v>504228.6</v>
      </c>
      <c r="P688" s="34" t="str">
        <f aca="false">TRIM(IF(N(E688)&lt;=0,"택가보정 ","")&amp;IF(N(F688)&lt;=0,"원가보정 ","")&amp;IF(AND(B688&lt;&gt;"CN",N(H688)&lt;=0),"공급가보정 ","")&amp;IF(AND(B688="CN",N(I688)&lt;=0),"중국공급가=원가+마진 ",""))</f>
        <v/>
      </c>
    </row>
    <row r="689" customFormat="false" ht="15" hidden="false" customHeight="true" outlineLevel="0" collapsed="false">
      <c r="A689" s="94" t="s">
        <v>1692</v>
      </c>
      <c r="B689" s="34" t="str">
        <f aca="false">IF(A689="100","HK",IF(A689="200","CN",IF(A689="300","TW","홀세일")))</f>
        <v>홀세일</v>
      </c>
      <c r="C689" s="94" t="s">
        <v>1112</v>
      </c>
      <c r="D689" s="95" t="n">
        <v>121</v>
      </c>
      <c r="E689" s="95" t="n">
        <v>59000</v>
      </c>
      <c r="F689" s="95" t="n">
        <v>14597</v>
      </c>
      <c r="G689" s="34" t="n">
        <v>3.46</v>
      </c>
      <c r="H689" s="34" t="n">
        <v>14.8</v>
      </c>
      <c r="I689" s="34" t="n">
        <v>12.4</v>
      </c>
      <c r="J689" s="95" t="n">
        <f aca="false">IF(N(E689)&gt;0,E689,IF(N(F689)&gt;0,F689*가정!$B$5,0))</f>
        <v>59000</v>
      </c>
      <c r="K689" s="95" t="n">
        <f aca="false">IF(N(F689)&gt;0,F689,IF(N(E689)&gt;0,E689/가정!$B$5,0))</f>
        <v>14597</v>
      </c>
      <c r="L689" s="95" t="n">
        <f aca="false">IF(B689="CN",IF(N(I689)&gt;0,I689*가정!$B$3,K689*(1+가정!$B$6)),IF(N(H689)&gt;0,H689*가정!$B$3,J689*가정!$B$4))</f>
        <v>20169.144</v>
      </c>
      <c r="M689" s="95" t="n">
        <f aca="false">D689*J689</f>
        <v>7139000</v>
      </c>
      <c r="N689" s="95" t="n">
        <f aca="false">D689*K689</f>
        <v>1766237</v>
      </c>
      <c r="O689" s="95" t="n">
        <f aca="false">D689*L689</f>
        <v>2440466.424</v>
      </c>
      <c r="P689" s="34" t="str">
        <f aca="false">TRIM(IF(N(E689)&lt;=0,"택가보정 ","")&amp;IF(N(F689)&lt;=0,"원가보정 ","")&amp;IF(AND(B689&lt;&gt;"CN",N(H689)&lt;=0),"공급가보정 ","")&amp;IF(AND(B689="CN",N(I689)&lt;=0),"중국공급가=원가+마진 ",""))</f>
        <v/>
      </c>
    </row>
    <row r="690" customFormat="false" ht="15" hidden="false" customHeight="true" outlineLevel="0" collapsed="false">
      <c r="A690" s="94" t="s">
        <v>1684</v>
      </c>
      <c r="B690" s="34" t="str">
        <f aca="false">IF(A690="100","HK",IF(A690="200","CN",IF(A690="300","TW","홀세일")))</f>
        <v>HK</v>
      </c>
      <c r="C690" s="94" t="s">
        <v>440</v>
      </c>
      <c r="D690" s="95" t="n">
        <v>70</v>
      </c>
      <c r="E690" s="95" t="n">
        <v>69000</v>
      </c>
      <c r="F690" s="95" t="n">
        <v>15757</v>
      </c>
      <c r="G690" s="34" t="n">
        <v>3.76</v>
      </c>
      <c r="H690" s="34" t="n">
        <v>17.3</v>
      </c>
      <c r="I690" s="34" t="n">
        <v>0</v>
      </c>
      <c r="J690" s="95" t="n">
        <f aca="false">IF(N(E690)&gt;0,E690,IF(N(F690)&gt;0,F690*가정!$B$5,0))</f>
        <v>69000</v>
      </c>
      <c r="K690" s="95" t="n">
        <f aca="false">IF(N(F690)&gt;0,F690,IF(N(E690)&gt;0,E690/가정!$B$5,0))</f>
        <v>15757</v>
      </c>
      <c r="L690" s="95" t="n">
        <f aca="false">IF(B690="CN",IF(N(I690)&gt;0,I690*가정!$B$3,K690*(1+가정!$B$6)),IF(N(H690)&gt;0,H690*가정!$B$3,J690*가정!$B$4))</f>
        <v>23576.094</v>
      </c>
      <c r="M690" s="95" t="n">
        <f aca="false">D690*J690</f>
        <v>4830000</v>
      </c>
      <c r="N690" s="95" t="n">
        <f aca="false">D690*K690</f>
        <v>1102990</v>
      </c>
      <c r="O690" s="95" t="n">
        <f aca="false">D690*L690</f>
        <v>1650326.58</v>
      </c>
      <c r="P690" s="34" t="str">
        <f aca="false">TRIM(IF(N(E690)&lt;=0,"택가보정 ","")&amp;IF(N(F690)&lt;=0,"원가보정 ","")&amp;IF(AND(B690&lt;&gt;"CN",N(H690)&lt;=0),"공급가보정 ","")&amp;IF(AND(B690="CN",N(I690)&lt;=0),"중국공급가=원가+마진 ",""))</f>
        <v/>
      </c>
    </row>
    <row r="691" customFormat="false" ht="15" hidden="false" customHeight="true" outlineLevel="0" collapsed="false">
      <c r="A691" s="94" t="s">
        <v>1686</v>
      </c>
      <c r="B691" s="34" t="str">
        <f aca="false">IF(A691="100","HK",IF(A691="200","CN",IF(A691="300","TW","홀세일")))</f>
        <v>TW</v>
      </c>
      <c r="C691" s="94" t="s">
        <v>440</v>
      </c>
      <c r="D691" s="95" t="n">
        <v>100</v>
      </c>
      <c r="E691" s="95" t="n">
        <v>69000</v>
      </c>
      <c r="F691" s="95" t="n">
        <v>15757</v>
      </c>
      <c r="G691" s="34" t="n">
        <v>3.76</v>
      </c>
      <c r="H691" s="34" t="n">
        <v>17.3</v>
      </c>
      <c r="I691" s="34" t="n">
        <v>0</v>
      </c>
      <c r="J691" s="95" t="n">
        <f aca="false">IF(N(E691)&gt;0,E691,IF(N(F691)&gt;0,F691*가정!$B$5,0))</f>
        <v>69000</v>
      </c>
      <c r="K691" s="95" t="n">
        <f aca="false">IF(N(F691)&gt;0,F691,IF(N(E691)&gt;0,E691/가정!$B$5,0))</f>
        <v>15757</v>
      </c>
      <c r="L691" s="95" t="n">
        <f aca="false">IF(B691="CN",IF(N(I691)&gt;0,I691*가정!$B$3,K691*(1+가정!$B$6)),IF(N(H691)&gt;0,H691*가정!$B$3,J691*가정!$B$4))</f>
        <v>23576.094</v>
      </c>
      <c r="M691" s="95" t="n">
        <f aca="false">D691*J691</f>
        <v>6900000</v>
      </c>
      <c r="N691" s="95" t="n">
        <f aca="false">D691*K691</f>
        <v>1575700</v>
      </c>
      <c r="O691" s="95" t="n">
        <f aca="false">D691*L691</f>
        <v>2357609.4</v>
      </c>
      <c r="P691" s="34" t="str">
        <f aca="false">TRIM(IF(N(E691)&lt;=0,"택가보정 ","")&amp;IF(N(F691)&lt;=0,"원가보정 ","")&amp;IF(AND(B691&lt;&gt;"CN",N(H691)&lt;=0),"공급가보정 ","")&amp;IF(AND(B691="CN",N(I691)&lt;=0),"중국공급가=원가+마진 ",""))</f>
        <v/>
      </c>
    </row>
    <row r="692" customFormat="false" ht="15" hidden="false" customHeight="true" outlineLevel="0" collapsed="false">
      <c r="A692" s="94" t="s">
        <v>1692</v>
      </c>
      <c r="B692" s="34" t="str">
        <f aca="false">IF(A692="100","HK",IF(A692="200","CN",IF(A692="300","TW","홀세일")))</f>
        <v>홀세일</v>
      </c>
      <c r="C692" s="94" t="s">
        <v>440</v>
      </c>
      <c r="D692" s="95" t="n">
        <v>91</v>
      </c>
      <c r="E692" s="95" t="n">
        <v>69000</v>
      </c>
      <c r="F692" s="95" t="n">
        <v>15757</v>
      </c>
      <c r="G692" s="34" t="n">
        <v>3.76</v>
      </c>
      <c r="H692" s="34" t="n">
        <v>17.3</v>
      </c>
      <c r="I692" s="34" t="n">
        <v>0</v>
      </c>
      <c r="J692" s="95" t="n">
        <f aca="false">IF(N(E692)&gt;0,E692,IF(N(F692)&gt;0,F692*가정!$B$5,0))</f>
        <v>69000</v>
      </c>
      <c r="K692" s="95" t="n">
        <f aca="false">IF(N(F692)&gt;0,F692,IF(N(E692)&gt;0,E692/가정!$B$5,0))</f>
        <v>15757</v>
      </c>
      <c r="L692" s="95" t="n">
        <f aca="false">IF(B692="CN",IF(N(I692)&gt;0,I692*가정!$B$3,K692*(1+가정!$B$6)),IF(N(H692)&gt;0,H692*가정!$B$3,J692*가정!$B$4))</f>
        <v>23576.094</v>
      </c>
      <c r="M692" s="95" t="n">
        <f aca="false">D692*J692</f>
        <v>6279000</v>
      </c>
      <c r="N692" s="95" t="n">
        <f aca="false">D692*K692</f>
        <v>1433887</v>
      </c>
      <c r="O692" s="95" t="n">
        <f aca="false">D692*L692</f>
        <v>2145424.554</v>
      </c>
      <c r="P692" s="34" t="str">
        <f aca="false">TRIM(IF(N(E692)&lt;=0,"택가보정 ","")&amp;IF(N(F692)&lt;=0,"원가보정 ","")&amp;IF(AND(B692&lt;&gt;"CN",N(H692)&lt;=0),"공급가보정 ","")&amp;IF(AND(B692="CN",N(I692)&lt;=0),"중국공급가=원가+마진 ",""))</f>
        <v/>
      </c>
    </row>
    <row r="693" customFormat="false" ht="15" hidden="false" customHeight="true" outlineLevel="0" collapsed="false">
      <c r="A693" s="94" t="s">
        <v>1689</v>
      </c>
      <c r="B693" s="34" t="str">
        <f aca="false">IF(A693="100","HK",IF(A693="200","CN",IF(A693="300","TW","홀세일")))</f>
        <v>홀세일</v>
      </c>
      <c r="C693" s="94" t="s">
        <v>440</v>
      </c>
      <c r="D693" s="95" t="n">
        <v>10</v>
      </c>
      <c r="E693" s="95" t="n">
        <v>69000</v>
      </c>
      <c r="F693" s="95" t="n">
        <v>15757</v>
      </c>
      <c r="G693" s="34" t="n">
        <v>3.76</v>
      </c>
      <c r="H693" s="34" t="n">
        <v>17.3</v>
      </c>
      <c r="I693" s="34" t="n">
        <v>0</v>
      </c>
      <c r="J693" s="95" t="n">
        <f aca="false">IF(N(E693)&gt;0,E693,IF(N(F693)&gt;0,F693*가정!$B$5,0))</f>
        <v>69000</v>
      </c>
      <c r="K693" s="95" t="n">
        <f aca="false">IF(N(F693)&gt;0,F693,IF(N(E693)&gt;0,E693/가정!$B$5,0))</f>
        <v>15757</v>
      </c>
      <c r="L693" s="95" t="n">
        <f aca="false">IF(B693="CN",IF(N(I693)&gt;0,I693*가정!$B$3,K693*(1+가정!$B$6)),IF(N(H693)&gt;0,H693*가정!$B$3,J693*가정!$B$4))</f>
        <v>23576.094</v>
      </c>
      <c r="M693" s="95" t="n">
        <f aca="false">D693*J693</f>
        <v>690000</v>
      </c>
      <c r="N693" s="95" t="n">
        <f aca="false">D693*K693</f>
        <v>157570</v>
      </c>
      <c r="O693" s="95" t="n">
        <f aca="false">D693*L693</f>
        <v>235760.94</v>
      </c>
      <c r="P693" s="34" t="str">
        <f aca="false">TRIM(IF(N(E693)&lt;=0,"택가보정 ","")&amp;IF(N(F693)&lt;=0,"원가보정 ","")&amp;IF(AND(B693&lt;&gt;"CN",N(H693)&lt;=0),"공급가보정 ","")&amp;IF(AND(B693="CN",N(I693)&lt;=0),"중국공급가=원가+마진 ",""))</f>
        <v/>
      </c>
    </row>
    <row r="694" customFormat="false" ht="15" hidden="false" customHeight="true" outlineLevel="0" collapsed="false">
      <c r="A694" s="94" t="s">
        <v>1685</v>
      </c>
      <c r="B694" s="34" t="str">
        <f aca="false">IF(A694="100","HK",IF(A694="200","CN",IF(A694="300","TW","홀세일")))</f>
        <v>CN</v>
      </c>
      <c r="C694" s="94" t="s">
        <v>442</v>
      </c>
      <c r="D694" s="95" t="n">
        <v>101</v>
      </c>
      <c r="E694" s="95" t="n">
        <v>79000</v>
      </c>
      <c r="F694" s="95" t="n">
        <v>19086</v>
      </c>
      <c r="G694" s="34" t="n">
        <v>3.93</v>
      </c>
      <c r="H694" s="34" t="n">
        <v>19.8</v>
      </c>
      <c r="I694" s="34" t="n">
        <v>16.9</v>
      </c>
      <c r="J694" s="95" t="n">
        <f aca="false">IF(N(E694)&gt;0,E694,IF(N(F694)&gt;0,F694*가정!$B$5,0))</f>
        <v>79000</v>
      </c>
      <c r="K694" s="95" t="n">
        <f aca="false">IF(N(F694)&gt;0,F694,IF(N(E694)&gt;0,E694/가정!$B$5,0))</f>
        <v>19086</v>
      </c>
      <c r="L694" s="95" t="n">
        <f aca="false">IF(B694="CN",IF(N(I694)&gt;0,I694*가정!$B$3,K694*(1+가정!$B$6)),IF(N(H694)&gt;0,H694*가정!$B$3,J694*가정!$B$4))</f>
        <v>23030.982</v>
      </c>
      <c r="M694" s="95" t="n">
        <f aca="false">D694*J694</f>
        <v>7979000</v>
      </c>
      <c r="N694" s="95" t="n">
        <f aca="false">D694*K694</f>
        <v>1927686</v>
      </c>
      <c r="O694" s="95" t="n">
        <f aca="false">D694*L694</f>
        <v>2326129.182</v>
      </c>
      <c r="P694" s="34" t="str">
        <f aca="false">TRIM(IF(N(E694)&lt;=0,"택가보정 ","")&amp;IF(N(F694)&lt;=0,"원가보정 ","")&amp;IF(AND(B694&lt;&gt;"CN",N(H694)&lt;=0),"공급가보정 ","")&amp;IF(AND(B694="CN",N(I694)&lt;=0),"중국공급가=원가+마진 ",""))</f>
        <v/>
      </c>
    </row>
    <row r="695" customFormat="false" ht="15" hidden="false" customHeight="true" outlineLevel="0" collapsed="false">
      <c r="A695" s="94" t="s">
        <v>1686</v>
      </c>
      <c r="B695" s="34" t="str">
        <f aca="false">IF(A695="100","HK",IF(A695="200","CN",IF(A695="300","TW","홀세일")))</f>
        <v>TW</v>
      </c>
      <c r="C695" s="94" t="s">
        <v>442</v>
      </c>
      <c r="D695" s="95" t="n">
        <v>100</v>
      </c>
      <c r="E695" s="95" t="n">
        <v>79000</v>
      </c>
      <c r="F695" s="95" t="n">
        <v>19086</v>
      </c>
      <c r="G695" s="34" t="n">
        <v>3.93</v>
      </c>
      <c r="H695" s="34" t="n">
        <v>19.8</v>
      </c>
      <c r="I695" s="34" t="n">
        <v>16.9</v>
      </c>
      <c r="J695" s="95" t="n">
        <f aca="false">IF(N(E695)&gt;0,E695,IF(N(F695)&gt;0,F695*가정!$B$5,0))</f>
        <v>79000</v>
      </c>
      <c r="K695" s="95" t="n">
        <f aca="false">IF(N(F695)&gt;0,F695,IF(N(E695)&gt;0,E695/가정!$B$5,0))</f>
        <v>19086</v>
      </c>
      <c r="L695" s="95" t="n">
        <f aca="false">IF(B695="CN",IF(N(I695)&gt;0,I695*가정!$B$3,K695*(1+가정!$B$6)),IF(N(H695)&gt;0,H695*가정!$B$3,J695*가정!$B$4))</f>
        <v>26983.044</v>
      </c>
      <c r="M695" s="95" t="n">
        <f aca="false">D695*J695</f>
        <v>7900000</v>
      </c>
      <c r="N695" s="95" t="n">
        <f aca="false">D695*K695</f>
        <v>1908600</v>
      </c>
      <c r="O695" s="95" t="n">
        <f aca="false">D695*L695</f>
        <v>2698304.4</v>
      </c>
      <c r="P695" s="34" t="str">
        <f aca="false">TRIM(IF(N(E695)&lt;=0,"택가보정 ","")&amp;IF(N(F695)&lt;=0,"원가보정 ","")&amp;IF(AND(B695&lt;&gt;"CN",N(H695)&lt;=0),"공급가보정 ","")&amp;IF(AND(B695="CN",N(I695)&lt;=0),"중국공급가=원가+마진 ",""))</f>
        <v/>
      </c>
    </row>
    <row r="696" customFormat="false" ht="15" hidden="false" customHeight="true" outlineLevel="0" collapsed="false">
      <c r="A696" s="94" t="s">
        <v>1688</v>
      </c>
      <c r="B696" s="34" t="str">
        <f aca="false">IF(A696="100","HK",IF(A696="200","CN",IF(A696="300","TW","홀세일")))</f>
        <v>홀세일</v>
      </c>
      <c r="C696" s="94" t="s">
        <v>442</v>
      </c>
      <c r="D696" s="95" t="n">
        <v>20</v>
      </c>
      <c r="E696" s="95" t="n">
        <v>79000</v>
      </c>
      <c r="F696" s="95" t="n">
        <v>19086</v>
      </c>
      <c r="G696" s="34" t="n">
        <v>3.93</v>
      </c>
      <c r="H696" s="34" t="n">
        <v>19.8</v>
      </c>
      <c r="I696" s="34" t="n">
        <v>16.9</v>
      </c>
      <c r="J696" s="95" t="n">
        <f aca="false">IF(N(E696)&gt;0,E696,IF(N(F696)&gt;0,F696*가정!$B$5,0))</f>
        <v>79000</v>
      </c>
      <c r="K696" s="95" t="n">
        <f aca="false">IF(N(F696)&gt;0,F696,IF(N(E696)&gt;0,E696/가정!$B$5,0))</f>
        <v>19086</v>
      </c>
      <c r="L696" s="95" t="n">
        <f aca="false">IF(B696="CN",IF(N(I696)&gt;0,I696*가정!$B$3,K696*(1+가정!$B$6)),IF(N(H696)&gt;0,H696*가정!$B$3,J696*가정!$B$4))</f>
        <v>26983.044</v>
      </c>
      <c r="M696" s="95" t="n">
        <f aca="false">D696*J696</f>
        <v>1580000</v>
      </c>
      <c r="N696" s="95" t="n">
        <f aca="false">D696*K696</f>
        <v>381720</v>
      </c>
      <c r="O696" s="95" t="n">
        <f aca="false">D696*L696</f>
        <v>539660.88</v>
      </c>
      <c r="P696" s="34" t="str">
        <f aca="false">TRIM(IF(N(E696)&lt;=0,"택가보정 ","")&amp;IF(N(F696)&lt;=0,"원가보정 ","")&amp;IF(AND(B696&lt;&gt;"CN",N(H696)&lt;=0),"공급가보정 ","")&amp;IF(AND(B696="CN",N(I696)&lt;=0),"중국공급가=원가+마진 ",""))</f>
        <v/>
      </c>
    </row>
    <row r="697" customFormat="false" ht="15" hidden="false" customHeight="true" outlineLevel="0" collapsed="false">
      <c r="A697" s="94" t="s">
        <v>1692</v>
      </c>
      <c r="B697" s="34" t="str">
        <f aca="false">IF(A697="100","HK",IF(A697="200","CN",IF(A697="300","TW","홀세일")))</f>
        <v>홀세일</v>
      </c>
      <c r="C697" s="94" t="s">
        <v>442</v>
      </c>
      <c r="D697" s="95" t="n">
        <v>61</v>
      </c>
      <c r="E697" s="95" t="n">
        <v>79000</v>
      </c>
      <c r="F697" s="95" t="n">
        <v>19086</v>
      </c>
      <c r="G697" s="34" t="n">
        <v>3.93</v>
      </c>
      <c r="H697" s="34" t="n">
        <v>19.8</v>
      </c>
      <c r="I697" s="34" t="n">
        <v>16.9</v>
      </c>
      <c r="J697" s="95" t="n">
        <f aca="false">IF(N(E697)&gt;0,E697,IF(N(F697)&gt;0,F697*가정!$B$5,0))</f>
        <v>79000</v>
      </c>
      <c r="K697" s="95" t="n">
        <f aca="false">IF(N(F697)&gt;0,F697,IF(N(E697)&gt;0,E697/가정!$B$5,0))</f>
        <v>19086</v>
      </c>
      <c r="L697" s="95" t="n">
        <f aca="false">IF(B697="CN",IF(N(I697)&gt;0,I697*가정!$B$3,K697*(1+가정!$B$6)),IF(N(H697)&gt;0,H697*가정!$B$3,J697*가정!$B$4))</f>
        <v>26983.044</v>
      </c>
      <c r="M697" s="95" t="n">
        <f aca="false">D697*J697</f>
        <v>4819000</v>
      </c>
      <c r="N697" s="95" t="n">
        <f aca="false">D697*K697</f>
        <v>1164246</v>
      </c>
      <c r="O697" s="95" t="n">
        <f aca="false">D697*L697</f>
        <v>1645965.684</v>
      </c>
      <c r="P697" s="34" t="str">
        <f aca="false">TRIM(IF(N(E697)&lt;=0,"택가보정 ","")&amp;IF(N(F697)&lt;=0,"원가보정 ","")&amp;IF(AND(B697&lt;&gt;"CN",N(H697)&lt;=0),"공급가보정 ","")&amp;IF(AND(B697="CN",N(I697)&lt;=0),"중국공급가=원가+마진 ",""))</f>
        <v/>
      </c>
    </row>
    <row r="698" customFormat="false" ht="15" hidden="false" customHeight="true" outlineLevel="0" collapsed="false">
      <c r="A698" s="94" t="s">
        <v>1684</v>
      </c>
      <c r="B698" s="34" t="str">
        <f aca="false">IF(A698="100","HK",IF(A698="200","CN",IF(A698="300","TW","홀세일")))</f>
        <v>HK</v>
      </c>
      <c r="C698" s="94" t="s">
        <v>925</v>
      </c>
      <c r="D698" s="95" t="n">
        <v>260</v>
      </c>
      <c r="E698" s="95" t="n">
        <v>49000</v>
      </c>
      <c r="F698" s="95" t="n">
        <v>9902</v>
      </c>
      <c r="G698" s="34" t="n">
        <v>4.19</v>
      </c>
      <c r="H698" s="34" t="n">
        <v>12.3</v>
      </c>
      <c r="I698" s="34" t="n">
        <v>8.5</v>
      </c>
      <c r="J698" s="95" t="n">
        <f aca="false">IF(N(E698)&gt;0,E698,IF(N(F698)&gt;0,F698*가정!$B$5,0))</f>
        <v>49000</v>
      </c>
      <c r="K698" s="95" t="n">
        <f aca="false">IF(N(F698)&gt;0,F698,IF(N(E698)&gt;0,E698/가정!$B$5,0))</f>
        <v>9902</v>
      </c>
      <c r="L698" s="95" t="n">
        <f aca="false">IF(B698="CN",IF(N(I698)&gt;0,I698*가정!$B$3,K698*(1+가정!$B$6)),IF(N(H698)&gt;0,H698*가정!$B$3,J698*가정!$B$4))</f>
        <v>16762.194</v>
      </c>
      <c r="M698" s="95" t="n">
        <f aca="false">D698*J698</f>
        <v>12740000</v>
      </c>
      <c r="N698" s="95" t="n">
        <f aca="false">D698*K698</f>
        <v>2574520</v>
      </c>
      <c r="O698" s="95" t="n">
        <f aca="false">D698*L698</f>
        <v>4358170.44</v>
      </c>
      <c r="P698" s="34" t="str">
        <f aca="false">TRIM(IF(N(E698)&lt;=0,"택가보정 ","")&amp;IF(N(F698)&lt;=0,"원가보정 ","")&amp;IF(AND(B698&lt;&gt;"CN",N(H698)&lt;=0),"공급가보정 ","")&amp;IF(AND(B698="CN",N(I698)&lt;=0),"중국공급가=원가+마진 ",""))</f>
        <v/>
      </c>
    </row>
    <row r="699" customFormat="false" ht="15" hidden="false" customHeight="true" outlineLevel="0" collapsed="false">
      <c r="A699" s="94" t="s">
        <v>1685</v>
      </c>
      <c r="B699" s="34" t="str">
        <f aca="false">IF(A699="100","HK",IF(A699="200","CN",IF(A699="300","TW","홀세일")))</f>
        <v>CN</v>
      </c>
      <c r="C699" s="94" t="s">
        <v>925</v>
      </c>
      <c r="D699" s="95" t="n">
        <v>222</v>
      </c>
      <c r="E699" s="95" t="n">
        <v>49000</v>
      </c>
      <c r="F699" s="95" t="n">
        <v>9902</v>
      </c>
      <c r="G699" s="34" t="n">
        <v>4.19</v>
      </c>
      <c r="H699" s="34" t="n">
        <v>12.3</v>
      </c>
      <c r="I699" s="34" t="n">
        <v>8.5</v>
      </c>
      <c r="J699" s="95" t="n">
        <f aca="false">IF(N(E699)&gt;0,E699,IF(N(F699)&gt;0,F699*가정!$B$5,0))</f>
        <v>49000</v>
      </c>
      <c r="K699" s="95" t="n">
        <f aca="false">IF(N(F699)&gt;0,F699,IF(N(E699)&gt;0,E699/가정!$B$5,0))</f>
        <v>9902</v>
      </c>
      <c r="L699" s="95" t="n">
        <f aca="false">IF(B699="CN",IF(N(I699)&gt;0,I699*가정!$B$3,K699*(1+가정!$B$6)),IF(N(H699)&gt;0,H699*가정!$B$3,J699*가정!$B$4))</f>
        <v>11583.63</v>
      </c>
      <c r="M699" s="95" t="n">
        <f aca="false">D699*J699</f>
        <v>10878000</v>
      </c>
      <c r="N699" s="95" t="n">
        <f aca="false">D699*K699</f>
        <v>2198244</v>
      </c>
      <c r="O699" s="95" t="n">
        <f aca="false">D699*L699</f>
        <v>2571565.86</v>
      </c>
      <c r="P699" s="34" t="str">
        <f aca="false">TRIM(IF(N(E699)&lt;=0,"택가보정 ","")&amp;IF(N(F699)&lt;=0,"원가보정 ","")&amp;IF(AND(B699&lt;&gt;"CN",N(H699)&lt;=0),"공급가보정 ","")&amp;IF(AND(B699="CN",N(I699)&lt;=0),"중국공급가=원가+마진 ",""))</f>
        <v/>
      </c>
    </row>
    <row r="700" customFormat="false" ht="15" hidden="false" customHeight="true" outlineLevel="0" collapsed="false">
      <c r="A700" s="94" t="s">
        <v>1687</v>
      </c>
      <c r="B700" s="34" t="str">
        <f aca="false">IF(A700="100","HK",IF(A700="200","CN",IF(A700="300","TW","홀세일")))</f>
        <v>홀세일</v>
      </c>
      <c r="C700" s="94" t="s">
        <v>925</v>
      </c>
      <c r="D700" s="95" t="n">
        <v>120</v>
      </c>
      <c r="E700" s="95" t="n">
        <v>49000</v>
      </c>
      <c r="F700" s="95" t="n">
        <v>9902</v>
      </c>
      <c r="G700" s="34" t="n">
        <v>4.19</v>
      </c>
      <c r="H700" s="34" t="n">
        <v>12.3</v>
      </c>
      <c r="I700" s="34" t="n">
        <v>8.5</v>
      </c>
      <c r="J700" s="95" t="n">
        <f aca="false">IF(N(E700)&gt;0,E700,IF(N(F700)&gt;0,F700*가정!$B$5,0))</f>
        <v>49000</v>
      </c>
      <c r="K700" s="95" t="n">
        <f aca="false">IF(N(F700)&gt;0,F700,IF(N(E700)&gt;0,E700/가정!$B$5,0))</f>
        <v>9902</v>
      </c>
      <c r="L700" s="95" t="n">
        <f aca="false">IF(B700="CN",IF(N(I700)&gt;0,I700*가정!$B$3,K700*(1+가정!$B$6)),IF(N(H700)&gt;0,H700*가정!$B$3,J700*가정!$B$4))</f>
        <v>16762.194</v>
      </c>
      <c r="M700" s="95" t="n">
        <f aca="false">D700*J700</f>
        <v>5880000</v>
      </c>
      <c r="N700" s="95" t="n">
        <f aca="false">D700*K700</f>
        <v>1188240</v>
      </c>
      <c r="O700" s="95" t="n">
        <f aca="false">D700*L700</f>
        <v>2011463.28</v>
      </c>
      <c r="P700" s="34" t="str">
        <f aca="false">TRIM(IF(N(E700)&lt;=0,"택가보정 ","")&amp;IF(N(F700)&lt;=0,"원가보정 ","")&amp;IF(AND(B700&lt;&gt;"CN",N(H700)&lt;=0),"공급가보정 ","")&amp;IF(AND(B700="CN",N(I700)&lt;=0),"중국공급가=원가+마진 ",""))</f>
        <v/>
      </c>
    </row>
    <row r="701" customFormat="false" ht="15" hidden="false" customHeight="true" outlineLevel="0" collapsed="false">
      <c r="A701" s="94" t="s">
        <v>1688</v>
      </c>
      <c r="B701" s="34" t="str">
        <f aca="false">IF(A701="100","HK",IF(A701="200","CN",IF(A701="300","TW","홀세일")))</f>
        <v>홀세일</v>
      </c>
      <c r="C701" s="94" t="s">
        <v>925</v>
      </c>
      <c r="D701" s="95" t="n">
        <v>60</v>
      </c>
      <c r="E701" s="95" t="n">
        <v>49000</v>
      </c>
      <c r="F701" s="95" t="n">
        <v>9902</v>
      </c>
      <c r="G701" s="34" t="n">
        <v>4.19</v>
      </c>
      <c r="H701" s="34" t="n">
        <v>12.3</v>
      </c>
      <c r="I701" s="34" t="n">
        <v>8.5</v>
      </c>
      <c r="J701" s="95" t="n">
        <f aca="false">IF(N(E701)&gt;0,E701,IF(N(F701)&gt;0,F701*가정!$B$5,0))</f>
        <v>49000</v>
      </c>
      <c r="K701" s="95" t="n">
        <f aca="false">IF(N(F701)&gt;0,F701,IF(N(E701)&gt;0,E701/가정!$B$5,0))</f>
        <v>9902</v>
      </c>
      <c r="L701" s="95" t="n">
        <f aca="false">IF(B701="CN",IF(N(I701)&gt;0,I701*가정!$B$3,K701*(1+가정!$B$6)),IF(N(H701)&gt;0,H701*가정!$B$3,J701*가정!$B$4))</f>
        <v>16762.194</v>
      </c>
      <c r="M701" s="95" t="n">
        <f aca="false">D701*J701</f>
        <v>2940000</v>
      </c>
      <c r="N701" s="95" t="n">
        <f aca="false">D701*K701</f>
        <v>594120</v>
      </c>
      <c r="O701" s="95" t="n">
        <f aca="false">D701*L701</f>
        <v>1005731.64</v>
      </c>
      <c r="P701" s="34" t="str">
        <f aca="false">TRIM(IF(N(E701)&lt;=0,"택가보정 ","")&amp;IF(N(F701)&lt;=0,"원가보정 ","")&amp;IF(AND(B701&lt;&gt;"CN",N(H701)&lt;=0),"공급가보정 ","")&amp;IF(AND(B701="CN",N(I701)&lt;=0),"중국공급가=원가+마진 ",""))</f>
        <v/>
      </c>
    </row>
    <row r="702" customFormat="false" ht="15" hidden="false" customHeight="true" outlineLevel="0" collapsed="false">
      <c r="A702" s="94" t="s">
        <v>1684</v>
      </c>
      <c r="B702" s="34" t="str">
        <f aca="false">IF(A702="100","HK",IF(A702="200","CN",IF(A702="300","TW","홀세일")))</f>
        <v>HK</v>
      </c>
      <c r="C702" s="94" t="s">
        <v>927</v>
      </c>
      <c r="D702" s="95" t="n">
        <v>290</v>
      </c>
      <c r="E702" s="95" t="n">
        <v>49000</v>
      </c>
      <c r="F702" s="95" t="n">
        <v>9277</v>
      </c>
      <c r="G702" s="34" t="n">
        <v>4.26</v>
      </c>
      <c r="H702" s="34" t="n">
        <v>12.3</v>
      </c>
      <c r="I702" s="34" t="n">
        <v>7.8</v>
      </c>
      <c r="J702" s="95" t="n">
        <f aca="false">IF(N(E702)&gt;0,E702,IF(N(F702)&gt;0,F702*가정!$B$5,0))</f>
        <v>49000</v>
      </c>
      <c r="K702" s="95" t="n">
        <f aca="false">IF(N(F702)&gt;0,F702,IF(N(E702)&gt;0,E702/가정!$B$5,0))</f>
        <v>9277</v>
      </c>
      <c r="L702" s="95" t="n">
        <f aca="false">IF(B702="CN",IF(N(I702)&gt;0,I702*가정!$B$3,K702*(1+가정!$B$6)),IF(N(H702)&gt;0,H702*가정!$B$3,J702*가정!$B$4))</f>
        <v>16762.194</v>
      </c>
      <c r="M702" s="95" t="n">
        <f aca="false">D702*J702</f>
        <v>14210000</v>
      </c>
      <c r="N702" s="95" t="n">
        <f aca="false">D702*K702</f>
        <v>2690330</v>
      </c>
      <c r="O702" s="95" t="n">
        <f aca="false">D702*L702</f>
        <v>4861036.26</v>
      </c>
      <c r="P702" s="34" t="str">
        <f aca="false">TRIM(IF(N(E702)&lt;=0,"택가보정 ","")&amp;IF(N(F702)&lt;=0,"원가보정 ","")&amp;IF(AND(B702&lt;&gt;"CN",N(H702)&lt;=0),"공급가보정 ","")&amp;IF(AND(B702="CN",N(I702)&lt;=0),"중국공급가=원가+마진 ",""))</f>
        <v/>
      </c>
    </row>
    <row r="703" customFormat="false" ht="15" hidden="false" customHeight="true" outlineLevel="0" collapsed="false">
      <c r="A703" s="94" t="s">
        <v>1685</v>
      </c>
      <c r="B703" s="34" t="str">
        <f aca="false">IF(A703="100","HK",IF(A703="200","CN",IF(A703="300","TW","홀세일")))</f>
        <v>CN</v>
      </c>
      <c r="C703" s="94" t="s">
        <v>927</v>
      </c>
      <c r="D703" s="95" t="n">
        <v>202</v>
      </c>
      <c r="E703" s="95" t="n">
        <v>49000</v>
      </c>
      <c r="F703" s="95" t="n">
        <v>9277</v>
      </c>
      <c r="G703" s="34" t="n">
        <v>4.26</v>
      </c>
      <c r="H703" s="34" t="n">
        <v>12.3</v>
      </c>
      <c r="I703" s="34" t="n">
        <v>7.8</v>
      </c>
      <c r="J703" s="95" t="n">
        <f aca="false">IF(N(E703)&gt;0,E703,IF(N(F703)&gt;0,F703*가정!$B$5,0))</f>
        <v>49000</v>
      </c>
      <c r="K703" s="95" t="n">
        <f aca="false">IF(N(F703)&gt;0,F703,IF(N(E703)&gt;0,E703/가정!$B$5,0))</f>
        <v>9277</v>
      </c>
      <c r="L703" s="95" t="n">
        <f aca="false">IF(B703="CN",IF(N(I703)&gt;0,I703*가정!$B$3,K703*(1+가정!$B$6)),IF(N(H703)&gt;0,H703*가정!$B$3,J703*가정!$B$4))</f>
        <v>10629.684</v>
      </c>
      <c r="M703" s="95" t="n">
        <f aca="false">D703*J703</f>
        <v>9898000</v>
      </c>
      <c r="N703" s="95" t="n">
        <f aca="false">D703*K703</f>
        <v>1873954</v>
      </c>
      <c r="O703" s="95" t="n">
        <f aca="false">D703*L703</f>
        <v>2147196.168</v>
      </c>
      <c r="P703" s="34" t="str">
        <f aca="false">TRIM(IF(N(E703)&lt;=0,"택가보정 ","")&amp;IF(N(F703)&lt;=0,"원가보정 ","")&amp;IF(AND(B703&lt;&gt;"CN",N(H703)&lt;=0),"공급가보정 ","")&amp;IF(AND(B703="CN",N(I703)&lt;=0),"중국공급가=원가+마진 ",""))</f>
        <v/>
      </c>
    </row>
    <row r="704" customFormat="false" ht="15" hidden="false" customHeight="true" outlineLevel="0" collapsed="false">
      <c r="A704" s="94" t="s">
        <v>1685</v>
      </c>
      <c r="B704" s="34" t="str">
        <f aca="false">IF(A704="100","HK",IF(A704="200","CN",IF(A704="300","TW","홀세일")))</f>
        <v>CN</v>
      </c>
      <c r="C704" s="94" t="s">
        <v>927</v>
      </c>
      <c r="D704" s="95" t="n">
        <v>202</v>
      </c>
      <c r="E704" s="95" t="n">
        <v>49000</v>
      </c>
      <c r="F704" s="95" t="n">
        <v>9277</v>
      </c>
      <c r="G704" s="34" t="n">
        <v>4.26</v>
      </c>
      <c r="H704" s="34" t="n">
        <v>12.3</v>
      </c>
      <c r="I704" s="34" t="n">
        <v>7.8</v>
      </c>
      <c r="J704" s="95" t="n">
        <f aca="false">IF(N(E704)&gt;0,E704,IF(N(F704)&gt;0,F704*가정!$B$5,0))</f>
        <v>49000</v>
      </c>
      <c r="K704" s="95" t="n">
        <f aca="false">IF(N(F704)&gt;0,F704,IF(N(E704)&gt;0,E704/가정!$B$5,0))</f>
        <v>9277</v>
      </c>
      <c r="L704" s="95" t="n">
        <f aca="false">IF(B704="CN",IF(N(I704)&gt;0,I704*가정!$B$3,K704*(1+가정!$B$6)),IF(N(H704)&gt;0,H704*가정!$B$3,J704*가정!$B$4))</f>
        <v>10629.684</v>
      </c>
      <c r="M704" s="95" t="n">
        <f aca="false">D704*J704</f>
        <v>9898000</v>
      </c>
      <c r="N704" s="95" t="n">
        <f aca="false">D704*K704</f>
        <v>1873954</v>
      </c>
      <c r="O704" s="95" t="n">
        <f aca="false">D704*L704</f>
        <v>2147196.168</v>
      </c>
      <c r="P704" s="34" t="str">
        <f aca="false">TRIM(IF(N(E704)&lt;=0,"택가보정 ","")&amp;IF(N(F704)&lt;=0,"원가보정 ","")&amp;IF(AND(B704&lt;&gt;"CN",N(H704)&lt;=0),"공급가보정 ","")&amp;IF(AND(B704="CN",N(I704)&lt;=0),"중국공급가=원가+마진 ",""))</f>
        <v/>
      </c>
    </row>
    <row r="705" customFormat="false" ht="15" hidden="false" customHeight="true" outlineLevel="0" collapsed="false">
      <c r="A705" s="94" t="s">
        <v>1687</v>
      </c>
      <c r="B705" s="34" t="str">
        <f aca="false">IF(A705="100","HK",IF(A705="200","CN",IF(A705="300","TW","홀세일")))</f>
        <v>홀세일</v>
      </c>
      <c r="C705" s="94" t="s">
        <v>927</v>
      </c>
      <c r="D705" s="95" t="n">
        <v>120</v>
      </c>
      <c r="E705" s="95" t="n">
        <v>49000</v>
      </c>
      <c r="F705" s="95" t="n">
        <v>9277</v>
      </c>
      <c r="G705" s="34" t="n">
        <v>4.26</v>
      </c>
      <c r="H705" s="34" t="n">
        <v>12.3</v>
      </c>
      <c r="I705" s="34" t="n">
        <v>7.8</v>
      </c>
      <c r="J705" s="95" t="n">
        <f aca="false">IF(N(E705)&gt;0,E705,IF(N(F705)&gt;0,F705*가정!$B$5,0))</f>
        <v>49000</v>
      </c>
      <c r="K705" s="95" t="n">
        <f aca="false">IF(N(F705)&gt;0,F705,IF(N(E705)&gt;0,E705/가정!$B$5,0))</f>
        <v>9277</v>
      </c>
      <c r="L705" s="95" t="n">
        <f aca="false">IF(B705="CN",IF(N(I705)&gt;0,I705*가정!$B$3,K705*(1+가정!$B$6)),IF(N(H705)&gt;0,H705*가정!$B$3,J705*가정!$B$4))</f>
        <v>16762.194</v>
      </c>
      <c r="M705" s="95" t="n">
        <f aca="false">D705*J705</f>
        <v>5880000</v>
      </c>
      <c r="N705" s="95" t="n">
        <f aca="false">D705*K705</f>
        <v>1113240</v>
      </c>
      <c r="O705" s="95" t="n">
        <f aca="false">D705*L705</f>
        <v>2011463.28</v>
      </c>
      <c r="P705" s="34" t="str">
        <f aca="false">TRIM(IF(N(E705)&lt;=0,"택가보정 ","")&amp;IF(N(F705)&lt;=0,"원가보정 ","")&amp;IF(AND(B705&lt;&gt;"CN",N(H705)&lt;=0),"공급가보정 ","")&amp;IF(AND(B705="CN",N(I705)&lt;=0),"중국공급가=원가+마진 ",""))</f>
        <v/>
      </c>
    </row>
    <row r="706" customFormat="false" ht="15" hidden="false" customHeight="true" outlineLevel="0" collapsed="false">
      <c r="A706" s="94" t="s">
        <v>1688</v>
      </c>
      <c r="B706" s="34" t="str">
        <f aca="false">IF(A706="100","HK",IF(A706="200","CN",IF(A706="300","TW","홀세일")))</f>
        <v>홀세일</v>
      </c>
      <c r="C706" s="94" t="s">
        <v>927</v>
      </c>
      <c r="D706" s="95" t="n">
        <v>65</v>
      </c>
      <c r="E706" s="95" t="n">
        <v>49000</v>
      </c>
      <c r="F706" s="95" t="n">
        <v>9277</v>
      </c>
      <c r="G706" s="34" t="n">
        <v>4.26</v>
      </c>
      <c r="H706" s="34" t="n">
        <v>12.3</v>
      </c>
      <c r="I706" s="34" t="n">
        <v>7.8</v>
      </c>
      <c r="J706" s="95" t="n">
        <f aca="false">IF(N(E706)&gt;0,E706,IF(N(F706)&gt;0,F706*가정!$B$5,0))</f>
        <v>49000</v>
      </c>
      <c r="K706" s="95" t="n">
        <f aca="false">IF(N(F706)&gt;0,F706,IF(N(E706)&gt;0,E706/가정!$B$5,0))</f>
        <v>9277</v>
      </c>
      <c r="L706" s="95" t="n">
        <f aca="false">IF(B706="CN",IF(N(I706)&gt;0,I706*가정!$B$3,K706*(1+가정!$B$6)),IF(N(H706)&gt;0,H706*가정!$B$3,J706*가정!$B$4))</f>
        <v>16762.194</v>
      </c>
      <c r="M706" s="95" t="n">
        <f aca="false">D706*J706</f>
        <v>3185000</v>
      </c>
      <c r="N706" s="95" t="n">
        <f aca="false">D706*K706</f>
        <v>603005</v>
      </c>
      <c r="O706" s="95" t="n">
        <f aca="false">D706*L706</f>
        <v>1089542.61</v>
      </c>
      <c r="P706" s="34" t="str">
        <f aca="false">TRIM(IF(N(E706)&lt;=0,"택가보정 ","")&amp;IF(N(F706)&lt;=0,"원가보정 ","")&amp;IF(AND(B706&lt;&gt;"CN",N(H706)&lt;=0),"공급가보정 ","")&amp;IF(AND(B706="CN",N(I706)&lt;=0),"중국공급가=원가+마진 ",""))</f>
        <v/>
      </c>
    </row>
    <row r="707" customFormat="false" ht="15" hidden="false" customHeight="true" outlineLevel="0" collapsed="false">
      <c r="A707" s="94" t="s">
        <v>1692</v>
      </c>
      <c r="B707" s="34" t="str">
        <f aca="false">IF(A707="100","HK",IF(A707="200","CN",IF(A707="300","TW","홀세일")))</f>
        <v>홀세일</v>
      </c>
      <c r="C707" s="94" t="s">
        <v>927</v>
      </c>
      <c r="D707" s="95" t="n">
        <v>213</v>
      </c>
      <c r="E707" s="95" t="n">
        <v>49000</v>
      </c>
      <c r="F707" s="95" t="n">
        <v>9277</v>
      </c>
      <c r="G707" s="34" t="n">
        <v>4.26</v>
      </c>
      <c r="H707" s="34" t="n">
        <v>12.3</v>
      </c>
      <c r="I707" s="34" t="n">
        <v>7.8</v>
      </c>
      <c r="J707" s="95" t="n">
        <f aca="false">IF(N(E707)&gt;0,E707,IF(N(F707)&gt;0,F707*가정!$B$5,0))</f>
        <v>49000</v>
      </c>
      <c r="K707" s="95" t="n">
        <f aca="false">IF(N(F707)&gt;0,F707,IF(N(E707)&gt;0,E707/가정!$B$5,0))</f>
        <v>9277</v>
      </c>
      <c r="L707" s="95" t="n">
        <f aca="false">IF(B707="CN",IF(N(I707)&gt;0,I707*가정!$B$3,K707*(1+가정!$B$6)),IF(N(H707)&gt;0,H707*가정!$B$3,J707*가정!$B$4))</f>
        <v>16762.194</v>
      </c>
      <c r="M707" s="95" t="n">
        <f aca="false">D707*J707</f>
        <v>10437000</v>
      </c>
      <c r="N707" s="95" t="n">
        <f aca="false">D707*K707</f>
        <v>1976001</v>
      </c>
      <c r="O707" s="95" t="n">
        <f aca="false">D707*L707</f>
        <v>3570347.322</v>
      </c>
      <c r="P707" s="34" t="str">
        <f aca="false">TRIM(IF(N(E707)&lt;=0,"택가보정 ","")&amp;IF(N(F707)&lt;=0,"원가보정 ","")&amp;IF(AND(B707&lt;&gt;"CN",N(H707)&lt;=0),"공급가보정 ","")&amp;IF(AND(B707="CN",N(I707)&lt;=0),"중국공급가=원가+마진 ",""))</f>
        <v/>
      </c>
    </row>
    <row r="708" customFormat="false" ht="15" hidden="false" customHeight="true" outlineLevel="0" collapsed="false">
      <c r="A708" s="94" t="s">
        <v>1690</v>
      </c>
      <c r="B708" s="34" t="str">
        <f aca="false">IF(A708="100","HK",IF(A708="200","CN",IF(A708="300","TW","홀세일")))</f>
        <v>홀세일</v>
      </c>
      <c r="C708" s="94" t="s">
        <v>927</v>
      </c>
      <c r="D708" s="95" t="n">
        <v>504</v>
      </c>
      <c r="E708" s="95" t="n">
        <v>49000</v>
      </c>
      <c r="F708" s="95" t="n">
        <v>9277</v>
      </c>
      <c r="G708" s="34" t="n">
        <v>4.26</v>
      </c>
      <c r="H708" s="34" t="n">
        <v>12.3</v>
      </c>
      <c r="I708" s="34" t="n">
        <v>7.8</v>
      </c>
      <c r="J708" s="95" t="n">
        <f aca="false">IF(N(E708)&gt;0,E708,IF(N(F708)&gt;0,F708*가정!$B$5,0))</f>
        <v>49000</v>
      </c>
      <c r="K708" s="95" t="n">
        <f aca="false">IF(N(F708)&gt;0,F708,IF(N(E708)&gt;0,E708/가정!$B$5,0))</f>
        <v>9277</v>
      </c>
      <c r="L708" s="95" t="n">
        <f aca="false">IF(B708="CN",IF(N(I708)&gt;0,I708*가정!$B$3,K708*(1+가정!$B$6)),IF(N(H708)&gt;0,H708*가정!$B$3,J708*가정!$B$4))</f>
        <v>16762.194</v>
      </c>
      <c r="M708" s="95" t="n">
        <f aca="false">D708*J708</f>
        <v>24696000</v>
      </c>
      <c r="N708" s="95" t="n">
        <f aca="false">D708*K708</f>
        <v>4675608</v>
      </c>
      <c r="O708" s="95" t="n">
        <f aca="false">D708*L708</f>
        <v>8448145.776</v>
      </c>
      <c r="P708" s="34" t="str">
        <f aca="false">TRIM(IF(N(E708)&lt;=0,"택가보정 ","")&amp;IF(N(F708)&lt;=0,"원가보정 ","")&amp;IF(AND(B708&lt;&gt;"CN",N(H708)&lt;=0),"공급가보정 ","")&amp;IF(AND(B708="CN",N(I708)&lt;=0),"중국공급가=원가+마진 ",""))</f>
        <v/>
      </c>
    </row>
    <row r="709" customFormat="false" ht="15" hidden="false" customHeight="true" outlineLevel="0" collapsed="false">
      <c r="A709" s="94" t="s">
        <v>1684</v>
      </c>
      <c r="B709" s="34" t="str">
        <f aca="false">IF(A709="100","HK",IF(A709="200","CN",IF(A709="300","TW","홀세일")))</f>
        <v>HK</v>
      </c>
      <c r="C709" s="94" t="s">
        <v>444</v>
      </c>
      <c r="D709" s="95" t="n">
        <v>510</v>
      </c>
      <c r="E709" s="95" t="n">
        <v>49000</v>
      </c>
      <c r="F709" s="95" t="n">
        <v>9800</v>
      </c>
      <c r="G709" s="34" t="n">
        <v>4.32</v>
      </c>
      <c r="H709" s="34" t="n">
        <v>12.3</v>
      </c>
      <c r="I709" s="34" t="n">
        <v>7.9</v>
      </c>
      <c r="J709" s="95" t="n">
        <f aca="false">IF(N(E709)&gt;0,E709,IF(N(F709)&gt;0,F709*가정!$B$5,0))</f>
        <v>49000</v>
      </c>
      <c r="K709" s="95" t="n">
        <f aca="false">IF(N(F709)&gt;0,F709,IF(N(E709)&gt;0,E709/가정!$B$5,0))</f>
        <v>9800</v>
      </c>
      <c r="L709" s="95" t="n">
        <f aca="false">IF(B709="CN",IF(N(I709)&gt;0,I709*가정!$B$3,K709*(1+가정!$B$6)),IF(N(H709)&gt;0,H709*가정!$B$3,J709*가정!$B$4))</f>
        <v>16762.194</v>
      </c>
      <c r="M709" s="95" t="n">
        <f aca="false">D709*J709</f>
        <v>24990000</v>
      </c>
      <c r="N709" s="95" t="n">
        <f aca="false">D709*K709</f>
        <v>4998000</v>
      </c>
      <c r="O709" s="95" t="n">
        <f aca="false">D709*L709</f>
        <v>8548718.94</v>
      </c>
      <c r="P709" s="34" t="str">
        <f aca="false">TRIM(IF(N(E709)&lt;=0,"택가보정 ","")&amp;IF(N(F709)&lt;=0,"원가보정 ","")&amp;IF(AND(B709&lt;&gt;"CN",N(H709)&lt;=0),"공급가보정 ","")&amp;IF(AND(B709="CN",N(I709)&lt;=0),"중국공급가=원가+마진 ",""))</f>
        <v/>
      </c>
    </row>
    <row r="710" customFormat="false" ht="15" hidden="false" customHeight="true" outlineLevel="0" collapsed="false">
      <c r="A710" s="94" t="s">
        <v>1685</v>
      </c>
      <c r="B710" s="34" t="str">
        <f aca="false">IF(A710="100","HK",IF(A710="200","CN",IF(A710="300","TW","홀세일")))</f>
        <v>CN</v>
      </c>
      <c r="C710" s="94" t="s">
        <v>444</v>
      </c>
      <c r="D710" s="95" t="n">
        <v>535</v>
      </c>
      <c r="E710" s="95" t="n">
        <v>49000</v>
      </c>
      <c r="F710" s="95" t="n">
        <v>9800</v>
      </c>
      <c r="G710" s="34" t="n">
        <v>4.32</v>
      </c>
      <c r="H710" s="34" t="n">
        <v>12.3</v>
      </c>
      <c r="I710" s="34" t="n">
        <v>7.9</v>
      </c>
      <c r="J710" s="95" t="n">
        <f aca="false">IF(N(E710)&gt;0,E710,IF(N(F710)&gt;0,F710*가정!$B$5,0))</f>
        <v>49000</v>
      </c>
      <c r="K710" s="95" t="n">
        <f aca="false">IF(N(F710)&gt;0,F710,IF(N(E710)&gt;0,E710/가정!$B$5,0))</f>
        <v>9800</v>
      </c>
      <c r="L710" s="95" t="n">
        <f aca="false">IF(B710="CN",IF(N(I710)&gt;0,I710*가정!$B$3,K710*(1+가정!$B$6)),IF(N(H710)&gt;0,H710*가정!$B$3,J710*가정!$B$4))</f>
        <v>10765.962</v>
      </c>
      <c r="M710" s="95" t="n">
        <f aca="false">D710*J710</f>
        <v>26215000</v>
      </c>
      <c r="N710" s="95" t="n">
        <f aca="false">D710*K710</f>
        <v>5243000</v>
      </c>
      <c r="O710" s="95" t="n">
        <f aca="false">D710*L710</f>
        <v>5759789.67</v>
      </c>
      <c r="P710" s="34" t="str">
        <f aca="false">TRIM(IF(N(E710)&lt;=0,"택가보정 ","")&amp;IF(N(F710)&lt;=0,"원가보정 ","")&amp;IF(AND(B710&lt;&gt;"CN",N(H710)&lt;=0),"공급가보정 ","")&amp;IF(AND(B710="CN",N(I710)&lt;=0),"중국공급가=원가+마진 ",""))</f>
        <v/>
      </c>
    </row>
    <row r="711" customFormat="false" ht="15" hidden="false" customHeight="true" outlineLevel="0" collapsed="false">
      <c r="A711" s="94" t="s">
        <v>1686</v>
      </c>
      <c r="B711" s="34" t="str">
        <f aca="false">IF(A711="100","HK",IF(A711="200","CN",IF(A711="300","TW","홀세일")))</f>
        <v>TW</v>
      </c>
      <c r="C711" s="94" t="s">
        <v>444</v>
      </c>
      <c r="D711" s="95" t="n">
        <v>300</v>
      </c>
      <c r="E711" s="95" t="n">
        <v>49000</v>
      </c>
      <c r="F711" s="95" t="n">
        <v>9800</v>
      </c>
      <c r="G711" s="34" t="n">
        <v>4.32</v>
      </c>
      <c r="H711" s="34" t="n">
        <v>12.3</v>
      </c>
      <c r="I711" s="34" t="n">
        <v>7.9</v>
      </c>
      <c r="J711" s="95" t="n">
        <f aca="false">IF(N(E711)&gt;0,E711,IF(N(F711)&gt;0,F711*가정!$B$5,0))</f>
        <v>49000</v>
      </c>
      <c r="K711" s="95" t="n">
        <f aca="false">IF(N(F711)&gt;0,F711,IF(N(E711)&gt;0,E711/가정!$B$5,0))</f>
        <v>9800</v>
      </c>
      <c r="L711" s="95" t="n">
        <f aca="false">IF(B711="CN",IF(N(I711)&gt;0,I711*가정!$B$3,K711*(1+가정!$B$6)),IF(N(H711)&gt;0,H711*가정!$B$3,J711*가정!$B$4))</f>
        <v>16762.194</v>
      </c>
      <c r="M711" s="95" t="n">
        <f aca="false">D711*J711</f>
        <v>14700000</v>
      </c>
      <c r="N711" s="95" t="n">
        <f aca="false">D711*K711</f>
        <v>2940000</v>
      </c>
      <c r="O711" s="95" t="n">
        <f aca="false">D711*L711</f>
        <v>5028658.2</v>
      </c>
      <c r="P711" s="34" t="str">
        <f aca="false">TRIM(IF(N(E711)&lt;=0,"택가보정 ","")&amp;IF(N(F711)&lt;=0,"원가보정 ","")&amp;IF(AND(B711&lt;&gt;"CN",N(H711)&lt;=0),"공급가보정 ","")&amp;IF(AND(B711="CN",N(I711)&lt;=0),"중국공급가=원가+마진 ",""))</f>
        <v/>
      </c>
    </row>
    <row r="712" customFormat="false" ht="15" hidden="false" customHeight="true" outlineLevel="0" collapsed="false">
      <c r="A712" s="94" t="s">
        <v>1687</v>
      </c>
      <c r="B712" s="34" t="str">
        <f aca="false">IF(A712="100","HK",IF(A712="200","CN",IF(A712="300","TW","홀세일")))</f>
        <v>홀세일</v>
      </c>
      <c r="C712" s="94" t="s">
        <v>444</v>
      </c>
      <c r="D712" s="95" t="n">
        <v>40</v>
      </c>
      <c r="E712" s="95" t="n">
        <v>49000</v>
      </c>
      <c r="F712" s="95" t="n">
        <v>9800</v>
      </c>
      <c r="G712" s="34" t="n">
        <v>4.32</v>
      </c>
      <c r="H712" s="34" t="n">
        <v>12.3</v>
      </c>
      <c r="I712" s="34" t="n">
        <v>7.9</v>
      </c>
      <c r="J712" s="95" t="n">
        <f aca="false">IF(N(E712)&gt;0,E712,IF(N(F712)&gt;0,F712*가정!$B$5,0))</f>
        <v>49000</v>
      </c>
      <c r="K712" s="95" t="n">
        <f aca="false">IF(N(F712)&gt;0,F712,IF(N(E712)&gt;0,E712/가정!$B$5,0))</f>
        <v>9800</v>
      </c>
      <c r="L712" s="95" t="n">
        <f aca="false">IF(B712="CN",IF(N(I712)&gt;0,I712*가정!$B$3,K712*(1+가정!$B$6)),IF(N(H712)&gt;0,H712*가정!$B$3,J712*가정!$B$4))</f>
        <v>16762.194</v>
      </c>
      <c r="M712" s="95" t="n">
        <f aca="false">D712*J712</f>
        <v>1960000</v>
      </c>
      <c r="N712" s="95" t="n">
        <f aca="false">D712*K712</f>
        <v>392000</v>
      </c>
      <c r="O712" s="95" t="n">
        <f aca="false">D712*L712</f>
        <v>670487.76</v>
      </c>
      <c r="P712" s="34" t="str">
        <f aca="false">TRIM(IF(N(E712)&lt;=0,"택가보정 ","")&amp;IF(N(F712)&lt;=0,"원가보정 ","")&amp;IF(AND(B712&lt;&gt;"CN",N(H712)&lt;=0),"공급가보정 ","")&amp;IF(AND(B712="CN",N(I712)&lt;=0),"중국공급가=원가+마진 ",""))</f>
        <v/>
      </c>
    </row>
    <row r="713" customFormat="false" ht="15" hidden="false" customHeight="true" outlineLevel="0" collapsed="false">
      <c r="A713" s="94" t="s">
        <v>1688</v>
      </c>
      <c r="B713" s="34" t="str">
        <f aca="false">IF(A713="100","HK",IF(A713="200","CN",IF(A713="300","TW","홀세일")))</f>
        <v>홀세일</v>
      </c>
      <c r="C713" s="94" t="s">
        <v>444</v>
      </c>
      <c r="D713" s="95" t="n">
        <v>65</v>
      </c>
      <c r="E713" s="95" t="n">
        <v>49000</v>
      </c>
      <c r="F713" s="95" t="n">
        <v>9800</v>
      </c>
      <c r="G713" s="34" t="n">
        <v>4.32</v>
      </c>
      <c r="H713" s="34" t="n">
        <v>12.3</v>
      </c>
      <c r="I713" s="34" t="n">
        <v>7.9</v>
      </c>
      <c r="J713" s="95" t="n">
        <f aca="false">IF(N(E713)&gt;0,E713,IF(N(F713)&gt;0,F713*가정!$B$5,0))</f>
        <v>49000</v>
      </c>
      <c r="K713" s="95" t="n">
        <f aca="false">IF(N(F713)&gt;0,F713,IF(N(E713)&gt;0,E713/가정!$B$5,0))</f>
        <v>9800</v>
      </c>
      <c r="L713" s="95" t="n">
        <f aca="false">IF(B713="CN",IF(N(I713)&gt;0,I713*가정!$B$3,K713*(1+가정!$B$6)),IF(N(H713)&gt;0,H713*가정!$B$3,J713*가정!$B$4))</f>
        <v>16762.194</v>
      </c>
      <c r="M713" s="95" t="n">
        <f aca="false">D713*J713</f>
        <v>3185000</v>
      </c>
      <c r="N713" s="95" t="n">
        <f aca="false">D713*K713</f>
        <v>637000</v>
      </c>
      <c r="O713" s="95" t="n">
        <f aca="false">D713*L713</f>
        <v>1089542.61</v>
      </c>
      <c r="P713" s="34" t="str">
        <f aca="false">TRIM(IF(N(E713)&lt;=0,"택가보정 ","")&amp;IF(N(F713)&lt;=0,"원가보정 ","")&amp;IF(AND(B713&lt;&gt;"CN",N(H713)&lt;=0),"공급가보정 ","")&amp;IF(AND(B713="CN",N(I713)&lt;=0),"중국공급가=원가+마진 ",""))</f>
        <v/>
      </c>
    </row>
    <row r="714" customFormat="false" ht="15" hidden="false" customHeight="true" outlineLevel="0" collapsed="false">
      <c r="A714" s="94" t="s">
        <v>1692</v>
      </c>
      <c r="B714" s="34" t="str">
        <f aca="false">IF(A714="100","HK",IF(A714="200","CN",IF(A714="300","TW","홀세일")))</f>
        <v>홀세일</v>
      </c>
      <c r="C714" s="94" t="s">
        <v>444</v>
      </c>
      <c r="D714" s="95" t="n">
        <v>93</v>
      </c>
      <c r="E714" s="95" t="n">
        <v>49000</v>
      </c>
      <c r="F714" s="95" t="n">
        <v>9800</v>
      </c>
      <c r="G714" s="34" t="n">
        <v>4.32</v>
      </c>
      <c r="H714" s="34" t="n">
        <v>12.3</v>
      </c>
      <c r="I714" s="34" t="n">
        <v>7.9</v>
      </c>
      <c r="J714" s="95" t="n">
        <f aca="false">IF(N(E714)&gt;0,E714,IF(N(F714)&gt;0,F714*가정!$B$5,0))</f>
        <v>49000</v>
      </c>
      <c r="K714" s="95" t="n">
        <f aca="false">IF(N(F714)&gt;0,F714,IF(N(E714)&gt;0,E714/가정!$B$5,0))</f>
        <v>9800</v>
      </c>
      <c r="L714" s="95" t="n">
        <f aca="false">IF(B714="CN",IF(N(I714)&gt;0,I714*가정!$B$3,K714*(1+가정!$B$6)),IF(N(H714)&gt;0,H714*가정!$B$3,J714*가정!$B$4))</f>
        <v>16762.194</v>
      </c>
      <c r="M714" s="95" t="n">
        <f aca="false">D714*J714</f>
        <v>4557000</v>
      </c>
      <c r="N714" s="95" t="n">
        <f aca="false">D714*K714</f>
        <v>911400</v>
      </c>
      <c r="O714" s="95" t="n">
        <f aca="false">D714*L714</f>
        <v>1558884.042</v>
      </c>
      <c r="P714" s="34" t="str">
        <f aca="false">TRIM(IF(N(E714)&lt;=0,"택가보정 ","")&amp;IF(N(F714)&lt;=0,"원가보정 ","")&amp;IF(AND(B714&lt;&gt;"CN",N(H714)&lt;=0),"공급가보정 ","")&amp;IF(AND(B714="CN",N(I714)&lt;=0),"중국공급가=원가+마진 ",""))</f>
        <v/>
      </c>
    </row>
    <row r="715" customFormat="false" ht="15" hidden="false" customHeight="true" outlineLevel="0" collapsed="false">
      <c r="A715" s="94" t="s">
        <v>1684</v>
      </c>
      <c r="B715" s="34" t="str">
        <f aca="false">IF(A715="100","HK",IF(A715="200","CN",IF(A715="300","TW","홀세일")))</f>
        <v>HK</v>
      </c>
      <c r="C715" s="94" t="s">
        <v>929</v>
      </c>
      <c r="D715" s="95" t="n">
        <v>280</v>
      </c>
      <c r="E715" s="95" t="n">
        <v>59000</v>
      </c>
      <c r="F715" s="95" t="n">
        <v>14250</v>
      </c>
      <c r="G715" s="34" t="n">
        <v>2.95</v>
      </c>
      <c r="H715" s="34" t="n">
        <v>14.8</v>
      </c>
      <c r="I715" s="34" t="n">
        <v>0</v>
      </c>
      <c r="J715" s="95" t="n">
        <f aca="false">IF(N(E715)&gt;0,E715,IF(N(F715)&gt;0,F715*가정!$B$5,0))</f>
        <v>59000</v>
      </c>
      <c r="K715" s="95" t="n">
        <f aca="false">IF(N(F715)&gt;0,F715,IF(N(E715)&gt;0,E715/가정!$B$5,0))</f>
        <v>14250</v>
      </c>
      <c r="L715" s="95" t="n">
        <f aca="false">IF(B715="CN",IF(N(I715)&gt;0,I715*가정!$B$3,K715*(1+가정!$B$6)),IF(N(H715)&gt;0,H715*가정!$B$3,J715*가정!$B$4))</f>
        <v>20169.144</v>
      </c>
      <c r="M715" s="95" t="n">
        <f aca="false">D715*J715</f>
        <v>16520000</v>
      </c>
      <c r="N715" s="95" t="n">
        <f aca="false">D715*K715</f>
        <v>3990000</v>
      </c>
      <c r="O715" s="95" t="n">
        <f aca="false">D715*L715</f>
        <v>5647360.32</v>
      </c>
      <c r="P715" s="34" t="str">
        <f aca="false">TRIM(IF(N(E715)&lt;=0,"택가보정 ","")&amp;IF(N(F715)&lt;=0,"원가보정 ","")&amp;IF(AND(B715&lt;&gt;"CN",N(H715)&lt;=0),"공급가보정 ","")&amp;IF(AND(B715="CN",N(I715)&lt;=0),"중국공급가=원가+마진 ",""))</f>
        <v/>
      </c>
    </row>
    <row r="716" customFormat="false" ht="15" hidden="false" customHeight="true" outlineLevel="0" collapsed="false">
      <c r="A716" s="94" t="s">
        <v>1692</v>
      </c>
      <c r="B716" s="34" t="str">
        <f aca="false">IF(A716="100","HK",IF(A716="200","CN",IF(A716="300","TW","홀세일")))</f>
        <v>홀세일</v>
      </c>
      <c r="C716" s="94" t="s">
        <v>929</v>
      </c>
      <c r="D716" s="95" t="n">
        <v>42</v>
      </c>
      <c r="E716" s="95" t="n">
        <v>59000</v>
      </c>
      <c r="F716" s="95" t="n">
        <v>14250</v>
      </c>
      <c r="G716" s="34" t="n">
        <v>2.95</v>
      </c>
      <c r="H716" s="34" t="n">
        <v>14.8</v>
      </c>
      <c r="I716" s="34" t="n">
        <v>0</v>
      </c>
      <c r="J716" s="95" t="n">
        <f aca="false">IF(N(E716)&gt;0,E716,IF(N(F716)&gt;0,F716*가정!$B$5,0))</f>
        <v>59000</v>
      </c>
      <c r="K716" s="95" t="n">
        <f aca="false">IF(N(F716)&gt;0,F716,IF(N(E716)&gt;0,E716/가정!$B$5,0))</f>
        <v>14250</v>
      </c>
      <c r="L716" s="95" t="n">
        <f aca="false">IF(B716="CN",IF(N(I716)&gt;0,I716*가정!$B$3,K716*(1+가정!$B$6)),IF(N(H716)&gt;0,H716*가정!$B$3,J716*가정!$B$4))</f>
        <v>20169.144</v>
      </c>
      <c r="M716" s="95" t="n">
        <f aca="false">D716*J716</f>
        <v>2478000</v>
      </c>
      <c r="N716" s="95" t="n">
        <f aca="false">D716*K716</f>
        <v>598500</v>
      </c>
      <c r="O716" s="95" t="n">
        <f aca="false">D716*L716</f>
        <v>847104.048</v>
      </c>
      <c r="P716" s="34" t="str">
        <f aca="false">TRIM(IF(N(E716)&lt;=0,"택가보정 ","")&amp;IF(N(F716)&lt;=0,"원가보정 ","")&amp;IF(AND(B716&lt;&gt;"CN",N(H716)&lt;=0),"공급가보정 ","")&amp;IF(AND(B716="CN",N(I716)&lt;=0),"중국공급가=원가+마진 ",""))</f>
        <v/>
      </c>
    </row>
    <row r="717" customFormat="false" ht="15" hidden="false" customHeight="true" outlineLevel="0" collapsed="false">
      <c r="A717" s="94" t="s">
        <v>1689</v>
      </c>
      <c r="B717" s="34" t="str">
        <f aca="false">IF(A717="100","HK",IF(A717="200","CN",IF(A717="300","TW","홀세일")))</f>
        <v>홀세일</v>
      </c>
      <c r="C717" s="94" t="s">
        <v>929</v>
      </c>
      <c r="D717" s="95" t="n">
        <v>20</v>
      </c>
      <c r="E717" s="95" t="n">
        <v>59000</v>
      </c>
      <c r="F717" s="95" t="n">
        <v>14250</v>
      </c>
      <c r="G717" s="34" t="n">
        <v>2.95</v>
      </c>
      <c r="H717" s="34" t="n">
        <v>14.8</v>
      </c>
      <c r="I717" s="34" t="n">
        <v>0</v>
      </c>
      <c r="J717" s="95" t="n">
        <f aca="false">IF(N(E717)&gt;0,E717,IF(N(F717)&gt;0,F717*가정!$B$5,0))</f>
        <v>59000</v>
      </c>
      <c r="K717" s="95" t="n">
        <f aca="false">IF(N(F717)&gt;0,F717,IF(N(E717)&gt;0,E717/가정!$B$5,0))</f>
        <v>14250</v>
      </c>
      <c r="L717" s="95" t="n">
        <f aca="false">IF(B717="CN",IF(N(I717)&gt;0,I717*가정!$B$3,K717*(1+가정!$B$6)),IF(N(H717)&gt;0,H717*가정!$B$3,J717*가정!$B$4))</f>
        <v>20169.144</v>
      </c>
      <c r="M717" s="95" t="n">
        <f aca="false">D717*J717</f>
        <v>1180000</v>
      </c>
      <c r="N717" s="95" t="n">
        <f aca="false">D717*K717</f>
        <v>285000</v>
      </c>
      <c r="O717" s="95" t="n">
        <f aca="false">D717*L717</f>
        <v>403382.88</v>
      </c>
      <c r="P717" s="34" t="str">
        <f aca="false">TRIM(IF(N(E717)&lt;=0,"택가보정 ","")&amp;IF(N(F717)&lt;=0,"원가보정 ","")&amp;IF(AND(B717&lt;&gt;"CN",N(H717)&lt;=0),"공급가보정 ","")&amp;IF(AND(B717="CN",N(I717)&lt;=0),"중국공급가=원가+마진 ",""))</f>
        <v/>
      </c>
    </row>
    <row r="718" customFormat="false" ht="15" hidden="false" customHeight="true" outlineLevel="0" collapsed="false">
      <c r="A718" s="94" t="s">
        <v>1684</v>
      </c>
      <c r="B718" s="34" t="str">
        <f aca="false">IF(A718="100","HK",IF(A718="200","CN",IF(A718="300","TW","홀세일")))</f>
        <v>HK</v>
      </c>
      <c r="C718" s="94" t="s">
        <v>446</v>
      </c>
      <c r="D718" s="95" t="n">
        <v>200</v>
      </c>
      <c r="E718" s="95" t="n">
        <v>59000</v>
      </c>
      <c r="F718" s="95" t="n">
        <v>13796</v>
      </c>
      <c r="G718" s="34" t="n">
        <v>3.58</v>
      </c>
      <c r="H718" s="34" t="n">
        <v>14.8</v>
      </c>
      <c r="I718" s="34" t="n">
        <v>0</v>
      </c>
      <c r="J718" s="95" t="n">
        <f aca="false">IF(N(E718)&gt;0,E718,IF(N(F718)&gt;0,F718*가정!$B$5,0))</f>
        <v>59000</v>
      </c>
      <c r="K718" s="95" t="n">
        <f aca="false">IF(N(F718)&gt;0,F718,IF(N(E718)&gt;0,E718/가정!$B$5,0))</f>
        <v>13796</v>
      </c>
      <c r="L718" s="95" t="n">
        <f aca="false">IF(B718="CN",IF(N(I718)&gt;0,I718*가정!$B$3,K718*(1+가정!$B$6)),IF(N(H718)&gt;0,H718*가정!$B$3,J718*가정!$B$4))</f>
        <v>20169.144</v>
      </c>
      <c r="M718" s="95" t="n">
        <f aca="false">D718*J718</f>
        <v>11800000</v>
      </c>
      <c r="N718" s="95" t="n">
        <f aca="false">D718*K718</f>
        <v>2759200</v>
      </c>
      <c r="O718" s="95" t="n">
        <f aca="false">D718*L718</f>
        <v>4033828.8</v>
      </c>
      <c r="P718" s="34" t="str">
        <f aca="false">TRIM(IF(N(E718)&lt;=0,"택가보정 ","")&amp;IF(N(F718)&lt;=0,"원가보정 ","")&amp;IF(AND(B718&lt;&gt;"CN",N(H718)&lt;=0),"공급가보정 ","")&amp;IF(AND(B718="CN",N(I718)&lt;=0),"중국공급가=원가+마진 ",""))</f>
        <v/>
      </c>
    </row>
    <row r="719" customFormat="false" ht="15" hidden="false" customHeight="true" outlineLevel="0" collapsed="false">
      <c r="A719" s="94" t="s">
        <v>1686</v>
      </c>
      <c r="B719" s="34" t="str">
        <f aca="false">IF(A719="100","HK",IF(A719="200","CN",IF(A719="300","TW","홀세일")))</f>
        <v>TW</v>
      </c>
      <c r="C719" s="94" t="s">
        <v>446</v>
      </c>
      <c r="D719" s="95" t="n">
        <v>330</v>
      </c>
      <c r="E719" s="95" t="n">
        <v>59000</v>
      </c>
      <c r="F719" s="95" t="n">
        <v>13796</v>
      </c>
      <c r="G719" s="34" t="n">
        <v>3.58</v>
      </c>
      <c r="H719" s="34" t="n">
        <v>14.8</v>
      </c>
      <c r="I719" s="34" t="n">
        <v>0</v>
      </c>
      <c r="J719" s="95" t="n">
        <f aca="false">IF(N(E719)&gt;0,E719,IF(N(F719)&gt;0,F719*가정!$B$5,0))</f>
        <v>59000</v>
      </c>
      <c r="K719" s="95" t="n">
        <f aca="false">IF(N(F719)&gt;0,F719,IF(N(E719)&gt;0,E719/가정!$B$5,0))</f>
        <v>13796</v>
      </c>
      <c r="L719" s="95" t="n">
        <f aca="false">IF(B719="CN",IF(N(I719)&gt;0,I719*가정!$B$3,K719*(1+가정!$B$6)),IF(N(H719)&gt;0,H719*가정!$B$3,J719*가정!$B$4))</f>
        <v>20169.144</v>
      </c>
      <c r="M719" s="95" t="n">
        <f aca="false">D719*J719</f>
        <v>19470000</v>
      </c>
      <c r="N719" s="95" t="n">
        <f aca="false">D719*K719</f>
        <v>4552680</v>
      </c>
      <c r="O719" s="95" t="n">
        <f aca="false">D719*L719</f>
        <v>6655817.52</v>
      </c>
      <c r="P719" s="34" t="str">
        <f aca="false">TRIM(IF(N(E719)&lt;=0,"택가보정 ","")&amp;IF(N(F719)&lt;=0,"원가보정 ","")&amp;IF(AND(B719&lt;&gt;"CN",N(H719)&lt;=0),"공급가보정 ","")&amp;IF(AND(B719="CN",N(I719)&lt;=0),"중국공급가=원가+마진 ",""))</f>
        <v/>
      </c>
    </row>
    <row r="720" customFormat="false" ht="15" hidden="false" customHeight="true" outlineLevel="0" collapsed="false">
      <c r="A720" s="94" t="s">
        <v>1684</v>
      </c>
      <c r="B720" s="34" t="str">
        <f aca="false">IF(A720="100","HK",IF(A720="200","CN",IF(A720="300","TW","홀세일")))</f>
        <v>HK</v>
      </c>
      <c r="C720" s="94" t="s">
        <v>448</v>
      </c>
      <c r="D720" s="95" t="n">
        <v>350</v>
      </c>
      <c r="E720" s="95" t="n">
        <v>49000</v>
      </c>
      <c r="F720" s="95" t="n">
        <v>12416</v>
      </c>
      <c r="G720" s="34" t="n">
        <v>3.47</v>
      </c>
      <c r="H720" s="34" t="n">
        <v>12.3</v>
      </c>
      <c r="I720" s="34" t="n">
        <v>0</v>
      </c>
      <c r="J720" s="95" t="n">
        <f aca="false">IF(N(E720)&gt;0,E720,IF(N(F720)&gt;0,F720*가정!$B$5,0))</f>
        <v>49000</v>
      </c>
      <c r="K720" s="95" t="n">
        <f aca="false">IF(N(F720)&gt;0,F720,IF(N(E720)&gt;0,E720/가정!$B$5,0))</f>
        <v>12416</v>
      </c>
      <c r="L720" s="95" t="n">
        <f aca="false">IF(B720="CN",IF(N(I720)&gt;0,I720*가정!$B$3,K720*(1+가정!$B$6)),IF(N(H720)&gt;0,H720*가정!$B$3,J720*가정!$B$4))</f>
        <v>16762.194</v>
      </c>
      <c r="M720" s="95" t="n">
        <f aca="false">D720*J720</f>
        <v>17150000</v>
      </c>
      <c r="N720" s="95" t="n">
        <f aca="false">D720*K720</f>
        <v>4345600</v>
      </c>
      <c r="O720" s="95" t="n">
        <f aca="false">D720*L720</f>
        <v>5866767.9</v>
      </c>
      <c r="P720" s="34" t="str">
        <f aca="false">TRIM(IF(N(E720)&lt;=0,"택가보정 ","")&amp;IF(N(F720)&lt;=0,"원가보정 ","")&amp;IF(AND(B720&lt;&gt;"CN",N(H720)&lt;=0),"공급가보정 ","")&amp;IF(AND(B720="CN",N(I720)&lt;=0),"중국공급가=원가+마진 ",""))</f>
        <v/>
      </c>
    </row>
    <row r="721" customFormat="false" ht="15" hidden="false" customHeight="true" outlineLevel="0" collapsed="false">
      <c r="A721" s="94" t="s">
        <v>1686</v>
      </c>
      <c r="B721" s="34" t="str">
        <f aca="false">IF(A721="100","HK",IF(A721="200","CN",IF(A721="300","TW","홀세일")))</f>
        <v>TW</v>
      </c>
      <c r="C721" s="94" t="s">
        <v>448</v>
      </c>
      <c r="D721" s="95" t="n">
        <v>270</v>
      </c>
      <c r="E721" s="95" t="n">
        <v>49000</v>
      </c>
      <c r="F721" s="95" t="n">
        <v>12416</v>
      </c>
      <c r="G721" s="34" t="n">
        <v>3.47</v>
      </c>
      <c r="H721" s="34" t="n">
        <v>12.3</v>
      </c>
      <c r="I721" s="34" t="n">
        <v>0</v>
      </c>
      <c r="J721" s="95" t="n">
        <f aca="false">IF(N(E721)&gt;0,E721,IF(N(F721)&gt;0,F721*가정!$B$5,0))</f>
        <v>49000</v>
      </c>
      <c r="K721" s="95" t="n">
        <f aca="false">IF(N(F721)&gt;0,F721,IF(N(E721)&gt;0,E721/가정!$B$5,0))</f>
        <v>12416</v>
      </c>
      <c r="L721" s="95" t="n">
        <f aca="false">IF(B721="CN",IF(N(I721)&gt;0,I721*가정!$B$3,K721*(1+가정!$B$6)),IF(N(H721)&gt;0,H721*가정!$B$3,J721*가정!$B$4))</f>
        <v>16762.194</v>
      </c>
      <c r="M721" s="95" t="n">
        <f aca="false">D721*J721</f>
        <v>13230000</v>
      </c>
      <c r="N721" s="95" t="n">
        <f aca="false">D721*K721</f>
        <v>3352320</v>
      </c>
      <c r="O721" s="95" t="n">
        <f aca="false">D721*L721</f>
        <v>4525792.38</v>
      </c>
      <c r="P721" s="34" t="str">
        <f aca="false">TRIM(IF(N(E721)&lt;=0,"택가보정 ","")&amp;IF(N(F721)&lt;=0,"원가보정 ","")&amp;IF(AND(B721&lt;&gt;"CN",N(H721)&lt;=0),"공급가보정 ","")&amp;IF(AND(B721="CN",N(I721)&lt;=0),"중국공급가=원가+마진 ",""))</f>
        <v/>
      </c>
    </row>
    <row r="722" customFormat="false" ht="15" hidden="false" customHeight="true" outlineLevel="0" collapsed="false">
      <c r="A722" s="94" t="s">
        <v>1688</v>
      </c>
      <c r="B722" s="34" t="str">
        <f aca="false">IF(A722="100","HK",IF(A722="200","CN",IF(A722="300","TW","홀세일")))</f>
        <v>홀세일</v>
      </c>
      <c r="C722" s="94" t="s">
        <v>448</v>
      </c>
      <c r="D722" s="95" t="n">
        <v>15</v>
      </c>
      <c r="E722" s="95" t="n">
        <v>49000</v>
      </c>
      <c r="F722" s="95" t="n">
        <v>12416</v>
      </c>
      <c r="G722" s="34" t="n">
        <v>3.47</v>
      </c>
      <c r="H722" s="34" t="n">
        <v>12.3</v>
      </c>
      <c r="I722" s="34" t="n">
        <v>0</v>
      </c>
      <c r="J722" s="95" t="n">
        <f aca="false">IF(N(E722)&gt;0,E722,IF(N(F722)&gt;0,F722*가정!$B$5,0))</f>
        <v>49000</v>
      </c>
      <c r="K722" s="95" t="n">
        <f aca="false">IF(N(F722)&gt;0,F722,IF(N(E722)&gt;0,E722/가정!$B$5,0))</f>
        <v>12416</v>
      </c>
      <c r="L722" s="95" t="n">
        <f aca="false">IF(B722="CN",IF(N(I722)&gt;0,I722*가정!$B$3,K722*(1+가정!$B$6)),IF(N(H722)&gt;0,H722*가정!$B$3,J722*가정!$B$4))</f>
        <v>16762.194</v>
      </c>
      <c r="M722" s="95" t="n">
        <f aca="false">D722*J722</f>
        <v>735000</v>
      </c>
      <c r="N722" s="95" t="n">
        <f aca="false">D722*K722</f>
        <v>186240</v>
      </c>
      <c r="O722" s="95" t="n">
        <f aca="false">D722*L722</f>
        <v>251432.91</v>
      </c>
      <c r="P722" s="34" t="str">
        <f aca="false">TRIM(IF(N(E722)&lt;=0,"택가보정 ","")&amp;IF(N(F722)&lt;=0,"원가보정 ","")&amp;IF(AND(B722&lt;&gt;"CN",N(H722)&lt;=0),"공급가보정 ","")&amp;IF(AND(B722="CN",N(I722)&lt;=0),"중국공급가=원가+마진 ",""))</f>
        <v/>
      </c>
    </row>
    <row r="723" customFormat="false" ht="15" hidden="false" customHeight="true" outlineLevel="0" collapsed="false">
      <c r="A723" s="94" t="s">
        <v>1684</v>
      </c>
      <c r="B723" s="34" t="str">
        <f aca="false">IF(A723="100","HK",IF(A723="200","CN",IF(A723="300","TW","홀세일")))</f>
        <v>HK</v>
      </c>
      <c r="C723" s="94" t="s">
        <v>450</v>
      </c>
      <c r="D723" s="95" t="n">
        <v>350</v>
      </c>
      <c r="E723" s="95" t="n">
        <v>49000</v>
      </c>
      <c r="F723" s="95" t="n">
        <v>10229</v>
      </c>
      <c r="G723" s="34" t="n">
        <v>4.16</v>
      </c>
      <c r="H723" s="34" t="n">
        <v>12.3</v>
      </c>
      <c r="I723" s="34" t="n">
        <v>0</v>
      </c>
      <c r="J723" s="95" t="n">
        <f aca="false">IF(N(E723)&gt;0,E723,IF(N(F723)&gt;0,F723*가정!$B$5,0))</f>
        <v>49000</v>
      </c>
      <c r="K723" s="95" t="n">
        <f aca="false">IF(N(F723)&gt;0,F723,IF(N(E723)&gt;0,E723/가정!$B$5,0))</f>
        <v>10229</v>
      </c>
      <c r="L723" s="95" t="n">
        <f aca="false">IF(B723="CN",IF(N(I723)&gt;0,I723*가정!$B$3,K723*(1+가정!$B$6)),IF(N(H723)&gt;0,H723*가정!$B$3,J723*가정!$B$4))</f>
        <v>16762.194</v>
      </c>
      <c r="M723" s="95" t="n">
        <f aca="false">D723*J723</f>
        <v>17150000</v>
      </c>
      <c r="N723" s="95" t="n">
        <f aca="false">D723*K723</f>
        <v>3580150</v>
      </c>
      <c r="O723" s="95" t="n">
        <f aca="false">D723*L723</f>
        <v>5866767.9</v>
      </c>
      <c r="P723" s="34" t="str">
        <f aca="false">TRIM(IF(N(E723)&lt;=0,"택가보정 ","")&amp;IF(N(F723)&lt;=0,"원가보정 ","")&amp;IF(AND(B723&lt;&gt;"CN",N(H723)&lt;=0),"공급가보정 ","")&amp;IF(AND(B723="CN",N(I723)&lt;=0),"중국공급가=원가+마진 ",""))</f>
        <v/>
      </c>
    </row>
    <row r="724" customFormat="false" ht="15" hidden="false" customHeight="true" outlineLevel="0" collapsed="false">
      <c r="A724" s="94" t="s">
        <v>1686</v>
      </c>
      <c r="B724" s="34" t="str">
        <f aca="false">IF(A724="100","HK",IF(A724="200","CN",IF(A724="300","TW","홀세일")))</f>
        <v>TW</v>
      </c>
      <c r="C724" s="94" t="s">
        <v>450</v>
      </c>
      <c r="D724" s="95" t="n">
        <v>200</v>
      </c>
      <c r="E724" s="95" t="n">
        <v>49000</v>
      </c>
      <c r="F724" s="95" t="n">
        <v>10229</v>
      </c>
      <c r="G724" s="34" t="n">
        <v>4.16</v>
      </c>
      <c r="H724" s="34" t="n">
        <v>12.3</v>
      </c>
      <c r="I724" s="34" t="n">
        <v>0</v>
      </c>
      <c r="J724" s="95" t="n">
        <f aca="false">IF(N(E724)&gt;0,E724,IF(N(F724)&gt;0,F724*가정!$B$5,0))</f>
        <v>49000</v>
      </c>
      <c r="K724" s="95" t="n">
        <f aca="false">IF(N(F724)&gt;0,F724,IF(N(E724)&gt;0,E724/가정!$B$5,0))</f>
        <v>10229</v>
      </c>
      <c r="L724" s="95" t="n">
        <f aca="false">IF(B724="CN",IF(N(I724)&gt;0,I724*가정!$B$3,K724*(1+가정!$B$6)),IF(N(H724)&gt;0,H724*가정!$B$3,J724*가정!$B$4))</f>
        <v>16762.194</v>
      </c>
      <c r="M724" s="95" t="n">
        <f aca="false">D724*J724</f>
        <v>9800000</v>
      </c>
      <c r="N724" s="95" t="n">
        <f aca="false">D724*K724</f>
        <v>2045800</v>
      </c>
      <c r="O724" s="95" t="n">
        <f aca="false">D724*L724</f>
        <v>3352438.8</v>
      </c>
      <c r="P724" s="34" t="str">
        <f aca="false">TRIM(IF(N(E724)&lt;=0,"택가보정 ","")&amp;IF(N(F724)&lt;=0,"원가보정 ","")&amp;IF(AND(B724&lt;&gt;"CN",N(H724)&lt;=0),"공급가보정 ","")&amp;IF(AND(B724="CN",N(I724)&lt;=0),"중국공급가=원가+마진 ",""))</f>
        <v/>
      </c>
    </row>
    <row r="725" customFormat="false" ht="15" hidden="false" customHeight="true" outlineLevel="0" collapsed="false">
      <c r="A725" s="94" t="s">
        <v>1688</v>
      </c>
      <c r="B725" s="34" t="str">
        <f aca="false">IF(A725="100","HK",IF(A725="200","CN",IF(A725="300","TW","홀세일")))</f>
        <v>홀세일</v>
      </c>
      <c r="C725" s="94" t="s">
        <v>450</v>
      </c>
      <c r="D725" s="95" t="n">
        <v>30</v>
      </c>
      <c r="E725" s="95" t="n">
        <v>49000</v>
      </c>
      <c r="F725" s="95" t="n">
        <v>10229</v>
      </c>
      <c r="G725" s="34" t="n">
        <v>4.16</v>
      </c>
      <c r="H725" s="34" t="n">
        <v>12.3</v>
      </c>
      <c r="I725" s="34" t="n">
        <v>0</v>
      </c>
      <c r="J725" s="95" t="n">
        <f aca="false">IF(N(E725)&gt;0,E725,IF(N(F725)&gt;0,F725*가정!$B$5,0))</f>
        <v>49000</v>
      </c>
      <c r="K725" s="95" t="n">
        <f aca="false">IF(N(F725)&gt;0,F725,IF(N(E725)&gt;0,E725/가정!$B$5,0))</f>
        <v>10229</v>
      </c>
      <c r="L725" s="95" t="n">
        <f aca="false">IF(B725="CN",IF(N(I725)&gt;0,I725*가정!$B$3,K725*(1+가정!$B$6)),IF(N(H725)&gt;0,H725*가정!$B$3,J725*가정!$B$4))</f>
        <v>16762.194</v>
      </c>
      <c r="M725" s="95" t="n">
        <f aca="false">D725*J725</f>
        <v>1470000</v>
      </c>
      <c r="N725" s="95" t="n">
        <f aca="false">D725*K725</f>
        <v>306870</v>
      </c>
      <c r="O725" s="95" t="n">
        <f aca="false">D725*L725</f>
        <v>502865.82</v>
      </c>
      <c r="P725" s="34" t="str">
        <f aca="false">TRIM(IF(N(E725)&lt;=0,"택가보정 ","")&amp;IF(N(F725)&lt;=0,"원가보정 ","")&amp;IF(AND(B725&lt;&gt;"CN",N(H725)&lt;=0),"공급가보정 ","")&amp;IF(AND(B725="CN",N(I725)&lt;=0),"중국공급가=원가+마진 ",""))</f>
        <v/>
      </c>
    </row>
    <row r="726" customFormat="false" ht="15" hidden="false" customHeight="true" outlineLevel="0" collapsed="false">
      <c r="A726" s="94" t="s">
        <v>1692</v>
      </c>
      <c r="B726" s="34" t="str">
        <f aca="false">IF(A726="100","HK",IF(A726="200","CN",IF(A726="300","TW","홀세일")))</f>
        <v>홀세일</v>
      </c>
      <c r="C726" s="94" t="s">
        <v>450</v>
      </c>
      <c r="D726" s="95" t="n">
        <v>102</v>
      </c>
      <c r="E726" s="95" t="n">
        <v>49000</v>
      </c>
      <c r="F726" s="95" t="n">
        <v>10229</v>
      </c>
      <c r="G726" s="34" t="n">
        <v>4.16</v>
      </c>
      <c r="H726" s="34" t="n">
        <v>12.3</v>
      </c>
      <c r="I726" s="34" t="n">
        <v>0</v>
      </c>
      <c r="J726" s="95" t="n">
        <f aca="false">IF(N(E726)&gt;0,E726,IF(N(F726)&gt;0,F726*가정!$B$5,0))</f>
        <v>49000</v>
      </c>
      <c r="K726" s="95" t="n">
        <f aca="false">IF(N(F726)&gt;0,F726,IF(N(E726)&gt;0,E726/가정!$B$5,0))</f>
        <v>10229</v>
      </c>
      <c r="L726" s="95" t="n">
        <f aca="false">IF(B726="CN",IF(N(I726)&gt;0,I726*가정!$B$3,K726*(1+가정!$B$6)),IF(N(H726)&gt;0,H726*가정!$B$3,J726*가정!$B$4))</f>
        <v>16762.194</v>
      </c>
      <c r="M726" s="95" t="n">
        <f aca="false">D726*J726</f>
        <v>4998000</v>
      </c>
      <c r="N726" s="95" t="n">
        <f aca="false">D726*K726</f>
        <v>1043358</v>
      </c>
      <c r="O726" s="95" t="n">
        <f aca="false">D726*L726</f>
        <v>1709743.788</v>
      </c>
      <c r="P726" s="34" t="str">
        <f aca="false">TRIM(IF(N(E726)&lt;=0,"택가보정 ","")&amp;IF(N(F726)&lt;=0,"원가보정 ","")&amp;IF(AND(B726&lt;&gt;"CN",N(H726)&lt;=0),"공급가보정 ","")&amp;IF(AND(B726="CN",N(I726)&lt;=0),"중국공급가=원가+마진 ",""))</f>
        <v/>
      </c>
    </row>
    <row r="727" customFormat="false" ht="15" hidden="false" customHeight="true" outlineLevel="0" collapsed="false">
      <c r="A727" s="94" t="s">
        <v>1688</v>
      </c>
      <c r="B727" s="34" t="str">
        <f aca="false">IF(A727="100","HK",IF(A727="200","CN",IF(A727="300","TW","홀세일")))</f>
        <v>홀세일</v>
      </c>
      <c r="C727" s="94" t="s">
        <v>1363</v>
      </c>
      <c r="D727" s="95" t="n">
        <v>40</v>
      </c>
      <c r="E727" s="95" t="n">
        <v>59000</v>
      </c>
      <c r="F727" s="95" t="n">
        <v>15000</v>
      </c>
      <c r="G727" s="34" t="n">
        <v>3.13</v>
      </c>
      <c r="H727" s="34" t="n">
        <v>14.8</v>
      </c>
      <c r="I727" s="34" t="n">
        <v>0</v>
      </c>
      <c r="J727" s="95" t="n">
        <f aca="false">IF(N(E727)&gt;0,E727,IF(N(F727)&gt;0,F727*가정!$B$5,0))</f>
        <v>59000</v>
      </c>
      <c r="K727" s="95" t="n">
        <f aca="false">IF(N(F727)&gt;0,F727,IF(N(E727)&gt;0,E727/가정!$B$5,0))</f>
        <v>15000</v>
      </c>
      <c r="L727" s="95" t="n">
        <f aca="false">IF(B727="CN",IF(N(I727)&gt;0,I727*가정!$B$3,K727*(1+가정!$B$6)),IF(N(H727)&gt;0,H727*가정!$B$3,J727*가정!$B$4))</f>
        <v>20169.144</v>
      </c>
      <c r="M727" s="95" t="n">
        <f aca="false">D727*J727</f>
        <v>2360000</v>
      </c>
      <c r="N727" s="95" t="n">
        <f aca="false">D727*K727</f>
        <v>600000</v>
      </c>
      <c r="O727" s="95" t="n">
        <f aca="false">D727*L727</f>
        <v>806765.76</v>
      </c>
      <c r="P727" s="34" t="str">
        <f aca="false">TRIM(IF(N(E727)&lt;=0,"택가보정 ","")&amp;IF(N(F727)&lt;=0,"원가보정 ","")&amp;IF(AND(B727&lt;&gt;"CN",N(H727)&lt;=0),"공급가보정 ","")&amp;IF(AND(B727="CN",N(I727)&lt;=0),"중국공급가=원가+마진 ",""))</f>
        <v/>
      </c>
    </row>
    <row r="728" customFormat="false" ht="15" hidden="false" customHeight="true" outlineLevel="0" collapsed="false">
      <c r="A728" s="94" t="s">
        <v>1692</v>
      </c>
      <c r="B728" s="34" t="str">
        <f aca="false">IF(A728="100","HK",IF(A728="200","CN",IF(A728="300","TW","홀세일")))</f>
        <v>홀세일</v>
      </c>
      <c r="C728" s="94" t="s">
        <v>1363</v>
      </c>
      <c r="D728" s="95" t="n">
        <v>122</v>
      </c>
      <c r="E728" s="95" t="n">
        <v>59000</v>
      </c>
      <c r="F728" s="95" t="n">
        <v>15000</v>
      </c>
      <c r="G728" s="34" t="n">
        <v>3.13</v>
      </c>
      <c r="H728" s="34" t="n">
        <v>14.8</v>
      </c>
      <c r="I728" s="34" t="n">
        <v>0</v>
      </c>
      <c r="J728" s="95" t="n">
        <f aca="false">IF(N(E728)&gt;0,E728,IF(N(F728)&gt;0,F728*가정!$B$5,0))</f>
        <v>59000</v>
      </c>
      <c r="K728" s="95" t="n">
        <f aca="false">IF(N(F728)&gt;0,F728,IF(N(E728)&gt;0,E728/가정!$B$5,0))</f>
        <v>15000</v>
      </c>
      <c r="L728" s="95" t="n">
        <f aca="false">IF(B728="CN",IF(N(I728)&gt;0,I728*가정!$B$3,K728*(1+가정!$B$6)),IF(N(H728)&gt;0,H728*가정!$B$3,J728*가정!$B$4))</f>
        <v>20169.144</v>
      </c>
      <c r="M728" s="95" t="n">
        <f aca="false">D728*J728</f>
        <v>7198000</v>
      </c>
      <c r="N728" s="95" t="n">
        <f aca="false">D728*K728</f>
        <v>1830000</v>
      </c>
      <c r="O728" s="95" t="n">
        <f aca="false">D728*L728</f>
        <v>2460635.568</v>
      </c>
      <c r="P728" s="34" t="str">
        <f aca="false">TRIM(IF(N(E728)&lt;=0,"택가보정 ","")&amp;IF(N(F728)&lt;=0,"원가보정 ","")&amp;IF(AND(B728&lt;&gt;"CN",N(H728)&lt;=0),"공급가보정 ","")&amp;IF(AND(B728="CN",N(I728)&lt;=0),"중국공급가=원가+마진 ",""))</f>
        <v/>
      </c>
    </row>
    <row r="729" customFormat="false" ht="15" hidden="false" customHeight="true" outlineLevel="0" collapsed="false">
      <c r="A729" s="94" t="s">
        <v>1686</v>
      </c>
      <c r="B729" s="34" t="str">
        <f aca="false">IF(A729="100","HK",IF(A729="200","CN",IF(A729="300","TW","홀세일")))</f>
        <v>TW</v>
      </c>
      <c r="C729" s="94" t="s">
        <v>452</v>
      </c>
      <c r="D729" s="95" t="n">
        <v>120</v>
      </c>
      <c r="E729" s="95" t="n">
        <v>59000</v>
      </c>
      <c r="F729" s="95" t="n">
        <v>15082</v>
      </c>
      <c r="G729" s="34" t="n">
        <v>3.58</v>
      </c>
      <c r="H729" s="34" t="n">
        <v>14.8</v>
      </c>
      <c r="I729" s="34" t="n">
        <v>0</v>
      </c>
      <c r="J729" s="95" t="n">
        <f aca="false">IF(N(E729)&gt;0,E729,IF(N(F729)&gt;0,F729*가정!$B$5,0))</f>
        <v>59000</v>
      </c>
      <c r="K729" s="95" t="n">
        <f aca="false">IF(N(F729)&gt;0,F729,IF(N(E729)&gt;0,E729/가정!$B$5,0))</f>
        <v>15082</v>
      </c>
      <c r="L729" s="95" t="n">
        <f aca="false">IF(B729="CN",IF(N(I729)&gt;0,I729*가정!$B$3,K729*(1+가정!$B$6)),IF(N(H729)&gt;0,H729*가정!$B$3,J729*가정!$B$4))</f>
        <v>20169.144</v>
      </c>
      <c r="M729" s="95" t="n">
        <f aca="false">D729*J729</f>
        <v>7080000</v>
      </c>
      <c r="N729" s="95" t="n">
        <f aca="false">D729*K729</f>
        <v>1809840</v>
      </c>
      <c r="O729" s="95" t="n">
        <f aca="false">D729*L729</f>
        <v>2420297.28</v>
      </c>
      <c r="P729" s="34" t="str">
        <f aca="false">TRIM(IF(N(E729)&lt;=0,"택가보정 ","")&amp;IF(N(F729)&lt;=0,"원가보정 ","")&amp;IF(AND(B729&lt;&gt;"CN",N(H729)&lt;=0),"공급가보정 ","")&amp;IF(AND(B729="CN",N(I729)&lt;=0),"중국공급가=원가+마진 ",""))</f>
        <v/>
      </c>
    </row>
    <row r="730" customFormat="false" ht="15" hidden="false" customHeight="true" outlineLevel="0" collapsed="false">
      <c r="A730" s="94" t="s">
        <v>1688</v>
      </c>
      <c r="B730" s="34" t="str">
        <f aca="false">IF(A730="100","HK",IF(A730="200","CN",IF(A730="300","TW","홀세일")))</f>
        <v>홀세일</v>
      </c>
      <c r="C730" s="94" t="s">
        <v>452</v>
      </c>
      <c r="D730" s="95" t="n">
        <v>15</v>
      </c>
      <c r="E730" s="95" t="n">
        <v>59000</v>
      </c>
      <c r="F730" s="95" t="n">
        <v>15082</v>
      </c>
      <c r="G730" s="34" t="n">
        <v>3.58</v>
      </c>
      <c r="H730" s="34" t="n">
        <v>14.8</v>
      </c>
      <c r="I730" s="34" t="n">
        <v>0</v>
      </c>
      <c r="J730" s="95" t="n">
        <f aca="false">IF(N(E730)&gt;0,E730,IF(N(F730)&gt;0,F730*가정!$B$5,0))</f>
        <v>59000</v>
      </c>
      <c r="K730" s="95" t="n">
        <f aca="false">IF(N(F730)&gt;0,F730,IF(N(E730)&gt;0,E730/가정!$B$5,0))</f>
        <v>15082</v>
      </c>
      <c r="L730" s="95" t="n">
        <f aca="false">IF(B730="CN",IF(N(I730)&gt;0,I730*가정!$B$3,K730*(1+가정!$B$6)),IF(N(H730)&gt;0,H730*가정!$B$3,J730*가정!$B$4))</f>
        <v>20169.144</v>
      </c>
      <c r="M730" s="95" t="n">
        <f aca="false">D730*J730</f>
        <v>885000</v>
      </c>
      <c r="N730" s="95" t="n">
        <f aca="false">D730*K730</f>
        <v>226230</v>
      </c>
      <c r="O730" s="95" t="n">
        <f aca="false">D730*L730</f>
        <v>302537.16</v>
      </c>
      <c r="P730" s="34" t="str">
        <f aca="false">TRIM(IF(N(E730)&lt;=0,"택가보정 ","")&amp;IF(N(F730)&lt;=0,"원가보정 ","")&amp;IF(AND(B730&lt;&gt;"CN",N(H730)&lt;=0),"공급가보정 ","")&amp;IF(AND(B730="CN",N(I730)&lt;=0),"중국공급가=원가+마진 ",""))</f>
        <v/>
      </c>
    </row>
    <row r="731" customFormat="false" ht="15" hidden="false" customHeight="true" outlineLevel="0" collapsed="false">
      <c r="A731" s="94" t="s">
        <v>1692</v>
      </c>
      <c r="B731" s="34" t="str">
        <f aca="false">IF(A731="100","HK",IF(A731="200","CN",IF(A731="300","TW","홀세일")))</f>
        <v>홀세일</v>
      </c>
      <c r="C731" s="94" t="s">
        <v>452</v>
      </c>
      <c r="D731" s="95" t="n">
        <v>31</v>
      </c>
      <c r="E731" s="95" t="n">
        <v>59000</v>
      </c>
      <c r="F731" s="95" t="n">
        <v>15082</v>
      </c>
      <c r="G731" s="34" t="n">
        <v>3.58</v>
      </c>
      <c r="H731" s="34" t="n">
        <v>14.8</v>
      </c>
      <c r="I731" s="34" t="n">
        <v>0</v>
      </c>
      <c r="J731" s="95" t="n">
        <f aca="false">IF(N(E731)&gt;0,E731,IF(N(F731)&gt;0,F731*가정!$B$5,0))</f>
        <v>59000</v>
      </c>
      <c r="K731" s="95" t="n">
        <f aca="false">IF(N(F731)&gt;0,F731,IF(N(E731)&gt;0,E731/가정!$B$5,0))</f>
        <v>15082</v>
      </c>
      <c r="L731" s="95" t="n">
        <f aca="false">IF(B731="CN",IF(N(I731)&gt;0,I731*가정!$B$3,K731*(1+가정!$B$6)),IF(N(H731)&gt;0,H731*가정!$B$3,J731*가정!$B$4))</f>
        <v>20169.144</v>
      </c>
      <c r="M731" s="95" t="n">
        <f aca="false">D731*J731</f>
        <v>1829000</v>
      </c>
      <c r="N731" s="95" t="n">
        <f aca="false">D731*K731</f>
        <v>467542</v>
      </c>
      <c r="O731" s="95" t="n">
        <f aca="false">D731*L731</f>
        <v>625243.464</v>
      </c>
      <c r="P731" s="34" t="str">
        <f aca="false">TRIM(IF(N(E731)&lt;=0,"택가보정 ","")&amp;IF(N(F731)&lt;=0,"원가보정 ","")&amp;IF(AND(B731&lt;&gt;"CN",N(H731)&lt;=0),"공급가보정 ","")&amp;IF(AND(B731="CN",N(I731)&lt;=0),"중국공급가=원가+마진 ",""))</f>
        <v/>
      </c>
    </row>
    <row r="732" customFormat="false" ht="15" hidden="false" customHeight="true" outlineLevel="0" collapsed="false">
      <c r="A732" s="94" t="s">
        <v>1689</v>
      </c>
      <c r="B732" s="34" t="str">
        <f aca="false">IF(A732="100","HK",IF(A732="200","CN",IF(A732="300","TW","홀세일")))</f>
        <v>홀세일</v>
      </c>
      <c r="C732" s="94" t="s">
        <v>452</v>
      </c>
      <c r="D732" s="95" t="n">
        <v>10</v>
      </c>
      <c r="E732" s="95" t="n">
        <v>59000</v>
      </c>
      <c r="F732" s="95" t="n">
        <v>15082</v>
      </c>
      <c r="G732" s="34" t="n">
        <v>3.58</v>
      </c>
      <c r="H732" s="34" t="n">
        <v>14.8</v>
      </c>
      <c r="I732" s="34" t="n">
        <v>0</v>
      </c>
      <c r="J732" s="95" t="n">
        <f aca="false">IF(N(E732)&gt;0,E732,IF(N(F732)&gt;0,F732*가정!$B$5,0))</f>
        <v>59000</v>
      </c>
      <c r="K732" s="95" t="n">
        <f aca="false">IF(N(F732)&gt;0,F732,IF(N(E732)&gt;0,E732/가정!$B$5,0))</f>
        <v>15082</v>
      </c>
      <c r="L732" s="95" t="n">
        <f aca="false">IF(B732="CN",IF(N(I732)&gt;0,I732*가정!$B$3,K732*(1+가정!$B$6)),IF(N(H732)&gt;0,H732*가정!$B$3,J732*가정!$B$4))</f>
        <v>20169.144</v>
      </c>
      <c r="M732" s="95" t="n">
        <f aca="false">D732*J732</f>
        <v>590000</v>
      </c>
      <c r="N732" s="95" t="n">
        <f aca="false">D732*K732</f>
        <v>150820</v>
      </c>
      <c r="O732" s="95" t="n">
        <f aca="false">D732*L732</f>
        <v>201691.44</v>
      </c>
      <c r="P732" s="34" t="str">
        <f aca="false">TRIM(IF(N(E732)&lt;=0,"택가보정 ","")&amp;IF(N(F732)&lt;=0,"원가보정 ","")&amp;IF(AND(B732&lt;&gt;"CN",N(H732)&lt;=0),"공급가보정 ","")&amp;IF(AND(B732="CN",N(I732)&lt;=0),"중국공급가=원가+마진 ",""))</f>
        <v/>
      </c>
    </row>
    <row r="733" customFormat="false" ht="15" hidden="false" customHeight="true" outlineLevel="0" collapsed="false">
      <c r="A733" s="94" t="s">
        <v>1686</v>
      </c>
      <c r="B733" s="34" t="str">
        <f aca="false">IF(A733="100","HK",IF(A733="200","CN",IF(A733="300","TW","홀세일")))</f>
        <v>TW</v>
      </c>
      <c r="C733" s="94" t="s">
        <v>454</v>
      </c>
      <c r="D733" s="95" t="n">
        <v>120</v>
      </c>
      <c r="E733" s="95" t="n">
        <v>159000</v>
      </c>
      <c r="F733" s="95" t="n">
        <v>33993</v>
      </c>
      <c r="G733" s="34" t="n">
        <v>3.52</v>
      </c>
      <c r="H733" s="34" t="n">
        <v>39.8</v>
      </c>
      <c r="I733" s="34" t="n">
        <v>0</v>
      </c>
      <c r="J733" s="95" t="n">
        <f aca="false">IF(N(E733)&gt;0,E733,IF(N(F733)&gt;0,F733*가정!$B$5,0))</f>
        <v>159000</v>
      </c>
      <c r="K733" s="95" t="n">
        <f aca="false">IF(N(F733)&gt;0,F733,IF(N(E733)&gt;0,E733/가정!$B$5,0))</f>
        <v>33993</v>
      </c>
      <c r="L733" s="95" t="n">
        <f aca="false">IF(B733="CN",IF(N(I733)&gt;0,I733*가정!$B$3,K733*(1+가정!$B$6)),IF(N(H733)&gt;0,H733*가정!$B$3,J733*가정!$B$4))</f>
        <v>54238.644</v>
      </c>
      <c r="M733" s="95" t="n">
        <f aca="false">D733*J733</f>
        <v>19080000</v>
      </c>
      <c r="N733" s="95" t="n">
        <f aca="false">D733*K733</f>
        <v>4079160</v>
      </c>
      <c r="O733" s="95" t="n">
        <f aca="false">D733*L733</f>
        <v>6508637.28</v>
      </c>
      <c r="P733" s="34" t="str">
        <f aca="false">TRIM(IF(N(E733)&lt;=0,"택가보정 ","")&amp;IF(N(F733)&lt;=0,"원가보정 ","")&amp;IF(AND(B733&lt;&gt;"CN",N(H733)&lt;=0),"공급가보정 ","")&amp;IF(AND(B733="CN",N(I733)&lt;=0),"중국공급가=원가+마진 ",""))</f>
        <v/>
      </c>
    </row>
    <row r="734" customFormat="false" ht="15" hidden="false" customHeight="true" outlineLevel="0" collapsed="false">
      <c r="A734" s="94" t="s">
        <v>1688</v>
      </c>
      <c r="B734" s="34" t="str">
        <f aca="false">IF(A734="100","HK",IF(A734="200","CN",IF(A734="300","TW","홀세일")))</f>
        <v>홀세일</v>
      </c>
      <c r="C734" s="94" t="s">
        <v>454</v>
      </c>
      <c r="D734" s="95" t="n">
        <v>20</v>
      </c>
      <c r="E734" s="95" t="n">
        <v>159000</v>
      </c>
      <c r="F734" s="95" t="n">
        <v>33993</v>
      </c>
      <c r="G734" s="34" t="n">
        <v>3.52</v>
      </c>
      <c r="H734" s="34" t="n">
        <v>39.8</v>
      </c>
      <c r="I734" s="34" t="n">
        <v>0</v>
      </c>
      <c r="J734" s="95" t="n">
        <f aca="false">IF(N(E734)&gt;0,E734,IF(N(F734)&gt;0,F734*가정!$B$5,0))</f>
        <v>159000</v>
      </c>
      <c r="K734" s="95" t="n">
        <f aca="false">IF(N(F734)&gt;0,F734,IF(N(E734)&gt;0,E734/가정!$B$5,0))</f>
        <v>33993</v>
      </c>
      <c r="L734" s="95" t="n">
        <f aca="false">IF(B734="CN",IF(N(I734)&gt;0,I734*가정!$B$3,K734*(1+가정!$B$6)),IF(N(H734)&gt;0,H734*가정!$B$3,J734*가정!$B$4))</f>
        <v>54238.644</v>
      </c>
      <c r="M734" s="95" t="n">
        <f aca="false">D734*J734</f>
        <v>3180000</v>
      </c>
      <c r="N734" s="95" t="n">
        <f aca="false">D734*K734</f>
        <v>679860</v>
      </c>
      <c r="O734" s="95" t="n">
        <f aca="false">D734*L734</f>
        <v>1084772.88</v>
      </c>
      <c r="P734" s="34" t="str">
        <f aca="false">TRIM(IF(N(E734)&lt;=0,"택가보정 ","")&amp;IF(N(F734)&lt;=0,"원가보정 ","")&amp;IF(AND(B734&lt;&gt;"CN",N(H734)&lt;=0),"공급가보정 ","")&amp;IF(AND(B734="CN",N(I734)&lt;=0),"중국공급가=원가+마진 ",""))</f>
        <v/>
      </c>
    </row>
    <row r="735" customFormat="false" ht="15" hidden="false" customHeight="true" outlineLevel="0" collapsed="false">
      <c r="A735" s="94" t="s">
        <v>1692</v>
      </c>
      <c r="B735" s="34" t="str">
        <f aca="false">IF(A735="100","HK",IF(A735="200","CN",IF(A735="300","TW","홀세일")))</f>
        <v>홀세일</v>
      </c>
      <c r="C735" s="94" t="s">
        <v>454</v>
      </c>
      <c r="D735" s="95" t="n">
        <v>57</v>
      </c>
      <c r="E735" s="95" t="n">
        <v>159000</v>
      </c>
      <c r="F735" s="95" t="n">
        <v>33993</v>
      </c>
      <c r="G735" s="34" t="n">
        <v>3.52</v>
      </c>
      <c r="H735" s="34" t="n">
        <v>39.8</v>
      </c>
      <c r="I735" s="34" t="n">
        <v>0</v>
      </c>
      <c r="J735" s="95" t="n">
        <f aca="false">IF(N(E735)&gt;0,E735,IF(N(F735)&gt;0,F735*가정!$B$5,0))</f>
        <v>159000</v>
      </c>
      <c r="K735" s="95" t="n">
        <f aca="false">IF(N(F735)&gt;0,F735,IF(N(E735)&gt;0,E735/가정!$B$5,0))</f>
        <v>33993</v>
      </c>
      <c r="L735" s="95" t="n">
        <f aca="false">IF(B735="CN",IF(N(I735)&gt;0,I735*가정!$B$3,K735*(1+가정!$B$6)),IF(N(H735)&gt;0,H735*가정!$B$3,J735*가정!$B$4))</f>
        <v>54238.644</v>
      </c>
      <c r="M735" s="95" t="n">
        <f aca="false">D735*J735</f>
        <v>9063000</v>
      </c>
      <c r="N735" s="95" t="n">
        <f aca="false">D735*K735</f>
        <v>1937601</v>
      </c>
      <c r="O735" s="95" t="n">
        <f aca="false">D735*L735</f>
        <v>3091602.708</v>
      </c>
      <c r="P735" s="34" t="str">
        <f aca="false">TRIM(IF(N(E735)&lt;=0,"택가보정 ","")&amp;IF(N(F735)&lt;=0,"원가보정 ","")&amp;IF(AND(B735&lt;&gt;"CN",N(H735)&lt;=0),"공급가보정 ","")&amp;IF(AND(B735="CN",N(I735)&lt;=0),"중국공급가=원가+마진 ",""))</f>
        <v/>
      </c>
    </row>
    <row r="736" customFormat="false" ht="15" hidden="false" customHeight="true" outlineLevel="0" collapsed="false">
      <c r="A736" s="94" t="s">
        <v>1689</v>
      </c>
      <c r="B736" s="34" t="str">
        <f aca="false">IF(A736="100","HK",IF(A736="200","CN",IF(A736="300","TW","홀세일")))</f>
        <v>홀세일</v>
      </c>
      <c r="C736" s="94" t="s">
        <v>454</v>
      </c>
      <c r="D736" s="95" t="n">
        <v>30</v>
      </c>
      <c r="E736" s="95" t="n">
        <v>159000</v>
      </c>
      <c r="F736" s="95" t="n">
        <v>33993</v>
      </c>
      <c r="G736" s="34" t="n">
        <v>3.52</v>
      </c>
      <c r="H736" s="34" t="n">
        <v>39.8</v>
      </c>
      <c r="I736" s="34" t="n">
        <v>0</v>
      </c>
      <c r="J736" s="95" t="n">
        <f aca="false">IF(N(E736)&gt;0,E736,IF(N(F736)&gt;0,F736*가정!$B$5,0))</f>
        <v>159000</v>
      </c>
      <c r="K736" s="95" t="n">
        <f aca="false">IF(N(F736)&gt;0,F736,IF(N(E736)&gt;0,E736/가정!$B$5,0))</f>
        <v>33993</v>
      </c>
      <c r="L736" s="95" t="n">
        <f aca="false">IF(B736="CN",IF(N(I736)&gt;0,I736*가정!$B$3,K736*(1+가정!$B$6)),IF(N(H736)&gt;0,H736*가정!$B$3,J736*가정!$B$4))</f>
        <v>54238.644</v>
      </c>
      <c r="M736" s="95" t="n">
        <f aca="false">D736*J736</f>
        <v>4770000</v>
      </c>
      <c r="N736" s="95" t="n">
        <f aca="false">D736*K736</f>
        <v>1019790</v>
      </c>
      <c r="O736" s="95" t="n">
        <f aca="false">D736*L736</f>
        <v>1627159.32</v>
      </c>
      <c r="P736" s="34" t="str">
        <f aca="false">TRIM(IF(N(E736)&lt;=0,"택가보정 ","")&amp;IF(N(F736)&lt;=0,"원가보정 ","")&amp;IF(AND(B736&lt;&gt;"CN",N(H736)&lt;=0),"공급가보정 ","")&amp;IF(AND(B736="CN",N(I736)&lt;=0),"중국공급가=원가+마진 ",""))</f>
        <v/>
      </c>
    </row>
    <row r="737" customFormat="false" ht="15" hidden="false" customHeight="true" outlineLevel="0" collapsed="false">
      <c r="A737" s="94" t="s">
        <v>1690</v>
      </c>
      <c r="B737" s="34" t="str">
        <f aca="false">IF(A737="100","HK",IF(A737="200","CN",IF(A737="300","TW","홀세일")))</f>
        <v>홀세일</v>
      </c>
      <c r="C737" s="94" t="s">
        <v>454</v>
      </c>
      <c r="D737" s="95" t="n">
        <v>48</v>
      </c>
      <c r="E737" s="95" t="n">
        <v>159000</v>
      </c>
      <c r="F737" s="95" t="n">
        <v>33993</v>
      </c>
      <c r="G737" s="34" t="n">
        <v>3.52</v>
      </c>
      <c r="H737" s="34" t="n">
        <v>39.8</v>
      </c>
      <c r="I737" s="34" t="n">
        <v>0</v>
      </c>
      <c r="J737" s="95" t="n">
        <f aca="false">IF(N(E737)&gt;0,E737,IF(N(F737)&gt;0,F737*가정!$B$5,0))</f>
        <v>159000</v>
      </c>
      <c r="K737" s="95" t="n">
        <f aca="false">IF(N(F737)&gt;0,F737,IF(N(E737)&gt;0,E737/가정!$B$5,0))</f>
        <v>33993</v>
      </c>
      <c r="L737" s="95" t="n">
        <f aca="false">IF(B737="CN",IF(N(I737)&gt;0,I737*가정!$B$3,K737*(1+가정!$B$6)),IF(N(H737)&gt;0,H737*가정!$B$3,J737*가정!$B$4))</f>
        <v>54238.644</v>
      </c>
      <c r="M737" s="95" t="n">
        <f aca="false">D737*J737</f>
        <v>7632000</v>
      </c>
      <c r="N737" s="95" t="n">
        <f aca="false">D737*K737</f>
        <v>1631664</v>
      </c>
      <c r="O737" s="95" t="n">
        <f aca="false">D737*L737</f>
        <v>2603454.912</v>
      </c>
      <c r="P737" s="34" t="str">
        <f aca="false">TRIM(IF(N(E737)&lt;=0,"택가보정 ","")&amp;IF(N(F737)&lt;=0,"원가보정 ","")&amp;IF(AND(B737&lt;&gt;"CN",N(H737)&lt;=0),"공급가보정 ","")&amp;IF(AND(B737="CN",N(I737)&lt;=0),"중국공급가=원가+마진 ",""))</f>
        <v/>
      </c>
    </row>
    <row r="738" customFormat="false" ht="15" hidden="false" customHeight="true" outlineLevel="0" collapsed="false">
      <c r="A738" s="94" t="s">
        <v>1684</v>
      </c>
      <c r="B738" s="34" t="str">
        <f aca="false">IF(A738="100","HK",IF(A738="200","CN",IF(A738="300","TW","홀세일")))</f>
        <v>HK</v>
      </c>
      <c r="C738" s="94" t="s">
        <v>931</v>
      </c>
      <c r="D738" s="95" t="n">
        <v>200</v>
      </c>
      <c r="E738" s="95" t="n">
        <v>79000</v>
      </c>
      <c r="F738" s="95" t="n">
        <v>17030</v>
      </c>
      <c r="G738" s="34" t="n">
        <v>3.73</v>
      </c>
      <c r="H738" s="34" t="n">
        <v>19.8</v>
      </c>
      <c r="I738" s="34" t="n">
        <v>14.2</v>
      </c>
      <c r="J738" s="95" t="n">
        <f aca="false">IF(N(E738)&gt;0,E738,IF(N(F738)&gt;0,F738*가정!$B$5,0))</f>
        <v>79000</v>
      </c>
      <c r="K738" s="95" t="n">
        <f aca="false">IF(N(F738)&gt;0,F738,IF(N(E738)&gt;0,E738/가정!$B$5,0))</f>
        <v>17030</v>
      </c>
      <c r="L738" s="95" t="n">
        <f aca="false">IF(B738="CN",IF(N(I738)&gt;0,I738*가정!$B$3,K738*(1+가정!$B$6)),IF(N(H738)&gt;0,H738*가정!$B$3,J738*가정!$B$4))</f>
        <v>26983.044</v>
      </c>
      <c r="M738" s="95" t="n">
        <f aca="false">D738*J738</f>
        <v>15800000</v>
      </c>
      <c r="N738" s="95" t="n">
        <f aca="false">D738*K738</f>
        <v>3406000</v>
      </c>
      <c r="O738" s="95" t="n">
        <f aca="false">D738*L738</f>
        <v>5396608.8</v>
      </c>
      <c r="P738" s="34" t="str">
        <f aca="false">TRIM(IF(N(E738)&lt;=0,"택가보정 ","")&amp;IF(N(F738)&lt;=0,"원가보정 ","")&amp;IF(AND(B738&lt;&gt;"CN",N(H738)&lt;=0),"공급가보정 ","")&amp;IF(AND(B738="CN",N(I738)&lt;=0),"중국공급가=원가+마진 ",""))</f>
        <v/>
      </c>
    </row>
    <row r="739" customFormat="false" ht="15" hidden="false" customHeight="true" outlineLevel="0" collapsed="false">
      <c r="A739" s="94" t="s">
        <v>1685</v>
      </c>
      <c r="B739" s="34" t="str">
        <f aca="false">IF(A739="100","HK",IF(A739="200","CN",IF(A739="300","TW","홀세일")))</f>
        <v>CN</v>
      </c>
      <c r="C739" s="94" t="s">
        <v>931</v>
      </c>
      <c r="D739" s="95" t="n">
        <v>122</v>
      </c>
      <c r="E739" s="95" t="n">
        <v>79000</v>
      </c>
      <c r="F739" s="95" t="n">
        <v>17030</v>
      </c>
      <c r="G739" s="34" t="n">
        <v>3.73</v>
      </c>
      <c r="H739" s="34" t="n">
        <v>19.8</v>
      </c>
      <c r="I739" s="34" t="n">
        <v>14.2</v>
      </c>
      <c r="J739" s="95" t="n">
        <f aca="false">IF(N(E739)&gt;0,E739,IF(N(F739)&gt;0,F739*가정!$B$5,0))</f>
        <v>79000</v>
      </c>
      <c r="K739" s="95" t="n">
        <f aca="false">IF(N(F739)&gt;0,F739,IF(N(E739)&gt;0,E739/가정!$B$5,0))</f>
        <v>17030</v>
      </c>
      <c r="L739" s="95" t="n">
        <f aca="false">IF(B739="CN",IF(N(I739)&gt;0,I739*가정!$B$3,K739*(1+가정!$B$6)),IF(N(H739)&gt;0,H739*가정!$B$3,J739*가정!$B$4))</f>
        <v>19351.476</v>
      </c>
      <c r="M739" s="95" t="n">
        <f aca="false">D739*J739</f>
        <v>9638000</v>
      </c>
      <c r="N739" s="95" t="n">
        <f aca="false">D739*K739</f>
        <v>2077660</v>
      </c>
      <c r="O739" s="95" t="n">
        <f aca="false">D739*L739</f>
        <v>2360880.072</v>
      </c>
      <c r="P739" s="34" t="str">
        <f aca="false">TRIM(IF(N(E739)&lt;=0,"택가보정 ","")&amp;IF(N(F739)&lt;=0,"원가보정 ","")&amp;IF(AND(B739&lt;&gt;"CN",N(H739)&lt;=0),"공급가보정 ","")&amp;IF(AND(B739="CN",N(I739)&lt;=0),"중국공급가=원가+마진 ",""))</f>
        <v/>
      </c>
    </row>
    <row r="740" customFormat="false" ht="15" hidden="false" customHeight="true" outlineLevel="0" collapsed="false">
      <c r="A740" s="94" t="s">
        <v>1690</v>
      </c>
      <c r="B740" s="34" t="str">
        <f aca="false">IF(A740="100","HK",IF(A740="200","CN",IF(A740="300","TW","홀세일")))</f>
        <v>홀세일</v>
      </c>
      <c r="C740" s="94" t="s">
        <v>931</v>
      </c>
      <c r="D740" s="95" t="n">
        <v>48</v>
      </c>
      <c r="E740" s="95" t="n">
        <v>79000</v>
      </c>
      <c r="F740" s="95" t="n">
        <v>17030</v>
      </c>
      <c r="G740" s="34" t="n">
        <v>3.73</v>
      </c>
      <c r="H740" s="34" t="n">
        <v>19.8</v>
      </c>
      <c r="I740" s="34" t="n">
        <v>14.2</v>
      </c>
      <c r="J740" s="95" t="n">
        <f aca="false">IF(N(E740)&gt;0,E740,IF(N(F740)&gt;0,F740*가정!$B$5,0))</f>
        <v>79000</v>
      </c>
      <c r="K740" s="95" t="n">
        <f aca="false">IF(N(F740)&gt;0,F740,IF(N(E740)&gt;0,E740/가정!$B$5,0))</f>
        <v>17030</v>
      </c>
      <c r="L740" s="95" t="n">
        <f aca="false">IF(B740="CN",IF(N(I740)&gt;0,I740*가정!$B$3,K740*(1+가정!$B$6)),IF(N(H740)&gt;0,H740*가정!$B$3,J740*가정!$B$4))</f>
        <v>26983.044</v>
      </c>
      <c r="M740" s="95" t="n">
        <f aca="false">D740*J740</f>
        <v>3792000</v>
      </c>
      <c r="N740" s="95" t="n">
        <f aca="false">D740*K740</f>
        <v>817440</v>
      </c>
      <c r="O740" s="95" t="n">
        <f aca="false">D740*L740</f>
        <v>1295186.112</v>
      </c>
      <c r="P740" s="34" t="str">
        <f aca="false">TRIM(IF(N(E740)&lt;=0,"택가보정 ","")&amp;IF(N(F740)&lt;=0,"원가보정 ","")&amp;IF(AND(B740&lt;&gt;"CN",N(H740)&lt;=0),"공급가보정 ","")&amp;IF(AND(B740="CN",N(I740)&lt;=0),"중국공급가=원가+마진 ",""))</f>
        <v/>
      </c>
    </row>
    <row r="741" customFormat="false" ht="15" hidden="false" customHeight="true" outlineLevel="0" collapsed="false">
      <c r="A741" s="94" t="s">
        <v>1691</v>
      </c>
      <c r="B741" s="34" t="str">
        <f aca="false">IF(A741="100","HK",IF(A741="200","CN",IF(A741="300","TW","홀세일")))</f>
        <v>홀세일</v>
      </c>
      <c r="C741" s="94" t="s">
        <v>931</v>
      </c>
      <c r="D741" s="95" t="n">
        <v>110</v>
      </c>
      <c r="E741" s="95" t="n">
        <v>79000</v>
      </c>
      <c r="F741" s="95" t="n">
        <v>17030</v>
      </c>
      <c r="G741" s="34" t="n">
        <v>3.73</v>
      </c>
      <c r="H741" s="34" t="n">
        <v>19.8</v>
      </c>
      <c r="I741" s="34" t="n">
        <v>14.2</v>
      </c>
      <c r="J741" s="95" t="n">
        <f aca="false">IF(N(E741)&gt;0,E741,IF(N(F741)&gt;0,F741*가정!$B$5,0))</f>
        <v>79000</v>
      </c>
      <c r="K741" s="95" t="n">
        <f aca="false">IF(N(F741)&gt;0,F741,IF(N(E741)&gt;0,E741/가정!$B$5,0))</f>
        <v>17030</v>
      </c>
      <c r="L741" s="95" t="n">
        <f aca="false">IF(B741="CN",IF(N(I741)&gt;0,I741*가정!$B$3,K741*(1+가정!$B$6)),IF(N(H741)&gt;0,H741*가정!$B$3,J741*가정!$B$4))</f>
        <v>26983.044</v>
      </c>
      <c r="M741" s="95" t="n">
        <f aca="false">D741*J741</f>
        <v>8690000</v>
      </c>
      <c r="N741" s="95" t="n">
        <f aca="false">D741*K741</f>
        <v>1873300</v>
      </c>
      <c r="O741" s="95" t="n">
        <f aca="false">D741*L741</f>
        <v>2968134.84</v>
      </c>
      <c r="P741" s="34" t="str">
        <f aca="false">TRIM(IF(N(E741)&lt;=0,"택가보정 ","")&amp;IF(N(F741)&lt;=0,"원가보정 ","")&amp;IF(AND(B741&lt;&gt;"CN",N(H741)&lt;=0),"공급가보정 ","")&amp;IF(AND(B741="CN",N(I741)&lt;=0),"중국공급가=원가+마진 ",""))</f>
        <v/>
      </c>
    </row>
    <row r="742" customFormat="false" ht="15" hidden="false" customHeight="true" outlineLevel="0" collapsed="false">
      <c r="A742" s="94" t="s">
        <v>1686</v>
      </c>
      <c r="B742" s="34" t="str">
        <f aca="false">IF(A742="100","HK",IF(A742="200","CN",IF(A742="300","TW","홀세일")))</f>
        <v>TW</v>
      </c>
      <c r="C742" s="94" t="s">
        <v>456</v>
      </c>
      <c r="D742" s="95" t="n">
        <v>180</v>
      </c>
      <c r="E742" s="95" t="n">
        <v>139000</v>
      </c>
      <c r="F742" s="95" t="n">
        <v>30900</v>
      </c>
      <c r="G742" s="34" t="n">
        <v>3.5</v>
      </c>
      <c r="H742" s="34" t="n">
        <v>32.7</v>
      </c>
      <c r="I742" s="34" t="n">
        <v>0</v>
      </c>
      <c r="J742" s="95" t="n">
        <f aca="false">IF(N(E742)&gt;0,E742,IF(N(F742)&gt;0,F742*가정!$B$5,0))</f>
        <v>139000</v>
      </c>
      <c r="K742" s="95" t="n">
        <f aca="false">IF(N(F742)&gt;0,F742,IF(N(E742)&gt;0,E742/가정!$B$5,0))</f>
        <v>30900</v>
      </c>
      <c r="L742" s="95" t="n">
        <f aca="false">IF(B742="CN",IF(N(I742)&gt;0,I742*가정!$B$3,K742*(1+가정!$B$6)),IF(N(H742)&gt;0,H742*가정!$B$3,J742*가정!$B$4))</f>
        <v>44562.906</v>
      </c>
      <c r="M742" s="95" t="n">
        <f aca="false">D742*J742</f>
        <v>25020000</v>
      </c>
      <c r="N742" s="95" t="n">
        <f aca="false">D742*K742</f>
        <v>5562000</v>
      </c>
      <c r="O742" s="95" t="n">
        <f aca="false">D742*L742</f>
        <v>8021323.08</v>
      </c>
      <c r="P742" s="34" t="str">
        <f aca="false">TRIM(IF(N(E742)&lt;=0,"택가보정 ","")&amp;IF(N(F742)&lt;=0,"원가보정 ","")&amp;IF(AND(B742&lt;&gt;"CN",N(H742)&lt;=0),"공급가보정 ","")&amp;IF(AND(B742="CN",N(I742)&lt;=0),"중국공급가=원가+마진 ",""))</f>
        <v/>
      </c>
    </row>
    <row r="743" customFormat="false" ht="15" hidden="false" customHeight="true" outlineLevel="0" collapsed="false">
      <c r="A743" s="94" t="s">
        <v>1687</v>
      </c>
      <c r="B743" s="34" t="str">
        <f aca="false">IF(A743="100","HK",IF(A743="200","CN",IF(A743="300","TW","홀세일")))</f>
        <v>홀세일</v>
      </c>
      <c r="C743" s="94" t="s">
        <v>456</v>
      </c>
      <c r="D743" s="95" t="n">
        <v>270</v>
      </c>
      <c r="E743" s="95" t="n">
        <v>139000</v>
      </c>
      <c r="F743" s="95" t="n">
        <v>30900</v>
      </c>
      <c r="G743" s="34" t="n">
        <v>3.5</v>
      </c>
      <c r="H743" s="34" t="n">
        <v>32.7</v>
      </c>
      <c r="I743" s="34" t="n">
        <v>0</v>
      </c>
      <c r="J743" s="95" t="n">
        <f aca="false">IF(N(E743)&gt;0,E743,IF(N(F743)&gt;0,F743*가정!$B$5,0))</f>
        <v>139000</v>
      </c>
      <c r="K743" s="95" t="n">
        <f aca="false">IF(N(F743)&gt;0,F743,IF(N(E743)&gt;0,E743/가정!$B$5,0))</f>
        <v>30900</v>
      </c>
      <c r="L743" s="95" t="n">
        <f aca="false">IF(B743="CN",IF(N(I743)&gt;0,I743*가정!$B$3,K743*(1+가정!$B$6)),IF(N(H743)&gt;0,H743*가정!$B$3,J743*가정!$B$4))</f>
        <v>44562.906</v>
      </c>
      <c r="M743" s="95" t="n">
        <f aca="false">D743*J743</f>
        <v>37530000</v>
      </c>
      <c r="N743" s="95" t="n">
        <f aca="false">D743*K743</f>
        <v>8343000</v>
      </c>
      <c r="O743" s="95" t="n">
        <f aca="false">D743*L743</f>
        <v>12031984.62</v>
      </c>
      <c r="P743" s="34" t="str">
        <f aca="false">TRIM(IF(N(E743)&lt;=0,"택가보정 ","")&amp;IF(N(F743)&lt;=0,"원가보정 ","")&amp;IF(AND(B743&lt;&gt;"CN",N(H743)&lt;=0),"공급가보정 ","")&amp;IF(AND(B743="CN",N(I743)&lt;=0),"중국공급가=원가+마진 ",""))</f>
        <v/>
      </c>
    </row>
    <row r="744" customFormat="false" ht="15" hidden="false" customHeight="true" outlineLevel="0" collapsed="false">
      <c r="A744" s="94" t="s">
        <v>1688</v>
      </c>
      <c r="B744" s="34" t="str">
        <f aca="false">IF(A744="100","HK",IF(A744="200","CN",IF(A744="300","TW","홀세일")))</f>
        <v>홀세일</v>
      </c>
      <c r="C744" s="94" t="s">
        <v>456</v>
      </c>
      <c r="D744" s="95" t="n">
        <v>55</v>
      </c>
      <c r="E744" s="95" t="n">
        <v>139000</v>
      </c>
      <c r="F744" s="95" t="n">
        <v>30900</v>
      </c>
      <c r="G744" s="34" t="n">
        <v>3.5</v>
      </c>
      <c r="H744" s="34" t="n">
        <v>32.7</v>
      </c>
      <c r="I744" s="34" t="n">
        <v>0</v>
      </c>
      <c r="J744" s="95" t="n">
        <f aca="false">IF(N(E744)&gt;0,E744,IF(N(F744)&gt;0,F744*가정!$B$5,0))</f>
        <v>139000</v>
      </c>
      <c r="K744" s="95" t="n">
        <f aca="false">IF(N(F744)&gt;0,F744,IF(N(E744)&gt;0,E744/가정!$B$5,0))</f>
        <v>30900</v>
      </c>
      <c r="L744" s="95" t="n">
        <f aca="false">IF(B744="CN",IF(N(I744)&gt;0,I744*가정!$B$3,K744*(1+가정!$B$6)),IF(N(H744)&gt;0,H744*가정!$B$3,J744*가정!$B$4))</f>
        <v>44562.906</v>
      </c>
      <c r="M744" s="95" t="n">
        <f aca="false">D744*J744</f>
        <v>7645000</v>
      </c>
      <c r="N744" s="95" t="n">
        <f aca="false">D744*K744</f>
        <v>1699500</v>
      </c>
      <c r="O744" s="95" t="n">
        <f aca="false">D744*L744</f>
        <v>2450959.83</v>
      </c>
      <c r="P744" s="34" t="str">
        <f aca="false">TRIM(IF(N(E744)&lt;=0,"택가보정 ","")&amp;IF(N(F744)&lt;=0,"원가보정 ","")&amp;IF(AND(B744&lt;&gt;"CN",N(H744)&lt;=0),"공급가보정 ","")&amp;IF(AND(B744="CN",N(I744)&lt;=0),"중국공급가=원가+마진 ",""))</f>
        <v/>
      </c>
    </row>
    <row r="745" customFormat="false" ht="15" hidden="false" customHeight="true" outlineLevel="0" collapsed="false">
      <c r="A745" s="94" t="s">
        <v>1692</v>
      </c>
      <c r="B745" s="34" t="str">
        <f aca="false">IF(A745="100","HK",IF(A745="200","CN",IF(A745="300","TW","홀세일")))</f>
        <v>홀세일</v>
      </c>
      <c r="C745" s="94" t="s">
        <v>456</v>
      </c>
      <c r="D745" s="95" t="n">
        <v>222</v>
      </c>
      <c r="E745" s="95" t="n">
        <v>139000</v>
      </c>
      <c r="F745" s="95" t="n">
        <v>30900</v>
      </c>
      <c r="G745" s="34" t="n">
        <v>3.5</v>
      </c>
      <c r="H745" s="34" t="n">
        <v>32.7</v>
      </c>
      <c r="I745" s="34" t="n">
        <v>0</v>
      </c>
      <c r="J745" s="95" t="n">
        <f aca="false">IF(N(E745)&gt;0,E745,IF(N(F745)&gt;0,F745*가정!$B$5,0))</f>
        <v>139000</v>
      </c>
      <c r="K745" s="95" t="n">
        <f aca="false">IF(N(F745)&gt;0,F745,IF(N(E745)&gt;0,E745/가정!$B$5,0))</f>
        <v>30900</v>
      </c>
      <c r="L745" s="95" t="n">
        <f aca="false">IF(B745="CN",IF(N(I745)&gt;0,I745*가정!$B$3,K745*(1+가정!$B$6)),IF(N(H745)&gt;0,H745*가정!$B$3,J745*가정!$B$4))</f>
        <v>44562.906</v>
      </c>
      <c r="M745" s="95" t="n">
        <f aca="false">D745*J745</f>
        <v>30858000</v>
      </c>
      <c r="N745" s="95" t="n">
        <f aca="false">D745*K745</f>
        <v>6859800</v>
      </c>
      <c r="O745" s="95" t="n">
        <f aca="false">D745*L745</f>
        <v>9892965.132</v>
      </c>
      <c r="P745" s="34" t="str">
        <f aca="false">TRIM(IF(N(E745)&lt;=0,"택가보정 ","")&amp;IF(N(F745)&lt;=0,"원가보정 ","")&amp;IF(AND(B745&lt;&gt;"CN",N(H745)&lt;=0),"공급가보정 ","")&amp;IF(AND(B745="CN",N(I745)&lt;=0),"중국공급가=원가+마진 ",""))</f>
        <v/>
      </c>
    </row>
    <row r="746" customFormat="false" ht="15" hidden="false" customHeight="true" outlineLevel="0" collapsed="false">
      <c r="A746" s="94" t="s">
        <v>1689</v>
      </c>
      <c r="B746" s="34" t="str">
        <f aca="false">IF(A746="100","HK",IF(A746="200","CN",IF(A746="300","TW","홀세일")))</f>
        <v>홀세일</v>
      </c>
      <c r="C746" s="94" t="s">
        <v>456</v>
      </c>
      <c r="D746" s="95" t="n">
        <v>30</v>
      </c>
      <c r="E746" s="95" t="n">
        <v>139000</v>
      </c>
      <c r="F746" s="95" t="n">
        <v>30900</v>
      </c>
      <c r="G746" s="34" t="n">
        <v>3.5</v>
      </c>
      <c r="H746" s="34" t="n">
        <v>32.7</v>
      </c>
      <c r="I746" s="34" t="n">
        <v>0</v>
      </c>
      <c r="J746" s="95" t="n">
        <f aca="false">IF(N(E746)&gt;0,E746,IF(N(F746)&gt;0,F746*가정!$B$5,0))</f>
        <v>139000</v>
      </c>
      <c r="K746" s="95" t="n">
        <f aca="false">IF(N(F746)&gt;0,F746,IF(N(E746)&gt;0,E746/가정!$B$5,0))</f>
        <v>30900</v>
      </c>
      <c r="L746" s="95" t="n">
        <f aca="false">IF(B746="CN",IF(N(I746)&gt;0,I746*가정!$B$3,K746*(1+가정!$B$6)),IF(N(H746)&gt;0,H746*가정!$B$3,J746*가정!$B$4))</f>
        <v>44562.906</v>
      </c>
      <c r="M746" s="95" t="n">
        <f aca="false">D746*J746</f>
        <v>4170000</v>
      </c>
      <c r="N746" s="95" t="n">
        <f aca="false">D746*K746</f>
        <v>927000</v>
      </c>
      <c r="O746" s="95" t="n">
        <f aca="false">D746*L746</f>
        <v>1336887.18</v>
      </c>
      <c r="P746" s="34" t="str">
        <f aca="false">TRIM(IF(N(E746)&lt;=0,"택가보정 ","")&amp;IF(N(F746)&lt;=0,"원가보정 ","")&amp;IF(AND(B746&lt;&gt;"CN",N(H746)&lt;=0),"공급가보정 ","")&amp;IF(AND(B746="CN",N(I746)&lt;=0),"중국공급가=원가+마진 ",""))</f>
        <v/>
      </c>
    </row>
    <row r="747" customFormat="false" ht="15" hidden="false" customHeight="true" outlineLevel="0" collapsed="false">
      <c r="A747" s="94" t="s">
        <v>1686</v>
      </c>
      <c r="B747" s="34" t="str">
        <f aca="false">IF(A747="100","HK",IF(A747="200","CN",IF(A747="300","TW","홀세일")))</f>
        <v>TW</v>
      </c>
      <c r="C747" s="94" t="s">
        <v>458</v>
      </c>
      <c r="D747" s="95" t="n">
        <v>130</v>
      </c>
      <c r="E747" s="95" t="n">
        <v>169000</v>
      </c>
      <c r="F747" s="95" t="n">
        <v>37400</v>
      </c>
      <c r="G747" s="34" t="n">
        <v>4.11</v>
      </c>
      <c r="H747" s="34" t="n">
        <v>41</v>
      </c>
      <c r="I747" s="34" t="n">
        <v>0</v>
      </c>
      <c r="J747" s="95" t="n">
        <f aca="false">IF(N(E747)&gt;0,E747,IF(N(F747)&gt;0,F747*가정!$B$5,0))</f>
        <v>169000</v>
      </c>
      <c r="K747" s="95" t="n">
        <f aca="false">IF(N(F747)&gt;0,F747,IF(N(E747)&gt;0,E747/가정!$B$5,0))</f>
        <v>37400</v>
      </c>
      <c r="L747" s="95" t="n">
        <f aca="false">IF(B747="CN",IF(N(I747)&gt;0,I747*가정!$B$3,K747*(1+가정!$B$6)),IF(N(H747)&gt;0,H747*가정!$B$3,J747*가정!$B$4))</f>
        <v>55873.98</v>
      </c>
      <c r="M747" s="95" t="n">
        <f aca="false">D747*J747</f>
        <v>21970000</v>
      </c>
      <c r="N747" s="95" t="n">
        <f aca="false">D747*K747</f>
        <v>4862000</v>
      </c>
      <c r="O747" s="95" t="n">
        <f aca="false">D747*L747</f>
        <v>7263617.4</v>
      </c>
      <c r="P747" s="34" t="str">
        <f aca="false">TRIM(IF(N(E747)&lt;=0,"택가보정 ","")&amp;IF(N(F747)&lt;=0,"원가보정 ","")&amp;IF(AND(B747&lt;&gt;"CN",N(H747)&lt;=0),"공급가보정 ","")&amp;IF(AND(B747="CN",N(I747)&lt;=0),"중국공급가=원가+마진 ",""))</f>
        <v/>
      </c>
    </row>
    <row r="748" customFormat="false" ht="15" hidden="false" customHeight="true" outlineLevel="0" collapsed="false">
      <c r="A748" s="94" t="s">
        <v>1687</v>
      </c>
      <c r="B748" s="34" t="str">
        <f aca="false">IF(A748="100","HK",IF(A748="200","CN",IF(A748="300","TW","홀세일")))</f>
        <v>홀세일</v>
      </c>
      <c r="C748" s="94" t="s">
        <v>458</v>
      </c>
      <c r="D748" s="95" t="n">
        <v>360</v>
      </c>
      <c r="E748" s="95" t="n">
        <v>169000</v>
      </c>
      <c r="F748" s="95" t="n">
        <v>37400</v>
      </c>
      <c r="G748" s="34" t="n">
        <v>4.11</v>
      </c>
      <c r="H748" s="34" t="n">
        <v>41</v>
      </c>
      <c r="I748" s="34" t="n">
        <v>0</v>
      </c>
      <c r="J748" s="95" t="n">
        <f aca="false">IF(N(E748)&gt;0,E748,IF(N(F748)&gt;0,F748*가정!$B$5,0))</f>
        <v>169000</v>
      </c>
      <c r="K748" s="95" t="n">
        <f aca="false">IF(N(F748)&gt;0,F748,IF(N(E748)&gt;0,E748/가정!$B$5,0))</f>
        <v>37400</v>
      </c>
      <c r="L748" s="95" t="n">
        <f aca="false">IF(B748="CN",IF(N(I748)&gt;0,I748*가정!$B$3,K748*(1+가정!$B$6)),IF(N(H748)&gt;0,H748*가정!$B$3,J748*가정!$B$4))</f>
        <v>55873.98</v>
      </c>
      <c r="M748" s="95" t="n">
        <f aca="false">D748*J748</f>
        <v>60840000</v>
      </c>
      <c r="N748" s="95" t="n">
        <f aca="false">D748*K748</f>
        <v>13464000</v>
      </c>
      <c r="O748" s="95" t="n">
        <f aca="false">D748*L748</f>
        <v>20114632.8</v>
      </c>
      <c r="P748" s="34" t="str">
        <f aca="false">TRIM(IF(N(E748)&lt;=0,"택가보정 ","")&amp;IF(N(F748)&lt;=0,"원가보정 ","")&amp;IF(AND(B748&lt;&gt;"CN",N(H748)&lt;=0),"공급가보정 ","")&amp;IF(AND(B748="CN",N(I748)&lt;=0),"중국공급가=원가+마진 ",""))</f>
        <v/>
      </c>
    </row>
    <row r="749" customFormat="false" ht="15" hidden="false" customHeight="true" outlineLevel="0" collapsed="false">
      <c r="A749" s="94" t="s">
        <v>1686</v>
      </c>
      <c r="B749" s="34" t="str">
        <f aca="false">IF(A749="100","HK",IF(A749="200","CN",IF(A749="300","TW","홀세일")))</f>
        <v>TW</v>
      </c>
      <c r="C749" s="94" t="s">
        <v>460</v>
      </c>
      <c r="D749" s="95" t="n">
        <v>180</v>
      </c>
      <c r="E749" s="95" t="n">
        <v>159000</v>
      </c>
      <c r="F749" s="95" t="n">
        <v>35600</v>
      </c>
      <c r="G749" s="34" t="n">
        <v>3.05</v>
      </c>
      <c r="H749" s="34" t="n">
        <v>37.4</v>
      </c>
      <c r="I749" s="34" t="n">
        <v>0</v>
      </c>
      <c r="J749" s="95" t="n">
        <f aca="false">IF(N(E749)&gt;0,E749,IF(N(F749)&gt;0,F749*가정!$B$5,0))</f>
        <v>159000</v>
      </c>
      <c r="K749" s="95" t="n">
        <f aca="false">IF(N(F749)&gt;0,F749,IF(N(E749)&gt;0,E749/가정!$B$5,0))</f>
        <v>35600</v>
      </c>
      <c r="L749" s="95" t="n">
        <f aca="false">IF(B749="CN",IF(N(I749)&gt;0,I749*가정!$B$3,K749*(1+가정!$B$6)),IF(N(H749)&gt;0,H749*가정!$B$3,J749*가정!$B$4))</f>
        <v>50967.972</v>
      </c>
      <c r="M749" s="95" t="n">
        <f aca="false">D749*J749</f>
        <v>28620000</v>
      </c>
      <c r="N749" s="95" t="n">
        <f aca="false">D749*K749</f>
        <v>6408000</v>
      </c>
      <c r="O749" s="95" t="n">
        <f aca="false">D749*L749</f>
        <v>9174234.96</v>
      </c>
      <c r="P749" s="34" t="str">
        <f aca="false">TRIM(IF(N(E749)&lt;=0,"택가보정 ","")&amp;IF(N(F749)&lt;=0,"원가보정 ","")&amp;IF(AND(B749&lt;&gt;"CN",N(H749)&lt;=0),"공급가보정 ","")&amp;IF(AND(B749="CN",N(I749)&lt;=0),"중국공급가=원가+마진 ",""))</f>
        <v/>
      </c>
    </row>
    <row r="750" customFormat="false" ht="15" hidden="false" customHeight="true" outlineLevel="0" collapsed="false">
      <c r="A750" s="94" t="s">
        <v>1688</v>
      </c>
      <c r="B750" s="34" t="str">
        <f aca="false">IF(A750="100","HK",IF(A750="200","CN",IF(A750="300","TW","홀세일")))</f>
        <v>홀세일</v>
      </c>
      <c r="C750" s="94" t="s">
        <v>460</v>
      </c>
      <c r="D750" s="95" t="n">
        <v>40</v>
      </c>
      <c r="E750" s="95" t="n">
        <v>159000</v>
      </c>
      <c r="F750" s="95" t="n">
        <v>35600</v>
      </c>
      <c r="G750" s="34" t="n">
        <v>3.05</v>
      </c>
      <c r="H750" s="34" t="n">
        <v>37.4</v>
      </c>
      <c r="I750" s="34" t="n">
        <v>0</v>
      </c>
      <c r="J750" s="95" t="n">
        <f aca="false">IF(N(E750)&gt;0,E750,IF(N(F750)&gt;0,F750*가정!$B$5,0))</f>
        <v>159000</v>
      </c>
      <c r="K750" s="95" t="n">
        <f aca="false">IF(N(F750)&gt;0,F750,IF(N(E750)&gt;0,E750/가정!$B$5,0))</f>
        <v>35600</v>
      </c>
      <c r="L750" s="95" t="n">
        <f aca="false">IF(B750="CN",IF(N(I750)&gt;0,I750*가정!$B$3,K750*(1+가정!$B$6)),IF(N(H750)&gt;0,H750*가정!$B$3,J750*가정!$B$4))</f>
        <v>50967.972</v>
      </c>
      <c r="M750" s="95" t="n">
        <f aca="false">D750*J750</f>
        <v>6360000</v>
      </c>
      <c r="N750" s="95" t="n">
        <f aca="false">D750*K750</f>
        <v>1424000</v>
      </c>
      <c r="O750" s="95" t="n">
        <f aca="false">D750*L750</f>
        <v>2038718.88</v>
      </c>
      <c r="P750" s="34" t="str">
        <f aca="false">TRIM(IF(N(E750)&lt;=0,"택가보정 ","")&amp;IF(N(F750)&lt;=0,"원가보정 ","")&amp;IF(AND(B750&lt;&gt;"CN",N(H750)&lt;=0),"공급가보정 ","")&amp;IF(AND(B750="CN",N(I750)&lt;=0),"중국공급가=원가+마진 ",""))</f>
        <v/>
      </c>
    </row>
    <row r="751" customFormat="false" ht="15" hidden="false" customHeight="true" outlineLevel="0" collapsed="false">
      <c r="A751" s="94" t="s">
        <v>1686</v>
      </c>
      <c r="B751" s="34" t="str">
        <f aca="false">IF(A751="100","HK",IF(A751="200","CN",IF(A751="300","TW","홀세일")))</f>
        <v>TW</v>
      </c>
      <c r="C751" s="94" t="s">
        <v>462</v>
      </c>
      <c r="D751" s="95" t="n">
        <v>180</v>
      </c>
      <c r="E751" s="95" t="n">
        <v>169000</v>
      </c>
      <c r="F751" s="95" t="n">
        <v>40400</v>
      </c>
      <c r="G751" s="34" t="n">
        <v>3.69</v>
      </c>
      <c r="H751" s="34" t="n">
        <v>39.8</v>
      </c>
      <c r="I751" s="34" t="n">
        <v>0</v>
      </c>
      <c r="J751" s="95" t="n">
        <f aca="false">IF(N(E751)&gt;0,E751,IF(N(F751)&gt;0,F751*가정!$B$5,0))</f>
        <v>169000</v>
      </c>
      <c r="K751" s="95" t="n">
        <f aca="false">IF(N(F751)&gt;0,F751,IF(N(E751)&gt;0,E751/가정!$B$5,0))</f>
        <v>40400</v>
      </c>
      <c r="L751" s="95" t="n">
        <f aca="false">IF(B751="CN",IF(N(I751)&gt;0,I751*가정!$B$3,K751*(1+가정!$B$6)),IF(N(H751)&gt;0,H751*가정!$B$3,J751*가정!$B$4))</f>
        <v>54238.644</v>
      </c>
      <c r="M751" s="95" t="n">
        <f aca="false">D751*J751</f>
        <v>30420000</v>
      </c>
      <c r="N751" s="95" t="n">
        <f aca="false">D751*K751</f>
        <v>7272000</v>
      </c>
      <c r="O751" s="95" t="n">
        <f aca="false">D751*L751</f>
        <v>9762955.92</v>
      </c>
      <c r="P751" s="34" t="str">
        <f aca="false">TRIM(IF(N(E751)&lt;=0,"택가보정 ","")&amp;IF(N(F751)&lt;=0,"원가보정 ","")&amp;IF(AND(B751&lt;&gt;"CN",N(H751)&lt;=0),"공급가보정 ","")&amp;IF(AND(B751="CN",N(I751)&lt;=0),"중국공급가=원가+마진 ",""))</f>
        <v/>
      </c>
    </row>
    <row r="752" customFormat="false" ht="15" hidden="false" customHeight="true" outlineLevel="0" collapsed="false">
      <c r="A752" s="94" t="s">
        <v>1687</v>
      </c>
      <c r="B752" s="34" t="str">
        <f aca="false">IF(A752="100","HK",IF(A752="200","CN",IF(A752="300","TW","홀세일")))</f>
        <v>홀세일</v>
      </c>
      <c r="C752" s="94" t="s">
        <v>462</v>
      </c>
      <c r="D752" s="95" t="n">
        <v>270</v>
      </c>
      <c r="E752" s="95" t="n">
        <v>169000</v>
      </c>
      <c r="F752" s="95" t="n">
        <v>40400</v>
      </c>
      <c r="G752" s="34" t="n">
        <v>3.69</v>
      </c>
      <c r="H752" s="34" t="n">
        <v>39.8</v>
      </c>
      <c r="I752" s="34" t="n">
        <v>0</v>
      </c>
      <c r="J752" s="95" t="n">
        <f aca="false">IF(N(E752)&gt;0,E752,IF(N(F752)&gt;0,F752*가정!$B$5,0))</f>
        <v>169000</v>
      </c>
      <c r="K752" s="95" t="n">
        <f aca="false">IF(N(F752)&gt;0,F752,IF(N(E752)&gt;0,E752/가정!$B$5,0))</f>
        <v>40400</v>
      </c>
      <c r="L752" s="95" t="n">
        <f aca="false">IF(B752="CN",IF(N(I752)&gt;0,I752*가정!$B$3,K752*(1+가정!$B$6)),IF(N(H752)&gt;0,H752*가정!$B$3,J752*가정!$B$4))</f>
        <v>54238.644</v>
      </c>
      <c r="M752" s="95" t="n">
        <f aca="false">D752*J752</f>
        <v>45630000</v>
      </c>
      <c r="N752" s="95" t="n">
        <f aca="false">D752*K752</f>
        <v>10908000</v>
      </c>
      <c r="O752" s="95" t="n">
        <f aca="false">D752*L752</f>
        <v>14644433.88</v>
      </c>
      <c r="P752" s="34" t="str">
        <f aca="false">TRIM(IF(N(E752)&lt;=0,"택가보정 ","")&amp;IF(N(F752)&lt;=0,"원가보정 ","")&amp;IF(AND(B752&lt;&gt;"CN",N(H752)&lt;=0),"공급가보정 ","")&amp;IF(AND(B752="CN",N(I752)&lt;=0),"중국공급가=원가+마진 ",""))</f>
        <v/>
      </c>
    </row>
    <row r="753" customFormat="false" ht="15" hidden="false" customHeight="true" outlineLevel="0" collapsed="false">
      <c r="A753" s="94" t="s">
        <v>1686</v>
      </c>
      <c r="B753" s="34" t="str">
        <f aca="false">IF(A753="100","HK",IF(A753="200","CN",IF(A753="300","TW","홀세일")))</f>
        <v>TW</v>
      </c>
      <c r="C753" s="94" t="s">
        <v>464</v>
      </c>
      <c r="D753" s="95" t="n">
        <v>150</v>
      </c>
      <c r="E753" s="95" t="n">
        <v>159000</v>
      </c>
      <c r="F753" s="95" t="n">
        <v>39900</v>
      </c>
      <c r="G753" s="34" t="n">
        <v>3.7</v>
      </c>
      <c r="H753" s="34" t="n">
        <v>38.5</v>
      </c>
      <c r="I753" s="34" t="n">
        <v>0</v>
      </c>
      <c r="J753" s="95" t="n">
        <f aca="false">IF(N(E753)&gt;0,E753,IF(N(F753)&gt;0,F753*가정!$B$5,0))</f>
        <v>159000</v>
      </c>
      <c r="K753" s="95" t="n">
        <f aca="false">IF(N(F753)&gt;0,F753,IF(N(E753)&gt;0,E753/가정!$B$5,0))</f>
        <v>39900</v>
      </c>
      <c r="L753" s="95" t="n">
        <f aca="false">IF(B753="CN",IF(N(I753)&gt;0,I753*가정!$B$3,K753*(1+가정!$B$6)),IF(N(H753)&gt;0,H753*가정!$B$3,J753*가정!$B$4))</f>
        <v>52467.03</v>
      </c>
      <c r="M753" s="95" t="n">
        <f aca="false">D753*J753</f>
        <v>23850000</v>
      </c>
      <c r="N753" s="95" t="n">
        <f aca="false">D753*K753</f>
        <v>5985000</v>
      </c>
      <c r="O753" s="95" t="n">
        <f aca="false">D753*L753</f>
        <v>7870054.5</v>
      </c>
      <c r="P753" s="34" t="str">
        <f aca="false">TRIM(IF(N(E753)&lt;=0,"택가보정 ","")&amp;IF(N(F753)&lt;=0,"원가보정 ","")&amp;IF(AND(B753&lt;&gt;"CN",N(H753)&lt;=0),"공급가보정 ","")&amp;IF(AND(B753="CN",N(I753)&lt;=0),"중국공급가=원가+마진 ",""))</f>
        <v/>
      </c>
    </row>
    <row r="754" customFormat="false" ht="15" hidden="false" customHeight="true" outlineLevel="0" collapsed="false">
      <c r="A754" s="94" t="s">
        <v>1685</v>
      </c>
      <c r="B754" s="34" t="str">
        <f aca="false">IF(A754="100","HK",IF(A754="200","CN",IF(A754="300","TW","홀세일")))</f>
        <v>CN</v>
      </c>
      <c r="C754" s="94" t="s">
        <v>1114</v>
      </c>
      <c r="D754" s="95" t="n">
        <v>142</v>
      </c>
      <c r="E754" s="95" t="n">
        <v>199000</v>
      </c>
      <c r="F754" s="95" t="n">
        <v>57899</v>
      </c>
      <c r="G754" s="34" t="n">
        <v>3.14</v>
      </c>
      <c r="H754" s="34" t="n">
        <v>46.8</v>
      </c>
      <c r="I754" s="34" t="n">
        <v>45.8</v>
      </c>
      <c r="J754" s="95" t="n">
        <f aca="false">IF(N(E754)&gt;0,E754,IF(N(F754)&gt;0,F754*가정!$B$5,0))</f>
        <v>199000</v>
      </c>
      <c r="K754" s="95" t="n">
        <f aca="false">IF(N(F754)&gt;0,F754,IF(N(E754)&gt;0,E754/가정!$B$5,0))</f>
        <v>57899</v>
      </c>
      <c r="L754" s="95" t="n">
        <f aca="false">IF(B754="CN",IF(N(I754)&gt;0,I754*가정!$B$3,K754*(1+가정!$B$6)),IF(N(H754)&gt;0,H754*가정!$B$3,J754*가정!$B$4))</f>
        <v>62415.324</v>
      </c>
      <c r="M754" s="95" t="n">
        <f aca="false">D754*J754</f>
        <v>28258000</v>
      </c>
      <c r="N754" s="95" t="n">
        <f aca="false">D754*K754</f>
        <v>8221658</v>
      </c>
      <c r="O754" s="95" t="n">
        <f aca="false">D754*L754</f>
        <v>8862976.008</v>
      </c>
      <c r="P754" s="34" t="str">
        <f aca="false">TRIM(IF(N(E754)&lt;=0,"택가보정 ","")&amp;IF(N(F754)&lt;=0,"원가보정 ","")&amp;IF(AND(B754&lt;&gt;"CN",N(H754)&lt;=0),"공급가보정 ","")&amp;IF(AND(B754="CN",N(I754)&lt;=0),"중국공급가=원가+마진 ",""))</f>
        <v/>
      </c>
    </row>
    <row r="755" customFormat="false" ht="15" hidden="false" customHeight="true" outlineLevel="0" collapsed="false">
      <c r="A755" s="94" t="s">
        <v>1687</v>
      </c>
      <c r="B755" s="34" t="str">
        <f aca="false">IF(A755="100","HK",IF(A755="200","CN",IF(A755="300","TW","홀세일")))</f>
        <v>홀세일</v>
      </c>
      <c r="C755" s="94" t="s">
        <v>1114</v>
      </c>
      <c r="D755" s="95" t="n">
        <v>40</v>
      </c>
      <c r="E755" s="95" t="n">
        <v>199000</v>
      </c>
      <c r="F755" s="95" t="n">
        <v>57899</v>
      </c>
      <c r="G755" s="34" t="n">
        <v>3.14</v>
      </c>
      <c r="H755" s="34" t="n">
        <v>46.8</v>
      </c>
      <c r="I755" s="34" t="n">
        <v>45.8</v>
      </c>
      <c r="J755" s="95" t="n">
        <f aca="false">IF(N(E755)&gt;0,E755,IF(N(F755)&gt;0,F755*가정!$B$5,0))</f>
        <v>199000</v>
      </c>
      <c r="K755" s="95" t="n">
        <f aca="false">IF(N(F755)&gt;0,F755,IF(N(E755)&gt;0,E755/가정!$B$5,0))</f>
        <v>57899</v>
      </c>
      <c r="L755" s="95" t="n">
        <f aca="false">IF(B755="CN",IF(N(I755)&gt;0,I755*가정!$B$3,K755*(1+가정!$B$6)),IF(N(H755)&gt;0,H755*가정!$B$3,J755*가정!$B$4))</f>
        <v>63778.104</v>
      </c>
      <c r="M755" s="95" t="n">
        <f aca="false">D755*J755</f>
        <v>7960000</v>
      </c>
      <c r="N755" s="95" t="n">
        <f aca="false">D755*K755</f>
        <v>2315960</v>
      </c>
      <c r="O755" s="95" t="n">
        <f aca="false">D755*L755</f>
        <v>2551124.16</v>
      </c>
      <c r="P755" s="34" t="str">
        <f aca="false">TRIM(IF(N(E755)&lt;=0,"택가보정 ","")&amp;IF(N(F755)&lt;=0,"원가보정 ","")&amp;IF(AND(B755&lt;&gt;"CN",N(H755)&lt;=0),"공급가보정 ","")&amp;IF(AND(B755="CN",N(I755)&lt;=0),"중국공급가=원가+마진 ",""))</f>
        <v/>
      </c>
    </row>
    <row r="756" customFormat="false" ht="15" hidden="false" customHeight="true" outlineLevel="0" collapsed="false">
      <c r="A756" s="94" t="s">
        <v>1684</v>
      </c>
      <c r="B756" s="34" t="str">
        <f aca="false">IF(A756="100","HK",IF(A756="200","CN",IF(A756="300","TW","홀세일")))</f>
        <v>HK</v>
      </c>
      <c r="C756" s="94" t="s">
        <v>933</v>
      </c>
      <c r="D756" s="95" t="n">
        <v>120</v>
      </c>
      <c r="E756" s="95" t="n">
        <v>179000</v>
      </c>
      <c r="F756" s="95" t="n">
        <v>50900</v>
      </c>
      <c r="G756" s="34" t="n">
        <v>3.09</v>
      </c>
      <c r="H756" s="34" t="n">
        <v>42.1</v>
      </c>
      <c r="I756" s="34" t="n">
        <v>0</v>
      </c>
      <c r="J756" s="95" t="n">
        <f aca="false">IF(N(E756)&gt;0,E756,IF(N(F756)&gt;0,F756*가정!$B$5,0))</f>
        <v>179000</v>
      </c>
      <c r="K756" s="95" t="n">
        <f aca="false">IF(N(F756)&gt;0,F756,IF(N(E756)&gt;0,E756/가정!$B$5,0))</f>
        <v>50900</v>
      </c>
      <c r="L756" s="95" t="n">
        <f aca="false">IF(B756="CN",IF(N(I756)&gt;0,I756*가정!$B$3,K756*(1+가정!$B$6)),IF(N(H756)&gt;0,H756*가정!$B$3,J756*가정!$B$4))</f>
        <v>57373.038</v>
      </c>
      <c r="M756" s="95" t="n">
        <f aca="false">D756*J756</f>
        <v>21480000</v>
      </c>
      <c r="N756" s="95" t="n">
        <f aca="false">D756*K756</f>
        <v>6108000</v>
      </c>
      <c r="O756" s="95" t="n">
        <f aca="false">D756*L756</f>
        <v>6884764.56</v>
      </c>
      <c r="P756" s="34" t="str">
        <f aca="false">TRIM(IF(N(E756)&lt;=0,"택가보정 ","")&amp;IF(N(F756)&lt;=0,"원가보정 ","")&amp;IF(AND(B756&lt;&gt;"CN",N(H756)&lt;=0),"공급가보정 ","")&amp;IF(AND(B756="CN",N(I756)&lt;=0),"중국공급가=원가+마진 ",""))</f>
        <v/>
      </c>
    </row>
    <row r="757" customFormat="false" ht="15" hidden="false" customHeight="true" outlineLevel="0" collapsed="false">
      <c r="A757" s="94" t="s">
        <v>1689</v>
      </c>
      <c r="B757" s="34" t="str">
        <f aca="false">IF(A757="100","HK",IF(A757="200","CN",IF(A757="300","TW","홀세일")))</f>
        <v>홀세일</v>
      </c>
      <c r="C757" s="94" t="s">
        <v>933</v>
      </c>
      <c r="D757" s="95" t="n">
        <v>40</v>
      </c>
      <c r="E757" s="95" t="n">
        <v>179000</v>
      </c>
      <c r="F757" s="95" t="n">
        <v>50900</v>
      </c>
      <c r="G757" s="34" t="n">
        <v>3.09</v>
      </c>
      <c r="H757" s="34" t="n">
        <v>42.1</v>
      </c>
      <c r="I757" s="34" t="n">
        <v>0</v>
      </c>
      <c r="J757" s="95" t="n">
        <f aca="false">IF(N(E757)&gt;0,E757,IF(N(F757)&gt;0,F757*가정!$B$5,0))</f>
        <v>179000</v>
      </c>
      <c r="K757" s="95" t="n">
        <f aca="false">IF(N(F757)&gt;0,F757,IF(N(E757)&gt;0,E757/가정!$B$5,0))</f>
        <v>50900</v>
      </c>
      <c r="L757" s="95" t="n">
        <f aca="false">IF(B757="CN",IF(N(I757)&gt;0,I757*가정!$B$3,K757*(1+가정!$B$6)),IF(N(H757)&gt;0,H757*가정!$B$3,J757*가정!$B$4))</f>
        <v>57373.038</v>
      </c>
      <c r="M757" s="95" t="n">
        <f aca="false">D757*J757</f>
        <v>7160000</v>
      </c>
      <c r="N757" s="95" t="n">
        <f aca="false">D757*K757</f>
        <v>2036000</v>
      </c>
      <c r="O757" s="95" t="n">
        <f aca="false">D757*L757</f>
        <v>2294921.52</v>
      </c>
      <c r="P757" s="34" t="str">
        <f aca="false">TRIM(IF(N(E757)&lt;=0,"택가보정 ","")&amp;IF(N(F757)&lt;=0,"원가보정 ","")&amp;IF(AND(B757&lt;&gt;"CN",N(H757)&lt;=0),"공급가보정 ","")&amp;IF(AND(B757="CN",N(I757)&lt;=0),"중국공급가=원가+마진 ",""))</f>
        <v/>
      </c>
    </row>
    <row r="758" customFormat="false" ht="15" hidden="false" customHeight="true" outlineLevel="0" collapsed="false">
      <c r="A758" s="94" t="s">
        <v>1685</v>
      </c>
      <c r="B758" s="34" t="str">
        <f aca="false">IF(A758="100","HK",IF(A758="200","CN",IF(A758="300","TW","홀세일")))</f>
        <v>CN</v>
      </c>
      <c r="C758" s="94" t="s">
        <v>1116</v>
      </c>
      <c r="D758" s="95" t="n">
        <v>71</v>
      </c>
      <c r="E758" s="95" t="n">
        <v>279000</v>
      </c>
      <c r="F758" s="95" t="n">
        <v>73158</v>
      </c>
      <c r="G758" s="34" t="n">
        <v>3.21</v>
      </c>
      <c r="H758" s="34" t="n">
        <v>69.9</v>
      </c>
      <c r="I758" s="34" t="n">
        <v>61.8</v>
      </c>
      <c r="J758" s="95" t="n">
        <f aca="false">IF(N(E758)&gt;0,E758,IF(N(F758)&gt;0,F758*가정!$B$5,0))</f>
        <v>279000</v>
      </c>
      <c r="K758" s="95" t="n">
        <f aca="false">IF(N(F758)&gt;0,F758,IF(N(E758)&gt;0,E758/가정!$B$5,0))</f>
        <v>73158</v>
      </c>
      <c r="L758" s="95" t="n">
        <f aca="false">IF(B758="CN",IF(N(I758)&gt;0,I758*가정!$B$3,K758*(1+가정!$B$6)),IF(N(H758)&gt;0,H758*가정!$B$3,J758*가정!$B$4))</f>
        <v>84219.804</v>
      </c>
      <c r="M758" s="95" t="n">
        <f aca="false">D758*J758</f>
        <v>19809000</v>
      </c>
      <c r="N758" s="95" t="n">
        <f aca="false">D758*K758</f>
        <v>5194218</v>
      </c>
      <c r="O758" s="95" t="n">
        <f aca="false">D758*L758</f>
        <v>5979606.084</v>
      </c>
      <c r="P758" s="34" t="str">
        <f aca="false">TRIM(IF(N(E758)&lt;=0,"택가보정 ","")&amp;IF(N(F758)&lt;=0,"원가보정 ","")&amp;IF(AND(B758&lt;&gt;"CN",N(H758)&lt;=0),"공급가보정 ","")&amp;IF(AND(B758="CN",N(I758)&lt;=0),"중국공급가=원가+마진 ",""))</f>
        <v/>
      </c>
    </row>
    <row r="759" customFormat="false" ht="15" hidden="false" customHeight="true" outlineLevel="0" collapsed="false">
      <c r="A759" s="94" t="s">
        <v>1687</v>
      </c>
      <c r="B759" s="34" t="str">
        <f aca="false">IF(A759="100","HK",IF(A759="200","CN",IF(A759="300","TW","홀세일")))</f>
        <v>홀세일</v>
      </c>
      <c r="C759" s="94" t="s">
        <v>1116</v>
      </c>
      <c r="D759" s="95" t="n">
        <v>100</v>
      </c>
      <c r="E759" s="95" t="n">
        <v>279000</v>
      </c>
      <c r="F759" s="95" t="n">
        <v>73158</v>
      </c>
      <c r="G759" s="34" t="n">
        <v>3.21</v>
      </c>
      <c r="H759" s="34" t="n">
        <v>69.9</v>
      </c>
      <c r="I759" s="34" t="n">
        <v>61.8</v>
      </c>
      <c r="J759" s="95" t="n">
        <f aca="false">IF(N(E759)&gt;0,E759,IF(N(F759)&gt;0,F759*가정!$B$5,0))</f>
        <v>279000</v>
      </c>
      <c r="K759" s="95" t="n">
        <f aca="false">IF(N(F759)&gt;0,F759,IF(N(E759)&gt;0,E759/가정!$B$5,0))</f>
        <v>73158</v>
      </c>
      <c r="L759" s="95" t="n">
        <f aca="false">IF(B759="CN",IF(N(I759)&gt;0,I759*가정!$B$3,K759*(1+가정!$B$6)),IF(N(H759)&gt;0,H759*가정!$B$3,J759*가정!$B$4))</f>
        <v>95258.322</v>
      </c>
      <c r="M759" s="95" t="n">
        <f aca="false">D759*J759</f>
        <v>27900000</v>
      </c>
      <c r="N759" s="95" t="n">
        <f aca="false">D759*K759</f>
        <v>7315800</v>
      </c>
      <c r="O759" s="95" t="n">
        <f aca="false">D759*L759</f>
        <v>9525832.2</v>
      </c>
      <c r="P759" s="34" t="str">
        <f aca="false">TRIM(IF(N(E759)&lt;=0,"택가보정 ","")&amp;IF(N(F759)&lt;=0,"원가보정 ","")&amp;IF(AND(B759&lt;&gt;"CN",N(H759)&lt;=0),"공급가보정 ","")&amp;IF(AND(B759="CN",N(I759)&lt;=0),"중국공급가=원가+마진 ",""))</f>
        <v/>
      </c>
    </row>
    <row r="760" customFormat="false" ht="15" hidden="false" customHeight="true" outlineLevel="0" collapsed="false">
      <c r="A760" s="94" t="s">
        <v>1692</v>
      </c>
      <c r="B760" s="34" t="str">
        <f aca="false">IF(A760="100","HK",IF(A760="200","CN",IF(A760="300","TW","홀세일")))</f>
        <v>홀세일</v>
      </c>
      <c r="C760" s="94" t="s">
        <v>1116</v>
      </c>
      <c r="D760" s="95" t="n">
        <v>152</v>
      </c>
      <c r="E760" s="95" t="n">
        <v>279000</v>
      </c>
      <c r="F760" s="95" t="n">
        <v>73158</v>
      </c>
      <c r="G760" s="34" t="n">
        <v>3.21</v>
      </c>
      <c r="H760" s="34" t="n">
        <v>69.9</v>
      </c>
      <c r="I760" s="34" t="n">
        <v>61.8</v>
      </c>
      <c r="J760" s="95" t="n">
        <f aca="false">IF(N(E760)&gt;0,E760,IF(N(F760)&gt;0,F760*가정!$B$5,0))</f>
        <v>279000</v>
      </c>
      <c r="K760" s="95" t="n">
        <f aca="false">IF(N(F760)&gt;0,F760,IF(N(E760)&gt;0,E760/가정!$B$5,0))</f>
        <v>73158</v>
      </c>
      <c r="L760" s="95" t="n">
        <f aca="false">IF(B760="CN",IF(N(I760)&gt;0,I760*가정!$B$3,K760*(1+가정!$B$6)),IF(N(H760)&gt;0,H760*가정!$B$3,J760*가정!$B$4))</f>
        <v>95258.322</v>
      </c>
      <c r="M760" s="95" t="n">
        <f aca="false">D760*J760</f>
        <v>42408000</v>
      </c>
      <c r="N760" s="95" t="n">
        <f aca="false">D760*K760</f>
        <v>11120016</v>
      </c>
      <c r="O760" s="95" t="n">
        <f aca="false">D760*L760</f>
        <v>14479264.944</v>
      </c>
      <c r="P760" s="34" t="str">
        <f aca="false">TRIM(IF(N(E760)&lt;=0,"택가보정 ","")&amp;IF(N(F760)&lt;=0,"원가보정 ","")&amp;IF(AND(B760&lt;&gt;"CN",N(H760)&lt;=0),"공급가보정 ","")&amp;IF(AND(B760="CN",N(I760)&lt;=0),"중국공급가=원가+마진 ",""))</f>
        <v/>
      </c>
    </row>
    <row r="761" customFormat="false" ht="15" hidden="false" customHeight="true" outlineLevel="0" collapsed="false">
      <c r="A761" s="94" t="s">
        <v>1684</v>
      </c>
      <c r="B761" s="34" t="str">
        <f aca="false">IF(A761="100","HK",IF(A761="200","CN",IF(A761="300","TW","홀세일")))</f>
        <v>HK</v>
      </c>
      <c r="C761" s="94" t="s">
        <v>935</v>
      </c>
      <c r="D761" s="95" t="n">
        <v>140</v>
      </c>
      <c r="E761" s="95" t="n">
        <v>259000</v>
      </c>
      <c r="F761" s="95" t="n">
        <v>70900</v>
      </c>
      <c r="G761" s="34" t="n">
        <v>3.63</v>
      </c>
      <c r="H761" s="34" t="n">
        <v>64.9</v>
      </c>
      <c r="I761" s="34" t="n">
        <v>0</v>
      </c>
      <c r="J761" s="95" t="n">
        <f aca="false">IF(N(E761)&gt;0,E761,IF(N(F761)&gt;0,F761*가정!$B$5,0))</f>
        <v>259000</v>
      </c>
      <c r="K761" s="95" t="n">
        <f aca="false">IF(N(F761)&gt;0,F761,IF(N(E761)&gt;0,E761/가정!$B$5,0))</f>
        <v>70900</v>
      </c>
      <c r="L761" s="95" t="n">
        <f aca="false">IF(B761="CN",IF(N(I761)&gt;0,I761*가정!$B$3,K761*(1+가정!$B$6)),IF(N(H761)&gt;0,H761*가정!$B$3,J761*가정!$B$4))</f>
        <v>88444.422</v>
      </c>
      <c r="M761" s="95" t="n">
        <f aca="false">D761*J761</f>
        <v>36260000</v>
      </c>
      <c r="N761" s="95" t="n">
        <f aca="false">D761*K761</f>
        <v>9926000</v>
      </c>
      <c r="O761" s="95" t="n">
        <f aca="false">D761*L761</f>
        <v>12382219.08</v>
      </c>
      <c r="P761" s="34" t="str">
        <f aca="false">TRIM(IF(N(E761)&lt;=0,"택가보정 ","")&amp;IF(N(F761)&lt;=0,"원가보정 ","")&amp;IF(AND(B761&lt;&gt;"CN",N(H761)&lt;=0),"공급가보정 ","")&amp;IF(AND(B761="CN",N(I761)&lt;=0),"중국공급가=원가+마진 ",""))</f>
        <v/>
      </c>
    </row>
    <row r="762" customFormat="false" ht="15" hidden="false" customHeight="true" outlineLevel="0" collapsed="false">
      <c r="A762" s="94" t="s">
        <v>1688</v>
      </c>
      <c r="B762" s="34" t="str">
        <f aca="false">IF(A762="100","HK",IF(A762="200","CN",IF(A762="300","TW","홀세일")))</f>
        <v>홀세일</v>
      </c>
      <c r="C762" s="94" t="s">
        <v>935</v>
      </c>
      <c r="D762" s="95" t="n">
        <v>20</v>
      </c>
      <c r="E762" s="95" t="n">
        <v>259000</v>
      </c>
      <c r="F762" s="95" t="n">
        <v>70900</v>
      </c>
      <c r="G762" s="34" t="n">
        <v>3.63</v>
      </c>
      <c r="H762" s="34" t="n">
        <v>64.9</v>
      </c>
      <c r="I762" s="34" t="n">
        <v>0</v>
      </c>
      <c r="J762" s="95" t="n">
        <f aca="false">IF(N(E762)&gt;0,E762,IF(N(F762)&gt;0,F762*가정!$B$5,0))</f>
        <v>259000</v>
      </c>
      <c r="K762" s="95" t="n">
        <f aca="false">IF(N(F762)&gt;0,F762,IF(N(E762)&gt;0,E762/가정!$B$5,0))</f>
        <v>70900</v>
      </c>
      <c r="L762" s="95" t="n">
        <f aca="false">IF(B762="CN",IF(N(I762)&gt;0,I762*가정!$B$3,K762*(1+가정!$B$6)),IF(N(H762)&gt;0,H762*가정!$B$3,J762*가정!$B$4))</f>
        <v>88444.422</v>
      </c>
      <c r="M762" s="95" t="n">
        <f aca="false">D762*J762</f>
        <v>5180000</v>
      </c>
      <c r="N762" s="95" t="n">
        <f aca="false">D762*K762</f>
        <v>1418000</v>
      </c>
      <c r="O762" s="95" t="n">
        <f aca="false">D762*L762</f>
        <v>1768888.44</v>
      </c>
      <c r="P762" s="34" t="str">
        <f aca="false">TRIM(IF(N(E762)&lt;=0,"택가보정 ","")&amp;IF(N(F762)&lt;=0,"원가보정 ","")&amp;IF(AND(B762&lt;&gt;"CN",N(H762)&lt;=0),"공급가보정 ","")&amp;IF(AND(B762="CN",N(I762)&lt;=0),"중국공급가=원가+마진 ",""))</f>
        <v/>
      </c>
    </row>
    <row r="763" customFormat="false" ht="15" hidden="false" customHeight="true" outlineLevel="0" collapsed="false">
      <c r="A763" s="94" t="s">
        <v>1687</v>
      </c>
      <c r="B763" s="34" t="str">
        <f aca="false">IF(A763="100","HK",IF(A763="200","CN",IF(A763="300","TW","홀세일")))</f>
        <v>홀세일</v>
      </c>
      <c r="C763" s="94" t="s">
        <v>1705</v>
      </c>
      <c r="D763" s="95" t="n">
        <v>240</v>
      </c>
      <c r="E763" s="95" t="n">
        <v>259000</v>
      </c>
      <c r="F763" s="95" t="n">
        <v>77400</v>
      </c>
      <c r="G763" s="34" t="n">
        <v>3.02</v>
      </c>
      <c r="H763" s="34" t="n">
        <v>64.9</v>
      </c>
      <c r="I763" s="34" t="n">
        <v>0</v>
      </c>
      <c r="J763" s="95" t="n">
        <f aca="false">IF(N(E763)&gt;0,E763,IF(N(F763)&gt;0,F763*가정!$B$5,0))</f>
        <v>259000</v>
      </c>
      <c r="K763" s="95" t="n">
        <f aca="false">IF(N(F763)&gt;0,F763,IF(N(E763)&gt;0,E763/가정!$B$5,0))</f>
        <v>77400</v>
      </c>
      <c r="L763" s="95" t="n">
        <f aca="false">IF(B763="CN",IF(N(I763)&gt;0,I763*가정!$B$3,K763*(1+가정!$B$6)),IF(N(H763)&gt;0,H763*가정!$B$3,J763*가정!$B$4))</f>
        <v>88444.422</v>
      </c>
      <c r="M763" s="95" t="n">
        <f aca="false">D763*J763</f>
        <v>62160000</v>
      </c>
      <c r="N763" s="95" t="n">
        <f aca="false">D763*K763</f>
        <v>18576000</v>
      </c>
      <c r="O763" s="95" t="n">
        <f aca="false">D763*L763</f>
        <v>21226661.28</v>
      </c>
      <c r="P763" s="34" t="str">
        <f aca="false">TRIM(IF(N(E763)&lt;=0,"택가보정 ","")&amp;IF(N(F763)&lt;=0,"원가보정 ","")&amp;IF(AND(B763&lt;&gt;"CN",N(H763)&lt;=0),"공급가보정 ","")&amp;IF(AND(B763="CN",N(I763)&lt;=0),"중국공급가=원가+마진 ",""))</f>
        <v/>
      </c>
    </row>
    <row r="764" customFormat="false" ht="15" hidden="false" customHeight="true" outlineLevel="0" collapsed="false">
      <c r="A764" s="94" t="s">
        <v>1684</v>
      </c>
      <c r="B764" s="34" t="str">
        <f aca="false">IF(A764="100","HK",IF(A764="200","CN",IF(A764="300","TW","홀세일")))</f>
        <v>HK</v>
      </c>
      <c r="C764" s="94" t="s">
        <v>466</v>
      </c>
      <c r="D764" s="95" t="n">
        <v>90</v>
      </c>
      <c r="E764" s="95" t="n">
        <v>590000</v>
      </c>
      <c r="F764" s="95" t="n">
        <v>208454</v>
      </c>
      <c r="G764" s="34" t="n">
        <v>3.15</v>
      </c>
      <c r="H764" s="34" t="n">
        <v>147.7</v>
      </c>
      <c r="I764" s="34" t="n">
        <v>148.7</v>
      </c>
      <c r="J764" s="95" t="n">
        <f aca="false">IF(N(E764)&gt;0,E764,IF(N(F764)&gt;0,F764*가정!$B$5,0))</f>
        <v>590000</v>
      </c>
      <c r="K764" s="95" t="n">
        <f aca="false">IF(N(F764)&gt;0,F764,IF(N(E764)&gt;0,E764/가정!$B$5,0))</f>
        <v>208454</v>
      </c>
      <c r="L764" s="95" t="n">
        <f aca="false">IF(B764="CN",IF(N(I764)&gt;0,I764*가정!$B$3,K764*(1+가정!$B$6)),IF(N(H764)&gt;0,H764*가정!$B$3,J764*가정!$B$4))</f>
        <v>201282.606</v>
      </c>
      <c r="M764" s="95" t="n">
        <f aca="false">D764*J764</f>
        <v>53100000</v>
      </c>
      <c r="N764" s="95" t="n">
        <f aca="false">D764*K764</f>
        <v>18760860</v>
      </c>
      <c r="O764" s="95" t="n">
        <f aca="false">D764*L764</f>
        <v>18115434.54</v>
      </c>
      <c r="P764" s="34" t="str">
        <f aca="false">TRIM(IF(N(E764)&lt;=0,"택가보정 ","")&amp;IF(N(F764)&lt;=0,"원가보정 ","")&amp;IF(AND(B764&lt;&gt;"CN",N(H764)&lt;=0),"공급가보정 ","")&amp;IF(AND(B764="CN",N(I764)&lt;=0),"중국공급가=원가+마진 ",""))</f>
        <v/>
      </c>
    </row>
    <row r="765" customFormat="false" ht="15" hidden="false" customHeight="true" outlineLevel="0" collapsed="false">
      <c r="A765" s="94" t="s">
        <v>1685</v>
      </c>
      <c r="B765" s="34" t="str">
        <f aca="false">IF(A765="100","HK",IF(A765="200","CN",IF(A765="300","TW","홀세일")))</f>
        <v>CN</v>
      </c>
      <c r="C765" s="94" t="s">
        <v>466</v>
      </c>
      <c r="D765" s="95" t="n">
        <v>82</v>
      </c>
      <c r="E765" s="95" t="n">
        <v>590000</v>
      </c>
      <c r="F765" s="95" t="n">
        <v>208454</v>
      </c>
      <c r="G765" s="34" t="n">
        <v>3.15</v>
      </c>
      <c r="H765" s="34" t="n">
        <v>147.7</v>
      </c>
      <c r="I765" s="34" t="n">
        <v>148.7</v>
      </c>
      <c r="J765" s="95" t="n">
        <f aca="false">IF(N(E765)&gt;0,E765,IF(N(F765)&gt;0,F765*가정!$B$5,0))</f>
        <v>590000</v>
      </c>
      <c r="K765" s="95" t="n">
        <f aca="false">IF(N(F765)&gt;0,F765,IF(N(E765)&gt;0,E765/가정!$B$5,0))</f>
        <v>208454</v>
      </c>
      <c r="L765" s="95" t="n">
        <f aca="false">IF(B765="CN",IF(N(I765)&gt;0,I765*가정!$B$3,K765*(1+가정!$B$6)),IF(N(H765)&gt;0,H765*가정!$B$3,J765*가정!$B$4))</f>
        <v>202645.386</v>
      </c>
      <c r="M765" s="95" t="n">
        <f aca="false">D765*J765</f>
        <v>48380000</v>
      </c>
      <c r="N765" s="95" t="n">
        <f aca="false">D765*K765</f>
        <v>17093228</v>
      </c>
      <c r="O765" s="95" t="n">
        <f aca="false">D765*L765</f>
        <v>16616921.652</v>
      </c>
      <c r="P765" s="34" t="str">
        <f aca="false">TRIM(IF(N(E765)&lt;=0,"택가보정 ","")&amp;IF(N(F765)&lt;=0,"원가보정 ","")&amp;IF(AND(B765&lt;&gt;"CN",N(H765)&lt;=0),"공급가보정 ","")&amp;IF(AND(B765="CN",N(I765)&lt;=0),"중국공급가=원가+마진 ",""))</f>
        <v/>
      </c>
    </row>
    <row r="766" customFormat="false" ht="15" hidden="false" customHeight="true" outlineLevel="0" collapsed="false">
      <c r="A766" s="94" t="s">
        <v>1686</v>
      </c>
      <c r="B766" s="34" t="str">
        <f aca="false">IF(A766="100","HK",IF(A766="200","CN",IF(A766="300","TW","홀세일")))</f>
        <v>TW</v>
      </c>
      <c r="C766" s="94" t="s">
        <v>466</v>
      </c>
      <c r="D766" s="95" t="n">
        <v>360</v>
      </c>
      <c r="E766" s="95" t="n">
        <v>590000</v>
      </c>
      <c r="F766" s="95" t="n">
        <v>208454</v>
      </c>
      <c r="G766" s="34" t="n">
        <v>3.15</v>
      </c>
      <c r="H766" s="34" t="n">
        <v>147.7</v>
      </c>
      <c r="I766" s="34" t="n">
        <v>148.7</v>
      </c>
      <c r="J766" s="95" t="n">
        <f aca="false">IF(N(E766)&gt;0,E766,IF(N(F766)&gt;0,F766*가정!$B$5,0))</f>
        <v>590000</v>
      </c>
      <c r="K766" s="95" t="n">
        <f aca="false">IF(N(F766)&gt;0,F766,IF(N(E766)&gt;0,E766/가정!$B$5,0))</f>
        <v>208454</v>
      </c>
      <c r="L766" s="95" t="n">
        <f aca="false">IF(B766="CN",IF(N(I766)&gt;0,I766*가정!$B$3,K766*(1+가정!$B$6)),IF(N(H766)&gt;0,H766*가정!$B$3,J766*가정!$B$4))</f>
        <v>201282.606</v>
      </c>
      <c r="M766" s="95" t="n">
        <f aca="false">D766*J766</f>
        <v>212400000</v>
      </c>
      <c r="N766" s="95" t="n">
        <f aca="false">D766*K766</f>
        <v>75043440</v>
      </c>
      <c r="O766" s="95" t="n">
        <f aca="false">D766*L766</f>
        <v>72461738.16</v>
      </c>
      <c r="P766" s="34" t="str">
        <f aca="false">TRIM(IF(N(E766)&lt;=0,"택가보정 ","")&amp;IF(N(F766)&lt;=0,"원가보정 ","")&amp;IF(AND(B766&lt;&gt;"CN",N(H766)&lt;=0),"공급가보정 ","")&amp;IF(AND(B766="CN",N(I766)&lt;=0),"중국공급가=원가+마진 ",""))</f>
        <v/>
      </c>
    </row>
    <row r="767" customFormat="false" ht="15" hidden="false" customHeight="true" outlineLevel="0" collapsed="false">
      <c r="A767" s="94" t="s">
        <v>1688</v>
      </c>
      <c r="B767" s="34" t="str">
        <f aca="false">IF(A767="100","HK",IF(A767="200","CN",IF(A767="300","TW","홀세일")))</f>
        <v>홀세일</v>
      </c>
      <c r="C767" s="94" t="s">
        <v>466</v>
      </c>
      <c r="D767" s="95" t="n">
        <v>20</v>
      </c>
      <c r="E767" s="95" t="n">
        <v>590000</v>
      </c>
      <c r="F767" s="95" t="n">
        <v>208454</v>
      </c>
      <c r="G767" s="34" t="n">
        <v>3.15</v>
      </c>
      <c r="H767" s="34" t="n">
        <v>147.7</v>
      </c>
      <c r="I767" s="34" t="n">
        <v>148.7</v>
      </c>
      <c r="J767" s="95" t="n">
        <f aca="false">IF(N(E767)&gt;0,E767,IF(N(F767)&gt;0,F767*가정!$B$5,0))</f>
        <v>590000</v>
      </c>
      <c r="K767" s="95" t="n">
        <f aca="false">IF(N(F767)&gt;0,F767,IF(N(E767)&gt;0,E767/가정!$B$5,0))</f>
        <v>208454</v>
      </c>
      <c r="L767" s="95" t="n">
        <f aca="false">IF(B767="CN",IF(N(I767)&gt;0,I767*가정!$B$3,K767*(1+가정!$B$6)),IF(N(H767)&gt;0,H767*가정!$B$3,J767*가정!$B$4))</f>
        <v>201282.606</v>
      </c>
      <c r="M767" s="95" t="n">
        <f aca="false">D767*J767</f>
        <v>11800000</v>
      </c>
      <c r="N767" s="95" t="n">
        <f aca="false">D767*K767</f>
        <v>4169080</v>
      </c>
      <c r="O767" s="95" t="n">
        <f aca="false">D767*L767</f>
        <v>4025652.12</v>
      </c>
      <c r="P767" s="34" t="str">
        <f aca="false">TRIM(IF(N(E767)&lt;=0,"택가보정 ","")&amp;IF(N(F767)&lt;=0,"원가보정 ","")&amp;IF(AND(B767&lt;&gt;"CN",N(H767)&lt;=0),"공급가보정 ","")&amp;IF(AND(B767="CN",N(I767)&lt;=0),"중국공급가=원가+마진 ",""))</f>
        <v/>
      </c>
    </row>
    <row r="768" customFormat="false" ht="15" hidden="false" customHeight="true" outlineLevel="0" collapsed="false">
      <c r="A768" s="94" t="s">
        <v>1692</v>
      </c>
      <c r="B768" s="34" t="str">
        <f aca="false">IF(A768="100","HK",IF(A768="200","CN",IF(A768="300","TW","홀세일")))</f>
        <v>홀세일</v>
      </c>
      <c r="C768" s="94" t="s">
        <v>466</v>
      </c>
      <c r="D768" s="95" t="n">
        <v>122</v>
      </c>
      <c r="E768" s="95" t="n">
        <v>590000</v>
      </c>
      <c r="F768" s="95" t="n">
        <v>208454</v>
      </c>
      <c r="G768" s="34" t="n">
        <v>3.15</v>
      </c>
      <c r="H768" s="34" t="n">
        <v>147.7</v>
      </c>
      <c r="I768" s="34" t="n">
        <v>148.7</v>
      </c>
      <c r="J768" s="95" t="n">
        <f aca="false">IF(N(E768)&gt;0,E768,IF(N(F768)&gt;0,F768*가정!$B$5,0))</f>
        <v>590000</v>
      </c>
      <c r="K768" s="95" t="n">
        <f aca="false">IF(N(F768)&gt;0,F768,IF(N(E768)&gt;0,E768/가정!$B$5,0))</f>
        <v>208454</v>
      </c>
      <c r="L768" s="95" t="n">
        <f aca="false">IF(B768="CN",IF(N(I768)&gt;0,I768*가정!$B$3,K768*(1+가정!$B$6)),IF(N(H768)&gt;0,H768*가정!$B$3,J768*가정!$B$4))</f>
        <v>201282.606</v>
      </c>
      <c r="M768" s="95" t="n">
        <f aca="false">D768*J768</f>
        <v>71980000</v>
      </c>
      <c r="N768" s="95" t="n">
        <f aca="false">D768*K768</f>
        <v>25431388</v>
      </c>
      <c r="O768" s="95" t="n">
        <f aca="false">D768*L768</f>
        <v>24556477.932</v>
      </c>
      <c r="P768" s="34" t="str">
        <f aca="false">TRIM(IF(N(E768)&lt;=0,"택가보정 ","")&amp;IF(N(F768)&lt;=0,"원가보정 ","")&amp;IF(AND(B768&lt;&gt;"CN",N(H768)&lt;=0),"공급가보정 ","")&amp;IF(AND(B768="CN",N(I768)&lt;=0),"중국공급가=원가+마진 ",""))</f>
        <v/>
      </c>
    </row>
    <row r="769" customFormat="false" ht="15" hidden="false" customHeight="true" outlineLevel="0" collapsed="false">
      <c r="A769" s="94" t="s">
        <v>1685</v>
      </c>
      <c r="B769" s="34" t="str">
        <f aca="false">IF(A769="100","HK",IF(A769="200","CN",IF(A769="300","TW","홀세일")))</f>
        <v>CN</v>
      </c>
      <c r="C769" s="94" t="s">
        <v>1118</v>
      </c>
      <c r="D769" s="95" t="n">
        <v>197</v>
      </c>
      <c r="E769" s="95" t="n">
        <v>129000</v>
      </c>
      <c r="F769" s="95" t="n">
        <v>27898</v>
      </c>
      <c r="G769" s="34" t="n">
        <v>4.33</v>
      </c>
      <c r="H769" s="34" t="n">
        <v>30.4</v>
      </c>
      <c r="I769" s="34" t="n">
        <v>21.5</v>
      </c>
      <c r="J769" s="95" t="n">
        <f aca="false">IF(N(E769)&gt;0,E769,IF(N(F769)&gt;0,F769*가정!$B$5,0))</f>
        <v>129000</v>
      </c>
      <c r="K769" s="95" t="n">
        <f aca="false">IF(N(F769)&gt;0,F769,IF(N(E769)&gt;0,E769/가정!$B$5,0))</f>
        <v>27898</v>
      </c>
      <c r="L769" s="95" t="n">
        <f aca="false">IF(B769="CN",IF(N(I769)&gt;0,I769*가정!$B$3,K769*(1+가정!$B$6)),IF(N(H769)&gt;0,H769*가정!$B$3,J769*가정!$B$4))</f>
        <v>29299.77</v>
      </c>
      <c r="M769" s="95" t="n">
        <f aca="false">D769*J769</f>
        <v>25413000</v>
      </c>
      <c r="N769" s="95" t="n">
        <f aca="false">D769*K769</f>
        <v>5495906</v>
      </c>
      <c r="O769" s="95" t="n">
        <f aca="false">D769*L769</f>
        <v>5772054.69</v>
      </c>
      <c r="P769" s="34" t="str">
        <f aca="false">TRIM(IF(N(E769)&lt;=0,"택가보정 ","")&amp;IF(N(F769)&lt;=0,"원가보정 ","")&amp;IF(AND(B769&lt;&gt;"CN",N(H769)&lt;=0),"공급가보정 ","")&amp;IF(AND(B769="CN",N(I769)&lt;=0),"중국공급가=원가+마진 ",""))</f>
        <v/>
      </c>
    </row>
    <row r="770" customFormat="false" ht="15" hidden="false" customHeight="true" outlineLevel="0" collapsed="false">
      <c r="A770" s="94" t="s">
        <v>1688</v>
      </c>
      <c r="B770" s="34" t="str">
        <f aca="false">IF(A770="100","HK",IF(A770="200","CN",IF(A770="300","TW","홀세일")))</f>
        <v>홀세일</v>
      </c>
      <c r="C770" s="94" t="s">
        <v>1118</v>
      </c>
      <c r="D770" s="95" t="n">
        <v>30</v>
      </c>
      <c r="E770" s="95" t="n">
        <v>129000</v>
      </c>
      <c r="F770" s="95" t="n">
        <v>27898</v>
      </c>
      <c r="G770" s="34" t="n">
        <v>4.33</v>
      </c>
      <c r="H770" s="34" t="n">
        <v>30.4</v>
      </c>
      <c r="I770" s="34" t="n">
        <v>21.5</v>
      </c>
      <c r="J770" s="95" t="n">
        <f aca="false">IF(N(E770)&gt;0,E770,IF(N(F770)&gt;0,F770*가정!$B$5,0))</f>
        <v>129000</v>
      </c>
      <c r="K770" s="95" t="n">
        <f aca="false">IF(N(F770)&gt;0,F770,IF(N(E770)&gt;0,E770/가정!$B$5,0))</f>
        <v>27898</v>
      </c>
      <c r="L770" s="95" t="n">
        <f aca="false">IF(B770="CN",IF(N(I770)&gt;0,I770*가정!$B$3,K770*(1+가정!$B$6)),IF(N(H770)&gt;0,H770*가정!$B$3,J770*가정!$B$4))</f>
        <v>41428.512</v>
      </c>
      <c r="M770" s="95" t="n">
        <f aca="false">D770*J770</f>
        <v>3870000</v>
      </c>
      <c r="N770" s="95" t="n">
        <f aca="false">D770*K770</f>
        <v>836940</v>
      </c>
      <c r="O770" s="95" t="n">
        <f aca="false">D770*L770</f>
        <v>1242855.36</v>
      </c>
      <c r="P770" s="34" t="str">
        <f aca="false">TRIM(IF(N(E770)&lt;=0,"택가보정 ","")&amp;IF(N(F770)&lt;=0,"원가보정 ","")&amp;IF(AND(B770&lt;&gt;"CN",N(H770)&lt;=0),"공급가보정 ","")&amp;IF(AND(B770="CN",N(I770)&lt;=0),"중국공급가=원가+마진 ",""))</f>
        <v/>
      </c>
    </row>
    <row r="771" customFormat="false" ht="15" hidden="false" customHeight="true" outlineLevel="0" collapsed="false">
      <c r="A771" s="94" t="s">
        <v>1684</v>
      </c>
      <c r="B771" s="34" t="str">
        <f aca="false">IF(A771="100","HK",IF(A771="200","CN",IF(A771="300","TW","홀세일")))</f>
        <v>HK</v>
      </c>
      <c r="C771" s="94" t="s">
        <v>468</v>
      </c>
      <c r="D771" s="95" t="n">
        <v>90</v>
      </c>
      <c r="E771" s="95" t="n">
        <v>109000</v>
      </c>
      <c r="F771" s="95" t="n">
        <v>27300</v>
      </c>
      <c r="G771" s="34" t="n">
        <v>3.35</v>
      </c>
      <c r="H771" s="34" t="n">
        <v>25.7</v>
      </c>
      <c r="I771" s="34" t="n">
        <v>0</v>
      </c>
      <c r="J771" s="95" t="n">
        <f aca="false">IF(N(E771)&gt;0,E771,IF(N(F771)&gt;0,F771*가정!$B$5,0))</f>
        <v>109000</v>
      </c>
      <c r="K771" s="95" t="n">
        <f aca="false">IF(N(F771)&gt;0,F771,IF(N(E771)&gt;0,E771/가정!$B$5,0))</f>
        <v>27300</v>
      </c>
      <c r="L771" s="95" t="n">
        <f aca="false">IF(B771="CN",IF(N(I771)&gt;0,I771*가정!$B$3,K771*(1+가정!$B$6)),IF(N(H771)&gt;0,H771*가정!$B$3,J771*가정!$B$4))</f>
        <v>35023.446</v>
      </c>
      <c r="M771" s="95" t="n">
        <f aca="false">D771*J771</f>
        <v>9810000</v>
      </c>
      <c r="N771" s="95" t="n">
        <f aca="false">D771*K771</f>
        <v>2457000</v>
      </c>
      <c r="O771" s="95" t="n">
        <f aca="false">D771*L771</f>
        <v>3152110.14</v>
      </c>
      <c r="P771" s="34" t="str">
        <f aca="false">TRIM(IF(N(E771)&lt;=0,"택가보정 ","")&amp;IF(N(F771)&lt;=0,"원가보정 ","")&amp;IF(AND(B771&lt;&gt;"CN",N(H771)&lt;=0),"공급가보정 ","")&amp;IF(AND(B771="CN",N(I771)&lt;=0),"중국공급가=원가+마진 ",""))</f>
        <v/>
      </c>
    </row>
    <row r="772" customFormat="false" ht="15" hidden="false" customHeight="true" outlineLevel="0" collapsed="false">
      <c r="A772" s="94" t="s">
        <v>1686</v>
      </c>
      <c r="B772" s="34" t="str">
        <f aca="false">IF(A772="100","HK",IF(A772="200","CN",IF(A772="300","TW","홀세일")))</f>
        <v>TW</v>
      </c>
      <c r="C772" s="94" t="s">
        <v>468</v>
      </c>
      <c r="D772" s="95" t="n">
        <v>260</v>
      </c>
      <c r="E772" s="95" t="n">
        <v>109000</v>
      </c>
      <c r="F772" s="95" t="n">
        <v>27300</v>
      </c>
      <c r="G772" s="34" t="n">
        <v>3.35</v>
      </c>
      <c r="H772" s="34" t="n">
        <v>25.7</v>
      </c>
      <c r="I772" s="34" t="n">
        <v>0</v>
      </c>
      <c r="J772" s="95" t="n">
        <f aca="false">IF(N(E772)&gt;0,E772,IF(N(F772)&gt;0,F772*가정!$B$5,0))</f>
        <v>109000</v>
      </c>
      <c r="K772" s="95" t="n">
        <f aca="false">IF(N(F772)&gt;0,F772,IF(N(E772)&gt;0,E772/가정!$B$5,0))</f>
        <v>27300</v>
      </c>
      <c r="L772" s="95" t="n">
        <f aca="false">IF(B772="CN",IF(N(I772)&gt;0,I772*가정!$B$3,K772*(1+가정!$B$6)),IF(N(H772)&gt;0,H772*가정!$B$3,J772*가정!$B$4))</f>
        <v>35023.446</v>
      </c>
      <c r="M772" s="95" t="n">
        <f aca="false">D772*J772</f>
        <v>28340000</v>
      </c>
      <c r="N772" s="95" t="n">
        <f aca="false">D772*K772</f>
        <v>7098000</v>
      </c>
      <c r="O772" s="95" t="n">
        <f aca="false">D772*L772</f>
        <v>9106095.96</v>
      </c>
      <c r="P772" s="34" t="str">
        <f aca="false">TRIM(IF(N(E772)&lt;=0,"택가보정 ","")&amp;IF(N(F772)&lt;=0,"원가보정 ","")&amp;IF(AND(B772&lt;&gt;"CN",N(H772)&lt;=0),"공급가보정 ","")&amp;IF(AND(B772="CN",N(I772)&lt;=0),"중국공급가=원가+마진 ",""))</f>
        <v/>
      </c>
    </row>
    <row r="773" customFormat="false" ht="15" hidden="false" customHeight="true" outlineLevel="0" collapsed="false">
      <c r="A773" s="94" t="s">
        <v>1687</v>
      </c>
      <c r="B773" s="34" t="str">
        <f aca="false">IF(A773="100","HK",IF(A773="200","CN",IF(A773="300","TW","홀세일")))</f>
        <v>홀세일</v>
      </c>
      <c r="C773" s="94" t="s">
        <v>468</v>
      </c>
      <c r="D773" s="95" t="n">
        <v>80</v>
      </c>
      <c r="E773" s="95" t="n">
        <v>109000</v>
      </c>
      <c r="F773" s="95" t="n">
        <v>27300</v>
      </c>
      <c r="G773" s="34" t="n">
        <v>3.35</v>
      </c>
      <c r="H773" s="34" t="n">
        <v>25.7</v>
      </c>
      <c r="I773" s="34" t="n">
        <v>0</v>
      </c>
      <c r="J773" s="95" t="n">
        <f aca="false">IF(N(E773)&gt;0,E773,IF(N(F773)&gt;0,F773*가정!$B$5,0))</f>
        <v>109000</v>
      </c>
      <c r="K773" s="95" t="n">
        <f aca="false">IF(N(F773)&gt;0,F773,IF(N(E773)&gt;0,E773/가정!$B$5,0))</f>
        <v>27300</v>
      </c>
      <c r="L773" s="95" t="n">
        <f aca="false">IF(B773="CN",IF(N(I773)&gt;0,I773*가정!$B$3,K773*(1+가정!$B$6)),IF(N(H773)&gt;0,H773*가정!$B$3,J773*가정!$B$4))</f>
        <v>35023.446</v>
      </c>
      <c r="M773" s="95" t="n">
        <f aca="false">D773*J773</f>
        <v>8720000</v>
      </c>
      <c r="N773" s="95" t="n">
        <f aca="false">D773*K773</f>
        <v>2184000</v>
      </c>
      <c r="O773" s="95" t="n">
        <f aca="false">D773*L773</f>
        <v>2801875.68</v>
      </c>
      <c r="P773" s="34" t="str">
        <f aca="false">TRIM(IF(N(E773)&lt;=0,"택가보정 ","")&amp;IF(N(F773)&lt;=0,"원가보정 ","")&amp;IF(AND(B773&lt;&gt;"CN",N(H773)&lt;=0),"공급가보정 ","")&amp;IF(AND(B773="CN",N(I773)&lt;=0),"중국공급가=원가+마진 ",""))</f>
        <v/>
      </c>
    </row>
    <row r="774" customFormat="false" ht="15" hidden="false" customHeight="true" outlineLevel="0" collapsed="false">
      <c r="A774" s="94" t="s">
        <v>1684</v>
      </c>
      <c r="B774" s="34" t="str">
        <f aca="false">IF(A774="100","HK",IF(A774="200","CN",IF(A774="300","TW","홀세일")))</f>
        <v>HK</v>
      </c>
      <c r="C774" s="94" t="s">
        <v>470</v>
      </c>
      <c r="D774" s="95" t="n">
        <v>160</v>
      </c>
      <c r="E774" s="95" t="n">
        <v>89000</v>
      </c>
      <c r="F774" s="95" t="n">
        <v>22200</v>
      </c>
      <c r="G774" s="34" t="n">
        <v>3.16</v>
      </c>
      <c r="H774" s="34" t="n">
        <v>21</v>
      </c>
      <c r="I774" s="34" t="n">
        <v>0</v>
      </c>
      <c r="J774" s="95" t="n">
        <f aca="false">IF(N(E774)&gt;0,E774,IF(N(F774)&gt;0,F774*가정!$B$5,0))</f>
        <v>89000</v>
      </c>
      <c r="K774" s="95" t="n">
        <f aca="false">IF(N(F774)&gt;0,F774,IF(N(E774)&gt;0,E774/가정!$B$5,0))</f>
        <v>22200</v>
      </c>
      <c r="L774" s="95" t="n">
        <f aca="false">IF(B774="CN",IF(N(I774)&gt;0,I774*가정!$B$3,K774*(1+가정!$B$6)),IF(N(H774)&gt;0,H774*가정!$B$3,J774*가정!$B$4))</f>
        <v>28618.38</v>
      </c>
      <c r="M774" s="95" t="n">
        <f aca="false">D774*J774</f>
        <v>14240000</v>
      </c>
      <c r="N774" s="95" t="n">
        <f aca="false">D774*K774</f>
        <v>3552000</v>
      </c>
      <c r="O774" s="95" t="n">
        <f aca="false">D774*L774</f>
        <v>4578940.8</v>
      </c>
      <c r="P774" s="34" t="str">
        <f aca="false">TRIM(IF(N(E774)&lt;=0,"택가보정 ","")&amp;IF(N(F774)&lt;=0,"원가보정 ","")&amp;IF(AND(B774&lt;&gt;"CN",N(H774)&lt;=0),"공급가보정 ","")&amp;IF(AND(B774="CN",N(I774)&lt;=0),"중국공급가=원가+마진 ",""))</f>
        <v/>
      </c>
    </row>
    <row r="775" customFormat="false" ht="15" hidden="false" customHeight="true" outlineLevel="0" collapsed="false">
      <c r="A775" s="94" t="s">
        <v>1686</v>
      </c>
      <c r="B775" s="34" t="str">
        <f aca="false">IF(A775="100","HK",IF(A775="200","CN",IF(A775="300","TW","홀세일")))</f>
        <v>TW</v>
      </c>
      <c r="C775" s="94" t="s">
        <v>470</v>
      </c>
      <c r="D775" s="95" t="n">
        <v>150</v>
      </c>
      <c r="E775" s="95" t="n">
        <v>89000</v>
      </c>
      <c r="F775" s="95" t="n">
        <v>22200</v>
      </c>
      <c r="G775" s="34" t="n">
        <v>3.16</v>
      </c>
      <c r="H775" s="34" t="n">
        <v>21</v>
      </c>
      <c r="I775" s="34" t="n">
        <v>0</v>
      </c>
      <c r="J775" s="95" t="n">
        <f aca="false">IF(N(E775)&gt;0,E775,IF(N(F775)&gt;0,F775*가정!$B$5,0))</f>
        <v>89000</v>
      </c>
      <c r="K775" s="95" t="n">
        <f aca="false">IF(N(F775)&gt;0,F775,IF(N(E775)&gt;0,E775/가정!$B$5,0))</f>
        <v>22200</v>
      </c>
      <c r="L775" s="95" t="n">
        <f aca="false">IF(B775="CN",IF(N(I775)&gt;0,I775*가정!$B$3,K775*(1+가정!$B$6)),IF(N(H775)&gt;0,H775*가정!$B$3,J775*가정!$B$4))</f>
        <v>28618.38</v>
      </c>
      <c r="M775" s="95" t="n">
        <f aca="false">D775*J775</f>
        <v>13350000</v>
      </c>
      <c r="N775" s="95" t="n">
        <f aca="false">D775*K775</f>
        <v>3330000</v>
      </c>
      <c r="O775" s="95" t="n">
        <f aca="false">D775*L775</f>
        <v>4292757</v>
      </c>
      <c r="P775" s="34" t="str">
        <f aca="false">TRIM(IF(N(E775)&lt;=0,"택가보정 ","")&amp;IF(N(F775)&lt;=0,"원가보정 ","")&amp;IF(AND(B775&lt;&gt;"CN",N(H775)&lt;=0),"공급가보정 ","")&amp;IF(AND(B775="CN",N(I775)&lt;=0),"중국공급가=원가+마진 ",""))</f>
        <v/>
      </c>
    </row>
    <row r="776" customFormat="false" ht="15" hidden="false" customHeight="true" outlineLevel="0" collapsed="false">
      <c r="A776" s="94" t="s">
        <v>1688</v>
      </c>
      <c r="B776" s="34" t="str">
        <f aca="false">IF(A776="100","HK",IF(A776="200","CN",IF(A776="300","TW","홀세일")))</f>
        <v>홀세일</v>
      </c>
      <c r="C776" s="94" t="s">
        <v>470</v>
      </c>
      <c r="D776" s="95" t="n">
        <v>45</v>
      </c>
      <c r="E776" s="95" t="n">
        <v>89000</v>
      </c>
      <c r="F776" s="95" t="n">
        <v>22200</v>
      </c>
      <c r="G776" s="34" t="n">
        <v>3.16</v>
      </c>
      <c r="H776" s="34" t="n">
        <v>21</v>
      </c>
      <c r="I776" s="34" t="n">
        <v>0</v>
      </c>
      <c r="J776" s="95" t="n">
        <f aca="false">IF(N(E776)&gt;0,E776,IF(N(F776)&gt;0,F776*가정!$B$5,0))</f>
        <v>89000</v>
      </c>
      <c r="K776" s="95" t="n">
        <f aca="false">IF(N(F776)&gt;0,F776,IF(N(E776)&gt;0,E776/가정!$B$5,0))</f>
        <v>22200</v>
      </c>
      <c r="L776" s="95" t="n">
        <f aca="false">IF(B776="CN",IF(N(I776)&gt;0,I776*가정!$B$3,K776*(1+가정!$B$6)),IF(N(H776)&gt;0,H776*가정!$B$3,J776*가정!$B$4))</f>
        <v>28618.38</v>
      </c>
      <c r="M776" s="95" t="n">
        <f aca="false">D776*J776</f>
        <v>4005000</v>
      </c>
      <c r="N776" s="95" t="n">
        <f aca="false">D776*K776</f>
        <v>999000</v>
      </c>
      <c r="O776" s="95" t="n">
        <f aca="false">D776*L776</f>
        <v>1287827.1</v>
      </c>
      <c r="P776" s="34" t="str">
        <f aca="false">TRIM(IF(N(E776)&lt;=0,"택가보정 ","")&amp;IF(N(F776)&lt;=0,"원가보정 ","")&amp;IF(AND(B776&lt;&gt;"CN",N(H776)&lt;=0),"공급가보정 ","")&amp;IF(AND(B776="CN",N(I776)&lt;=0),"중국공급가=원가+마진 ",""))</f>
        <v/>
      </c>
    </row>
    <row r="777" customFormat="false" ht="15" hidden="false" customHeight="true" outlineLevel="0" collapsed="false">
      <c r="A777" s="94" t="s">
        <v>1689</v>
      </c>
      <c r="B777" s="34" t="str">
        <f aca="false">IF(A777="100","HK",IF(A777="200","CN",IF(A777="300","TW","홀세일")))</f>
        <v>홀세일</v>
      </c>
      <c r="C777" s="94" t="s">
        <v>470</v>
      </c>
      <c r="D777" s="95" t="n">
        <v>60</v>
      </c>
      <c r="E777" s="95" t="n">
        <v>89000</v>
      </c>
      <c r="F777" s="95" t="n">
        <v>22200</v>
      </c>
      <c r="G777" s="34" t="n">
        <v>3.16</v>
      </c>
      <c r="H777" s="34" t="n">
        <v>21</v>
      </c>
      <c r="I777" s="34" t="n">
        <v>0</v>
      </c>
      <c r="J777" s="95" t="n">
        <f aca="false">IF(N(E777)&gt;0,E777,IF(N(F777)&gt;0,F777*가정!$B$5,0))</f>
        <v>89000</v>
      </c>
      <c r="K777" s="95" t="n">
        <f aca="false">IF(N(F777)&gt;0,F777,IF(N(E777)&gt;0,E777/가정!$B$5,0))</f>
        <v>22200</v>
      </c>
      <c r="L777" s="95" t="n">
        <f aca="false">IF(B777="CN",IF(N(I777)&gt;0,I777*가정!$B$3,K777*(1+가정!$B$6)),IF(N(H777)&gt;0,H777*가정!$B$3,J777*가정!$B$4))</f>
        <v>28618.38</v>
      </c>
      <c r="M777" s="95" t="n">
        <f aca="false">D777*J777</f>
        <v>5340000</v>
      </c>
      <c r="N777" s="95" t="n">
        <f aca="false">D777*K777</f>
        <v>1332000</v>
      </c>
      <c r="O777" s="95" t="n">
        <f aca="false">D777*L777</f>
        <v>1717102.8</v>
      </c>
      <c r="P777" s="34" t="str">
        <f aca="false">TRIM(IF(N(E777)&lt;=0,"택가보정 ","")&amp;IF(N(F777)&lt;=0,"원가보정 ","")&amp;IF(AND(B777&lt;&gt;"CN",N(H777)&lt;=0),"공급가보정 ","")&amp;IF(AND(B777="CN",N(I777)&lt;=0),"중국공급가=원가+마진 ",""))</f>
        <v/>
      </c>
    </row>
    <row r="778" customFormat="false" ht="15" hidden="false" customHeight="true" outlineLevel="0" collapsed="false">
      <c r="A778" s="94" t="s">
        <v>1684</v>
      </c>
      <c r="B778" s="34" t="str">
        <f aca="false">IF(A778="100","HK",IF(A778="200","CN",IF(A778="300","TW","홀세일")))</f>
        <v>HK</v>
      </c>
      <c r="C778" s="94" t="s">
        <v>937</v>
      </c>
      <c r="D778" s="95" t="n">
        <v>180</v>
      </c>
      <c r="E778" s="95" t="n">
        <v>119000</v>
      </c>
      <c r="F778" s="95" t="n">
        <v>25300</v>
      </c>
      <c r="G778" s="34" t="n">
        <v>3.5</v>
      </c>
      <c r="H778" s="34" t="n">
        <v>28</v>
      </c>
      <c r="I778" s="34" t="n">
        <v>0</v>
      </c>
      <c r="J778" s="95" t="n">
        <f aca="false">IF(N(E778)&gt;0,E778,IF(N(F778)&gt;0,F778*가정!$B$5,0))</f>
        <v>119000</v>
      </c>
      <c r="K778" s="95" t="n">
        <f aca="false">IF(N(F778)&gt;0,F778,IF(N(E778)&gt;0,E778/가정!$B$5,0))</f>
        <v>25300</v>
      </c>
      <c r="L778" s="95" t="n">
        <f aca="false">IF(B778="CN",IF(N(I778)&gt;0,I778*가정!$B$3,K778*(1+가정!$B$6)),IF(N(H778)&gt;0,H778*가정!$B$3,J778*가정!$B$4))</f>
        <v>38157.84</v>
      </c>
      <c r="M778" s="95" t="n">
        <f aca="false">D778*J778</f>
        <v>21420000</v>
      </c>
      <c r="N778" s="95" t="n">
        <f aca="false">D778*K778</f>
        <v>4554000</v>
      </c>
      <c r="O778" s="95" t="n">
        <f aca="false">D778*L778</f>
        <v>6868411.2</v>
      </c>
      <c r="P778" s="34" t="str">
        <f aca="false">TRIM(IF(N(E778)&lt;=0,"택가보정 ","")&amp;IF(N(F778)&lt;=0,"원가보정 ","")&amp;IF(AND(B778&lt;&gt;"CN",N(H778)&lt;=0),"공급가보정 ","")&amp;IF(AND(B778="CN",N(I778)&lt;=0),"중국공급가=원가+마진 ",""))</f>
        <v/>
      </c>
    </row>
    <row r="779" customFormat="false" ht="15" hidden="false" customHeight="true" outlineLevel="0" collapsed="false">
      <c r="A779" s="94" t="s">
        <v>1684</v>
      </c>
      <c r="B779" s="34" t="str">
        <f aca="false">IF(A779="100","HK",IF(A779="200","CN",IF(A779="300","TW","홀세일")))</f>
        <v>HK</v>
      </c>
      <c r="C779" s="94" t="s">
        <v>472</v>
      </c>
      <c r="D779" s="95" t="n">
        <v>230</v>
      </c>
      <c r="E779" s="95" t="n">
        <v>149000</v>
      </c>
      <c r="F779" s="95" t="n">
        <v>24800</v>
      </c>
      <c r="G779" s="34" t="n">
        <v>4.65</v>
      </c>
      <c r="H779" s="34" t="n">
        <v>35.1</v>
      </c>
      <c r="I779" s="34" t="n">
        <v>19.6</v>
      </c>
      <c r="J779" s="95" t="n">
        <f aca="false">IF(N(E779)&gt;0,E779,IF(N(F779)&gt;0,F779*가정!$B$5,0))</f>
        <v>149000</v>
      </c>
      <c r="K779" s="95" t="n">
        <f aca="false">IF(N(F779)&gt;0,F779,IF(N(E779)&gt;0,E779/가정!$B$5,0))</f>
        <v>24800</v>
      </c>
      <c r="L779" s="95" t="n">
        <f aca="false">IF(B779="CN",IF(N(I779)&gt;0,I779*가정!$B$3,K779*(1+가정!$B$6)),IF(N(H779)&gt;0,H779*가정!$B$3,J779*가정!$B$4))</f>
        <v>47833.578</v>
      </c>
      <c r="M779" s="95" t="n">
        <f aca="false">D779*J779</f>
        <v>34270000</v>
      </c>
      <c r="N779" s="95" t="n">
        <f aca="false">D779*K779</f>
        <v>5704000</v>
      </c>
      <c r="O779" s="95" t="n">
        <f aca="false">D779*L779</f>
        <v>11001722.94</v>
      </c>
      <c r="P779" s="34" t="str">
        <f aca="false">TRIM(IF(N(E779)&lt;=0,"택가보정 ","")&amp;IF(N(F779)&lt;=0,"원가보정 ","")&amp;IF(AND(B779&lt;&gt;"CN",N(H779)&lt;=0),"공급가보정 ","")&amp;IF(AND(B779="CN",N(I779)&lt;=0),"중국공급가=원가+마진 ",""))</f>
        <v/>
      </c>
    </row>
    <row r="780" customFormat="false" ht="15" hidden="false" customHeight="true" outlineLevel="0" collapsed="false">
      <c r="A780" s="94" t="s">
        <v>1685</v>
      </c>
      <c r="B780" s="34" t="str">
        <f aca="false">IF(A780="100","HK",IF(A780="200","CN",IF(A780="300","TW","홀세일")))</f>
        <v>CN</v>
      </c>
      <c r="C780" s="94" t="s">
        <v>472</v>
      </c>
      <c r="D780" s="95" t="n">
        <v>404</v>
      </c>
      <c r="E780" s="95" t="n">
        <v>149000</v>
      </c>
      <c r="F780" s="95" t="n">
        <v>24800</v>
      </c>
      <c r="G780" s="34" t="n">
        <v>4.65</v>
      </c>
      <c r="H780" s="34" t="n">
        <v>35.1</v>
      </c>
      <c r="I780" s="34" t="n">
        <v>19.6</v>
      </c>
      <c r="J780" s="95" t="n">
        <f aca="false">IF(N(E780)&gt;0,E780,IF(N(F780)&gt;0,F780*가정!$B$5,0))</f>
        <v>149000</v>
      </c>
      <c r="K780" s="95" t="n">
        <f aca="false">IF(N(F780)&gt;0,F780,IF(N(E780)&gt;0,E780/가정!$B$5,0))</f>
        <v>24800</v>
      </c>
      <c r="L780" s="95" t="n">
        <f aca="false">IF(B780="CN",IF(N(I780)&gt;0,I780*가정!$B$3,K780*(1+가정!$B$6)),IF(N(H780)&gt;0,H780*가정!$B$3,J780*가정!$B$4))</f>
        <v>26710.488</v>
      </c>
      <c r="M780" s="95" t="n">
        <f aca="false">D780*J780</f>
        <v>60196000</v>
      </c>
      <c r="N780" s="95" t="n">
        <f aca="false">D780*K780</f>
        <v>10019200</v>
      </c>
      <c r="O780" s="95" t="n">
        <f aca="false">D780*L780</f>
        <v>10791037.152</v>
      </c>
      <c r="P780" s="34" t="str">
        <f aca="false">TRIM(IF(N(E780)&lt;=0,"택가보정 ","")&amp;IF(N(F780)&lt;=0,"원가보정 ","")&amp;IF(AND(B780&lt;&gt;"CN",N(H780)&lt;=0),"공급가보정 ","")&amp;IF(AND(B780="CN",N(I780)&lt;=0),"중국공급가=원가+마진 ",""))</f>
        <v/>
      </c>
    </row>
    <row r="781" customFormat="false" ht="15" hidden="false" customHeight="true" outlineLevel="0" collapsed="false">
      <c r="A781" s="94" t="s">
        <v>1685</v>
      </c>
      <c r="B781" s="34" t="str">
        <f aca="false">IF(A781="100","HK",IF(A781="200","CN",IF(A781="300","TW","홀세일")))</f>
        <v>CN</v>
      </c>
      <c r="C781" s="94" t="s">
        <v>472</v>
      </c>
      <c r="D781" s="95" t="n">
        <v>404</v>
      </c>
      <c r="E781" s="95" t="n">
        <v>149000</v>
      </c>
      <c r="F781" s="95" t="n">
        <v>24800</v>
      </c>
      <c r="G781" s="34" t="n">
        <v>4.65</v>
      </c>
      <c r="H781" s="34" t="n">
        <v>35.1</v>
      </c>
      <c r="I781" s="34" t="n">
        <v>19.6</v>
      </c>
      <c r="J781" s="95" t="n">
        <f aca="false">IF(N(E781)&gt;0,E781,IF(N(F781)&gt;0,F781*가정!$B$5,0))</f>
        <v>149000</v>
      </c>
      <c r="K781" s="95" t="n">
        <f aca="false">IF(N(F781)&gt;0,F781,IF(N(E781)&gt;0,E781/가정!$B$5,0))</f>
        <v>24800</v>
      </c>
      <c r="L781" s="95" t="n">
        <f aca="false">IF(B781="CN",IF(N(I781)&gt;0,I781*가정!$B$3,K781*(1+가정!$B$6)),IF(N(H781)&gt;0,H781*가정!$B$3,J781*가정!$B$4))</f>
        <v>26710.488</v>
      </c>
      <c r="M781" s="95" t="n">
        <f aca="false">D781*J781</f>
        <v>60196000</v>
      </c>
      <c r="N781" s="95" t="n">
        <f aca="false">D781*K781</f>
        <v>10019200</v>
      </c>
      <c r="O781" s="95" t="n">
        <f aca="false">D781*L781</f>
        <v>10791037.152</v>
      </c>
      <c r="P781" s="34" t="str">
        <f aca="false">TRIM(IF(N(E781)&lt;=0,"택가보정 ","")&amp;IF(N(F781)&lt;=0,"원가보정 ","")&amp;IF(AND(B781&lt;&gt;"CN",N(H781)&lt;=0),"공급가보정 ","")&amp;IF(AND(B781="CN",N(I781)&lt;=0),"중국공급가=원가+마진 ",""))</f>
        <v/>
      </c>
    </row>
    <row r="782" customFormat="false" ht="15" hidden="false" customHeight="true" outlineLevel="0" collapsed="false">
      <c r="A782" s="94" t="s">
        <v>1686</v>
      </c>
      <c r="B782" s="34" t="str">
        <f aca="false">IF(A782="100","HK",IF(A782="200","CN",IF(A782="300","TW","홀세일")))</f>
        <v>TW</v>
      </c>
      <c r="C782" s="94" t="s">
        <v>472</v>
      </c>
      <c r="D782" s="95" t="n">
        <v>430</v>
      </c>
      <c r="E782" s="95" t="n">
        <v>149000</v>
      </c>
      <c r="F782" s="95" t="n">
        <v>24800</v>
      </c>
      <c r="G782" s="34" t="n">
        <v>4.65</v>
      </c>
      <c r="H782" s="34" t="n">
        <v>35.1</v>
      </c>
      <c r="I782" s="34" t="n">
        <v>19.6</v>
      </c>
      <c r="J782" s="95" t="n">
        <f aca="false">IF(N(E782)&gt;0,E782,IF(N(F782)&gt;0,F782*가정!$B$5,0))</f>
        <v>149000</v>
      </c>
      <c r="K782" s="95" t="n">
        <f aca="false">IF(N(F782)&gt;0,F782,IF(N(E782)&gt;0,E782/가정!$B$5,0))</f>
        <v>24800</v>
      </c>
      <c r="L782" s="95" t="n">
        <f aca="false">IF(B782="CN",IF(N(I782)&gt;0,I782*가정!$B$3,K782*(1+가정!$B$6)),IF(N(H782)&gt;0,H782*가정!$B$3,J782*가정!$B$4))</f>
        <v>47833.578</v>
      </c>
      <c r="M782" s="95" t="n">
        <f aca="false">D782*J782</f>
        <v>64070000</v>
      </c>
      <c r="N782" s="95" t="n">
        <f aca="false">D782*K782</f>
        <v>10664000</v>
      </c>
      <c r="O782" s="95" t="n">
        <f aca="false">D782*L782</f>
        <v>20568438.54</v>
      </c>
      <c r="P782" s="34" t="str">
        <f aca="false">TRIM(IF(N(E782)&lt;=0,"택가보정 ","")&amp;IF(N(F782)&lt;=0,"원가보정 ","")&amp;IF(AND(B782&lt;&gt;"CN",N(H782)&lt;=0),"공급가보정 ","")&amp;IF(AND(B782="CN",N(I782)&lt;=0),"중국공급가=원가+마진 ",""))</f>
        <v/>
      </c>
    </row>
    <row r="783" customFormat="false" ht="15" hidden="false" customHeight="true" outlineLevel="0" collapsed="false">
      <c r="A783" s="94" t="s">
        <v>1688</v>
      </c>
      <c r="B783" s="34" t="str">
        <f aca="false">IF(A783="100","HK",IF(A783="200","CN",IF(A783="300","TW","홀세일")))</f>
        <v>홀세일</v>
      </c>
      <c r="C783" s="94" t="s">
        <v>472</v>
      </c>
      <c r="D783" s="95" t="n">
        <v>125</v>
      </c>
      <c r="E783" s="95" t="n">
        <v>149000</v>
      </c>
      <c r="F783" s="95" t="n">
        <v>24800</v>
      </c>
      <c r="G783" s="34" t="n">
        <v>4.65</v>
      </c>
      <c r="H783" s="34" t="n">
        <v>35.1</v>
      </c>
      <c r="I783" s="34" t="n">
        <v>19.6</v>
      </c>
      <c r="J783" s="95" t="n">
        <f aca="false">IF(N(E783)&gt;0,E783,IF(N(F783)&gt;0,F783*가정!$B$5,0))</f>
        <v>149000</v>
      </c>
      <c r="K783" s="95" t="n">
        <f aca="false">IF(N(F783)&gt;0,F783,IF(N(E783)&gt;0,E783/가정!$B$5,0))</f>
        <v>24800</v>
      </c>
      <c r="L783" s="95" t="n">
        <f aca="false">IF(B783="CN",IF(N(I783)&gt;0,I783*가정!$B$3,K783*(1+가정!$B$6)),IF(N(H783)&gt;0,H783*가정!$B$3,J783*가정!$B$4))</f>
        <v>47833.578</v>
      </c>
      <c r="M783" s="95" t="n">
        <f aca="false">D783*J783</f>
        <v>18625000</v>
      </c>
      <c r="N783" s="95" t="n">
        <f aca="false">D783*K783</f>
        <v>3100000</v>
      </c>
      <c r="O783" s="95" t="n">
        <f aca="false">D783*L783</f>
        <v>5979197.25</v>
      </c>
      <c r="P783" s="34" t="str">
        <f aca="false">TRIM(IF(N(E783)&lt;=0,"택가보정 ","")&amp;IF(N(F783)&lt;=0,"원가보정 ","")&amp;IF(AND(B783&lt;&gt;"CN",N(H783)&lt;=0),"공급가보정 ","")&amp;IF(AND(B783="CN",N(I783)&lt;=0),"중국공급가=원가+마진 ",""))</f>
        <v/>
      </c>
    </row>
    <row r="784" customFormat="false" ht="15" hidden="false" customHeight="true" outlineLevel="0" collapsed="false">
      <c r="A784" s="94" t="s">
        <v>1689</v>
      </c>
      <c r="B784" s="34" t="str">
        <f aca="false">IF(A784="100","HK",IF(A784="200","CN",IF(A784="300","TW","홀세일")))</f>
        <v>홀세일</v>
      </c>
      <c r="C784" s="94" t="s">
        <v>472</v>
      </c>
      <c r="D784" s="95" t="n">
        <v>70</v>
      </c>
      <c r="E784" s="95" t="n">
        <v>149000</v>
      </c>
      <c r="F784" s="95" t="n">
        <v>24800</v>
      </c>
      <c r="G784" s="34" t="n">
        <v>4.65</v>
      </c>
      <c r="H784" s="34" t="n">
        <v>35.1</v>
      </c>
      <c r="I784" s="34" t="n">
        <v>19.6</v>
      </c>
      <c r="J784" s="95" t="n">
        <f aca="false">IF(N(E784)&gt;0,E784,IF(N(F784)&gt;0,F784*가정!$B$5,0))</f>
        <v>149000</v>
      </c>
      <c r="K784" s="95" t="n">
        <f aca="false">IF(N(F784)&gt;0,F784,IF(N(E784)&gt;0,E784/가정!$B$5,0))</f>
        <v>24800</v>
      </c>
      <c r="L784" s="95" t="n">
        <f aca="false">IF(B784="CN",IF(N(I784)&gt;0,I784*가정!$B$3,K784*(1+가정!$B$6)),IF(N(H784)&gt;0,H784*가정!$B$3,J784*가정!$B$4))</f>
        <v>47833.578</v>
      </c>
      <c r="M784" s="95" t="n">
        <f aca="false">D784*J784</f>
        <v>10430000</v>
      </c>
      <c r="N784" s="95" t="n">
        <f aca="false">D784*K784</f>
        <v>1736000</v>
      </c>
      <c r="O784" s="95" t="n">
        <f aca="false">D784*L784</f>
        <v>3348350.46</v>
      </c>
      <c r="P784" s="34" t="str">
        <f aca="false">TRIM(IF(N(E784)&lt;=0,"택가보정 ","")&amp;IF(N(F784)&lt;=0,"원가보정 ","")&amp;IF(AND(B784&lt;&gt;"CN",N(H784)&lt;=0),"공급가보정 ","")&amp;IF(AND(B784="CN",N(I784)&lt;=0),"중국공급가=원가+마진 ",""))</f>
        <v/>
      </c>
    </row>
    <row r="785" customFormat="false" ht="15" hidden="false" customHeight="true" outlineLevel="0" collapsed="false">
      <c r="A785" s="94" t="s">
        <v>1691</v>
      </c>
      <c r="B785" s="34" t="str">
        <f aca="false">IF(A785="100","HK",IF(A785="200","CN",IF(A785="300","TW","홀세일")))</f>
        <v>홀세일</v>
      </c>
      <c r="C785" s="94" t="s">
        <v>472</v>
      </c>
      <c r="D785" s="95" t="n">
        <v>35</v>
      </c>
      <c r="E785" s="95" t="n">
        <v>149000</v>
      </c>
      <c r="F785" s="95" t="n">
        <v>24800</v>
      </c>
      <c r="G785" s="34" t="n">
        <v>4.65</v>
      </c>
      <c r="H785" s="34" t="n">
        <v>35.1</v>
      </c>
      <c r="I785" s="34" t="n">
        <v>19.6</v>
      </c>
      <c r="J785" s="95" t="n">
        <f aca="false">IF(N(E785)&gt;0,E785,IF(N(F785)&gt;0,F785*가정!$B$5,0))</f>
        <v>149000</v>
      </c>
      <c r="K785" s="95" t="n">
        <f aca="false">IF(N(F785)&gt;0,F785,IF(N(E785)&gt;0,E785/가정!$B$5,0))</f>
        <v>24800</v>
      </c>
      <c r="L785" s="95" t="n">
        <f aca="false">IF(B785="CN",IF(N(I785)&gt;0,I785*가정!$B$3,K785*(1+가정!$B$6)),IF(N(H785)&gt;0,H785*가정!$B$3,J785*가정!$B$4))</f>
        <v>47833.578</v>
      </c>
      <c r="M785" s="95" t="n">
        <f aca="false">D785*J785</f>
        <v>5215000</v>
      </c>
      <c r="N785" s="95" t="n">
        <f aca="false">D785*K785</f>
        <v>868000</v>
      </c>
      <c r="O785" s="95" t="n">
        <f aca="false">D785*L785</f>
        <v>1674175.23</v>
      </c>
      <c r="P785" s="34" t="str">
        <f aca="false">TRIM(IF(N(E785)&lt;=0,"택가보정 ","")&amp;IF(N(F785)&lt;=0,"원가보정 ","")&amp;IF(AND(B785&lt;&gt;"CN",N(H785)&lt;=0),"공급가보정 ","")&amp;IF(AND(B785="CN",N(I785)&lt;=0),"중국공급가=원가+마진 ",""))</f>
        <v/>
      </c>
    </row>
    <row r="786" customFormat="false" ht="15" hidden="false" customHeight="true" outlineLevel="0" collapsed="false">
      <c r="A786" s="94" t="s">
        <v>1684</v>
      </c>
      <c r="B786" s="34" t="str">
        <f aca="false">IF(A786="100","HK",IF(A786="200","CN",IF(A786="300","TW","홀세일")))</f>
        <v>HK</v>
      </c>
      <c r="C786" s="94" t="s">
        <v>474</v>
      </c>
      <c r="D786" s="95" t="n">
        <v>210</v>
      </c>
      <c r="E786" s="95" t="n">
        <v>149000</v>
      </c>
      <c r="F786" s="95" t="n">
        <v>27300</v>
      </c>
      <c r="G786" s="34" t="n">
        <v>4.36</v>
      </c>
      <c r="H786" s="34" t="n">
        <v>35.1</v>
      </c>
      <c r="I786" s="34" t="n">
        <v>0</v>
      </c>
      <c r="J786" s="95" t="n">
        <f aca="false">IF(N(E786)&gt;0,E786,IF(N(F786)&gt;0,F786*가정!$B$5,0))</f>
        <v>149000</v>
      </c>
      <c r="K786" s="95" t="n">
        <f aca="false">IF(N(F786)&gt;0,F786,IF(N(E786)&gt;0,E786/가정!$B$5,0))</f>
        <v>27300</v>
      </c>
      <c r="L786" s="95" t="n">
        <f aca="false">IF(B786="CN",IF(N(I786)&gt;0,I786*가정!$B$3,K786*(1+가정!$B$6)),IF(N(H786)&gt;0,H786*가정!$B$3,J786*가정!$B$4))</f>
        <v>47833.578</v>
      </c>
      <c r="M786" s="95" t="n">
        <f aca="false">D786*J786</f>
        <v>31290000</v>
      </c>
      <c r="N786" s="95" t="n">
        <f aca="false">D786*K786</f>
        <v>5733000</v>
      </c>
      <c r="O786" s="95" t="n">
        <f aca="false">D786*L786</f>
        <v>10045051.38</v>
      </c>
      <c r="P786" s="34" t="str">
        <f aca="false">TRIM(IF(N(E786)&lt;=0,"택가보정 ","")&amp;IF(N(F786)&lt;=0,"원가보정 ","")&amp;IF(AND(B786&lt;&gt;"CN",N(H786)&lt;=0),"공급가보정 ","")&amp;IF(AND(B786="CN",N(I786)&lt;=0),"중국공급가=원가+마진 ",""))</f>
        <v/>
      </c>
    </row>
    <row r="787" customFormat="false" ht="15" hidden="false" customHeight="true" outlineLevel="0" collapsed="false">
      <c r="A787" s="94" t="s">
        <v>1686</v>
      </c>
      <c r="B787" s="34" t="str">
        <f aca="false">IF(A787="100","HK",IF(A787="200","CN",IF(A787="300","TW","홀세일")))</f>
        <v>TW</v>
      </c>
      <c r="C787" s="94" t="s">
        <v>474</v>
      </c>
      <c r="D787" s="95" t="n">
        <v>430</v>
      </c>
      <c r="E787" s="95" t="n">
        <v>149000</v>
      </c>
      <c r="F787" s="95" t="n">
        <v>27300</v>
      </c>
      <c r="G787" s="34" t="n">
        <v>4.36</v>
      </c>
      <c r="H787" s="34" t="n">
        <v>35.1</v>
      </c>
      <c r="I787" s="34" t="n">
        <v>0</v>
      </c>
      <c r="J787" s="95" t="n">
        <f aca="false">IF(N(E787)&gt;0,E787,IF(N(F787)&gt;0,F787*가정!$B$5,0))</f>
        <v>149000</v>
      </c>
      <c r="K787" s="95" t="n">
        <f aca="false">IF(N(F787)&gt;0,F787,IF(N(E787)&gt;0,E787/가정!$B$5,0))</f>
        <v>27300</v>
      </c>
      <c r="L787" s="95" t="n">
        <f aca="false">IF(B787="CN",IF(N(I787)&gt;0,I787*가정!$B$3,K787*(1+가정!$B$6)),IF(N(H787)&gt;0,H787*가정!$B$3,J787*가정!$B$4))</f>
        <v>47833.578</v>
      </c>
      <c r="M787" s="95" t="n">
        <f aca="false">D787*J787</f>
        <v>64070000</v>
      </c>
      <c r="N787" s="95" t="n">
        <f aca="false">D787*K787</f>
        <v>11739000</v>
      </c>
      <c r="O787" s="95" t="n">
        <f aca="false">D787*L787</f>
        <v>20568438.54</v>
      </c>
      <c r="P787" s="34" t="str">
        <f aca="false">TRIM(IF(N(E787)&lt;=0,"택가보정 ","")&amp;IF(N(F787)&lt;=0,"원가보정 ","")&amp;IF(AND(B787&lt;&gt;"CN",N(H787)&lt;=0),"공급가보정 ","")&amp;IF(AND(B787="CN",N(I787)&lt;=0),"중국공급가=원가+마진 ",""))</f>
        <v/>
      </c>
    </row>
    <row r="788" customFormat="false" ht="15" hidden="false" customHeight="true" outlineLevel="0" collapsed="false">
      <c r="A788" s="94" t="s">
        <v>1687</v>
      </c>
      <c r="B788" s="34" t="str">
        <f aca="false">IF(A788="100","HK",IF(A788="200","CN",IF(A788="300","TW","홀세일")))</f>
        <v>홀세일</v>
      </c>
      <c r="C788" s="94" t="s">
        <v>474</v>
      </c>
      <c r="D788" s="95" t="n">
        <v>270</v>
      </c>
      <c r="E788" s="95" t="n">
        <v>149000</v>
      </c>
      <c r="F788" s="95" t="n">
        <v>27300</v>
      </c>
      <c r="G788" s="34" t="n">
        <v>4.36</v>
      </c>
      <c r="H788" s="34" t="n">
        <v>35.1</v>
      </c>
      <c r="I788" s="34" t="n">
        <v>0</v>
      </c>
      <c r="J788" s="95" t="n">
        <f aca="false">IF(N(E788)&gt;0,E788,IF(N(F788)&gt;0,F788*가정!$B$5,0))</f>
        <v>149000</v>
      </c>
      <c r="K788" s="95" t="n">
        <f aca="false">IF(N(F788)&gt;0,F788,IF(N(E788)&gt;0,E788/가정!$B$5,0))</f>
        <v>27300</v>
      </c>
      <c r="L788" s="95" t="n">
        <f aca="false">IF(B788="CN",IF(N(I788)&gt;0,I788*가정!$B$3,K788*(1+가정!$B$6)),IF(N(H788)&gt;0,H788*가정!$B$3,J788*가정!$B$4))</f>
        <v>47833.578</v>
      </c>
      <c r="M788" s="95" t="n">
        <f aca="false">D788*J788</f>
        <v>40230000</v>
      </c>
      <c r="N788" s="95" t="n">
        <f aca="false">D788*K788</f>
        <v>7371000</v>
      </c>
      <c r="O788" s="95" t="n">
        <f aca="false">D788*L788</f>
        <v>12915066.06</v>
      </c>
      <c r="P788" s="34" t="str">
        <f aca="false">TRIM(IF(N(E788)&lt;=0,"택가보정 ","")&amp;IF(N(F788)&lt;=0,"원가보정 ","")&amp;IF(AND(B788&lt;&gt;"CN",N(H788)&lt;=0),"공급가보정 ","")&amp;IF(AND(B788="CN",N(I788)&lt;=0),"중국공급가=원가+마진 ",""))</f>
        <v/>
      </c>
    </row>
    <row r="789" customFormat="false" ht="15" hidden="false" customHeight="true" outlineLevel="0" collapsed="false">
      <c r="A789" s="94" t="s">
        <v>1688</v>
      </c>
      <c r="B789" s="34" t="str">
        <f aca="false">IF(A789="100","HK",IF(A789="200","CN",IF(A789="300","TW","홀세일")))</f>
        <v>홀세일</v>
      </c>
      <c r="C789" s="94" t="s">
        <v>474</v>
      </c>
      <c r="D789" s="95" t="n">
        <v>75</v>
      </c>
      <c r="E789" s="95" t="n">
        <v>149000</v>
      </c>
      <c r="F789" s="95" t="n">
        <v>27300</v>
      </c>
      <c r="G789" s="34" t="n">
        <v>4.36</v>
      </c>
      <c r="H789" s="34" t="n">
        <v>35.1</v>
      </c>
      <c r="I789" s="34" t="n">
        <v>0</v>
      </c>
      <c r="J789" s="95" t="n">
        <f aca="false">IF(N(E789)&gt;0,E789,IF(N(F789)&gt;0,F789*가정!$B$5,0))</f>
        <v>149000</v>
      </c>
      <c r="K789" s="95" t="n">
        <f aca="false">IF(N(F789)&gt;0,F789,IF(N(E789)&gt;0,E789/가정!$B$5,0))</f>
        <v>27300</v>
      </c>
      <c r="L789" s="95" t="n">
        <f aca="false">IF(B789="CN",IF(N(I789)&gt;0,I789*가정!$B$3,K789*(1+가정!$B$6)),IF(N(H789)&gt;0,H789*가정!$B$3,J789*가정!$B$4))</f>
        <v>47833.578</v>
      </c>
      <c r="M789" s="95" t="n">
        <f aca="false">D789*J789</f>
        <v>11175000</v>
      </c>
      <c r="N789" s="95" t="n">
        <f aca="false">D789*K789</f>
        <v>2047500</v>
      </c>
      <c r="O789" s="95" t="n">
        <f aca="false">D789*L789</f>
        <v>3587518.35</v>
      </c>
      <c r="P789" s="34" t="str">
        <f aca="false">TRIM(IF(N(E789)&lt;=0,"택가보정 ","")&amp;IF(N(F789)&lt;=0,"원가보정 ","")&amp;IF(AND(B789&lt;&gt;"CN",N(H789)&lt;=0),"공급가보정 ","")&amp;IF(AND(B789="CN",N(I789)&lt;=0),"중국공급가=원가+마진 ",""))</f>
        <v/>
      </c>
    </row>
    <row r="790" customFormat="false" ht="15" hidden="false" customHeight="true" outlineLevel="0" collapsed="false">
      <c r="A790" s="94" t="s">
        <v>1690</v>
      </c>
      <c r="B790" s="34" t="str">
        <f aca="false">IF(A790="100","HK",IF(A790="200","CN",IF(A790="300","TW","홀세일")))</f>
        <v>홀세일</v>
      </c>
      <c r="C790" s="94" t="s">
        <v>474</v>
      </c>
      <c r="D790" s="95" t="n">
        <v>228</v>
      </c>
      <c r="E790" s="95" t="n">
        <v>149000</v>
      </c>
      <c r="F790" s="95" t="n">
        <v>27300</v>
      </c>
      <c r="G790" s="34" t="n">
        <v>4.36</v>
      </c>
      <c r="H790" s="34" t="n">
        <v>35.1</v>
      </c>
      <c r="I790" s="34" t="n">
        <v>0</v>
      </c>
      <c r="J790" s="95" t="n">
        <f aca="false">IF(N(E790)&gt;0,E790,IF(N(F790)&gt;0,F790*가정!$B$5,0))</f>
        <v>149000</v>
      </c>
      <c r="K790" s="95" t="n">
        <f aca="false">IF(N(F790)&gt;0,F790,IF(N(E790)&gt;0,E790/가정!$B$5,0))</f>
        <v>27300</v>
      </c>
      <c r="L790" s="95" t="n">
        <f aca="false">IF(B790="CN",IF(N(I790)&gt;0,I790*가정!$B$3,K790*(1+가정!$B$6)),IF(N(H790)&gt;0,H790*가정!$B$3,J790*가정!$B$4))</f>
        <v>47833.578</v>
      </c>
      <c r="M790" s="95" t="n">
        <f aca="false">D790*J790</f>
        <v>33972000</v>
      </c>
      <c r="N790" s="95" t="n">
        <f aca="false">D790*K790</f>
        <v>6224400</v>
      </c>
      <c r="O790" s="95" t="n">
        <f aca="false">D790*L790</f>
        <v>10906055.784</v>
      </c>
      <c r="P790" s="34" t="str">
        <f aca="false">TRIM(IF(N(E790)&lt;=0,"택가보정 ","")&amp;IF(N(F790)&lt;=0,"원가보정 ","")&amp;IF(AND(B790&lt;&gt;"CN",N(H790)&lt;=0),"공급가보정 ","")&amp;IF(AND(B790="CN",N(I790)&lt;=0),"중국공급가=원가+마진 ",""))</f>
        <v/>
      </c>
    </row>
    <row r="791" customFormat="false" ht="15" hidden="false" customHeight="true" outlineLevel="0" collapsed="false">
      <c r="A791" s="94" t="s">
        <v>1684</v>
      </c>
      <c r="B791" s="34" t="str">
        <f aca="false">IF(A791="100","HK",IF(A791="200","CN",IF(A791="300","TW","홀세일")))</f>
        <v>HK</v>
      </c>
      <c r="C791" s="94" t="s">
        <v>939</v>
      </c>
      <c r="D791" s="95" t="n">
        <v>230</v>
      </c>
      <c r="E791" s="95" t="n">
        <v>109000</v>
      </c>
      <c r="F791" s="95" t="n">
        <v>24100</v>
      </c>
      <c r="G791" s="34" t="n">
        <v>3.5</v>
      </c>
      <c r="H791" s="34" t="n">
        <v>25.7</v>
      </c>
      <c r="I791" s="34" t="n">
        <v>0</v>
      </c>
      <c r="J791" s="95" t="n">
        <f aca="false">IF(N(E791)&gt;0,E791,IF(N(F791)&gt;0,F791*가정!$B$5,0))</f>
        <v>109000</v>
      </c>
      <c r="K791" s="95" t="n">
        <f aca="false">IF(N(F791)&gt;0,F791,IF(N(E791)&gt;0,E791/가정!$B$5,0))</f>
        <v>24100</v>
      </c>
      <c r="L791" s="95" t="n">
        <f aca="false">IF(B791="CN",IF(N(I791)&gt;0,I791*가정!$B$3,K791*(1+가정!$B$6)),IF(N(H791)&gt;0,H791*가정!$B$3,J791*가정!$B$4))</f>
        <v>35023.446</v>
      </c>
      <c r="M791" s="95" t="n">
        <f aca="false">D791*J791</f>
        <v>25070000</v>
      </c>
      <c r="N791" s="95" t="n">
        <f aca="false">D791*K791</f>
        <v>5543000</v>
      </c>
      <c r="O791" s="95" t="n">
        <f aca="false">D791*L791</f>
        <v>8055392.58</v>
      </c>
      <c r="P791" s="34" t="str">
        <f aca="false">TRIM(IF(N(E791)&lt;=0,"택가보정 ","")&amp;IF(N(F791)&lt;=0,"원가보정 ","")&amp;IF(AND(B791&lt;&gt;"CN",N(H791)&lt;=0),"공급가보정 ","")&amp;IF(AND(B791="CN",N(I791)&lt;=0),"중국공급가=원가+마진 ",""))</f>
        <v/>
      </c>
    </row>
    <row r="792" customFormat="false" ht="15" hidden="false" customHeight="true" outlineLevel="0" collapsed="false">
      <c r="A792" s="94" t="s">
        <v>1688</v>
      </c>
      <c r="B792" s="34" t="str">
        <f aca="false">IF(A792="100","HK",IF(A792="200","CN",IF(A792="300","TW","홀세일")))</f>
        <v>홀세일</v>
      </c>
      <c r="C792" s="94" t="s">
        <v>939</v>
      </c>
      <c r="D792" s="95" t="n">
        <v>55</v>
      </c>
      <c r="E792" s="95" t="n">
        <v>109000</v>
      </c>
      <c r="F792" s="95" t="n">
        <v>24100</v>
      </c>
      <c r="G792" s="34" t="n">
        <v>3.5</v>
      </c>
      <c r="H792" s="34" t="n">
        <v>25.7</v>
      </c>
      <c r="I792" s="34" t="n">
        <v>0</v>
      </c>
      <c r="J792" s="95" t="n">
        <f aca="false">IF(N(E792)&gt;0,E792,IF(N(F792)&gt;0,F792*가정!$B$5,0))</f>
        <v>109000</v>
      </c>
      <c r="K792" s="95" t="n">
        <f aca="false">IF(N(F792)&gt;0,F792,IF(N(E792)&gt;0,E792/가정!$B$5,0))</f>
        <v>24100</v>
      </c>
      <c r="L792" s="95" t="n">
        <f aca="false">IF(B792="CN",IF(N(I792)&gt;0,I792*가정!$B$3,K792*(1+가정!$B$6)),IF(N(H792)&gt;0,H792*가정!$B$3,J792*가정!$B$4))</f>
        <v>35023.446</v>
      </c>
      <c r="M792" s="95" t="n">
        <f aca="false">D792*J792</f>
        <v>5995000</v>
      </c>
      <c r="N792" s="95" t="n">
        <f aca="false">D792*K792</f>
        <v>1325500</v>
      </c>
      <c r="O792" s="95" t="n">
        <f aca="false">D792*L792</f>
        <v>1926289.53</v>
      </c>
      <c r="P792" s="34" t="str">
        <f aca="false">TRIM(IF(N(E792)&lt;=0,"택가보정 ","")&amp;IF(N(F792)&lt;=0,"원가보정 ","")&amp;IF(AND(B792&lt;&gt;"CN",N(H792)&lt;=0),"공급가보정 ","")&amp;IF(AND(B792="CN",N(I792)&lt;=0),"중국공급가=원가+마진 ",""))</f>
        <v/>
      </c>
    </row>
    <row r="793" customFormat="false" ht="15" hidden="false" customHeight="true" outlineLevel="0" collapsed="false">
      <c r="A793" s="94" t="s">
        <v>1684</v>
      </c>
      <c r="B793" s="34" t="str">
        <f aca="false">IF(A793="100","HK",IF(A793="200","CN",IF(A793="300","TW","홀세일")))</f>
        <v>HK</v>
      </c>
      <c r="C793" s="94" t="s">
        <v>476</v>
      </c>
      <c r="D793" s="95" t="n">
        <v>100</v>
      </c>
      <c r="E793" s="95" t="n">
        <v>139000</v>
      </c>
      <c r="F793" s="95" t="n">
        <v>28900</v>
      </c>
      <c r="G793" s="34" t="n">
        <v>3.72</v>
      </c>
      <c r="H793" s="34" t="n">
        <v>32.7</v>
      </c>
      <c r="I793" s="34" t="n">
        <v>0</v>
      </c>
      <c r="J793" s="95" t="n">
        <f aca="false">IF(N(E793)&gt;0,E793,IF(N(F793)&gt;0,F793*가정!$B$5,0))</f>
        <v>139000</v>
      </c>
      <c r="K793" s="95" t="n">
        <f aca="false">IF(N(F793)&gt;0,F793,IF(N(E793)&gt;0,E793/가정!$B$5,0))</f>
        <v>28900</v>
      </c>
      <c r="L793" s="95" t="n">
        <f aca="false">IF(B793="CN",IF(N(I793)&gt;0,I793*가정!$B$3,K793*(1+가정!$B$6)),IF(N(H793)&gt;0,H793*가정!$B$3,J793*가정!$B$4))</f>
        <v>44562.906</v>
      </c>
      <c r="M793" s="95" t="n">
        <f aca="false">D793*J793</f>
        <v>13900000</v>
      </c>
      <c r="N793" s="95" t="n">
        <f aca="false">D793*K793</f>
        <v>2890000</v>
      </c>
      <c r="O793" s="95" t="n">
        <f aca="false">D793*L793</f>
        <v>4456290.6</v>
      </c>
      <c r="P793" s="34" t="str">
        <f aca="false">TRIM(IF(N(E793)&lt;=0,"택가보정 ","")&amp;IF(N(F793)&lt;=0,"원가보정 ","")&amp;IF(AND(B793&lt;&gt;"CN",N(H793)&lt;=0),"공급가보정 ","")&amp;IF(AND(B793="CN",N(I793)&lt;=0),"중국공급가=원가+마진 ",""))</f>
        <v/>
      </c>
    </row>
    <row r="794" customFormat="false" ht="15" hidden="false" customHeight="true" outlineLevel="0" collapsed="false">
      <c r="A794" s="94" t="s">
        <v>1686</v>
      </c>
      <c r="B794" s="34" t="str">
        <f aca="false">IF(A794="100","HK",IF(A794="200","CN",IF(A794="300","TW","홀세일")))</f>
        <v>TW</v>
      </c>
      <c r="C794" s="94" t="s">
        <v>476</v>
      </c>
      <c r="D794" s="95" t="n">
        <v>100</v>
      </c>
      <c r="E794" s="95" t="n">
        <v>139000</v>
      </c>
      <c r="F794" s="95" t="n">
        <v>28900</v>
      </c>
      <c r="G794" s="34" t="n">
        <v>3.72</v>
      </c>
      <c r="H794" s="34" t="n">
        <v>32.7</v>
      </c>
      <c r="I794" s="34" t="n">
        <v>0</v>
      </c>
      <c r="J794" s="95" t="n">
        <f aca="false">IF(N(E794)&gt;0,E794,IF(N(F794)&gt;0,F794*가정!$B$5,0))</f>
        <v>139000</v>
      </c>
      <c r="K794" s="95" t="n">
        <f aca="false">IF(N(F794)&gt;0,F794,IF(N(E794)&gt;0,E794/가정!$B$5,0))</f>
        <v>28900</v>
      </c>
      <c r="L794" s="95" t="n">
        <f aca="false">IF(B794="CN",IF(N(I794)&gt;0,I794*가정!$B$3,K794*(1+가정!$B$6)),IF(N(H794)&gt;0,H794*가정!$B$3,J794*가정!$B$4))</f>
        <v>44562.906</v>
      </c>
      <c r="M794" s="95" t="n">
        <f aca="false">D794*J794</f>
        <v>13900000</v>
      </c>
      <c r="N794" s="95" t="n">
        <f aca="false">D794*K794</f>
        <v>2890000</v>
      </c>
      <c r="O794" s="95" t="n">
        <f aca="false">D794*L794</f>
        <v>4456290.6</v>
      </c>
      <c r="P794" s="34" t="str">
        <f aca="false">TRIM(IF(N(E794)&lt;=0,"택가보정 ","")&amp;IF(N(F794)&lt;=0,"원가보정 ","")&amp;IF(AND(B794&lt;&gt;"CN",N(H794)&lt;=0),"공급가보정 ","")&amp;IF(AND(B794="CN",N(I794)&lt;=0),"중국공급가=원가+마진 ",""))</f>
        <v/>
      </c>
    </row>
    <row r="795" customFormat="false" ht="15" hidden="false" customHeight="true" outlineLevel="0" collapsed="false">
      <c r="A795" s="94" t="s">
        <v>1691</v>
      </c>
      <c r="B795" s="34" t="str">
        <f aca="false">IF(A795="100","HK",IF(A795="200","CN",IF(A795="300","TW","홀세일")))</f>
        <v>홀세일</v>
      </c>
      <c r="C795" s="94" t="s">
        <v>476</v>
      </c>
      <c r="D795" s="95" t="n">
        <v>45</v>
      </c>
      <c r="E795" s="95" t="n">
        <v>139000</v>
      </c>
      <c r="F795" s="95" t="n">
        <v>28900</v>
      </c>
      <c r="G795" s="34" t="n">
        <v>3.72</v>
      </c>
      <c r="H795" s="34" t="n">
        <v>32.7</v>
      </c>
      <c r="I795" s="34" t="n">
        <v>0</v>
      </c>
      <c r="J795" s="95" t="n">
        <f aca="false">IF(N(E795)&gt;0,E795,IF(N(F795)&gt;0,F795*가정!$B$5,0))</f>
        <v>139000</v>
      </c>
      <c r="K795" s="95" t="n">
        <f aca="false">IF(N(F795)&gt;0,F795,IF(N(E795)&gt;0,E795/가정!$B$5,0))</f>
        <v>28900</v>
      </c>
      <c r="L795" s="95" t="n">
        <f aca="false">IF(B795="CN",IF(N(I795)&gt;0,I795*가정!$B$3,K795*(1+가정!$B$6)),IF(N(H795)&gt;0,H795*가정!$B$3,J795*가정!$B$4))</f>
        <v>44562.906</v>
      </c>
      <c r="M795" s="95" t="n">
        <f aca="false">D795*J795</f>
        <v>6255000</v>
      </c>
      <c r="N795" s="95" t="n">
        <f aca="false">D795*K795</f>
        <v>1300500</v>
      </c>
      <c r="O795" s="95" t="n">
        <f aca="false">D795*L795</f>
        <v>2005330.77</v>
      </c>
      <c r="P795" s="34" t="str">
        <f aca="false">TRIM(IF(N(E795)&lt;=0,"택가보정 ","")&amp;IF(N(F795)&lt;=0,"원가보정 ","")&amp;IF(AND(B795&lt;&gt;"CN",N(H795)&lt;=0),"공급가보정 ","")&amp;IF(AND(B795="CN",N(I795)&lt;=0),"중국공급가=원가+마진 ",""))</f>
        <v/>
      </c>
    </row>
    <row r="796" customFormat="false" ht="15" hidden="false" customHeight="true" outlineLevel="0" collapsed="false">
      <c r="A796" s="94" t="s">
        <v>1685</v>
      </c>
      <c r="B796" s="34" t="str">
        <f aca="false">IF(A796="100","HK",IF(A796="200","CN",IF(A796="300","TW","홀세일")))</f>
        <v>CN</v>
      </c>
      <c r="C796" s="94" t="s">
        <v>1120</v>
      </c>
      <c r="D796" s="95" t="n">
        <v>397</v>
      </c>
      <c r="E796" s="95" t="n">
        <v>159000</v>
      </c>
      <c r="F796" s="95" t="n">
        <v>43604</v>
      </c>
      <c r="G796" s="34" t="n">
        <v>0</v>
      </c>
      <c r="I796" s="34" t="n">
        <v>34.8</v>
      </c>
      <c r="J796" s="95" t="n">
        <f aca="false">IF(N(E796)&gt;0,E796,IF(N(F796)&gt;0,F796*가정!$B$5,0))</f>
        <v>159000</v>
      </c>
      <c r="K796" s="95" t="n">
        <f aca="false">IF(N(F796)&gt;0,F796,IF(N(E796)&gt;0,E796/가정!$B$5,0))</f>
        <v>43604</v>
      </c>
      <c r="L796" s="95" t="n">
        <f aca="false">IF(B796="CN",IF(N(I796)&gt;0,I796*가정!$B$3,K796*(1+가정!$B$6)),IF(N(H796)&gt;0,H796*가정!$B$3,J796*가정!$B$4))</f>
        <v>47424.744</v>
      </c>
      <c r="M796" s="95" t="n">
        <f aca="false">D796*J796</f>
        <v>63123000</v>
      </c>
      <c r="N796" s="95" t="n">
        <f aca="false">D796*K796</f>
        <v>17310788</v>
      </c>
      <c r="O796" s="95" t="n">
        <f aca="false">D796*L796</f>
        <v>18827623.368</v>
      </c>
      <c r="P796" s="34" t="str">
        <f aca="false">TRIM(IF(N(E796)&lt;=0,"택가보정 ","")&amp;IF(N(F796)&lt;=0,"원가보정 ","")&amp;IF(AND(B796&lt;&gt;"CN",N(H796)&lt;=0),"공급가보정 ","")&amp;IF(AND(B796="CN",N(I796)&lt;=0),"중국공급가=원가+마진 ",""))</f>
        <v/>
      </c>
    </row>
    <row r="797" customFormat="false" ht="15" hidden="false" customHeight="true" outlineLevel="0" collapsed="false">
      <c r="A797" s="94" t="s">
        <v>1684</v>
      </c>
      <c r="B797" s="34" t="str">
        <f aca="false">IF(A797="100","HK",IF(A797="200","CN",IF(A797="300","TW","홀세일")))</f>
        <v>HK</v>
      </c>
      <c r="C797" s="94" t="s">
        <v>941</v>
      </c>
      <c r="D797" s="95" t="n">
        <v>210</v>
      </c>
      <c r="E797" s="95" t="n">
        <v>219000</v>
      </c>
      <c r="F797" s="95" t="n">
        <v>65100</v>
      </c>
      <c r="G797" s="34" t="n">
        <v>3.82</v>
      </c>
      <c r="H797" s="34" t="n">
        <v>54.9</v>
      </c>
      <c r="I797" s="34" t="n">
        <v>0</v>
      </c>
      <c r="J797" s="95" t="n">
        <f aca="false">IF(N(E797)&gt;0,E797,IF(N(F797)&gt;0,F797*가정!$B$5,0))</f>
        <v>219000</v>
      </c>
      <c r="K797" s="95" t="n">
        <f aca="false">IF(N(F797)&gt;0,F797,IF(N(E797)&gt;0,E797/가정!$B$5,0))</f>
        <v>65100</v>
      </c>
      <c r="L797" s="95" t="n">
        <f aca="false">IF(B797="CN",IF(N(I797)&gt;0,I797*가정!$B$3,K797*(1+가정!$B$6)),IF(N(H797)&gt;0,H797*가정!$B$3,J797*가정!$B$4))</f>
        <v>74816.622</v>
      </c>
      <c r="M797" s="95" t="n">
        <f aca="false">D797*J797</f>
        <v>45990000</v>
      </c>
      <c r="N797" s="95" t="n">
        <f aca="false">D797*K797</f>
        <v>13671000</v>
      </c>
      <c r="O797" s="95" t="n">
        <f aca="false">D797*L797</f>
        <v>15711490.62</v>
      </c>
      <c r="P797" s="34" t="str">
        <f aca="false">TRIM(IF(N(E797)&lt;=0,"택가보정 ","")&amp;IF(N(F797)&lt;=0,"원가보정 ","")&amp;IF(AND(B797&lt;&gt;"CN",N(H797)&lt;=0),"공급가보정 ","")&amp;IF(AND(B797="CN",N(I797)&lt;=0),"중국공급가=원가+마진 ",""))</f>
        <v/>
      </c>
    </row>
    <row r="798" customFormat="false" ht="15" hidden="false" customHeight="true" outlineLevel="0" collapsed="false">
      <c r="A798" s="94" t="s">
        <v>1688</v>
      </c>
      <c r="B798" s="34" t="str">
        <f aca="false">IF(A798="100","HK",IF(A798="200","CN",IF(A798="300","TW","홀세일")))</f>
        <v>홀세일</v>
      </c>
      <c r="C798" s="94" t="s">
        <v>941</v>
      </c>
      <c r="D798" s="95" t="n">
        <v>60</v>
      </c>
      <c r="E798" s="95" t="n">
        <v>219000</v>
      </c>
      <c r="F798" s="95" t="n">
        <v>65100</v>
      </c>
      <c r="G798" s="34" t="n">
        <v>3.82</v>
      </c>
      <c r="H798" s="34" t="n">
        <v>54.9</v>
      </c>
      <c r="I798" s="34" t="n">
        <v>0</v>
      </c>
      <c r="J798" s="95" t="n">
        <f aca="false">IF(N(E798)&gt;0,E798,IF(N(F798)&gt;0,F798*가정!$B$5,0))</f>
        <v>219000</v>
      </c>
      <c r="K798" s="95" t="n">
        <f aca="false">IF(N(F798)&gt;0,F798,IF(N(E798)&gt;0,E798/가정!$B$5,0))</f>
        <v>65100</v>
      </c>
      <c r="L798" s="95" t="n">
        <f aca="false">IF(B798="CN",IF(N(I798)&gt;0,I798*가정!$B$3,K798*(1+가정!$B$6)),IF(N(H798)&gt;0,H798*가정!$B$3,J798*가정!$B$4))</f>
        <v>74816.622</v>
      </c>
      <c r="M798" s="95" t="n">
        <f aca="false">D798*J798</f>
        <v>13140000</v>
      </c>
      <c r="N798" s="95" t="n">
        <f aca="false">D798*K798</f>
        <v>3906000</v>
      </c>
      <c r="O798" s="95" t="n">
        <f aca="false">D798*L798</f>
        <v>4488997.32</v>
      </c>
      <c r="P798" s="34" t="str">
        <f aca="false">TRIM(IF(N(E798)&lt;=0,"택가보정 ","")&amp;IF(N(F798)&lt;=0,"원가보정 ","")&amp;IF(AND(B798&lt;&gt;"CN",N(H798)&lt;=0),"공급가보정 ","")&amp;IF(AND(B798="CN",N(I798)&lt;=0),"중국공급가=원가+마진 ",""))</f>
        <v/>
      </c>
    </row>
    <row r="799" customFormat="false" ht="15" hidden="false" customHeight="true" outlineLevel="0" collapsed="false">
      <c r="A799" s="94" t="s">
        <v>1692</v>
      </c>
      <c r="B799" s="34" t="str">
        <f aca="false">IF(A799="100","HK",IF(A799="200","CN",IF(A799="300","TW","홀세일")))</f>
        <v>홀세일</v>
      </c>
      <c r="C799" s="94" t="s">
        <v>941</v>
      </c>
      <c r="D799" s="95" t="n">
        <v>192</v>
      </c>
      <c r="E799" s="95" t="n">
        <v>219000</v>
      </c>
      <c r="F799" s="95" t="n">
        <v>65100</v>
      </c>
      <c r="G799" s="34" t="n">
        <v>3.82</v>
      </c>
      <c r="H799" s="34" t="n">
        <v>54.9</v>
      </c>
      <c r="I799" s="34" t="n">
        <v>0</v>
      </c>
      <c r="J799" s="95" t="n">
        <f aca="false">IF(N(E799)&gt;0,E799,IF(N(F799)&gt;0,F799*가정!$B$5,0))</f>
        <v>219000</v>
      </c>
      <c r="K799" s="95" t="n">
        <f aca="false">IF(N(F799)&gt;0,F799,IF(N(E799)&gt;0,E799/가정!$B$5,0))</f>
        <v>65100</v>
      </c>
      <c r="L799" s="95" t="n">
        <f aca="false">IF(B799="CN",IF(N(I799)&gt;0,I799*가정!$B$3,K799*(1+가정!$B$6)),IF(N(H799)&gt;0,H799*가정!$B$3,J799*가정!$B$4))</f>
        <v>74816.622</v>
      </c>
      <c r="M799" s="95" t="n">
        <f aca="false">D799*J799</f>
        <v>42048000</v>
      </c>
      <c r="N799" s="95" t="n">
        <f aca="false">D799*K799</f>
        <v>12499200</v>
      </c>
      <c r="O799" s="95" t="n">
        <f aca="false">D799*L799</f>
        <v>14364791.424</v>
      </c>
      <c r="P799" s="34" t="str">
        <f aca="false">TRIM(IF(N(E799)&lt;=0,"택가보정 ","")&amp;IF(N(F799)&lt;=0,"원가보정 ","")&amp;IF(AND(B799&lt;&gt;"CN",N(H799)&lt;=0),"공급가보정 ","")&amp;IF(AND(B799="CN",N(I799)&lt;=0),"중국공급가=원가+마진 ",""))</f>
        <v/>
      </c>
    </row>
    <row r="800" customFormat="false" ht="15" hidden="false" customHeight="true" outlineLevel="0" collapsed="false">
      <c r="A800" s="94" t="s">
        <v>1684</v>
      </c>
      <c r="B800" s="34" t="str">
        <f aca="false">IF(A800="100","HK",IF(A800="200","CN",IF(A800="300","TW","홀세일")))</f>
        <v>HK</v>
      </c>
      <c r="C800" s="94" t="s">
        <v>478</v>
      </c>
      <c r="D800" s="95" t="n">
        <v>210</v>
      </c>
      <c r="E800" s="95" t="n">
        <v>199000</v>
      </c>
      <c r="F800" s="95" t="n">
        <v>68700</v>
      </c>
      <c r="G800" s="34" t="n">
        <v>4.56</v>
      </c>
      <c r="H800" s="34" t="n">
        <v>49.8</v>
      </c>
      <c r="I800" s="34" t="n">
        <v>0</v>
      </c>
      <c r="J800" s="95" t="n">
        <f aca="false">IF(N(E800)&gt;0,E800,IF(N(F800)&gt;0,F800*가정!$B$5,0))</f>
        <v>199000</v>
      </c>
      <c r="K800" s="95" t="n">
        <f aca="false">IF(N(F800)&gt;0,F800,IF(N(E800)&gt;0,E800/가정!$B$5,0))</f>
        <v>68700</v>
      </c>
      <c r="L800" s="95" t="n">
        <f aca="false">IF(B800="CN",IF(N(I800)&gt;0,I800*가정!$B$3,K800*(1+가정!$B$6)),IF(N(H800)&gt;0,H800*가정!$B$3,J800*가정!$B$4))</f>
        <v>67866.444</v>
      </c>
      <c r="M800" s="95" t="n">
        <f aca="false">D800*J800</f>
        <v>41790000</v>
      </c>
      <c r="N800" s="95" t="n">
        <f aca="false">D800*K800</f>
        <v>14427000</v>
      </c>
      <c r="O800" s="95" t="n">
        <f aca="false">D800*L800</f>
        <v>14251953.24</v>
      </c>
      <c r="P800" s="34" t="str">
        <f aca="false">TRIM(IF(N(E800)&lt;=0,"택가보정 ","")&amp;IF(N(F800)&lt;=0,"원가보정 ","")&amp;IF(AND(B800&lt;&gt;"CN",N(H800)&lt;=0),"공급가보정 ","")&amp;IF(AND(B800="CN",N(I800)&lt;=0),"중국공급가=원가+마진 ",""))</f>
        <v/>
      </c>
    </row>
    <row r="801" customFormat="false" ht="15" hidden="false" customHeight="true" outlineLevel="0" collapsed="false">
      <c r="A801" s="94" t="s">
        <v>1686</v>
      </c>
      <c r="B801" s="34" t="str">
        <f aca="false">IF(A801="100","HK",IF(A801="200","CN",IF(A801="300","TW","홀세일")))</f>
        <v>TW</v>
      </c>
      <c r="C801" s="94" t="s">
        <v>478</v>
      </c>
      <c r="D801" s="95" t="n">
        <v>70</v>
      </c>
      <c r="E801" s="95" t="n">
        <v>199000</v>
      </c>
      <c r="F801" s="95" t="n">
        <v>68700</v>
      </c>
      <c r="G801" s="34" t="n">
        <v>4.56</v>
      </c>
      <c r="H801" s="34" t="n">
        <v>49.8</v>
      </c>
      <c r="I801" s="34" t="n">
        <v>0</v>
      </c>
      <c r="J801" s="95" t="n">
        <f aca="false">IF(N(E801)&gt;0,E801,IF(N(F801)&gt;0,F801*가정!$B$5,0))</f>
        <v>199000</v>
      </c>
      <c r="K801" s="95" t="n">
        <f aca="false">IF(N(F801)&gt;0,F801,IF(N(E801)&gt;0,E801/가정!$B$5,0))</f>
        <v>68700</v>
      </c>
      <c r="L801" s="95" t="n">
        <f aca="false">IF(B801="CN",IF(N(I801)&gt;0,I801*가정!$B$3,K801*(1+가정!$B$6)),IF(N(H801)&gt;0,H801*가정!$B$3,J801*가정!$B$4))</f>
        <v>67866.444</v>
      </c>
      <c r="M801" s="95" t="n">
        <f aca="false">D801*J801</f>
        <v>13930000</v>
      </c>
      <c r="N801" s="95" t="n">
        <f aca="false">D801*K801</f>
        <v>4809000</v>
      </c>
      <c r="O801" s="95" t="n">
        <f aca="false">D801*L801</f>
        <v>4750651.08</v>
      </c>
      <c r="P801" s="34" t="str">
        <f aca="false">TRIM(IF(N(E801)&lt;=0,"택가보정 ","")&amp;IF(N(F801)&lt;=0,"원가보정 ","")&amp;IF(AND(B801&lt;&gt;"CN",N(H801)&lt;=0),"공급가보정 ","")&amp;IF(AND(B801="CN",N(I801)&lt;=0),"중국공급가=원가+마진 ",""))</f>
        <v/>
      </c>
    </row>
    <row r="802" customFormat="false" ht="15" hidden="false" customHeight="true" outlineLevel="0" collapsed="false">
      <c r="A802" s="94" t="s">
        <v>1687</v>
      </c>
      <c r="B802" s="34" t="str">
        <f aca="false">IF(A802="100","HK",IF(A802="200","CN",IF(A802="300","TW","홀세일")))</f>
        <v>홀세일</v>
      </c>
      <c r="C802" s="94" t="s">
        <v>478</v>
      </c>
      <c r="D802" s="95" t="n">
        <v>220</v>
      </c>
      <c r="E802" s="95" t="n">
        <v>199000</v>
      </c>
      <c r="F802" s="95" t="n">
        <v>68700</v>
      </c>
      <c r="G802" s="34" t="n">
        <v>4.56</v>
      </c>
      <c r="H802" s="34" t="n">
        <v>49.8</v>
      </c>
      <c r="I802" s="34" t="n">
        <v>0</v>
      </c>
      <c r="J802" s="95" t="n">
        <f aca="false">IF(N(E802)&gt;0,E802,IF(N(F802)&gt;0,F802*가정!$B$5,0))</f>
        <v>199000</v>
      </c>
      <c r="K802" s="95" t="n">
        <f aca="false">IF(N(F802)&gt;0,F802,IF(N(E802)&gt;0,E802/가정!$B$5,0))</f>
        <v>68700</v>
      </c>
      <c r="L802" s="95" t="n">
        <f aca="false">IF(B802="CN",IF(N(I802)&gt;0,I802*가정!$B$3,K802*(1+가정!$B$6)),IF(N(H802)&gt;0,H802*가정!$B$3,J802*가정!$B$4))</f>
        <v>67866.444</v>
      </c>
      <c r="M802" s="95" t="n">
        <f aca="false">D802*J802</f>
        <v>43780000</v>
      </c>
      <c r="N802" s="95" t="n">
        <f aca="false">D802*K802</f>
        <v>15114000</v>
      </c>
      <c r="O802" s="95" t="n">
        <f aca="false">D802*L802</f>
        <v>14930617.68</v>
      </c>
      <c r="P802" s="34" t="str">
        <f aca="false">TRIM(IF(N(E802)&lt;=0,"택가보정 ","")&amp;IF(N(F802)&lt;=0,"원가보정 ","")&amp;IF(AND(B802&lt;&gt;"CN",N(H802)&lt;=0),"공급가보정 ","")&amp;IF(AND(B802="CN",N(I802)&lt;=0),"중국공급가=원가+마진 ",""))</f>
        <v/>
      </c>
    </row>
    <row r="803" customFormat="false" ht="15" hidden="false" customHeight="true" outlineLevel="0" collapsed="false">
      <c r="A803" s="94" t="s">
        <v>1691</v>
      </c>
      <c r="B803" s="34" t="str">
        <f aca="false">IF(A803="100","HK",IF(A803="200","CN",IF(A803="300","TW","홀세일")))</f>
        <v>홀세일</v>
      </c>
      <c r="C803" s="94" t="s">
        <v>478</v>
      </c>
      <c r="D803" s="95" t="n">
        <v>35</v>
      </c>
      <c r="E803" s="95" t="n">
        <v>199000</v>
      </c>
      <c r="F803" s="95" t="n">
        <v>68700</v>
      </c>
      <c r="G803" s="34" t="n">
        <v>4.56</v>
      </c>
      <c r="H803" s="34" t="n">
        <v>49.8</v>
      </c>
      <c r="I803" s="34" t="n">
        <v>0</v>
      </c>
      <c r="J803" s="95" t="n">
        <f aca="false">IF(N(E803)&gt;0,E803,IF(N(F803)&gt;0,F803*가정!$B$5,0))</f>
        <v>199000</v>
      </c>
      <c r="K803" s="95" t="n">
        <f aca="false">IF(N(F803)&gt;0,F803,IF(N(E803)&gt;0,E803/가정!$B$5,0))</f>
        <v>68700</v>
      </c>
      <c r="L803" s="95" t="n">
        <f aca="false">IF(B803="CN",IF(N(I803)&gt;0,I803*가정!$B$3,K803*(1+가정!$B$6)),IF(N(H803)&gt;0,H803*가정!$B$3,J803*가정!$B$4))</f>
        <v>67866.444</v>
      </c>
      <c r="M803" s="95" t="n">
        <f aca="false">D803*J803</f>
        <v>6965000</v>
      </c>
      <c r="N803" s="95" t="n">
        <f aca="false">D803*K803</f>
        <v>2404500</v>
      </c>
      <c r="O803" s="95" t="n">
        <f aca="false">D803*L803</f>
        <v>2375325.54</v>
      </c>
      <c r="P803" s="34" t="str">
        <f aca="false">TRIM(IF(N(E803)&lt;=0,"택가보정 ","")&amp;IF(N(F803)&lt;=0,"원가보정 ","")&amp;IF(AND(B803&lt;&gt;"CN",N(H803)&lt;=0),"공급가보정 ","")&amp;IF(AND(B803="CN",N(I803)&lt;=0),"중국공급가=원가+마진 ",""))</f>
        <v/>
      </c>
    </row>
    <row r="804" customFormat="false" ht="15" hidden="false" customHeight="true" outlineLevel="0" collapsed="false">
      <c r="A804" s="94" t="s">
        <v>1691</v>
      </c>
      <c r="B804" s="34" t="str">
        <f aca="false">IF(A804="100","HK",IF(A804="200","CN",IF(A804="300","TW","홀세일")))</f>
        <v>홀세일</v>
      </c>
      <c r="C804" s="94" t="s">
        <v>1633</v>
      </c>
      <c r="D804" s="95" t="n">
        <v>30</v>
      </c>
      <c r="E804" s="95" t="n">
        <v>249000</v>
      </c>
      <c r="F804" s="95" t="n">
        <v>58200</v>
      </c>
      <c r="G804" s="34" t="n">
        <v>3.34</v>
      </c>
      <c r="H804" s="34" t="n">
        <v>62.4</v>
      </c>
      <c r="I804" s="34" t="n">
        <v>0</v>
      </c>
      <c r="J804" s="95" t="n">
        <f aca="false">IF(N(E804)&gt;0,E804,IF(N(F804)&gt;0,F804*가정!$B$5,0))</f>
        <v>249000</v>
      </c>
      <c r="K804" s="95" t="n">
        <f aca="false">IF(N(F804)&gt;0,F804,IF(N(E804)&gt;0,E804/가정!$B$5,0))</f>
        <v>58200</v>
      </c>
      <c r="L804" s="95" t="n">
        <f aca="false">IF(B804="CN",IF(N(I804)&gt;0,I804*가정!$B$3,K804*(1+가정!$B$6)),IF(N(H804)&gt;0,H804*가정!$B$3,J804*가정!$B$4))</f>
        <v>85037.472</v>
      </c>
      <c r="M804" s="95" t="n">
        <f aca="false">D804*J804</f>
        <v>7470000</v>
      </c>
      <c r="N804" s="95" t="n">
        <f aca="false">D804*K804</f>
        <v>1746000</v>
      </c>
      <c r="O804" s="95" t="n">
        <f aca="false">D804*L804</f>
        <v>2551124.16</v>
      </c>
      <c r="P804" s="34" t="str">
        <f aca="false">TRIM(IF(N(E804)&lt;=0,"택가보정 ","")&amp;IF(N(F804)&lt;=0,"원가보정 ","")&amp;IF(AND(B804&lt;&gt;"CN",N(H804)&lt;=0),"공급가보정 ","")&amp;IF(AND(B804="CN",N(I804)&lt;=0),"중국공급가=원가+마진 ",""))</f>
        <v/>
      </c>
    </row>
    <row r="805" customFormat="false" ht="15" hidden="false" customHeight="true" outlineLevel="0" collapsed="false">
      <c r="A805" s="94" t="s">
        <v>1688</v>
      </c>
      <c r="B805" s="34" t="str">
        <f aca="false">IF(A805="100","HK",IF(A805="200","CN",IF(A805="300","TW","홀세일")))</f>
        <v>홀세일</v>
      </c>
      <c r="C805" s="94" t="s">
        <v>1365</v>
      </c>
      <c r="D805" s="95" t="n">
        <v>60</v>
      </c>
      <c r="E805" s="95" t="n">
        <v>189000</v>
      </c>
      <c r="F805" s="95" t="n">
        <v>57200</v>
      </c>
      <c r="G805" s="34" t="n">
        <v>3.5</v>
      </c>
      <c r="H805" s="34" t="n">
        <v>47.3</v>
      </c>
      <c r="I805" s="34" t="n">
        <v>0</v>
      </c>
      <c r="J805" s="95" t="n">
        <f aca="false">IF(N(E805)&gt;0,E805,IF(N(F805)&gt;0,F805*가정!$B$5,0))</f>
        <v>189000</v>
      </c>
      <c r="K805" s="95" t="n">
        <f aca="false">IF(N(F805)&gt;0,F805,IF(N(E805)&gt;0,E805/가정!$B$5,0))</f>
        <v>57200</v>
      </c>
      <c r="L805" s="95" t="n">
        <f aca="false">IF(B805="CN",IF(N(I805)&gt;0,I805*가정!$B$3,K805*(1+가정!$B$6)),IF(N(H805)&gt;0,H805*가정!$B$3,J805*가정!$B$4))</f>
        <v>64459.494</v>
      </c>
      <c r="M805" s="95" t="n">
        <f aca="false">D805*J805</f>
        <v>11340000</v>
      </c>
      <c r="N805" s="95" t="n">
        <f aca="false">D805*K805</f>
        <v>3432000</v>
      </c>
      <c r="O805" s="95" t="n">
        <f aca="false">D805*L805</f>
        <v>3867569.64</v>
      </c>
      <c r="P805" s="34" t="str">
        <f aca="false">TRIM(IF(N(E805)&lt;=0,"택가보정 ","")&amp;IF(N(F805)&lt;=0,"원가보정 ","")&amp;IF(AND(B805&lt;&gt;"CN",N(H805)&lt;=0),"공급가보정 ","")&amp;IF(AND(B805="CN",N(I805)&lt;=0),"중국공급가=원가+마진 ",""))</f>
        <v/>
      </c>
    </row>
    <row r="806" customFormat="false" ht="15" hidden="false" customHeight="true" outlineLevel="0" collapsed="false">
      <c r="A806" s="94" t="s">
        <v>1689</v>
      </c>
      <c r="B806" s="34" t="str">
        <f aca="false">IF(A806="100","HK",IF(A806="200","CN",IF(A806="300","TW","홀세일")))</f>
        <v>홀세일</v>
      </c>
      <c r="C806" s="94" t="s">
        <v>1365</v>
      </c>
      <c r="D806" s="95" t="n">
        <v>90</v>
      </c>
      <c r="E806" s="95" t="n">
        <v>189000</v>
      </c>
      <c r="F806" s="95" t="n">
        <v>57200</v>
      </c>
      <c r="G806" s="34" t="n">
        <v>3.5</v>
      </c>
      <c r="H806" s="34" t="n">
        <v>47.3</v>
      </c>
      <c r="I806" s="34" t="n">
        <v>0</v>
      </c>
      <c r="J806" s="95" t="n">
        <f aca="false">IF(N(E806)&gt;0,E806,IF(N(F806)&gt;0,F806*가정!$B$5,0))</f>
        <v>189000</v>
      </c>
      <c r="K806" s="95" t="n">
        <f aca="false">IF(N(F806)&gt;0,F806,IF(N(E806)&gt;0,E806/가정!$B$5,0))</f>
        <v>57200</v>
      </c>
      <c r="L806" s="95" t="n">
        <f aca="false">IF(B806="CN",IF(N(I806)&gt;0,I806*가정!$B$3,K806*(1+가정!$B$6)),IF(N(H806)&gt;0,H806*가정!$B$3,J806*가정!$B$4))</f>
        <v>64459.494</v>
      </c>
      <c r="M806" s="95" t="n">
        <f aca="false">D806*J806</f>
        <v>17010000</v>
      </c>
      <c r="N806" s="95" t="n">
        <f aca="false">D806*K806</f>
        <v>5148000</v>
      </c>
      <c r="O806" s="95" t="n">
        <f aca="false">D806*L806</f>
        <v>5801354.46</v>
      </c>
      <c r="P806" s="34" t="str">
        <f aca="false">TRIM(IF(N(E806)&lt;=0,"택가보정 ","")&amp;IF(N(F806)&lt;=0,"원가보정 ","")&amp;IF(AND(B806&lt;&gt;"CN",N(H806)&lt;=0),"공급가보정 ","")&amp;IF(AND(B806="CN",N(I806)&lt;=0),"중국공급가=원가+마진 ",""))</f>
        <v/>
      </c>
    </row>
    <row r="807" customFormat="false" ht="15" hidden="false" customHeight="true" outlineLevel="0" collapsed="false">
      <c r="A807" s="94" t="s">
        <v>1684</v>
      </c>
      <c r="B807" s="34" t="str">
        <f aca="false">IF(A807="100","HK",IF(A807="200","CN",IF(A807="300","TW","홀세일")))</f>
        <v>HK</v>
      </c>
      <c r="C807" s="94" t="s">
        <v>480</v>
      </c>
      <c r="D807" s="95" t="n">
        <v>90</v>
      </c>
      <c r="E807" s="95" t="n">
        <v>349000</v>
      </c>
      <c r="F807" s="95" t="n">
        <v>105706</v>
      </c>
      <c r="G807" s="34" t="n">
        <v>3.1</v>
      </c>
      <c r="H807" s="34" t="n">
        <v>87.4</v>
      </c>
      <c r="I807" s="34" t="n">
        <v>89.5</v>
      </c>
      <c r="J807" s="95" t="n">
        <f aca="false">IF(N(E807)&gt;0,E807,IF(N(F807)&gt;0,F807*가정!$B$5,0))</f>
        <v>349000</v>
      </c>
      <c r="K807" s="95" t="n">
        <f aca="false">IF(N(F807)&gt;0,F807,IF(N(E807)&gt;0,E807/가정!$B$5,0))</f>
        <v>105706</v>
      </c>
      <c r="L807" s="95" t="n">
        <f aca="false">IF(B807="CN",IF(N(I807)&gt;0,I807*가정!$B$3,K807*(1+가정!$B$6)),IF(N(H807)&gt;0,H807*가정!$B$3,J807*가정!$B$4))</f>
        <v>119106.972</v>
      </c>
      <c r="M807" s="95" t="n">
        <f aca="false">D807*J807</f>
        <v>31410000</v>
      </c>
      <c r="N807" s="95" t="n">
        <f aca="false">D807*K807</f>
        <v>9513540</v>
      </c>
      <c r="O807" s="95" t="n">
        <f aca="false">D807*L807</f>
        <v>10719627.48</v>
      </c>
      <c r="P807" s="34" t="str">
        <f aca="false">TRIM(IF(N(E807)&lt;=0,"택가보정 ","")&amp;IF(N(F807)&lt;=0,"원가보정 ","")&amp;IF(AND(B807&lt;&gt;"CN",N(H807)&lt;=0),"공급가보정 ","")&amp;IF(AND(B807="CN",N(I807)&lt;=0),"중국공급가=원가+마진 ",""))</f>
        <v/>
      </c>
    </row>
    <row r="808" customFormat="false" ht="15" hidden="false" customHeight="true" outlineLevel="0" collapsed="false">
      <c r="A808" s="94" t="s">
        <v>1685</v>
      </c>
      <c r="B808" s="34" t="str">
        <f aca="false">IF(A808="100","HK",IF(A808="200","CN",IF(A808="300","TW","홀세일")))</f>
        <v>CN</v>
      </c>
      <c r="C808" s="94" t="s">
        <v>480</v>
      </c>
      <c r="D808" s="95" t="n">
        <v>127</v>
      </c>
      <c r="E808" s="95" t="n">
        <v>349000</v>
      </c>
      <c r="F808" s="95" t="n">
        <v>105706</v>
      </c>
      <c r="G808" s="34" t="n">
        <v>3.1</v>
      </c>
      <c r="H808" s="34" t="n">
        <v>87.4</v>
      </c>
      <c r="I808" s="34" t="n">
        <v>89.5</v>
      </c>
      <c r="J808" s="95" t="n">
        <f aca="false">IF(N(E808)&gt;0,E808,IF(N(F808)&gt;0,F808*가정!$B$5,0))</f>
        <v>349000</v>
      </c>
      <c r="K808" s="95" t="n">
        <f aca="false">IF(N(F808)&gt;0,F808,IF(N(E808)&gt;0,E808/가정!$B$5,0))</f>
        <v>105706</v>
      </c>
      <c r="L808" s="95" t="n">
        <f aca="false">IF(B808="CN",IF(N(I808)&gt;0,I808*가정!$B$3,K808*(1+가정!$B$6)),IF(N(H808)&gt;0,H808*가정!$B$3,J808*가정!$B$4))</f>
        <v>121968.81</v>
      </c>
      <c r="M808" s="95" t="n">
        <f aca="false">D808*J808</f>
        <v>44323000</v>
      </c>
      <c r="N808" s="95" t="n">
        <f aca="false">D808*K808</f>
        <v>13424662</v>
      </c>
      <c r="O808" s="95" t="n">
        <f aca="false">D808*L808</f>
        <v>15490038.87</v>
      </c>
      <c r="P808" s="34" t="str">
        <f aca="false">TRIM(IF(N(E808)&lt;=0,"택가보정 ","")&amp;IF(N(F808)&lt;=0,"원가보정 ","")&amp;IF(AND(B808&lt;&gt;"CN",N(H808)&lt;=0),"공급가보정 ","")&amp;IF(AND(B808="CN",N(I808)&lt;=0),"중국공급가=원가+마진 ",""))</f>
        <v/>
      </c>
    </row>
    <row r="809" customFormat="false" ht="15" hidden="false" customHeight="true" outlineLevel="0" collapsed="false">
      <c r="A809" s="94" t="s">
        <v>1686</v>
      </c>
      <c r="B809" s="34" t="str">
        <f aca="false">IF(A809="100","HK",IF(A809="200","CN",IF(A809="300","TW","홀세일")))</f>
        <v>TW</v>
      </c>
      <c r="C809" s="94" t="s">
        <v>480</v>
      </c>
      <c r="D809" s="95" t="n">
        <v>395</v>
      </c>
      <c r="E809" s="95" t="n">
        <v>349000</v>
      </c>
      <c r="F809" s="95" t="n">
        <v>105706</v>
      </c>
      <c r="G809" s="34" t="n">
        <v>3.1</v>
      </c>
      <c r="H809" s="34" t="n">
        <v>87.4</v>
      </c>
      <c r="I809" s="34" t="n">
        <v>89.5</v>
      </c>
      <c r="J809" s="95" t="n">
        <f aca="false">IF(N(E809)&gt;0,E809,IF(N(F809)&gt;0,F809*가정!$B$5,0))</f>
        <v>349000</v>
      </c>
      <c r="K809" s="95" t="n">
        <f aca="false">IF(N(F809)&gt;0,F809,IF(N(E809)&gt;0,E809/가정!$B$5,0))</f>
        <v>105706</v>
      </c>
      <c r="L809" s="95" t="n">
        <f aca="false">IF(B809="CN",IF(N(I809)&gt;0,I809*가정!$B$3,K809*(1+가정!$B$6)),IF(N(H809)&gt;0,H809*가정!$B$3,J809*가정!$B$4))</f>
        <v>119106.972</v>
      </c>
      <c r="M809" s="95" t="n">
        <f aca="false">D809*J809</f>
        <v>137855000</v>
      </c>
      <c r="N809" s="95" t="n">
        <f aca="false">D809*K809</f>
        <v>41753870</v>
      </c>
      <c r="O809" s="95" t="n">
        <f aca="false">D809*L809</f>
        <v>47047253.94</v>
      </c>
      <c r="P809" s="34" t="str">
        <f aca="false">TRIM(IF(N(E809)&lt;=0,"택가보정 ","")&amp;IF(N(F809)&lt;=0,"원가보정 ","")&amp;IF(AND(B809&lt;&gt;"CN",N(H809)&lt;=0),"공급가보정 ","")&amp;IF(AND(B809="CN",N(I809)&lt;=0),"중국공급가=원가+마진 ",""))</f>
        <v/>
      </c>
    </row>
    <row r="810" customFormat="false" ht="15" hidden="false" customHeight="true" outlineLevel="0" collapsed="false">
      <c r="A810" s="94" t="s">
        <v>1688</v>
      </c>
      <c r="B810" s="34" t="str">
        <f aca="false">IF(A810="100","HK",IF(A810="200","CN",IF(A810="300","TW","홀세일")))</f>
        <v>홀세일</v>
      </c>
      <c r="C810" s="94" t="s">
        <v>480</v>
      </c>
      <c r="D810" s="95" t="n">
        <v>50</v>
      </c>
      <c r="E810" s="95" t="n">
        <v>349000</v>
      </c>
      <c r="F810" s="95" t="n">
        <v>105706</v>
      </c>
      <c r="G810" s="34" t="n">
        <v>3.1</v>
      </c>
      <c r="H810" s="34" t="n">
        <v>87.4</v>
      </c>
      <c r="I810" s="34" t="n">
        <v>89.5</v>
      </c>
      <c r="J810" s="95" t="n">
        <f aca="false">IF(N(E810)&gt;0,E810,IF(N(F810)&gt;0,F810*가정!$B$5,0))</f>
        <v>349000</v>
      </c>
      <c r="K810" s="95" t="n">
        <f aca="false">IF(N(F810)&gt;0,F810,IF(N(E810)&gt;0,E810/가정!$B$5,0))</f>
        <v>105706</v>
      </c>
      <c r="L810" s="95" t="n">
        <f aca="false">IF(B810="CN",IF(N(I810)&gt;0,I810*가정!$B$3,K810*(1+가정!$B$6)),IF(N(H810)&gt;0,H810*가정!$B$3,J810*가정!$B$4))</f>
        <v>119106.972</v>
      </c>
      <c r="M810" s="95" t="n">
        <f aca="false">D810*J810</f>
        <v>17450000</v>
      </c>
      <c r="N810" s="95" t="n">
        <f aca="false">D810*K810</f>
        <v>5285300</v>
      </c>
      <c r="O810" s="95" t="n">
        <f aca="false">D810*L810</f>
        <v>5955348.6</v>
      </c>
      <c r="P810" s="34" t="str">
        <f aca="false">TRIM(IF(N(E810)&lt;=0,"택가보정 ","")&amp;IF(N(F810)&lt;=0,"원가보정 ","")&amp;IF(AND(B810&lt;&gt;"CN",N(H810)&lt;=0),"공급가보정 ","")&amp;IF(AND(B810="CN",N(I810)&lt;=0),"중국공급가=원가+마진 ",""))</f>
        <v/>
      </c>
    </row>
    <row r="811" customFormat="false" ht="15" hidden="false" customHeight="true" outlineLevel="0" collapsed="false">
      <c r="A811" s="94" t="s">
        <v>1689</v>
      </c>
      <c r="B811" s="34" t="str">
        <f aca="false">IF(A811="100","HK",IF(A811="200","CN",IF(A811="300","TW","홀세일")))</f>
        <v>홀세일</v>
      </c>
      <c r="C811" s="94" t="s">
        <v>480</v>
      </c>
      <c r="D811" s="95" t="n">
        <v>80</v>
      </c>
      <c r="E811" s="95" t="n">
        <v>349000</v>
      </c>
      <c r="F811" s="95" t="n">
        <v>105706</v>
      </c>
      <c r="G811" s="34" t="n">
        <v>3.1</v>
      </c>
      <c r="H811" s="34" t="n">
        <v>87.4</v>
      </c>
      <c r="I811" s="34" t="n">
        <v>89.5</v>
      </c>
      <c r="J811" s="95" t="n">
        <f aca="false">IF(N(E811)&gt;0,E811,IF(N(F811)&gt;0,F811*가정!$B$5,0))</f>
        <v>349000</v>
      </c>
      <c r="K811" s="95" t="n">
        <f aca="false">IF(N(F811)&gt;0,F811,IF(N(E811)&gt;0,E811/가정!$B$5,0))</f>
        <v>105706</v>
      </c>
      <c r="L811" s="95" t="n">
        <f aca="false">IF(B811="CN",IF(N(I811)&gt;0,I811*가정!$B$3,K811*(1+가정!$B$6)),IF(N(H811)&gt;0,H811*가정!$B$3,J811*가정!$B$4))</f>
        <v>119106.972</v>
      </c>
      <c r="M811" s="95" t="n">
        <f aca="false">D811*J811</f>
        <v>27920000</v>
      </c>
      <c r="N811" s="95" t="n">
        <f aca="false">D811*K811</f>
        <v>8456480</v>
      </c>
      <c r="O811" s="95" t="n">
        <f aca="false">D811*L811</f>
        <v>9528557.76</v>
      </c>
      <c r="P811" s="34" t="str">
        <f aca="false">TRIM(IF(N(E811)&lt;=0,"택가보정 ","")&amp;IF(N(F811)&lt;=0,"원가보정 ","")&amp;IF(AND(B811&lt;&gt;"CN",N(H811)&lt;=0),"공급가보정 ","")&amp;IF(AND(B811="CN",N(I811)&lt;=0),"중국공급가=원가+마진 ",""))</f>
        <v/>
      </c>
    </row>
    <row r="812" customFormat="false" ht="15" hidden="false" customHeight="true" outlineLevel="0" collapsed="false">
      <c r="A812" s="94" t="s">
        <v>1684</v>
      </c>
      <c r="B812" s="34" t="str">
        <f aca="false">IF(A812="100","HK",IF(A812="200","CN",IF(A812="300","TW","홀세일")))</f>
        <v>HK</v>
      </c>
      <c r="C812" s="94" t="s">
        <v>482</v>
      </c>
      <c r="D812" s="95" t="n">
        <v>180</v>
      </c>
      <c r="E812" s="95" t="n">
        <v>179000</v>
      </c>
      <c r="F812" s="95" t="n">
        <v>48358</v>
      </c>
      <c r="G812" s="34" t="n">
        <v>3.88</v>
      </c>
      <c r="H812" s="34" t="n">
        <v>44.8</v>
      </c>
      <c r="I812" s="34" t="n">
        <v>38.9</v>
      </c>
      <c r="J812" s="95" t="n">
        <f aca="false">IF(N(E812)&gt;0,E812,IF(N(F812)&gt;0,F812*가정!$B$5,0))</f>
        <v>179000</v>
      </c>
      <c r="K812" s="95" t="n">
        <f aca="false">IF(N(F812)&gt;0,F812,IF(N(E812)&gt;0,E812/가정!$B$5,0))</f>
        <v>48358</v>
      </c>
      <c r="L812" s="95" t="n">
        <f aca="false">IF(B812="CN",IF(N(I812)&gt;0,I812*가정!$B$3,K812*(1+가정!$B$6)),IF(N(H812)&gt;0,H812*가정!$B$3,J812*가정!$B$4))</f>
        <v>61052.544</v>
      </c>
      <c r="M812" s="95" t="n">
        <f aca="false">D812*J812</f>
        <v>32220000</v>
      </c>
      <c r="N812" s="95" t="n">
        <f aca="false">D812*K812</f>
        <v>8704440</v>
      </c>
      <c r="O812" s="95" t="n">
        <f aca="false">D812*L812</f>
        <v>10989457.92</v>
      </c>
      <c r="P812" s="34" t="str">
        <f aca="false">TRIM(IF(N(E812)&lt;=0,"택가보정 ","")&amp;IF(N(F812)&lt;=0,"원가보정 ","")&amp;IF(AND(B812&lt;&gt;"CN",N(H812)&lt;=0),"공급가보정 ","")&amp;IF(AND(B812="CN",N(I812)&lt;=0),"중국공급가=원가+마진 ",""))</f>
        <v/>
      </c>
    </row>
    <row r="813" customFormat="false" ht="15" hidden="false" customHeight="true" outlineLevel="0" collapsed="false">
      <c r="A813" s="94" t="s">
        <v>1685</v>
      </c>
      <c r="B813" s="34" t="str">
        <f aca="false">IF(A813="100","HK",IF(A813="200","CN",IF(A813="300","TW","홀세일")))</f>
        <v>CN</v>
      </c>
      <c r="C813" s="94" t="s">
        <v>482</v>
      </c>
      <c r="D813" s="95" t="n">
        <v>267</v>
      </c>
      <c r="E813" s="95" t="n">
        <v>179000</v>
      </c>
      <c r="F813" s="95" t="n">
        <v>48358</v>
      </c>
      <c r="G813" s="34" t="n">
        <v>3.88</v>
      </c>
      <c r="H813" s="34" t="n">
        <v>44.8</v>
      </c>
      <c r="I813" s="34" t="n">
        <v>38.9</v>
      </c>
      <c r="J813" s="95" t="n">
        <f aca="false">IF(N(E813)&gt;0,E813,IF(N(F813)&gt;0,F813*가정!$B$5,0))</f>
        <v>179000</v>
      </c>
      <c r="K813" s="95" t="n">
        <f aca="false">IF(N(F813)&gt;0,F813,IF(N(E813)&gt;0,E813/가정!$B$5,0))</f>
        <v>48358</v>
      </c>
      <c r="L813" s="95" t="n">
        <f aca="false">IF(B813="CN",IF(N(I813)&gt;0,I813*가정!$B$3,K813*(1+가정!$B$6)),IF(N(H813)&gt;0,H813*가정!$B$3,J813*가정!$B$4))</f>
        <v>53012.142</v>
      </c>
      <c r="M813" s="95" t="n">
        <f aca="false">D813*J813</f>
        <v>47793000</v>
      </c>
      <c r="N813" s="95" t="n">
        <f aca="false">D813*K813</f>
        <v>12911586</v>
      </c>
      <c r="O813" s="95" t="n">
        <f aca="false">D813*L813</f>
        <v>14154241.914</v>
      </c>
      <c r="P813" s="34" t="str">
        <f aca="false">TRIM(IF(N(E813)&lt;=0,"택가보정 ","")&amp;IF(N(F813)&lt;=0,"원가보정 ","")&amp;IF(AND(B813&lt;&gt;"CN",N(H813)&lt;=0),"공급가보정 ","")&amp;IF(AND(B813="CN",N(I813)&lt;=0),"중국공급가=원가+마진 ",""))</f>
        <v/>
      </c>
    </row>
    <row r="814" customFormat="false" ht="15" hidden="false" customHeight="true" outlineLevel="0" collapsed="false">
      <c r="A814" s="94" t="s">
        <v>1686</v>
      </c>
      <c r="B814" s="34" t="str">
        <f aca="false">IF(A814="100","HK",IF(A814="200","CN",IF(A814="300","TW","홀세일")))</f>
        <v>TW</v>
      </c>
      <c r="C814" s="94" t="s">
        <v>482</v>
      </c>
      <c r="D814" s="95" t="n">
        <v>100</v>
      </c>
      <c r="E814" s="95" t="n">
        <v>179000</v>
      </c>
      <c r="F814" s="95" t="n">
        <v>48358</v>
      </c>
      <c r="G814" s="34" t="n">
        <v>3.88</v>
      </c>
      <c r="H814" s="34" t="n">
        <v>44.8</v>
      </c>
      <c r="I814" s="34" t="n">
        <v>38.9</v>
      </c>
      <c r="J814" s="95" t="n">
        <f aca="false">IF(N(E814)&gt;0,E814,IF(N(F814)&gt;0,F814*가정!$B$5,0))</f>
        <v>179000</v>
      </c>
      <c r="K814" s="95" t="n">
        <f aca="false">IF(N(F814)&gt;0,F814,IF(N(E814)&gt;0,E814/가정!$B$5,0))</f>
        <v>48358</v>
      </c>
      <c r="L814" s="95" t="n">
        <f aca="false">IF(B814="CN",IF(N(I814)&gt;0,I814*가정!$B$3,K814*(1+가정!$B$6)),IF(N(H814)&gt;0,H814*가정!$B$3,J814*가정!$B$4))</f>
        <v>61052.544</v>
      </c>
      <c r="M814" s="95" t="n">
        <f aca="false">D814*J814</f>
        <v>17900000</v>
      </c>
      <c r="N814" s="95" t="n">
        <f aca="false">D814*K814</f>
        <v>4835800</v>
      </c>
      <c r="O814" s="95" t="n">
        <f aca="false">D814*L814</f>
        <v>6105254.4</v>
      </c>
      <c r="P814" s="34" t="str">
        <f aca="false">TRIM(IF(N(E814)&lt;=0,"택가보정 ","")&amp;IF(N(F814)&lt;=0,"원가보정 ","")&amp;IF(AND(B814&lt;&gt;"CN",N(H814)&lt;=0),"공급가보정 ","")&amp;IF(AND(B814="CN",N(I814)&lt;=0),"중국공급가=원가+마진 ",""))</f>
        <v/>
      </c>
    </row>
    <row r="815" customFormat="false" ht="15" hidden="false" customHeight="true" outlineLevel="0" collapsed="false">
      <c r="A815" s="94" t="s">
        <v>1688</v>
      </c>
      <c r="B815" s="34" t="str">
        <f aca="false">IF(A815="100","HK",IF(A815="200","CN",IF(A815="300","TW","홀세일")))</f>
        <v>홀세일</v>
      </c>
      <c r="C815" s="94" t="s">
        <v>482</v>
      </c>
      <c r="D815" s="95" t="n">
        <v>20</v>
      </c>
      <c r="E815" s="95" t="n">
        <v>179000</v>
      </c>
      <c r="F815" s="95" t="n">
        <v>48358</v>
      </c>
      <c r="G815" s="34" t="n">
        <v>3.88</v>
      </c>
      <c r="H815" s="34" t="n">
        <v>44.8</v>
      </c>
      <c r="I815" s="34" t="n">
        <v>38.9</v>
      </c>
      <c r="J815" s="95" t="n">
        <f aca="false">IF(N(E815)&gt;0,E815,IF(N(F815)&gt;0,F815*가정!$B$5,0))</f>
        <v>179000</v>
      </c>
      <c r="K815" s="95" t="n">
        <f aca="false">IF(N(F815)&gt;0,F815,IF(N(E815)&gt;0,E815/가정!$B$5,0))</f>
        <v>48358</v>
      </c>
      <c r="L815" s="95" t="n">
        <f aca="false">IF(B815="CN",IF(N(I815)&gt;0,I815*가정!$B$3,K815*(1+가정!$B$6)),IF(N(H815)&gt;0,H815*가정!$B$3,J815*가정!$B$4))</f>
        <v>61052.544</v>
      </c>
      <c r="M815" s="95" t="n">
        <f aca="false">D815*J815</f>
        <v>3580000</v>
      </c>
      <c r="N815" s="95" t="n">
        <f aca="false">D815*K815</f>
        <v>967160</v>
      </c>
      <c r="O815" s="95" t="n">
        <f aca="false">D815*L815</f>
        <v>1221050.88</v>
      </c>
      <c r="P815" s="34" t="str">
        <f aca="false">TRIM(IF(N(E815)&lt;=0,"택가보정 ","")&amp;IF(N(F815)&lt;=0,"원가보정 ","")&amp;IF(AND(B815&lt;&gt;"CN",N(H815)&lt;=0),"공급가보정 ","")&amp;IF(AND(B815="CN",N(I815)&lt;=0),"중국공급가=원가+마진 ",""))</f>
        <v/>
      </c>
    </row>
    <row r="816" customFormat="false" ht="15" hidden="false" customHeight="true" outlineLevel="0" collapsed="false">
      <c r="A816" s="94" t="s">
        <v>1689</v>
      </c>
      <c r="B816" s="34" t="str">
        <f aca="false">IF(A816="100","HK",IF(A816="200","CN",IF(A816="300","TW","홀세일")))</f>
        <v>홀세일</v>
      </c>
      <c r="C816" s="94" t="s">
        <v>482</v>
      </c>
      <c r="D816" s="95" t="n">
        <v>80</v>
      </c>
      <c r="E816" s="95" t="n">
        <v>179000</v>
      </c>
      <c r="F816" s="95" t="n">
        <v>48358</v>
      </c>
      <c r="G816" s="34" t="n">
        <v>3.88</v>
      </c>
      <c r="H816" s="34" t="n">
        <v>44.8</v>
      </c>
      <c r="I816" s="34" t="n">
        <v>38.9</v>
      </c>
      <c r="J816" s="95" t="n">
        <f aca="false">IF(N(E816)&gt;0,E816,IF(N(F816)&gt;0,F816*가정!$B$5,0))</f>
        <v>179000</v>
      </c>
      <c r="K816" s="95" t="n">
        <f aca="false">IF(N(F816)&gt;0,F816,IF(N(E816)&gt;0,E816/가정!$B$5,0))</f>
        <v>48358</v>
      </c>
      <c r="L816" s="95" t="n">
        <f aca="false">IF(B816="CN",IF(N(I816)&gt;0,I816*가정!$B$3,K816*(1+가정!$B$6)),IF(N(H816)&gt;0,H816*가정!$B$3,J816*가정!$B$4))</f>
        <v>61052.544</v>
      </c>
      <c r="M816" s="95" t="n">
        <f aca="false">D816*J816</f>
        <v>14320000</v>
      </c>
      <c r="N816" s="95" t="n">
        <f aca="false">D816*K816</f>
        <v>3868640</v>
      </c>
      <c r="O816" s="95" t="n">
        <f aca="false">D816*L816</f>
        <v>4884203.52</v>
      </c>
      <c r="P816" s="34" t="str">
        <f aca="false">TRIM(IF(N(E816)&lt;=0,"택가보정 ","")&amp;IF(N(F816)&lt;=0,"원가보정 ","")&amp;IF(AND(B816&lt;&gt;"CN",N(H816)&lt;=0),"공급가보정 ","")&amp;IF(AND(B816="CN",N(I816)&lt;=0),"중국공급가=원가+마진 ",""))</f>
        <v/>
      </c>
    </row>
    <row r="817" customFormat="false" ht="15" hidden="false" customHeight="true" outlineLevel="0" collapsed="false">
      <c r="A817" s="94" t="s">
        <v>1686</v>
      </c>
      <c r="B817" s="34" t="str">
        <f aca="false">IF(A817="100","HK",IF(A817="200","CN",IF(A817="300","TW","홀세일")))</f>
        <v>TW</v>
      </c>
      <c r="C817" s="94" t="s">
        <v>484</v>
      </c>
      <c r="D817" s="95" t="n">
        <v>200</v>
      </c>
      <c r="E817" s="95" t="n">
        <v>219000</v>
      </c>
      <c r="F817" s="95" t="n">
        <v>54900</v>
      </c>
      <c r="G817" s="34" t="n">
        <v>4.01</v>
      </c>
      <c r="H817" s="34" t="n">
        <v>54.9</v>
      </c>
      <c r="I817" s="34" t="n">
        <v>0</v>
      </c>
      <c r="J817" s="95" t="n">
        <f aca="false">IF(N(E817)&gt;0,E817,IF(N(F817)&gt;0,F817*가정!$B$5,0))</f>
        <v>219000</v>
      </c>
      <c r="K817" s="95" t="n">
        <f aca="false">IF(N(F817)&gt;0,F817,IF(N(E817)&gt;0,E817/가정!$B$5,0))</f>
        <v>54900</v>
      </c>
      <c r="L817" s="95" t="n">
        <f aca="false">IF(B817="CN",IF(N(I817)&gt;0,I817*가정!$B$3,K817*(1+가정!$B$6)),IF(N(H817)&gt;0,H817*가정!$B$3,J817*가정!$B$4))</f>
        <v>74816.622</v>
      </c>
      <c r="M817" s="95" t="n">
        <f aca="false">D817*J817</f>
        <v>43800000</v>
      </c>
      <c r="N817" s="95" t="n">
        <f aca="false">D817*K817</f>
        <v>10980000</v>
      </c>
      <c r="O817" s="95" t="n">
        <f aca="false">D817*L817</f>
        <v>14963324.4</v>
      </c>
      <c r="P817" s="34" t="str">
        <f aca="false">TRIM(IF(N(E817)&lt;=0,"택가보정 ","")&amp;IF(N(F817)&lt;=0,"원가보정 ","")&amp;IF(AND(B817&lt;&gt;"CN",N(H817)&lt;=0),"공급가보정 ","")&amp;IF(AND(B817="CN",N(I817)&lt;=0),"중국공급가=원가+마진 ",""))</f>
        <v/>
      </c>
    </row>
    <row r="818" customFormat="false" ht="15" hidden="false" customHeight="true" outlineLevel="0" collapsed="false">
      <c r="A818" s="94" t="s">
        <v>1692</v>
      </c>
      <c r="B818" s="34" t="str">
        <f aca="false">IF(A818="100","HK",IF(A818="200","CN",IF(A818="300","TW","홀세일")))</f>
        <v>홀세일</v>
      </c>
      <c r="C818" s="94" t="s">
        <v>484</v>
      </c>
      <c r="D818" s="95" t="n">
        <v>91</v>
      </c>
      <c r="E818" s="95" t="n">
        <v>219000</v>
      </c>
      <c r="F818" s="95" t="n">
        <v>54900</v>
      </c>
      <c r="G818" s="34" t="n">
        <v>4.01</v>
      </c>
      <c r="H818" s="34" t="n">
        <v>54.9</v>
      </c>
      <c r="I818" s="34" t="n">
        <v>0</v>
      </c>
      <c r="J818" s="95" t="n">
        <f aca="false">IF(N(E818)&gt;0,E818,IF(N(F818)&gt;0,F818*가정!$B$5,0))</f>
        <v>219000</v>
      </c>
      <c r="K818" s="95" t="n">
        <f aca="false">IF(N(F818)&gt;0,F818,IF(N(E818)&gt;0,E818/가정!$B$5,0))</f>
        <v>54900</v>
      </c>
      <c r="L818" s="95" t="n">
        <f aca="false">IF(B818="CN",IF(N(I818)&gt;0,I818*가정!$B$3,K818*(1+가정!$B$6)),IF(N(H818)&gt;0,H818*가정!$B$3,J818*가정!$B$4))</f>
        <v>74816.622</v>
      </c>
      <c r="M818" s="95" t="n">
        <f aca="false">D818*J818</f>
        <v>19929000</v>
      </c>
      <c r="N818" s="95" t="n">
        <f aca="false">D818*K818</f>
        <v>4995900</v>
      </c>
      <c r="O818" s="95" t="n">
        <f aca="false">D818*L818</f>
        <v>6808312.602</v>
      </c>
      <c r="P818" s="34" t="str">
        <f aca="false">TRIM(IF(N(E818)&lt;=0,"택가보정 ","")&amp;IF(N(F818)&lt;=0,"원가보정 ","")&amp;IF(AND(B818&lt;&gt;"CN",N(H818)&lt;=0),"공급가보정 ","")&amp;IF(AND(B818="CN",N(I818)&lt;=0),"중국공급가=원가+마진 ",""))</f>
        <v/>
      </c>
    </row>
    <row r="819" customFormat="false" ht="15" hidden="false" customHeight="true" outlineLevel="0" collapsed="false">
      <c r="A819" s="94" t="s">
        <v>1689</v>
      </c>
      <c r="B819" s="34" t="str">
        <f aca="false">IF(A819="100","HK",IF(A819="200","CN",IF(A819="300","TW","홀세일")))</f>
        <v>홀세일</v>
      </c>
      <c r="C819" s="94" t="s">
        <v>484</v>
      </c>
      <c r="D819" s="95" t="n">
        <v>50</v>
      </c>
      <c r="E819" s="95" t="n">
        <v>219000</v>
      </c>
      <c r="F819" s="95" t="n">
        <v>54900</v>
      </c>
      <c r="G819" s="34" t="n">
        <v>4.01</v>
      </c>
      <c r="H819" s="34" t="n">
        <v>54.9</v>
      </c>
      <c r="I819" s="34" t="n">
        <v>0</v>
      </c>
      <c r="J819" s="95" t="n">
        <f aca="false">IF(N(E819)&gt;0,E819,IF(N(F819)&gt;0,F819*가정!$B$5,0))</f>
        <v>219000</v>
      </c>
      <c r="K819" s="95" t="n">
        <f aca="false">IF(N(F819)&gt;0,F819,IF(N(E819)&gt;0,E819/가정!$B$5,0))</f>
        <v>54900</v>
      </c>
      <c r="L819" s="95" t="n">
        <f aca="false">IF(B819="CN",IF(N(I819)&gt;0,I819*가정!$B$3,K819*(1+가정!$B$6)),IF(N(H819)&gt;0,H819*가정!$B$3,J819*가정!$B$4))</f>
        <v>74816.622</v>
      </c>
      <c r="M819" s="95" t="n">
        <f aca="false">D819*J819</f>
        <v>10950000</v>
      </c>
      <c r="N819" s="95" t="n">
        <f aca="false">D819*K819</f>
        <v>2745000</v>
      </c>
      <c r="O819" s="95" t="n">
        <f aca="false">D819*L819</f>
        <v>3740831.1</v>
      </c>
      <c r="P819" s="34" t="str">
        <f aca="false">TRIM(IF(N(E819)&lt;=0,"택가보정 ","")&amp;IF(N(F819)&lt;=0,"원가보정 ","")&amp;IF(AND(B819&lt;&gt;"CN",N(H819)&lt;=0),"공급가보정 ","")&amp;IF(AND(B819="CN",N(I819)&lt;=0),"중국공급가=원가+마진 ",""))</f>
        <v/>
      </c>
    </row>
    <row r="820" customFormat="false" ht="15" hidden="false" customHeight="true" outlineLevel="0" collapsed="false">
      <c r="A820" s="94" t="s">
        <v>1684</v>
      </c>
      <c r="B820" s="34" t="str">
        <f aca="false">IF(A820="100","HK",IF(A820="200","CN",IF(A820="300","TW","홀세일")))</f>
        <v>HK</v>
      </c>
      <c r="C820" s="94" t="s">
        <v>943</v>
      </c>
      <c r="D820" s="95" t="n">
        <v>90</v>
      </c>
      <c r="E820" s="95" t="n">
        <v>399000</v>
      </c>
      <c r="F820" s="95" t="n">
        <v>89800</v>
      </c>
      <c r="G820" s="34" t="n">
        <v>3.5</v>
      </c>
      <c r="H820" s="34" t="n">
        <v>99.9</v>
      </c>
      <c r="I820" s="34" t="n">
        <v>0</v>
      </c>
      <c r="J820" s="95" t="n">
        <f aca="false">IF(N(E820)&gt;0,E820,IF(N(F820)&gt;0,F820*가정!$B$5,0))</f>
        <v>399000</v>
      </c>
      <c r="K820" s="95" t="n">
        <f aca="false">IF(N(F820)&gt;0,F820,IF(N(E820)&gt;0,E820/가정!$B$5,0))</f>
        <v>89800</v>
      </c>
      <c r="L820" s="95" t="n">
        <f aca="false">IF(B820="CN",IF(N(I820)&gt;0,I820*가정!$B$3,K820*(1+가정!$B$6)),IF(N(H820)&gt;0,H820*가정!$B$3,J820*가정!$B$4))</f>
        <v>136141.722</v>
      </c>
      <c r="M820" s="95" t="n">
        <f aca="false">D820*J820</f>
        <v>35910000</v>
      </c>
      <c r="N820" s="95" t="n">
        <f aca="false">D820*K820</f>
        <v>8082000</v>
      </c>
      <c r="O820" s="95" t="n">
        <f aca="false">D820*L820</f>
        <v>12252754.98</v>
      </c>
      <c r="P820" s="34" t="str">
        <f aca="false">TRIM(IF(N(E820)&lt;=0,"택가보정 ","")&amp;IF(N(F820)&lt;=0,"원가보정 ","")&amp;IF(AND(B820&lt;&gt;"CN",N(H820)&lt;=0),"공급가보정 ","")&amp;IF(AND(B820="CN",N(I820)&lt;=0),"중국공급가=원가+마진 ",""))</f>
        <v/>
      </c>
    </row>
    <row r="821" customFormat="false" ht="15" hidden="false" customHeight="true" outlineLevel="0" collapsed="false">
      <c r="A821" s="94" t="s">
        <v>1684</v>
      </c>
      <c r="B821" s="34" t="str">
        <f aca="false">IF(A821="100","HK",IF(A821="200","CN",IF(A821="300","TW","홀세일")))</f>
        <v>HK</v>
      </c>
      <c r="C821" s="94" t="s">
        <v>945</v>
      </c>
      <c r="D821" s="95" t="n">
        <v>160</v>
      </c>
      <c r="E821" s="95" t="n">
        <v>159000</v>
      </c>
      <c r="F821" s="95" t="n">
        <v>36000</v>
      </c>
      <c r="G821" s="34" t="n">
        <v>2.99</v>
      </c>
      <c r="H821" s="34" t="n">
        <v>37.4</v>
      </c>
      <c r="I821" s="34" t="n">
        <v>0</v>
      </c>
      <c r="J821" s="95" t="n">
        <f aca="false">IF(N(E821)&gt;0,E821,IF(N(F821)&gt;0,F821*가정!$B$5,0))</f>
        <v>159000</v>
      </c>
      <c r="K821" s="95" t="n">
        <f aca="false">IF(N(F821)&gt;0,F821,IF(N(E821)&gt;0,E821/가정!$B$5,0))</f>
        <v>36000</v>
      </c>
      <c r="L821" s="95" t="n">
        <f aca="false">IF(B821="CN",IF(N(I821)&gt;0,I821*가정!$B$3,K821*(1+가정!$B$6)),IF(N(H821)&gt;0,H821*가정!$B$3,J821*가정!$B$4))</f>
        <v>50967.972</v>
      </c>
      <c r="M821" s="95" t="n">
        <f aca="false">D821*J821</f>
        <v>25440000</v>
      </c>
      <c r="N821" s="95" t="n">
        <f aca="false">D821*K821</f>
        <v>5760000</v>
      </c>
      <c r="O821" s="95" t="n">
        <f aca="false">D821*L821</f>
        <v>8154875.52</v>
      </c>
      <c r="P821" s="34" t="str">
        <f aca="false">TRIM(IF(N(E821)&lt;=0,"택가보정 ","")&amp;IF(N(F821)&lt;=0,"원가보정 ","")&amp;IF(AND(B821&lt;&gt;"CN",N(H821)&lt;=0),"공급가보정 ","")&amp;IF(AND(B821="CN",N(I821)&lt;=0),"중국공급가=원가+마진 ",""))</f>
        <v/>
      </c>
    </row>
    <row r="822" customFormat="false" ht="15" hidden="false" customHeight="true" outlineLevel="0" collapsed="false">
      <c r="A822" s="94" t="s">
        <v>1688</v>
      </c>
      <c r="B822" s="34" t="str">
        <f aca="false">IF(A822="100","HK",IF(A822="200","CN",IF(A822="300","TW","홀세일")))</f>
        <v>홀세일</v>
      </c>
      <c r="C822" s="94" t="s">
        <v>945</v>
      </c>
      <c r="D822" s="95" t="n">
        <v>90</v>
      </c>
      <c r="E822" s="95" t="n">
        <v>159000</v>
      </c>
      <c r="F822" s="95" t="n">
        <v>36000</v>
      </c>
      <c r="G822" s="34" t="n">
        <v>2.99</v>
      </c>
      <c r="H822" s="34" t="n">
        <v>37.4</v>
      </c>
      <c r="I822" s="34" t="n">
        <v>0</v>
      </c>
      <c r="J822" s="95" t="n">
        <f aca="false">IF(N(E822)&gt;0,E822,IF(N(F822)&gt;0,F822*가정!$B$5,0))</f>
        <v>159000</v>
      </c>
      <c r="K822" s="95" t="n">
        <f aca="false">IF(N(F822)&gt;0,F822,IF(N(E822)&gt;0,E822/가정!$B$5,0))</f>
        <v>36000</v>
      </c>
      <c r="L822" s="95" t="n">
        <f aca="false">IF(B822="CN",IF(N(I822)&gt;0,I822*가정!$B$3,K822*(1+가정!$B$6)),IF(N(H822)&gt;0,H822*가정!$B$3,J822*가정!$B$4))</f>
        <v>50967.972</v>
      </c>
      <c r="M822" s="95" t="n">
        <f aca="false">D822*J822</f>
        <v>14310000</v>
      </c>
      <c r="N822" s="95" t="n">
        <f aca="false">D822*K822</f>
        <v>3240000</v>
      </c>
      <c r="O822" s="95" t="n">
        <f aca="false">D822*L822</f>
        <v>4587117.48</v>
      </c>
      <c r="P822" s="34" t="str">
        <f aca="false">TRIM(IF(N(E822)&lt;=0,"택가보정 ","")&amp;IF(N(F822)&lt;=0,"원가보정 ","")&amp;IF(AND(B822&lt;&gt;"CN",N(H822)&lt;=0),"공급가보정 ","")&amp;IF(AND(B822="CN",N(I822)&lt;=0),"중국공급가=원가+마진 ",""))</f>
        <v/>
      </c>
    </row>
    <row r="823" customFormat="false" ht="15" hidden="false" customHeight="true" outlineLevel="0" collapsed="false">
      <c r="A823" s="94" t="s">
        <v>1684</v>
      </c>
      <c r="B823" s="34" t="str">
        <f aca="false">IF(A823="100","HK",IF(A823="200","CN",IF(A823="300","TW","홀세일")))</f>
        <v>HK</v>
      </c>
      <c r="C823" s="94" t="s">
        <v>486</v>
      </c>
      <c r="D823" s="95" t="n">
        <v>360</v>
      </c>
      <c r="E823" s="95" t="n">
        <v>189000</v>
      </c>
      <c r="F823" s="95" t="n">
        <v>42002</v>
      </c>
      <c r="G823" s="34" t="n">
        <v>4.34</v>
      </c>
      <c r="H823" s="34" t="n">
        <v>44.5</v>
      </c>
      <c r="I823" s="34" t="n">
        <v>34.7</v>
      </c>
      <c r="J823" s="95" t="n">
        <f aca="false">IF(N(E823)&gt;0,E823,IF(N(F823)&gt;0,F823*가정!$B$5,0))</f>
        <v>189000</v>
      </c>
      <c r="K823" s="95" t="n">
        <f aca="false">IF(N(F823)&gt;0,F823,IF(N(E823)&gt;0,E823/가정!$B$5,0))</f>
        <v>42002</v>
      </c>
      <c r="L823" s="95" t="n">
        <f aca="false">IF(B823="CN",IF(N(I823)&gt;0,I823*가정!$B$3,K823*(1+가정!$B$6)),IF(N(H823)&gt;0,H823*가정!$B$3,J823*가정!$B$4))</f>
        <v>60643.71</v>
      </c>
      <c r="M823" s="95" t="n">
        <f aca="false">D823*J823</f>
        <v>68040000</v>
      </c>
      <c r="N823" s="95" t="n">
        <f aca="false">D823*K823</f>
        <v>15120720</v>
      </c>
      <c r="O823" s="95" t="n">
        <f aca="false">D823*L823</f>
        <v>21831735.6</v>
      </c>
      <c r="P823" s="34" t="str">
        <f aca="false">TRIM(IF(N(E823)&lt;=0,"택가보정 ","")&amp;IF(N(F823)&lt;=0,"원가보정 ","")&amp;IF(AND(B823&lt;&gt;"CN",N(H823)&lt;=0),"공급가보정 ","")&amp;IF(AND(B823="CN",N(I823)&lt;=0),"중국공급가=원가+마진 ",""))</f>
        <v/>
      </c>
    </row>
    <row r="824" customFormat="false" ht="15" hidden="false" customHeight="true" outlineLevel="0" collapsed="false">
      <c r="A824" s="94" t="s">
        <v>1685</v>
      </c>
      <c r="B824" s="34" t="str">
        <f aca="false">IF(A824="100","HK",IF(A824="200","CN",IF(A824="300","TW","홀세일")))</f>
        <v>CN</v>
      </c>
      <c r="C824" s="94" t="s">
        <v>486</v>
      </c>
      <c r="D824" s="95" t="n">
        <v>530</v>
      </c>
      <c r="E824" s="95" t="n">
        <v>189000</v>
      </c>
      <c r="F824" s="95" t="n">
        <v>42002</v>
      </c>
      <c r="G824" s="34" t="n">
        <v>4.34</v>
      </c>
      <c r="H824" s="34" t="n">
        <v>44.5</v>
      </c>
      <c r="I824" s="34" t="n">
        <v>34.7</v>
      </c>
      <c r="J824" s="95" t="n">
        <f aca="false">IF(N(E824)&gt;0,E824,IF(N(F824)&gt;0,F824*가정!$B$5,0))</f>
        <v>189000</v>
      </c>
      <c r="K824" s="95" t="n">
        <f aca="false">IF(N(F824)&gt;0,F824,IF(N(E824)&gt;0,E824/가정!$B$5,0))</f>
        <v>42002</v>
      </c>
      <c r="L824" s="95" t="n">
        <f aca="false">IF(B824="CN",IF(N(I824)&gt;0,I824*가정!$B$3,K824*(1+가정!$B$6)),IF(N(H824)&gt;0,H824*가정!$B$3,J824*가정!$B$4))</f>
        <v>47288.466</v>
      </c>
      <c r="M824" s="95" t="n">
        <f aca="false">D824*J824</f>
        <v>100170000</v>
      </c>
      <c r="N824" s="95" t="n">
        <f aca="false">D824*K824</f>
        <v>22261060</v>
      </c>
      <c r="O824" s="95" t="n">
        <f aca="false">D824*L824</f>
        <v>25062886.98</v>
      </c>
      <c r="P824" s="34" t="str">
        <f aca="false">TRIM(IF(N(E824)&lt;=0,"택가보정 ","")&amp;IF(N(F824)&lt;=0,"원가보정 ","")&amp;IF(AND(B824&lt;&gt;"CN",N(H824)&lt;=0),"공급가보정 ","")&amp;IF(AND(B824="CN",N(I824)&lt;=0),"중국공급가=원가+마진 ",""))</f>
        <v/>
      </c>
    </row>
    <row r="825" customFormat="false" ht="15" hidden="false" customHeight="true" outlineLevel="0" collapsed="false">
      <c r="A825" s="94" t="s">
        <v>1685</v>
      </c>
      <c r="B825" s="34" t="str">
        <f aca="false">IF(A825="100","HK",IF(A825="200","CN",IF(A825="300","TW","홀세일")))</f>
        <v>CN</v>
      </c>
      <c r="C825" s="94" t="s">
        <v>486</v>
      </c>
      <c r="D825" s="95" t="n">
        <v>530</v>
      </c>
      <c r="E825" s="95" t="n">
        <v>189000</v>
      </c>
      <c r="F825" s="95" t="n">
        <v>42002</v>
      </c>
      <c r="G825" s="34" t="n">
        <v>4.34</v>
      </c>
      <c r="H825" s="34" t="n">
        <v>44.5</v>
      </c>
      <c r="I825" s="34" t="n">
        <v>34.7</v>
      </c>
      <c r="J825" s="95" t="n">
        <f aca="false">IF(N(E825)&gt;0,E825,IF(N(F825)&gt;0,F825*가정!$B$5,0))</f>
        <v>189000</v>
      </c>
      <c r="K825" s="95" t="n">
        <f aca="false">IF(N(F825)&gt;0,F825,IF(N(E825)&gt;0,E825/가정!$B$5,0))</f>
        <v>42002</v>
      </c>
      <c r="L825" s="95" t="n">
        <f aca="false">IF(B825="CN",IF(N(I825)&gt;0,I825*가정!$B$3,K825*(1+가정!$B$6)),IF(N(H825)&gt;0,H825*가정!$B$3,J825*가정!$B$4))</f>
        <v>47288.466</v>
      </c>
      <c r="M825" s="95" t="n">
        <f aca="false">D825*J825</f>
        <v>100170000</v>
      </c>
      <c r="N825" s="95" t="n">
        <f aca="false">D825*K825</f>
        <v>22261060</v>
      </c>
      <c r="O825" s="95" t="n">
        <f aca="false">D825*L825</f>
        <v>25062886.98</v>
      </c>
      <c r="P825" s="34" t="str">
        <f aca="false">TRIM(IF(N(E825)&lt;=0,"택가보정 ","")&amp;IF(N(F825)&lt;=0,"원가보정 ","")&amp;IF(AND(B825&lt;&gt;"CN",N(H825)&lt;=0),"공급가보정 ","")&amp;IF(AND(B825="CN",N(I825)&lt;=0),"중국공급가=원가+마진 ",""))</f>
        <v/>
      </c>
    </row>
    <row r="826" customFormat="false" ht="15" hidden="false" customHeight="true" outlineLevel="0" collapsed="false">
      <c r="A826" s="94" t="s">
        <v>1685</v>
      </c>
      <c r="B826" s="34" t="str">
        <f aca="false">IF(A826="100","HK",IF(A826="200","CN",IF(A826="300","TW","홀세일")))</f>
        <v>CN</v>
      </c>
      <c r="C826" s="94" t="s">
        <v>486</v>
      </c>
      <c r="D826" s="95" t="n">
        <v>530</v>
      </c>
      <c r="E826" s="95" t="n">
        <v>189000</v>
      </c>
      <c r="F826" s="95" t="n">
        <v>42002</v>
      </c>
      <c r="G826" s="34" t="n">
        <v>4.34</v>
      </c>
      <c r="H826" s="34" t="n">
        <v>44.5</v>
      </c>
      <c r="I826" s="34" t="n">
        <v>34.7</v>
      </c>
      <c r="J826" s="95" t="n">
        <f aca="false">IF(N(E826)&gt;0,E826,IF(N(F826)&gt;0,F826*가정!$B$5,0))</f>
        <v>189000</v>
      </c>
      <c r="K826" s="95" t="n">
        <f aca="false">IF(N(F826)&gt;0,F826,IF(N(E826)&gt;0,E826/가정!$B$5,0))</f>
        <v>42002</v>
      </c>
      <c r="L826" s="95" t="n">
        <f aca="false">IF(B826="CN",IF(N(I826)&gt;0,I826*가정!$B$3,K826*(1+가정!$B$6)),IF(N(H826)&gt;0,H826*가정!$B$3,J826*가정!$B$4))</f>
        <v>47288.466</v>
      </c>
      <c r="M826" s="95" t="n">
        <f aca="false">D826*J826</f>
        <v>100170000</v>
      </c>
      <c r="N826" s="95" t="n">
        <f aca="false">D826*K826</f>
        <v>22261060</v>
      </c>
      <c r="O826" s="95" t="n">
        <f aca="false">D826*L826</f>
        <v>25062886.98</v>
      </c>
      <c r="P826" s="34" t="str">
        <f aca="false">TRIM(IF(N(E826)&lt;=0,"택가보정 ","")&amp;IF(N(F826)&lt;=0,"원가보정 ","")&amp;IF(AND(B826&lt;&gt;"CN",N(H826)&lt;=0),"공급가보정 ","")&amp;IF(AND(B826="CN",N(I826)&lt;=0),"중국공급가=원가+마진 ",""))</f>
        <v/>
      </c>
    </row>
    <row r="827" customFormat="false" ht="15" hidden="false" customHeight="true" outlineLevel="0" collapsed="false">
      <c r="A827" s="94" t="s">
        <v>1686</v>
      </c>
      <c r="B827" s="34" t="str">
        <f aca="false">IF(A827="100","HK",IF(A827="200","CN",IF(A827="300","TW","홀세일")))</f>
        <v>TW</v>
      </c>
      <c r="C827" s="94" t="s">
        <v>486</v>
      </c>
      <c r="D827" s="95" t="n">
        <v>560</v>
      </c>
      <c r="E827" s="95" t="n">
        <v>189000</v>
      </c>
      <c r="F827" s="95" t="n">
        <v>42002</v>
      </c>
      <c r="G827" s="34" t="n">
        <v>4.34</v>
      </c>
      <c r="H827" s="34" t="n">
        <v>44.5</v>
      </c>
      <c r="I827" s="34" t="n">
        <v>34.7</v>
      </c>
      <c r="J827" s="95" t="n">
        <f aca="false">IF(N(E827)&gt;0,E827,IF(N(F827)&gt;0,F827*가정!$B$5,0))</f>
        <v>189000</v>
      </c>
      <c r="K827" s="95" t="n">
        <f aca="false">IF(N(F827)&gt;0,F827,IF(N(E827)&gt;0,E827/가정!$B$5,0))</f>
        <v>42002</v>
      </c>
      <c r="L827" s="95" t="n">
        <f aca="false">IF(B827="CN",IF(N(I827)&gt;0,I827*가정!$B$3,K827*(1+가정!$B$6)),IF(N(H827)&gt;0,H827*가정!$B$3,J827*가정!$B$4))</f>
        <v>60643.71</v>
      </c>
      <c r="M827" s="95" t="n">
        <f aca="false">D827*J827</f>
        <v>105840000</v>
      </c>
      <c r="N827" s="95" t="n">
        <f aca="false">D827*K827</f>
        <v>23521120</v>
      </c>
      <c r="O827" s="95" t="n">
        <f aca="false">D827*L827</f>
        <v>33960477.6</v>
      </c>
      <c r="P827" s="34" t="str">
        <f aca="false">TRIM(IF(N(E827)&lt;=0,"택가보정 ","")&amp;IF(N(F827)&lt;=0,"원가보정 ","")&amp;IF(AND(B827&lt;&gt;"CN",N(H827)&lt;=0),"공급가보정 ","")&amp;IF(AND(B827="CN",N(I827)&lt;=0),"중국공급가=원가+마진 ",""))</f>
        <v/>
      </c>
    </row>
    <row r="828" customFormat="false" ht="15" hidden="false" customHeight="true" outlineLevel="0" collapsed="false">
      <c r="A828" s="94" t="s">
        <v>1688</v>
      </c>
      <c r="B828" s="34" t="str">
        <f aca="false">IF(A828="100","HK",IF(A828="200","CN",IF(A828="300","TW","홀세일")))</f>
        <v>홀세일</v>
      </c>
      <c r="C828" s="94" t="s">
        <v>486</v>
      </c>
      <c r="D828" s="95" t="n">
        <v>50</v>
      </c>
      <c r="E828" s="95" t="n">
        <v>189000</v>
      </c>
      <c r="F828" s="95" t="n">
        <v>42002</v>
      </c>
      <c r="G828" s="34" t="n">
        <v>4.34</v>
      </c>
      <c r="H828" s="34" t="n">
        <v>44.5</v>
      </c>
      <c r="I828" s="34" t="n">
        <v>34.7</v>
      </c>
      <c r="J828" s="95" t="n">
        <f aca="false">IF(N(E828)&gt;0,E828,IF(N(F828)&gt;0,F828*가정!$B$5,0))</f>
        <v>189000</v>
      </c>
      <c r="K828" s="95" t="n">
        <f aca="false">IF(N(F828)&gt;0,F828,IF(N(E828)&gt;0,E828/가정!$B$5,0))</f>
        <v>42002</v>
      </c>
      <c r="L828" s="95" t="n">
        <f aca="false">IF(B828="CN",IF(N(I828)&gt;0,I828*가정!$B$3,K828*(1+가정!$B$6)),IF(N(H828)&gt;0,H828*가정!$B$3,J828*가정!$B$4))</f>
        <v>60643.71</v>
      </c>
      <c r="M828" s="95" t="n">
        <f aca="false">D828*J828</f>
        <v>9450000</v>
      </c>
      <c r="N828" s="95" t="n">
        <f aca="false">D828*K828</f>
        <v>2100100</v>
      </c>
      <c r="O828" s="95" t="n">
        <f aca="false">D828*L828</f>
        <v>3032185.5</v>
      </c>
      <c r="P828" s="34" t="str">
        <f aca="false">TRIM(IF(N(E828)&lt;=0,"택가보정 ","")&amp;IF(N(F828)&lt;=0,"원가보정 ","")&amp;IF(AND(B828&lt;&gt;"CN",N(H828)&lt;=0),"공급가보정 ","")&amp;IF(AND(B828="CN",N(I828)&lt;=0),"중국공급가=원가+마진 ",""))</f>
        <v/>
      </c>
    </row>
    <row r="829" customFormat="false" ht="15" hidden="false" customHeight="true" outlineLevel="0" collapsed="false">
      <c r="A829" s="94" t="s">
        <v>1692</v>
      </c>
      <c r="B829" s="34" t="str">
        <f aca="false">IF(A829="100","HK",IF(A829="200","CN",IF(A829="300","TW","홀세일")))</f>
        <v>홀세일</v>
      </c>
      <c r="C829" s="94" t="s">
        <v>486</v>
      </c>
      <c r="D829" s="95" t="n">
        <v>323</v>
      </c>
      <c r="E829" s="95" t="n">
        <v>189000</v>
      </c>
      <c r="F829" s="95" t="n">
        <v>42002</v>
      </c>
      <c r="G829" s="34" t="n">
        <v>4.34</v>
      </c>
      <c r="H829" s="34" t="n">
        <v>44.5</v>
      </c>
      <c r="I829" s="34" t="n">
        <v>34.7</v>
      </c>
      <c r="J829" s="95" t="n">
        <f aca="false">IF(N(E829)&gt;0,E829,IF(N(F829)&gt;0,F829*가정!$B$5,0))</f>
        <v>189000</v>
      </c>
      <c r="K829" s="95" t="n">
        <f aca="false">IF(N(F829)&gt;0,F829,IF(N(E829)&gt;0,E829/가정!$B$5,0))</f>
        <v>42002</v>
      </c>
      <c r="L829" s="95" t="n">
        <f aca="false">IF(B829="CN",IF(N(I829)&gt;0,I829*가정!$B$3,K829*(1+가정!$B$6)),IF(N(H829)&gt;0,H829*가정!$B$3,J829*가정!$B$4))</f>
        <v>60643.71</v>
      </c>
      <c r="M829" s="95" t="n">
        <f aca="false">D829*J829</f>
        <v>61047000</v>
      </c>
      <c r="N829" s="95" t="n">
        <f aca="false">D829*K829</f>
        <v>13566646</v>
      </c>
      <c r="O829" s="95" t="n">
        <f aca="false">D829*L829</f>
        <v>19587918.33</v>
      </c>
      <c r="P829" s="34" t="str">
        <f aca="false">TRIM(IF(N(E829)&lt;=0,"택가보정 ","")&amp;IF(N(F829)&lt;=0,"원가보정 ","")&amp;IF(AND(B829&lt;&gt;"CN",N(H829)&lt;=0),"공급가보정 ","")&amp;IF(AND(B829="CN",N(I829)&lt;=0),"중국공급가=원가+마진 ",""))</f>
        <v/>
      </c>
    </row>
    <row r="830" customFormat="false" ht="15" hidden="false" customHeight="true" outlineLevel="0" collapsed="false">
      <c r="A830" s="94" t="s">
        <v>1690</v>
      </c>
      <c r="B830" s="34" t="str">
        <f aca="false">IF(A830="100","HK",IF(A830="200","CN",IF(A830="300","TW","홀세일")))</f>
        <v>홀세일</v>
      </c>
      <c r="C830" s="94" t="s">
        <v>486</v>
      </c>
      <c r="D830" s="95" t="n">
        <v>216</v>
      </c>
      <c r="E830" s="95" t="n">
        <v>189000</v>
      </c>
      <c r="F830" s="95" t="n">
        <v>42002</v>
      </c>
      <c r="G830" s="34" t="n">
        <v>4.34</v>
      </c>
      <c r="H830" s="34" t="n">
        <v>44.5</v>
      </c>
      <c r="I830" s="34" t="n">
        <v>34.7</v>
      </c>
      <c r="J830" s="95" t="n">
        <f aca="false">IF(N(E830)&gt;0,E830,IF(N(F830)&gt;0,F830*가정!$B$5,0))</f>
        <v>189000</v>
      </c>
      <c r="K830" s="95" t="n">
        <f aca="false">IF(N(F830)&gt;0,F830,IF(N(E830)&gt;0,E830/가정!$B$5,0))</f>
        <v>42002</v>
      </c>
      <c r="L830" s="95" t="n">
        <f aca="false">IF(B830="CN",IF(N(I830)&gt;0,I830*가정!$B$3,K830*(1+가정!$B$6)),IF(N(H830)&gt;0,H830*가정!$B$3,J830*가정!$B$4))</f>
        <v>60643.71</v>
      </c>
      <c r="M830" s="95" t="n">
        <f aca="false">D830*J830</f>
        <v>40824000</v>
      </c>
      <c r="N830" s="95" t="n">
        <f aca="false">D830*K830</f>
        <v>9072432</v>
      </c>
      <c r="O830" s="95" t="n">
        <f aca="false">D830*L830</f>
        <v>13099041.36</v>
      </c>
      <c r="P830" s="34" t="str">
        <f aca="false">TRIM(IF(N(E830)&lt;=0,"택가보정 ","")&amp;IF(N(F830)&lt;=0,"원가보정 ","")&amp;IF(AND(B830&lt;&gt;"CN",N(H830)&lt;=0),"공급가보정 ","")&amp;IF(AND(B830="CN",N(I830)&lt;=0),"중국공급가=원가+마진 ",""))</f>
        <v/>
      </c>
    </row>
    <row r="831" customFormat="false" ht="15" hidden="false" customHeight="true" outlineLevel="0" collapsed="false">
      <c r="A831" s="94" t="s">
        <v>1688</v>
      </c>
      <c r="B831" s="34" t="str">
        <f aca="false">IF(A831="100","HK",IF(A831="200","CN",IF(A831="300","TW","홀세일")))</f>
        <v>홀세일</v>
      </c>
      <c r="C831" s="94" t="s">
        <v>1367</v>
      </c>
      <c r="D831" s="95" t="n">
        <v>35</v>
      </c>
      <c r="E831" s="95" t="n">
        <v>159000</v>
      </c>
      <c r="F831" s="95" t="n">
        <v>40000</v>
      </c>
      <c r="G831" s="34" t="n">
        <v>3.73</v>
      </c>
      <c r="H831" s="34" t="n">
        <v>37.4</v>
      </c>
      <c r="I831" s="34" t="n">
        <v>0</v>
      </c>
      <c r="J831" s="95" t="n">
        <f aca="false">IF(N(E831)&gt;0,E831,IF(N(F831)&gt;0,F831*가정!$B$5,0))</f>
        <v>159000</v>
      </c>
      <c r="K831" s="95" t="n">
        <f aca="false">IF(N(F831)&gt;0,F831,IF(N(E831)&gt;0,E831/가정!$B$5,0))</f>
        <v>40000</v>
      </c>
      <c r="L831" s="95" t="n">
        <f aca="false">IF(B831="CN",IF(N(I831)&gt;0,I831*가정!$B$3,K831*(1+가정!$B$6)),IF(N(H831)&gt;0,H831*가정!$B$3,J831*가정!$B$4))</f>
        <v>50967.972</v>
      </c>
      <c r="M831" s="95" t="n">
        <f aca="false">D831*J831</f>
        <v>5565000</v>
      </c>
      <c r="N831" s="95" t="n">
        <f aca="false">D831*K831</f>
        <v>1400000</v>
      </c>
      <c r="O831" s="95" t="n">
        <f aca="false">D831*L831</f>
        <v>1783879.02</v>
      </c>
      <c r="P831" s="34" t="str">
        <f aca="false">TRIM(IF(N(E831)&lt;=0,"택가보정 ","")&amp;IF(N(F831)&lt;=0,"원가보정 ","")&amp;IF(AND(B831&lt;&gt;"CN",N(H831)&lt;=0),"공급가보정 ","")&amp;IF(AND(B831="CN",N(I831)&lt;=0),"중국공급가=원가+마진 ",""))</f>
        <v/>
      </c>
    </row>
    <row r="832" customFormat="false" ht="15" hidden="false" customHeight="true" outlineLevel="0" collapsed="false">
      <c r="A832" s="94" t="s">
        <v>1684</v>
      </c>
      <c r="B832" s="34" t="str">
        <f aca="false">IF(A832="100","HK",IF(A832="200","CN",IF(A832="300","TW","홀세일")))</f>
        <v>HK</v>
      </c>
      <c r="C832" s="94" t="s">
        <v>488</v>
      </c>
      <c r="D832" s="95" t="n">
        <v>280</v>
      </c>
      <c r="E832" s="95" t="n">
        <v>109000</v>
      </c>
      <c r="F832" s="95" t="n">
        <v>22800</v>
      </c>
      <c r="G832" s="34" t="n">
        <v>3.63</v>
      </c>
      <c r="H832" s="34" t="n">
        <v>25.7</v>
      </c>
      <c r="I832" s="34" t="n">
        <v>0</v>
      </c>
      <c r="J832" s="95" t="n">
        <f aca="false">IF(N(E832)&gt;0,E832,IF(N(F832)&gt;0,F832*가정!$B$5,0))</f>
        <v>109000</v>
      </c>
      <c r="K832" s="95" t="n">
        <f aca="false">IF(N(F832)&gt;0,F832,IF(N(E832)&gt;0,E832/가정!$B$5,0))</f>
        <v>22800</v>
      </c>
      <c r="L832" s="95" t="n">
        <f aca="false">IF(B832="CN",IF(N(I832)&gt;0,I832*가정!$B$3,K832*(1+가정!$B$6)),IF(N(H832)&gt;0,H832*가정!$B$3,J832*가정!$B$4))</f>
        <v>35023.446</v>
      </c>
      <c r="M832" s="95" t="n">
        <f aca="false">D832*J832</f>
        <v>30520000</v>
      </c>
      <c r="N832" s="95" t="n">
        <f aca="false">D832*K832</f>
        <v>6384000</v>
      </c>
      <c r="O832" s="95" t="n">
        <f aca="false">D832*L832</f>
        <v>9806564.88</v>
      </c>
      <c r="P832" s="34" t="str">
        <f aca="false">TRIM(IF(N(E832)&lt;=0,"택가보정 ","")&amp;IF(N(F832)&lt;=0,"원가보정 ","")&amp;IF(AND(B832&lt;&gt;"CN",N(H832)&lt;=0),"공급가보정 ","")&amp;IF(AND(B832="CN",N(I832)&lt;=0),"중국공급가=원가+마진 ",""))</f>
        <v/>
      </c>
    </row>
    <row r="833" customFormat="false" ht="15" hidden="false" customHeight="true" outlineLevel="0" collapsed="false">
      <c r="A833" s="94" t="s">
        <v>1686</v>
      </c>
      <c r="B833" s="34" t="str">
        <f aca="false">IF(A833="100","HK",IF(A833="200","CN",IF(A833="300","TW","홀세일")))</f>
        <v>TW</v>
      </c>
      <c r="C833" s="94" t="s">
        <v>488</v>
      </c>
      <c r="D833" s="95" t="n">
        <v>550</v>
      </c>
      <c r="E833" s="95" t="n">
        <v>109000</v>
      </c>
      <c r="F833" s="95" t="n">
        <v>22800</v>
      </c>
      <c r="G833" s="34" t="n">
        <v>3.63</v>
      </c>
      <c r="H833" s="34" t="n">
        <v>25.7</v>
      </c>
      <c r="I833" s="34" t="n">
        <v>0</v>
      </c>
      <c r="J833" s="95" t="n">
        <f aca="false">IF(N(E833)&gt;0,E833,IF(N(F833)&gt;0,F833*가정!$B$5,0))</f>
        <v>109000</v>
      </c>
      <c r="K833" s="95" t="n">
        <f aca="false">IF(N(F833)&gt;0,F833,IF(N(E833)&gt;0,E833/가정!$B$5,0))</f>
        <v>22800</v>
      </c>
      <c r="L833" s="95" t="n">
        <f aca="false">IF(B833="CN",IF(N(I833)&gt;0,I833*가정!$B$3,K833*(1+가정!$B$6)),IF(N(H833)&gt;0,H833*가정!$B$3,J833*가정!$B$4))</f>
        <v>35023.446</v>
      </c>
      <c r="M833" s="95" t="n">
        <f aca="false">D833*J833</f>
        <v>59950000</v>
      </c>
      <c r="N833" s="95" t="n">
        <f aca="false">D833*K833</f>
        <v>12540000</v>
      </c>
      <c r="O833" s="95" t="n">
        <f aca="false">D833*L833</f>
        <v>19262895.3</v>
      </c>
      <c r="P833" s="34" t="str">
        <f aca="false">TRIM(IF(N(E833)&lt;=0,"택가보정 ","")&amp;IF(N(F833)&lt;=0,"원가보정 ","")&amp;IF(AND(B833&lt;&gt;"CN",N(H833)&lt;=0),"공급가보정 ","")&amp;IF(AND(B833="CN",N(I833)&lt;=0),"중국공급가=원가+마진 ",""))</f>
        <v/>
      </c>
    </row>
    <row r="834" customFormat="false" ht="15" hidden="false" customHeight="true" outlineLevel="0" collapsed="false">
      <c r="A834" s="94" t="s">
        <v>1689</v>
      </c>
      <c r="B834" s="34" t="str">
        <f aca="false">IF(A834="100","HK",IF(A834="200","CN",IF(A834="300","TW","홀세일")))</f>
        <v>홀세일</v>
      </c>
      <c r="C834" s="94" t="s">
        <v>488</v>
      </c>
      <c r="D834" s="95" t="n">
        <v>90</v>
      </c>
      <c r="E834" s="95" t="n">
        <v>109000</v>
      </c>
      <c r="F834" s="95" t="n">
        <v>22800</v>
      </c>
      <c r="G834" s="34" t="n">
        <v>3.63</v>
      </c>
      <c r="H834" s="34" t="n">
        <v>25.7</v>
      </c>
      <c r="I834" s="34" t="n">
        <v>0</v>
      </c>
      <c r="J834" s="95" t="n">
        <f aca="false">IF(N(E834)&gt;0,E834,IF(N(F834)&gt;0,F834*가정!$B$5,0))</f>
        <v>109000</v>
      </c>
      <c r="K834" s="95" t="n">
        <f aca="false">IF(N(F834)&gt;0,F834,IF(N(E834)&gt;0,E834/가정!$B$5,0))</f>
        <v>22800</v>
      </c>
      <c r="L834" s="95" t="n">
        <f aca="false">IF(B834="CN",IF(N(I834)&gt;0,I834*가정!$B$3,K834*(1+가정!$B$6)),IF(N(H834)&gt;0,H834*가정!$B$3,J834*가정!$B$4))</f>
        <v>35023.446</v>
      </c>
      <c r="M834" s="95" t="n">
        <f aca="false">D834*J834</f>
        <v>9810000</v>
      </c>
      <c r="N834" s="95" t="n">
        <f aca="false">D834*K834</f>
        <v>2052000</v>
      </c>
      <c r="O834" s="95" t="n">
        <f aca="false">D834*L834</f>
        <v>3152110.14</v>
      </c>
      <c r="P834" s="34" t="str">
        <f aca="false">TRIM(IF(N(E834)&lt;=0,"택가보정 ","")&amp;IF(N(F834)&lt;=0,"원가보정 ","")&amp;IF(AND(B834&lt;&gt;"CN",N(H834)&lt;=0),"공급가보정 ","")&amp;IF(AND(B834="CN",N(I834)&lt;=0),"중국공급가=원가+마진 ",""))</f>
        <v/>
      </c>
    </row>
    <row r="835" customFormat="false" ht="15" hidden="false" customHeight="true" outlineLevel="0" collapsed="false">
      <c r="A835" s="94" t="s">
        <v>1690</v>
      </c>
      <c r="B835" s="34" t="str">
        <f aca="false">IF(A835="100","HK",IF(A835="200","CN",IF(A835="300","TW","홀세일")))</f>
        <v>홀세일</v>
      </c>
      <c r="C835" s="94" t="s">
        <v>488</v>
      </c>
      <c r="D835" s="95" t="n">
        <v>216</v>
      </c>
      <c r="E835" s="95" t="n">
        <v>109000</v>
      </c>
      <c r="F835" s="95" t="n">
        <v>22800</v>
      </c>
      <c r="G835" s="34" t="n">
        <v>3.63</v>
      </c>
      <c r="H835" s="34" t="n">
        <v>25.7</v>
      </c>
      <c r="I835" s="34" t="n">
        <v>0</v>
      </c>
      <c r="J835" s="95" t="n">
        <f aca="false">IF(N(E835)&gt;0,E835,IF(N(F835)&gt;0,F835*가정!$B$5,0))</f>
        <v>109000</v>
      </c>
      <c r="K835" s="95" t="n">
        <f aca="false">IF(N(F835)&gt;0,F835,IF(N(E835)&gt;0,E835/가정!$B$5,0))</f>
        <v>22800</v>
      </c>
      <c r="L835" s="95" t="n">
        <f aca="false">IF(B835="CN",IF(N(I835)&gt;0,I835*가정!$B$3,K835*(1+가정!$B$6)),IF(N(H835)&gt;0,H835*가정!$B$3,J835*가정!$B$4))</f>
        <v>35023.446</v>
      </c>
      <c r="M835" s="95" t="n">
        <f aca="false">D835*J835</f>
        <v>23544000</v>
      </c>
      <c r="N835" s="95" t="n">
        <f aca="false">D835*K835</f>
        <v>4924800</v>
      </c>
      <c r="O835" s="95" t="n">
        <f aca="false">D835*L835</f>
        <v>7565064.336</v>
      </c>
      <c r="P835" s="34" t="str">
        <f aca="false">TRIM(IF(N(E835)&lt;=0,"택가보정 ","")&amp;IF(N(F835)&lt;=0,"원가보정 ","")&amp;IF(AND(B835&lt;&gt;"CN",N(H835)&lt;=0),"공급가보정 ","")&amp;IF(AND(B835="CN",N(I835)&lt;=0),"중국공급가=원가+마진 ",""))</f>
        <v/>
      </c>
    </row>
    <row r="836" customFormat="false" ht="15" hidden="false" customHeight="true" outlineLevel="0" collapsed="false">
      <c r="A836" s="94" t="s">
        <v>1688</v>
      </c>
      <c r="B836" s="34" t="str">
        <f aca="false">IF(A836="100","HK",IF(A836="200","CN",IF(A836="300","TW","홀세일")))</f>
        <v>홀세일</v>
      </c>
      <c r="C836" s="94" t="s">
        <v>1369</v>
      </c>
      <c r="D836" s="95" t="n">
        <v>45</v>
      </c>
      <c r="E836" s="95" t="n">
        <v>169000</v>
      </c>
      <c r="F836" s="95" t="n">
        <v>40500</v>
      </c>
      <c r="G836" s="34" t="n">
        <v>3.5</v>
      </c>
      <c r="H836" s="34" t="n">
        <v>39.8</v>
      </c>
      <c r="I836" s="34" t="n">
        <v>0</v>
      </c>
      <c r="J836" s="95" t="n">
        <f aca="false">IF(N(E836)&gt;0,E836,IF(N(F836)&gt;0,F836*가정!$B$5,0))</f>
        <v>169000</v>
      </c>
      <c r="K836" s="95" t="n">
        <f aca="false">IF(N(F836)&gt;0,F836,IF(N(E836)&gt;0,E836/가정!$B$5,0))</f>
        <v>40500</v>
      </c>
      <c r="L836" s="95" t="n">
        <f aca="false">IF(B836="CN",IF(N(I836)&gt;0,I836*가정!$B$3,K836*(1+가정!$B$6)),IF(N(H836)&gt;0,H836*가정!$B$3,J836*가정!$B$4))</f>
        <v>54238.644</v>
      </c>
      <c r="M836" s="95" t="n">
        <f aca="false">D836*J836</f>
        <v>7605000</v>
      </c>
      <c r="N836" s="95" t="n">
        <f aca="false">D836*K836</f>
        <v>1822500</v>
      </c>
      <c r="O836" s="95" t="n">
        <f aca="false">D836*L836</f>
        <v>2440738.98</v>
      </c>
      <c r="P836" s="34" t="str">
        <f aca="false">TRIM(IF(N(E836)&lt;=0,"택가보정 ","")&amp;IF(N(F836)&lt;=0,"원가보정 ","")&amp;IF(AND(B836&lt;&gt;"CN",N(H836)&lt;=0),"공급가보정 ","")&amp;IF(AND(B836="CN",N(I836)&lt;=0),"중국공급가=원가+마진 ",""))</f>
        <v/>
      </c>
    </row>
    <row r="837" customFormat="false" ht="15" hidden="false" customHeight="true" outlineLevel="0" collapsed="false">
      <c r="A837" s="94" t="s">
        <v>1684</v>
      </c>
      <c r="B837" s="34" t="str">
        <f aca="false">IF(A837="100","HK",IF(A837="200","CN",IF(A837="300","TW","홀세일")))</f>
        <v>HK</v>
      </c>
      <c r="C837" s="94" t="s">
        <v>490</v>
      </c>
      <c r="D837" s="95" t="n">
        <v>420</v>
      </c>
      <c r="E837" s="95" t="n">
        <v>79000</v>
      </c>
      <c r="F837" s="95" t="n">
        <v>17400</v>
      </c>
      <c r="G837" s="34" t="n">
        <v>3.71</v>
      </c>
      <c r="H837" s="34" t="n">
        <v>18.6</v>
      </c>
      <c r="I837" s="34" t="n">
        <v>0</v>
      </c>
      <c r="J837" s="95" t="n">
        <f aca="false">IF(N(E837)&gt;0,E837,IF(N(F837)&gt;0,F837*가정!$B$5,0))</f>
        <v>79000</v>
      </c>
      <c r="K837" s="95" t="n">
        <f aca="false">IF(N(F837)&gt;0,F837,IF(N(E837)&gt;0,E837/가정!$B$5,0))</f>
        <v>17400</v>
      </c>
      <c r="L837" s="95" t="n">
        <f aca="false">IF(B837="CN",IF(N(I837)&gt;0,I837*가정!$B$3,K837*(1+가정!$B$6)),IF(N(H837)&gt;0,H837*가정!$B$3,J837*가정!$B$4))</f>
        <v>25347.708</v>
      </c>
      <c r="M837" s="95" t="n">
        <f aca="false">D837*J837</f>
        <v>33180000</v>
      </c>
      <c r="N837" s="95" t="n">
        <f aca="false">D837*K837</f>
        <v>7308000</v>
      </c>
      <c r="O837" s="95" t="n">
        <f aca="false">D837*L837</f>
        <v>10646037.36</v>
      </c>
      <c r="P837" s="34" t="str">
        <f aca="false">TRIM(IF(N(E837)&lt;=0,"택가보정 ","")&amp;IF(N(F837)&lt;=0,"원가보정 ","")&amp;IF(AND(B837&lt;&gt;"CN",N(H837)&lt;=0),"공급가보정 ","")&amp;IF(AND(B837="CN",N(I837)&lt;=0),"중국공급가=원가+마진 ",""))</f>
        <v/>
      </c>
    </row>
    <row r="838" customFormat="false" ht="15" hidden="false" customHeight="true" outlineLevel="0" collapsed="false">
      <c r="A838" s="94" t="s">
        <v>1686</v>
      </c>
      <c r="B838" s="34" t="str">
        <f aca="false">IF(A838="100","HK",IF(A838="200","CN",IF(A838="300","TW","홀세일")))</f>
        <v>TW</v>
      </c>
      <c r="C838" s="94" t="s">
        <v>490</v>
      </c>
      <c r="D838" s="95" t="n">
        <v>700</v>
      </c>
      <c r="E838" s="95" t="n">
        <v>79000</v>
      </c>
      <c r="F838" s="95" t="n">
        <v>17400</v>
      </c>
      <c r="G838" s="34" t="n">
        <v>3.71</v>
      </c>
      <c r="H838" s="34" t="n">
        <v>18.6</v>
      </c>
      <c r="I838" s="34" t="n">
        <v>0</v>
      </c>
      <c r="J838" s="95" t="n">
        <f aca="false">IF(N(E838)&gt;0,E838,IF(N(F838)&gt;0,F838*가정!$B$5,0))</f>
        <v>79000</v>
      </c>
      <c r="K838" s="95" t="n">
        <f aca="false">IF(N(F838)&gt;0,F838,IF(N(E838)&gt;0,E838/가정!$B$5,0))</f>
        <v>17400</v>
      </c>
      <c r="L838" s="95" t="n">
        <f aca="false">IF(B838="CN",IF(N(I838)&gt;0,I838*가정!$B$3,K838*(1+가정!$B$6)),IF(N(H838)&gt;0,H838*가정!$B$3,J838*가정!$B$4))</f>
        <v>25347.708</v>
      </c>
      <c r="M838" s="95" t="n">
        <f aca="false">D838*J838</f>
        <v>55300000</v>
      </c>
      <c r="N838" s="95" t="n">
        <f aca="false">D838*K838</f>
        <v>12180000</v>
      </c>
      <c r="O838" s="95" t="n">
        <f aca="false">D838*L838</f>
        <v>17743395.6</v>
      </c>
      <c r="P838" s="34" t="str">
        <f aca="false">TRIM(IF(N(E838)&lt;=0,"택가보정 ","")&amp;IF(N(F838)&lt;=0,"원가보정 ","")&amp;IF(AND(B838&lt;&gt;"CN",N(H838)&lt;=0),"공급가보정 ","")&amp;IF(AND(B838="CN",N(I838)&lt;=0),"중국공급가=원가+마진 ",""))</f>
        <v/>
      </c>
    </row>
    <row r="839" customFormat="false" ht="15" hidden="false" customHeight="true" outlineLevel="0" collapsed="false">
      <c r="A839" s="94" t="s">
        <v>1690</v>
      </c>
      <c r="B839" s="34" t="str">
        <f aca="false">IF(A839="100","HK",IF(A839="200","CN",IF(A839="300","TW","홀세일")))</f>
        <v>홀세일</v>
      </c>
      <c r="C839" s="94" t="s">
        <v>490</v>
      </c>
      <c r="D839" s="95" t="n">
        <v>216</v>
      </c>
      <c r="E839" s="95" t="n">
        <v>79000</v>
      </c>
      <c r="F839" s="95" t="n">
        <v>17400</v>
      </c>
      <c r="G839" s="34" t="n">
        <v>3.71</v>
      </c>
      <c r="H839" s="34" t="n">
        <v>18.6</v>
      </c>
      <c r="I839" s="34" t="n">
        <v>0</v>
      </c>
      <c r="J839" s="95" t="n">
        <f aca="false">IF(N(E839)&gt;0,E839,IF(N(F839)&gt;0,F839*가정!$B$5,0))</f>
        <v>79000</v>
      </c>
      <c r="K839" s="95" t="n">
        <f aca="false">IF(N(F839)&gt;0,F839,IF(N(E839)&gt;0,E839/가정!$B$5,0))</f>
        <v>17400</v>
      </c>
      <c r="L839" s="95" t="n">
        <f aca="false">IF(B839="CN",IF(N(I839)&gt;0,I839*가정!$B$3,K839*(1+가정!$B$6)),IF(N(H839)&gt;0,H839*가정!$B$3,J839*가정!$B$4))</f>
        <v>25347.708</v>
      </c>
      <c r="M839" s="95" t="n">
        <f aca="false">D839*J839</f>
        <v>17064000</v>
      </c>
      <c r="N839" s="95" t="n">
        <f aca="false">D839*K839</f>
        <v>3758400</v>
      </c>
      <c r="O839" s="95" t="n">
        <f aca="false">D839*L839</f>
        <v>5475104.928</v>
      </c>
      <c r="P839" s="34" t="str">
        <f aca="false">TRIM(IF(N(E839)&lt;=0,"택가보정 ","")&amp;IF(N(F839)&lt;=0,"원가보정 ","")&amp;IF(AND(B839&lt;&gt;"CN",N(H839)&lt;=0),"공급가보정 ","")&amp;IF(AND(B839="CN",N(I839)&lt;=0),"중국공급가=원가+마진 ",""))</f>
        <v/>
      </c>
    </row>
    <row r="840" customFormat="false" ht="15" hidden="false" customHeight="true" outlineLevel="0" collapsed="false">
      <c r="A840" s="94" t="s">
        <v>1684</v>
      </c>
      <c r="B840" s="34" t="str">
        <f aca="false">IF(A840="100","HK",IF(A840="200","CN",IF(A840="300","TW","홀세일")))</f>
        <v>HK</v>
      </c>
      <c r="C840" s="94" t="s">
        <v>947</v>
      </c>
      <c r="D840" s="95" t="n">
        <v>160</v>
      </c>
      <c r="E840" s="95" t="n">
        <v>109000</v>
      </c>
      <c r="F840" s="95" t="n">
        <v>19900</v>
      </c>
      <c r="G840" s="34" t="n">
        <v>3.49</v>
      </c>
      <c r="H840" s="34" t="n">
        <v>25.7</v>
      </c>
      <c r="I840" s="34" t="n">
        <v>0</v>
      </c>
      <c r="J840" s="95" t="n">
        <f aca="false">IF(N(E840)&gt;0,E840,IF(N(F840)&gt;0,F840*가정!$B$5,0))</f>
        <v>109000</v>
      </c>
      <c r="K840" s="95" t="n">
        <f aca="false">IF(N(F840)&gt;0,F840,IF(N(E840)&gt;0,E840/가정!$B$5,0))</f>
        <v>19900</v>
      </c>
      <c r="L840" s="95" t="n">
        <f aca="false">IF(B840="CN",IF(N(I840)&gt;0,I840*가정!$B$3,K840*(1+가정!$B$6)),IF(N(H840)&gt;0,H840*가정!$B$3,J840*가정!$B$4))</f>
        <v>35023.446</v>
      </c>
      <c r="M840" s="95" t="n">
        <f aca="false">D840*J840</f>
        <v>17440000</v>
      </c>
      <c r="N840" s="95" t="n">
        <f aca="false">D840*K840</f>
        <v>3184000</v>
      </c>
      <c r="O840" s="95" t="n">
        <f aca="false">D840*L840</f>
        <v>5603751.36</v>
      </c>
      <c r="P840" s="34" t="str">
        <f aca="false">TRIM(IF(N(E840)&lt;=0,"택가보정 ","")&amp;IF(N(F840)&lt;=0,"원가보정 ","")&amp;IF(AND(B840&lt;&gt;"CN",N(H840)&lt;=0),"공급가보정 ","")&amp;IF(AND(B840="CN",N(I840)&lt;=0),"중국공급가=원가+마진 ",""))</f>
        <v/>
      </c>
    </row>
    <row r="841" customFormat="false" ht="15" hidden="false" customHeight="true" outlineLevel="0" collapsed="false">
      <c r="A841" s="94" t="s">
        <v>1692</v>
      </c>
      <c r="B841" s="34" t="str">
        <f aca="false">IF(A841="100","HK",IF(A841="200","CN",IF(A841="300","TW","홀세일")))</f>
        <v>홀세일</v>
      </c>
      <c r="C841" s="94" t="s">
        <v>947</v>
      </c>
      <c r="D841" s="95" t="n">
        <v>117</v>
      </c>
      <c r="E841" s="95" t="n">
        <v>109000</v>
      </c>
      <c r="F841" s="95" t="n">
        <v>19900</v>
      </c>
      <c r="G841" s="34" t="n">
        <v>3.49</v>
      </c>
      <c r="H841" s="34" t="n">
        <v>25.7</v>
      </c>
      <c r="I841" s="34" t="n">
        <v>0</v>
      </c>
      <c r="J841" s="95" t="n">
        <f aca="false">IF(N(E841)&gt;0,E841,IF(N(F841)&gt;0,F841*가정!$B$5,0))</f>
        <v>109000</v>
      </c>
      <c r="K841" s="95" t="n">
        <f aca="false">IF(N(F841)&gt;0,F841,IF(N(E841)&gt;0,E841/가정!$B$5,0))</f>
        <v>19900</v>
      </c>
      <c r="L841" s="95" t="n">
        <f aca="false">IF(B841="CN",IF(N(I841)&gt;0,I841*가정!$B$3,K841*(1+가정!$B$6)),IF(N(H841)&gt;0,H841*가정!$B$3,J841*가정!$B$4))</f>
        <v>35023.446</v>
      </c>
      <c r="M841" s="95" t="n">
        <f aca="false">D841*J841</f>
        <v>12753000</v>
      </c>
      <c r="N841" s="95" t="n">
        <f aca="false">D841*K841</f>
        <v>2328300</v>
      </c>
      <c r="O841" s="95" t="n">
        <f aca="false">D841*L841</f>
        <v>4097743.182</v>
      </c>
      <c r="P841" s="34" t="str">
        <f aca="false">TRIM(IF(N(E841)&lt;=0,"택가보정 ","")&amp;IF(N(F841)&lt;=0,"원가보정 ","")&amp;IF(AND(B841&lt;&gt;"CN",N(H841)&lt;=0),"공급가보정 ","")&amp;IF(AND(B841="CN",N(I841)&lt;=0),"중국공급가=원가+마진 ",""))</f>
        <v/>
      </c>
    </row>
    <row r="842" customFormat="false" ht="15" hidden="false" customHeight="true" outlineLevel="0" collapsed="false">
      <c r="A842" s="94" t="s">
        <v>1684</v>
      </c>
      <c r="B842" s="34" t="str">
        <f aca="false">IF(A842="100","HK",IF(A842="200","CN",IF(A842="300","TW","홀세일")))</f>
        <v>HK</v>
      </c>
      <c r="C842" s="94" t="s">
        <v>492</v>
      </c>
      <c r="D842" s="95" t="n">
        <v>600</v>
      </c>
      <c r="E842" s="95" t="n">
        <v>99000</v>
      </c>
      <c r="F842" s="95" t="n">
        <v>25600</v>
      </c>
      <c r="G842" s="34" t="n">
        <v>3.85</v>
      </c>
      <c r="H842" s="34" t="n">
        <v>23.3</v>
      </c>
      <c r="I842" s="34" t="n">
        <v>0</v>
      </c>
      <c r="J842" s="95" t="n">
        <f aca="false">IF(N(E842)&gt;0,E842,IF(N(F842)&gt;0,F842*가정!$B$5,0))</f>
        <v>99000</v>
      </c>
      <c r="K842" s="95" t="n">
        <f aca="false">IF(N(F842)&gt;0,F842,IF(N(E842)&gt;0,E842/가정!$B$5,0))</f>
        <v>25600</v>
      </c>
      <c r="L842" s="95" t="n">
        <f aca="false">IF(B842="CN",IF(N(I842)&gt;0,I842*가정!$B$3,K842*(1+가정!$B$6)),IF(N(H842)&gt;0,H842*가정!$B$3,J842*가정!$B$4))</f>
        <v>31752.774</v>
      </c>
      <c r="M842" s="95" t="n">
        <f aca="false">D842*J842</f>
        <v>59400000</v>
      </c>
      <c r="N842" s="95" t="n">
        <f aca="false">D842*K842</f>
        <v>15360000</v>
      </c>
      <c r="O842" s="95" t="n">
        <f aca="false">D842*L842</f>
        <v>19051664.4</v>
      </c>
      <c r="P842" s="34" t="str">
        <f aca="false">TRIM(IF(N(E842)&lt;=0,"택가보정 ","")&amp;IF(N(F842)&lt;=0,"원가보정 ","")&amp;IF(AND(B842&lt;&gt;"CN",N(H842)&lt;=0),"공급가보정 ","")&amp;IF(AND(B842="CN",N(I842)&lt;=0),"중국공급가=원가+마진 ",""))</f>
        <v/>
      </c>
    </row>
    <row r="843" customFormat="false" ht="15" hidden="false" customHeight="true" outlineLevel="0" collapsed="false">
      <c r="A843" s="94" t="s">
        <v>1686</v>
      </c>
      <c r="B843" s="34" t="str">
        <f aca="false">IF(A843="100","HK",IF(A843="200","CN",IF(A843="300","TW","홀세일")))</f>
        <v>TW</v>
      </c>
      <c r="C843" s="94" t="s">
        <v>492</v>
      </c>
      <c r="D843" s="95" t="n">
        <v>580</v>
      </c>
      <c r="E843" s="95" t="n">
        <v>99000</v>
      </c>
      <c r="F843" s="95" t="n">
        <v>25600</v>
      </c>
      <c r="G843" s="34" t="n">
        <v>3.85</v>
      </c>
      <c r="H843" s="34" t="n">
        <v>23.3</v>
      </c>
      <c r="I843" s="34" t="n">
        <v>0</v>
      </c>
      <c r="J843" s="95" t="n">
        <f aca="false">IF(N(E843)&gt;0,E843,IF(N(F843)&gt;0,F843*가정!$B$5,0))</f>
        <v>99000</v>
      </c>
      <c r="K843" s="95" t="n">
        <f aca="false">IF(N(F843)&gt;0,F843,IF(N(E843)&gt;0,E843/가정!$B$5,0))</f>
        <v>25600</v>
      </c>
      <c r="L843" s="95" t="n">
        <f aca="false">IF(B843="CN",IF(N(I843)&gt;0,I843*가정!$B$3,K843*(1+가정!$B$6)),IF(N(H843)&gt;0,H843*가정!$B$3,J843*가정!$B$4))</f>
        <v>31752.774</v>
      </c>
      <c r="M843" s="95" t="n">
        <f aca="false">D843*J843</f>
        <v>57420000</v>
      </c>
      <c r="N843" s="95" t="n">
        <f aca="false">D843*K843</f>
        <v>14848000</v>
      </c>
      <c r="O843" s="95" t="n">
        <f aca="false">D843*L843</f>
        <v>18416608.92</v>
      </c>
      <c r="P843" s="34" t="str">
        <f aca="false">TRIM(IF(N(E843)&lt;=0,"택가보정 ","")&amp;IF(N(F843)&lt;=0,"원가보정 ","")&amp;IF(AND(B843&lt;&gt;"CN",N(H843)&lt;=0),"공급가보정 ","")&amp;IF(AND(B843="CN",N(I843)&lt;=0),"중국공급가=원가+마진 ",""))</f>
        <v/>
      </c>
    </row>
    <row r="844" customFormat="false" ht="15" hidden="false" customHeight="true" outlineLevel="0" collapsed="false">
      <c r="A844" s="94" t="s">
        <v>1687</v>
      </c>
      <c r="B844" s="34" t="str">
        <f aca="false">IF(A844="100","HK",IF(A844="200","CN",IF(A844="300","TW","홀세일")))</f>
        <v>홀세일</v>
      </c>
      <c r="C844" s="94" t="s">
        <v>492</v>
      </c>
      <c r="D844" s="95" t="n">
        <v>230</v>
      </c>
      <c r="E844" s="95" t="n">
        <v>99000</v>
      </c>
      <c r="F844" s="95" t="n">
        <v>25600</v>
      </c>
      <c r="G844" s="34" t="n">
        <v>3.85</v>
      </c>
      <c r="H844" s="34" t="n">
        <v>23.3</v>
      </c>
      <c r="I844" s="34" t="n">
        <v>0</v>
      </c>
      <c r="J844" s="95" t="n">
        <f aca="false">IF(N(E844)&gt;0,E844,IF(N(F844)&gt;0,F844*가정!$B$5,0))</f>
        <v>99000</v>
      </c>
      <c r="K844" s="95" t="n">
        <f aca="false">IF(N(F844)&gt;0,F844,IF(N(E844)&gt;0,E844/가정!$B$5,0))</f>
        <v>25600</v>
      </c>
      <c r="L844" s="95" t="n">
        <f aca="false">IF(B844="CN",IF(N(I844)&gt;0,I844*가정!$B$3,K844*(1+가정!$B$6)),IF(N(H844)&gt;0,H844*가정!$B$3,J844*가정!$B$4))</f>
        <v>31752.774</v>
      </c>
      <c r="M844" s="95" t="n">
        <f aca="false">D844*J844</f>
        <v>22770000</v>
      </c>
      <c r="N844" s="95" t="n">
        <f aca="false">D844*K844</f>
        <v>5888000</v>
      </c>
      <c r="O844" s="95" t="n">
        <f aca="false">D844*L844</f>
        <v>7303138.02</v>
      </c>
      <c r="P844" s="34" t="str">
        <f aca="false">TRIM(IF(N(E844)&lt;=0,"택가보정 ","")&amp;IF(N(F844)&lt;=0,"원가보정 ","")&amp;IF(AND(B844&lt;&gt;"CN",N(H844)&lt;=0),"공급가보정 ","")&amp;IF(AND(B844="CN",N(I844)&lt;=0),"중국공급가=원가+마진 ",""))</f>
        <v/>
      </c>
    </row>
    <row r="845" customFormat="false" ht="15" hidden="false" customHeight="true" outlineLevel="0" collapsed="false">
      <c r="A845" s="94" t="s">
        <v>1688</v>
      </c>
      <c r="B845" s="34" t="str">
        <f aca="false">IF(A845="100","HK",IF(A845="200","CN",IF(A845="300","TW","홀세일")))</f>
        <v>홀세일</v>
      </c>
      <c r="C845" s="94" t="s">
        <v>492</v>
      </c>
      <c r="D845" s="95" t="n">
        <v>130</v>
      </c>
      <c r="E845" s="95" t="n">
        <v>99000</v>
      </c>
      <c r="F845" s="95" t="n">
        <v>25600</v>
      </c>
      <c r="G845" s="34" t="n">
        <v>3.85</v>
      </c>
      <c r="H845" s="34" t="n">
        <v>23.3</v>
      </c>
      <c r="I845" s="34" t="n">
        <v>0</v>
      </c>
      <c r="J845" s="95" t="n">
        <f aca="false">IF(N(E845)&gt;0,E845,IF(N(F845)&gt;0,F845*가정!$B$5,0))</f>
        <v>99000</v>
      </c>
      <c r="K845" s="95" t="n">
        <f aca="false">IF(N(F845)&gt;0,F845,IF(N(E845)&gt;0,E845/가정!$B$5,0))</f>
        <v>25600</v>
      </c>
      <c r="L845" s="95" t="n">
        <f aca="false">IF(B845="CN",IF(N(I845)&gt;0,I845*가정!$B$3,K845*(1+가정!$B$6)),IF(N(H845)&gt;0,H845*가정!$B$3,J845*가정!$B$4))</f>
        <v>31752.774</v>
      </c>
      <c r="M845" s="95" t="n">
        <f aca="false">D845*J845</f>
        <v>12870000</v>
      </c>
      <c r="N845" s="95" t="n">
        <f aca="false">D845*K845</f>
        <v>3328000</v>
      </c>
      <c r="O845" s="95" t="n">
        <f aca="false">D845*L845</f>
        <v>4127860.62</v>
      </c>
      <c r="P845" s="34" t="str">
        <f aca="false">TRIM(IF(N(E845)&lt;=0,"택가보정 ","")&amp;IF(N(F845)&lt;=0,"원가보정 ","")&amp;IF(AND(B845&lt;&gt;"CN",N(H845)&lt;=0),"공급가보정 ","")&amp;IF(AND(B845="CN",N(I845)&lt;=0),"중국공급가=원가+마진 ",""))</f>
        <v/>
      </c>
    </row>
    <row r="846" customFormat="false" ht="15" hidden="false" customHeight="true" outlineLevel="0" collapsed="false">
      <c r="A846" s="94" t="s">
        <v>1684</v>
      </c>
      <c r="B846" s="34" t="str">
        <f aca="false">IF(A846="100","HK",IF(A846="200","CN",IF(A846="300","TW","홀세일")))</f>
        <v>HK</v>
      </c>
      <c r="C846" s="94" t="s">
        <v>494</v>
      </c>
      <c r="D846" s="95" t="n">
        <v>200</v>
      </c>
      <c r="E846" s="95" t="n">
        <v>59000</v>
      </c>
      <c r="F846" s="95" t="n">
        <v>10000</v>
      </c>
      <c r="G846" s="34" t="n">
        <v>4.75</v>
      </c>
      <c r="H846" s="34" t="n">
        <v>13.9</v>
      </c>
      <c r="I846" s="34" t="n">
        <v>0</v>
      </c>
      <c r="J846" s="95" t="n">
        <f aca="false">IF(N(E846)&gt;0,E846,IF(N(F846)&gt;0,F846*가정!$B$5,0))</f>
        <v>59000</v>
      </c>
      <c r="K846" s="95" t="n">
        <f aca="false">IF(N(F846)&gt;0,F846,IF(N(E846)&gt;0,E846/가정!$B$5,0))</f>
        <v>10000</v>
      </c>
      <c r="L846" s="95" t="n">
        <f aca="false">IF(B846="CN",IF(N(I846)&gt;0,I846*가정!$B$3,K846*(1+가정!$B$6)),IF(N(H846)&gt;0,H846*가정!$B$3,J846*가정!$B$4))</f>
        <v>18942.642</v>
      </c>
      <c r="M846" s="95" t="n">
        <f aca="false">D846*J846</f>
        <v>11800000</v>
      </c>
      <c r="N846" s="95" t="n">
        <f aca="false">D846*K846</f>
        <v>2000000</v>
      </c>
      <c r="O846" s="95" t="n">
        <f aca="false">D846*L846</f>
        <v>3788528.4</v>
      </c>
      <c r="P846" s="34" t="str">
        <f aca="false">TRIM(IF(N(E846)&lt;=0,"택가보정 ","")&amp;IF(N(F846)&lt;=0,"원가보정 ","")&amp;IF(AND(B846&lt;&gt;"CN",N(H846)&lt;=0),"공급가보정 ","")&amp;IF(AND(B846="CN",N(I846)&lt;=0),"중국공급가=원가+마진 ",""))</f>
        <v/>
      </c>
    </row>
    <row r="847" customFormat="false" ht="15" hidden="false" customHeight="true" outlineLevel="0" collapsed="false">
      <c r="A847" s="94" t="s">
        <v>1686</v>
      </c>
      <c r="B847" s="34" t="str">
        <f aca="false">IF(A847="100","HK",IF(A847="200","CN",IF(A847="300","TW","홀세일")))</f>
        <v>TW</v>
      </c>
      <c r="C847" s="94" t="s">
        <v>494</v>
      </c>
      <c r="D847" s="95" t="n">
        <v>450</v>
      </c>
      <c r="E847" s="95" t="n">
        <v>59000</v>
      </c>
      <c r="F847" s="95" t="n">
        <v>10000</v>
      </c>
      <c r="G847" s="34" t="n">
        <v>4.75</v>
      </c>
      <c r="H847" s="34" t="n">
        <v>13.9</v>
      </c>
      <c r="I847" s="34" t="n">
        <v>0</v>
      </c>
      <c r="J847" s="95" t="n">
        <f aca="false">IF(N(E847)&gt;0,E847,IF(N(F847)&gt;0,F847*가정!$B$5,0))</f>
        <v>59000</v>
      </c>
      <c r="K847" s="95" t="n">
        <f aca="false">IF(N(F847)&gt;0,F847,IF(N(E847)&gt;0,E847/가정!$B$5,0))</f>
        <v>10000</v>
      </c>
      <c r="L847" s="95" t="n">
        <f aca="false">IF(B847="CN",IF(N(I847)&gt;0,I847*가정!$B$3,K847*(1+가정!$B$6)),IF(N(H847)&gt;0,H847*가정!$B$3,J847*가정!$B$4))</f>
        <v>18942.642</v>
      </c>
      <c r="M847" s="95" t="n">
        <f aca="false">D847*J847</f>
        <v>26550000</v>
      </c>
      <c r="N847" s="95" t="n">
        <f aca="false">D847*K847</f>
        <v>4500000</v>
      </c>
      <c r="O847" s="95" t="n">
        <f aca="false">D847*L847</f>
        <v>8524188.9</v>
      </c>
      <c r="P847" s="34" t="str">
        <f aca="false">TRIM(IF(N(E847)&lt;=0,"택가보정 ","")&amp;IF(N(F847)&lt;=0,"원가보정 ","")&amp;IF(AND(B847&lt;&gt;"CN",N(H847)&lt;=0),"공급가보정 ","")&amp;IF(AND(B847="CN",N(I847)&lt;=0),"중국공급가=원가+마진 ",""))</f>
        <v/>
      </c>
    </row>
    <row r="848" customFormat="false" ht="15" hidden="false" customHeight="true" outlineLevel="0" collapsed="false">
      <c r="A848" s="94" t="s">
        <v>1688</v>
      </c>
      <c r="B848" s="34" t="str">
        <f aca="false">IF(A848="100","HK",IF(A848="200","CN",IF(A848="300","TW","홀세일")))</f>
        <v>홀세일</v>
      </c>
      <c r="C848" s="94" t="s">
        <v>494</v>
      </c>
      <c r="D848" s="95" t="n">
        <v>35</v>
      </c>
      <c r="E848" s="95" t="n">
        <v>59000</v>
      </c>
      <c r="F848" s="95" t="n">
        <v>10000</v>
      </c>
      <c r="G848" s="34" t="n">
        <v>4.75</v>
      </c>
      <c r="H848" s="34" t="n">
        <v>13.9</v>
      </c>
      <c r="I848" s="34" t="n">
        <v>0</v>
      </c>
      <c r="J848" s="95" t="n">
        <f aca="false">IF(N(E848)&gt;0,E848,IF(N(F848)&gt;0,F848*가정!$B$5,0))</f>
        <v>59000</v>
      </c>
      <c r="K848" s="95" t="n">
        <f aca="false">IF(N(F848)&gt;0,F848,IF(N(E848)&gt;0,E848/가정!$B$5,0))</f>
        <v>10000</v>
      </c>
      <c r="L848" s="95" t="n">
        <f aca="false">IF(B848="CN",IF(N(I848)&gt;0,I848*가정!$B$3,K848*(1+가정!$B$6)),IF(N(H848)&gt;0,H848*가정!$B$3,J848*가정!$B$4))</f>
        <v>18942.642</v>
      </c>
      <c r="M848" s="95" t="n">
        <f aca="false">D848*J848</f>
        <v>2065000</v>
      </c>
      <c r="N848" s="95" t="n">
        <f aca="false">D848*K848</f>
        <v>350000</v>
      </c>
      <c r="O848" s="95" t="n">
        <f aca="false">D848*L848</f>
        <v>662992.47</v>
      </c>
      <c r="P848" s="34" t="str">
        <f aca="false">TRIM(IF(N(E848)&lt;=0,"택가보정 ","")&amp;IF(N(F848)&lt;=0,"원가보정 ","")&amp;IF(AND(B848&lt;&gt;"CN",N(H848)&lt;=0),"공급가보정 ","")&amp;IF(AND(B848="CN",N(I848)&lt;=0),"중국공급가=원가+마진 ",""))</f>
        <v/>
      </c>
    </row>
    <row r="849" customFormat="false" ht="15" hidden="false" customHeight="true" outlineLevel="0" collapsed="false">
      <c r="A849" s="94" t="s">
        <v>1689</v>
      </c>
      <c r="B849" s="34" t="str">
        <f aca="false">IF(A849="100","HK",IF(A849="200","CN",IF(A849="300","TW","홀세일")))</f>
        <v>홀세일</v>
      </c>
      <c r="C849" s="94" t="s">
        <v>494</v>
      </c>
      <c r="D849" s="95" t="n">
        <v>105</v>
      </c>
      <c r="E849" s="95" t="n">
        <v>59000</v>
      </c>
      <c r="F849" s="95" t="n">
        <v>10000</v>
      </c>
      <c r="G849" s="34" t="n">
        <v>4.75</v>
      </c>
      <c r="H849" s="34" t="n">
        <v>13.9</v>
      </c>
      <c r="I849" s="34" t="n">
        <v>0</v>
      </c>
      <c r="J849" s="95" t="n">
        <f aca="false">IF(N(E849)&gt;0,E849,IF(N(F849)&gt;0,F849*가정!$B$5,0))</f>
        <v>59000</v>
      </c>
      <c r="K849" s="95" t="n">
        <f aca="false">IF(N(F849)&gt;0,F849,IF(N(E849)&gt;0,E849/가정!$B$5,0))</f>
        <v>10000</v>
      </c>
      <c r="L849" s="95" t="n">
        <f aca="false">IF(B849="CN",IF(N(I849)&gt;0,I849*가정!$B$3,K849*(1+가정!$B$6)),IF(N(H849)&gt;0,H849*가정!$B$3,J849*가정!$B$4))</f>
        <v>18942.642</v>
      </c>
      <c r="M849" s="95" t="n">
        <f aca="false">D849*J849</f>
        <v>6195000</v>
      </c>
      <c r="N849" s="95" t="n">
        <f aca="false">D849*K849</f>
        <v>1050000</v>
      </c>
      <c r="O849" s="95" t="n">
        <f aca="false">D849*L849</f>
        <v>1988977.41</v>
      </c>
      <c r="P849" s="34" t="str">
        <f aca="false">TRIM(IF(N(E849)&lt;=0,"택가보정 ","")&amp;IF(N(F849)&lt;=0,"원가보정 ","")&amp;IF(AND(B849&lt;&gt;"CN",N(H849)&lt;=0),"공급가보정 ","")&amp;IF(AND(B849="CN",N(I849)&lt;=0),"중국공급가=원가+마진 ",""))</f>
        <v/>
      </c>
    </row>
    <row r="850" customFormat="false" ht="15" hidden="false" customHeight="true" outlineLevel="0" collapsed="false">
      <c r="A850" s="94" t="s">
        <v>1684</v>
      </c>
      <c r="B850" s="34" t="str">
        <f aca="false">IF(A850="100","HK",IF(A850="200","CN",IF(A850="300","TW","홀세일")))</f>
        <v>HK</v>
      </c>
      <c r="C850" s="94" t="s">
        <v>496</v>
      </c>
      <c r="D850" s="95" t="n">
        <v>200</v>
      </c>
      <c r="E850" s="95" t="n">
        <v>69000</v>
      </c>
      <c r="F850" s="95" t="n">
        <v>18500</v>
      </c>
      <c r="G850" s="34" t="n">
        <v>4.01</v>
      </c>
      <c r="H850" s="34" t="n">
        <v>16.3</v>
      </c>
      <c r="I850" s="34" t="n">
        <v>0</v>
      </c>
      <c r="J850" s="95" t="n">
        <f aca="false">IF(N(E850)&gt;0,E850,IF(N(F850)&gt;0,F850*가정!$B$5,0))</f>
        <v>69000</v>
      </c>
      <c r="K850" s="95" t="n">
        <f aca="false">IF(N(F850)&gt;0,F850,IF(N(E850)&gt;0,E850/가정!$B$5,0))</f>
        <v>18500</v>
      </c>
      <c r="L850" s="95" t="n">
        <f aca="false">IF(B850="CN",IF(N(I850)&gt;0,I850*가정!$B$3,K850*(1+가정!$B$6)),IF(N(H850)&gt;0,H850*가정!$B$3,J850*가정!$B$4))</f>
        <v>22213.314</v>
      </c>
      <c r="M850" s="95" t="n">
        <f aca="false">D850*J850</f>
        <v>13800000</v>
      </c>
      <c r="N850" s="95" t="n">
        <f aca="false">D850*K850</f>
        <v>3700000</v>
      </c>
      <c r="O850" s="95" t="n">
        <f aca="false">D850*L850</f>
        <v>4442662.8</v>
      </c>
      <c r="P850" s="34" t="str">
        <f aca="false">TRIM(IF(N(E850)&lt;=0,"택가보정 ","")&amp;IF(N(F850)&lt;=0,"원가보정 ","")&amp;IF(AND(B850&lt;&gt;"CN",N(H850)&lt;=0),"공급가보정 ","")&amp;IF(AND(B850="CN",N(I850)&lt;=0),"중국공급가=원가+마진 ",""))</f>
        <v/>
      </c>
    </row>
    <row r="851" customFormat="false" ht="15" hidden="false" customHeight="true" outlineLevel="0" collapsed="false">
      <c r="A851" s="94" t="s">
        <v>1686</v>
      </c>
      <c r="B851" s="34" t="str">
        <f aca="false">IF(A851="100","HK",IF(A851="200","CN",IF(A851="300","TW","홀세일")))</f>
        <v>TW</v>
      </c>
      <c r="C851" s="94" t="s">
        <v>496</v>
      </c>
      <c r="D851" s="95" t="n">
        <v>550</v>
      </c>
      <c r="E851" s="95" t="n">
        <v>69000</v>
      </c>
      <c r="F851" s="95" t="n">
        <v>18500</v>
      </c>
      <c r="G851" s="34" t="n">
        <v>4.01</v>
      </c>
      <c r="H851" s="34" t="n">
        <v>16.3</v>
      </c>
      <c r="I851" s="34" t="n">
        <v>0</v>
      </c>
      <c r="J851" s="95" t="n">
        <f aca="false">IF(N(E851)&gt;0,E851,IF(N(F851)&gt;0,F851*가정!$B$5,0))</f>
        <v>69000</v>
      </c>
      <c r="K851" s="95" t="n">
        <f aca="false">IF(N(F851)&gt;0,F851,IF(N(E851)&gt;0,E851/가정!$B$5,0))</f>
        <v>18500</v>
      </c>
      <c r="L851" s="95" t="n">
        <f aca="false">IF(B851="CN",IF(N(I851)&gt;0,I851*가정!$B$3,K851*(1+가정!$B$6)),IF(N(H851)&gt;0,H851*가정!$B$3,J851*가정!$B$4))</f>
        <v>22213.314</v>
      </c>
      <c r="M851" s="95" t="n">
        <f aca="false">D851*J851</f>
        <v>37950000</v>
      </c>
      <c r="N851" s="95" t="n">
        <f aca="false">D851*K851</f>
        <v>10175000</v>
      </c>
      <c r="O851" s="95" t="n">
        <f aca="false">D851*L851</f>
        <v>12217322.7</v>
      </c>
      <c r="P851" s="34" t="str">
        <f aca="false">TRIM(IF(N(E851)&lt;=0,"택가보정 ","")&amp;IF(N(F851)&lt;=0,"원가보정 ","")&amp;IF(AND(B851&lt;&gt;"CN",N(H851)&lt;=0),"공급가보정 ","")&amp;IF(AND(B851="CN",N(I851)&lt;=0),"중국공급가=원가+마진 ",""))</f>
        <v/>
      </c>
    </row>
    <row r="852" customFormat="false" ht="15" hidden="false" customHeight="true" outlineLevel="0" collapsed="false">
      <c r="A852" s="94" t="s">
        <v>1688</v>
      </c>
      <c r="B852" s="34" t="str">
        <f aca="false">IF(A852="100","HK",IF(A852="200","CN",IF(A852="300","TW","홀세일")))</f>
        <v>홀세일</v>
      </c>
      <c r="C852" s="94" t="s">
        <v>496</v>
      </c>
      <c r="D852" s="95" t="n">
        <v>75</v>
      </c>
      <c r="E852" s="95" t="n">
        <v>69000</v>
      </c>
      <c r="F852" s="95" t="n">
        <v>18500</v>
      </c>
      <c r="G852" s="34" t="n">
        <v>4.01</v>
      </c>
      <c r="H852" s="34" t="n">
        <v>16.3</v>
      </c>
      <c r="I852" s="34" t="n">
        <v>0</v>
      </c>
      <c r="J852" s="95" t="n">
        <f aca="false">IF(N(E852)&gt;0,E852,IF(N(F852)&gt;0,F852*가정!$B$5,0))</f>
        <v>69000</v>
      </c>
      <c r="K852" s="95" t="n">
        <f aca="false">IF(N(F852)&gt;0,F852,IF(N(E852)&gt;0,E852/가정!$B$5,0))</f>
        <v>18500</v>
      </c>
      <c r="L852" s="95" t="n">
        <f aca="false">IF(B852="CN",IF(N(I852)&gt;0,I852*가정!$B$3,K852*(1+가정!$B$6)),IF(N(H852)&gt;0,H852*가정!$B$3,J852*가정!$B$4))</f>
        <v>22213.314</v>
      </c>
      <c r="M852" s="95" t="n">
        <f aca="false">D852*J852</f>
        <v>5175000</v>
      </c>
      <c r="N852" s="95" t="n">
        <f aca="false">D852*K852</f>
        <v>1387500</v>
      </c>
      <c r="O852" s="95" t="n">
        <f aca="false">D852*L852</f>
        <v>1665998.55</v>
      </c>
      <c r="P852" s="34" t="str">
        <f aca="false">TRIM(IF(N(E852)&lt;=0,"택가보정 ","")&amp;IF(N(F852)&lt;=0,"원가보정 ","")&amp;IF(AND(B852&lt;&gt;"CN",N(H852)&lt;=0),"공급가보정 ","")&amp;IF(AND(B852="CN",N(I852)&lt;=0),"중국공급가=원가+마진 ",""))</f>
        <v/>
      </c>
    </row>
    <row r="853" customFormat="false" ht="15" hidden="false" customHeight="true" outlineLevel="0" collapsed="false">
      <c r="A853" s="94" t="s">
        <v>1684</v>
      </c>
      <c r="B853" s="34" t="str">
        <f aca="false">IF(A853="100","HK",IF(A853="200","CN",IF(A853="300","TW","홀세일")))</f>
        <v>HK</v>
      </c>
      <c r="C853" s="94" t="s">
        <v>498</v>
      </c>
      <c r="D853" s="95" t="n">
        <v>400</v>
      </c>
      <c r="E853" s="95" t="n">
        <v>59000</v>
      </c>
      <c r="F853" s="95" t="n">
        <v>12801</v>
      </c>
      <c r="G853" s="34" t="n">
        <v>4.07</v>
      </c>
      <c r="H853" s="34" t="n">
        <v>13.9</v>
      </c>
      <c r="I853" s="34" t="n">
        <v>11.3</v>
      </c>
      <c r="J853" s="95" t="n">
        <f aca="false">IF(N(E853)&gt;0,E853,IF(N(F853)&gt;0,F853*가정!$B$5,0))</f>
        <v>59000</v>
      </c>
      <c r="K853" s="95" t="n">
        <f aca="false">IF(N(F853)&gt;0,F853,IF(N(E853)&gt;0,E853/가정!$B$5,0))</f>
        <v>12801</v>
      </c>
      <c r="L853" s="95" t="n">
        <f aca="false">IF(B853="CN",IF(N(I853)&gt;0,I853*가정!$B$3,K853*(1+가정!$B$6)),IF(N(H853)&gt;0,H853*가정!$B$3,J853*가정!$B$4))</f>
        <v>18942.642</v>
      </c>
      <c r="M853" s="95" t="n">
        <f aca="false">D853*J853</f>
        <v>23600000</v>
      </c>
      <c r="N853" s="95" t="n">
        <f aca="false">D853*K853</f>
        <v>5120400</v>
      </c>
      <c r="O853" s="95" t="n">
        <f aca="false">D853*L853</f>
        <v>7577056.8</v>
      </c>
      <c r="P853" s="34" t="str">
        <f aca="false">TRIM(IF(N(E853)&lt;=0,"택가보정 ","")&amp;IF(N(F853)&lt;=0,"원가보정 ","")&amp;IF(AND(B853&lt;&gt;"CN",N(H853)&lt;=0),"공급가보정 ","")&amp;IF(AND(B853="CN",N(I853)&lt;=0),"중국공급가=원가+마진 ",""))</f>
        <v/>
      </c>
    </row>
    <row r="854" customFormat="false" ht="15" hidden="false" customHeight="true" outlineLevel="0" collapsed="false">
      <c r="A854" s="94" t="s">
        <v>1685</v>
      </c>
      <c r="B854" s="34" t="str">
        <f aca="false">IF(A854="100","HK",IF(A854="200","CN",IF(A854="300","TW","홀세일")))</f>
        <v>CN</v>
      </c>
      <c r="C854" s="94" t="s">
        <v>498</v>
      </c>
      <c r="D854" s="95" t="n">
        <v>423</v>
      </c>
      <c r="E854" s="95" t="n">
        <v>59000</v>
      </c>
      <c r="F854" s="95" t="n">
        <v>12801</v>
      </c>
      <c r="G854" s="34" t="n">
        <v>4.07</v>
      </c>
      <c r="H854" s="34" t="n">
        <v>13.9</v>
      </c>
      <c r="I854" s="34" t="n">
        <v>11.3</v>
      </c>
      <c r="J854" s="95" t="n">
        <f aca="false">IF(N(E854)&gt;0,E854,IF(N(F854)&gt;0,F854*가정!$B$5,0))</f>
        <v>59000</v>
      </c>
      <c r="K854" s="95" t="n">
        <f aca="false">IF(N(F854)&gt;0,F854,IF(N(E854)&gt;0,E854/가정!$B$5,0))</f>
        <v>12801</v>
      </c>
      <c r="L854" s="95" t="n">
        <f aca="false">IF(B854="CN",IF(N(I854)&gt;0,I854*가정!$B$3,K854*(1+가정!$B$6)),IF(N(H854)&gt;0,H854*가정!$B$3,J854*가정!$B$4))</f>
        <v>15399.414</v>
      </c>
      <c r="M854" s="95" t="n">
        <f aca="false">D854*J854</f>
        <v>24957000</v>
      </c>
      <c r="N854" s="95" t="n">
        <f aca="false">D854*K854</f>
        <v>5414823</v>
      </c>
      <c r="O854" s="95" t="n">
        <f aca="false">D854*L854</f>
        <v>6513952.122</v>
      </c>
      <c r="P854" s="34" t="str">
        <f aca="false">TRIM(IF(N(E854)&lt;=0,"택가보정 ","")&amp;IF(N(F854)&lt;=0,"원가보정 ","")&amp;IF(AND(B854&lt;&gt;"CN",N(H854)&lt;=0),"공급가보정 ","")&amp;IF(AND(B854="CN",N(I854)&lt;=0),"중국공급가=원가+마진 ",""))</f>
        <v/>
      </c>
    </row>
    <row r="855" customFormat="false" ht="15" hidden="false" customHeight="true" outlineLevel="0" collapsed="false">
      <c r="A855" s="94" t="s">
        <v>1686</v>
      </c>
      <c r="B855" s="34" t="str">
        <f aca="false">IF(A855="100","HK",IF(A855="200","CN",IF(A855="300","TW","홀세일")))</f>
        <v>TW</v>
      </c>
      <c r="C855" s="94" t="s">
        <v>498</v>
      </c>
      <c r="D855" s="95" t="n">
        <v>390</v>
      </c>
      <c r="E855" s="95" t="n">
        <v>59000</v>
      </c>
      <c r="F855" s="95" t="n">
        <v>12801</v>
      </c>
      <c r="G855" s="34" t="n">
        <v>4.07</v>
      </c>
      <c r="H855" s="34" t="n">
        <v>13.9</v>
      </c>
      <c r="I855" s="34" t="n">
        <v>11.3</v>
      </c>
      <c r="J855" s="95" t="n">
        <f aca="false">IF(N(E855)&gt;0,E855,IF(N(F855)&gt;0,F855*가정!$B$5,0))</f>
        <v>59000</v>
      </c>
      <c r="K855" s="95" t="n">
        <f aca="false">IF(N(F855)&gt;0,F855,IF(N(E855)&gt;0,E855/가정!$B$5,0))</f>
        <v>12801</v>
      </c>
      <c r="L855" s="95" t="n">
        <f aca="false">IF(B855="CN",IF(N(I855)&gt;0,I855*가정!$B$3,K855*(1+가정!$B$6)),IF(N(H855)&gt;0,H855*가정!$B$3,J855*가정!$B$4))</f>
        <v>18942.642</v>
      </c>
      <c r="M855" s="95" t="n">
        <f aca="false">D855*J855</f>
        <v>23010000</v>
      </c>
      <c r="N855" s="95" t="n">
        <f aca="false">D855*K855</f>
        <v>4992390</v>
      </c>
      <c r="O855" s="95" t="n">
        <f aca="false">D855*L855</f>
        <v>7387630.38</v>
      </c>
      <c r="P855" s="34" t="str">
        <f aca="false">TRIM(IF(N(E855)&lt;=0,"택가보정 ","")&amp;IF(N(F855)&lt;=0,"원가보정 ","")&amp;IF(AND(B855&lt;&gt;"CN",N(H855)&lt;=0),"공급가보정 ","")&amp;IF(AND(B855="CN",N(I855)&lt;=0),"중국공급가=원가+마진 ",""))</f>
        <v/>
      </c>
    </row>
    <row r="856" customFormat="false" ht="15" hidden="false" customHeight="true" outlineLevel="0" collapsed="false">
      <c r="A856" s="94" t="s">
        <v>1687</v>
      </c>
      <c r="B856" s="34" t="str">
        <f aca="false">IF(A856="100","HK",IF(A856="200","CN",IF(A856="300","TW","홀세일")))</f>
        <v>홀세일</v>
      </c>
      <c r="C856" s="94" t="s">
        <v>498</v>
      </c>
      <c r="D856" s="95" t="n">
        <v>750</v>
      </c>
      <c r="E856" s="95" t="n">
        <v>59000</v>
      </c>
      <c r="F856" s="95" t="n">
        <v>12801</v>
      </c>
      <c r="G856" s="34" t="n">
        <v>4.07</v>
      </c>
      <c r="H856" s="34" t="n">
        <v>13.9</v>
      </c>
      <c r="I856" s="34" t="n">
        <v>11.3</v>
      </c>
      <c r="J856" s="95" t="n">
        <f aca="false">IF(N(E856)&gt;0,E856,IF(N(F856)&gt;0,F856*가정!$B$5,0))</f>
        <v>59000</v>
      </c>
      <c r="K856" s="95" t="n">
        <f aca="false">IF(N(F856)&gt;0,F856,IF(N(E856)&gt;0,E856/가정!$B$5,0))</f>
        <v>12801</v>
      </c>
      <c r="L856" s="95" t="n">
        <f aca="false">IF(B856="CN",IF(N(I856)&gt;0,I856*가정!$B$3,K856*(1+가정!$B$6)),IF(N(H856)&gt;0,H856*가정!$B$3,J856*가정!$B$4))</f>
        <v>18942.642</v>
      </c>
      <c r="M856" s="95" t="n">
        <f aca="false">D856*J856</f>
        <v>44250000</v>
      </c>
      <c r="N856" s="95" t="n">
        <f aca="false">D856*K856</f>
        <v>9600750</v>
      </c>
      <c r="O856" s="95" t="n">
        <f aca="false">D856*L856</f>
        <v>14206981.5</v>
      </c>
      <c r="P856" s="34" t="str">
        <f aca="false">TRIM(IF(N(E856)&lt;=0,"택가보정 ","")&amp;IF(N(F856)&lt;=0,"원가보정 ","")&amp;IF(AND(B856&lt;&gt;"CN",N(H856)&lt;=0),"공급가보정 ","")&amp;IF(AND(B856="CN",N(I856)&lt;=0),"중국공급가=원가+마진 ",""))</f>
        <v/>
      </c>
    </row>
    <row r="857" customFormat="false" ht="15" hidden="false" customHeight="true" outlineLevel="0" collapsed="false">
      <c r="A857" s="94" t="s">
        <v>1688</v>
      </c>
      <c r="B857" s="34" t="str">
        <f aca="false">IF(A857="100","HK",IF(A857="200","CN",IF(A857="300","TW","홀세일")))</f>
        <v>홀세일</v>
      </c>
      <c r="C857" s="94" t="s">
        <v>498</v>
      </c>
      <c r="D857" s="95" t="n">
        <v>285</v>
      </c>
      <c r="E857" s="95" t="n">
        <v>59000</v>
      </c>
      <c r="F857" s="95" t="n">
        <v>12801</v>
      </c>
      <c r="G857" s="34" t="n">
        <v>4.07</v>
      </c>
      <c r="H857" s="34" t="n">
        <v>13.9</v>
      </c>
      <c r="I857" s="34" t="n">
        <v>11.3</v>
      </c>
      <c r="J857" s="95" t="n">
        <f aca="false">IF(N(E857)&gt;0,E857,IF(N(F857)&gt;0,F857*가정!$B$5,0))</f>
        <v>59000</v>
      </c>
      <c r="K857" s="95" t="n">
        <f aca="false">IF(N(F857)&gt;0,F857,IF(N(E857)&gt;0,E857/가정!$B$5,0))</f>
        <v>12801</v>
      </c>
      <c r="L857" s="95" t="n">
        <f aca="false">IF(B857="CN",IF(N(I857)&gt;0,I857*가정!$B$3,K857*(1+가정!$B$6)),IF(N(H857)&gt;0,H857*가정!$B$3,J857*가정!$B$4))</f>
        <v>18942.642</v>
      </c>
      <c r="M857" s="95" t="n">
        <f aca="false">D857*J857</f>
        <v>16815000</v>
      </c>
      <c r="N857" s="95" t="n">
        <f aca="false">D857*K857</f>
        <v>3648285</v>
      </c>
      <c r="O857" s="95" t="n">
        <f aca="false">D857*L857</f>
        <v>5398652.97</v>
      </c>
      <c r="P857" s="34" t="str">
        <f aca="false">TRIM(IF(N(E857)&lt;=0,"택가보정 ","")&amp;IF(N(F857)&lt;=0,"원가보정 ","")&amp;IF(AND(B857&lt;&gt;"CN",N(H857)&lt;=0),"공급가보정 ","")&amp;IF(AND(B857="CN",N(I857)&lt;=0),"중국공급가=원가+마진 ",""))</f>
        <v/>
      </c>
    </row>
    <row r="858" customFormat="false" ht="15" hidden="false" customHeight="true" outlineLevel="0" collapsed="false">
      <c r="A858" s="94" t="s">
        <v>1692</v>
      </c>
      <c r="B858" s="34" t="str">
        <f aca="false">IF(A858="100","HK",IF(A858="200","CN",IF(A858="300","TW","홀세일")))</f>
        <v>홀세일</v>
      </c>
      <c r="C858" s="94" t="s">
        <v>498</v>
      </c>
      <c r="D858" s="95" t="n">
        <v>222</v>
      </c>
      <c r="E858" s="95" t="n">
        <v>59000</v>
      </c>
      <c r="F858" s="95" t="n">
        <v>12801</v>
      </c>
      <c r="G858" s="34" t="n">
        <v>4.07</v>
      </c>
      <c r="H858" s="34" t="n">
        <v>13.9</v>
      </c>
      <c r="I858" s="34" t="n">
        <v>11.3</v>
      </c>
      <c r="J858" s="95" t="n">
        <f aca="false">IF(N(E858)&gt;0,E858,IF(N(F858)&gt;0,F858*가정!$B$5,0))</f>
        <v>59000</v>
      </c>
      <c r="K858" s="95" t="n">
        <f aca="false">IF(N(F858)&gt;0,F858,IF(N(E858)&gt;0,E858/가정!$B$5,0))</f>
        <v>12801</v>
      </c>
      <c r="L858" s="95" t="n">
        <f aca="false">IF(B858="CN",IF(N(I858)&gt;0,I858*가정!$B$3,K858*(1+가정!$B$6)),IF(N(H858)&gt;0,H858*가정!$B$3,J858*가정!$B$4))</f>
        <v>18942.642</v>
      </c>
      <c r="M858" s="95" t="n">
        <f aca="false">D858*J858</f>
        <v>13098000</v>
      </c>
      <c r="N858" s="95" t="n">
        <f aca="false">D858*K858</f>
        <v>2841822</v>
      </c>
      <c r="O858" s="95" t="n">
        <f aca="false">D858*L858</f>
        <v>4205266.524</v>
      </c>
      <c r="P858" s="34" t="str">
        <f aca="false">TRIM(IF(N(E858)&lt;=0,"택가보정 ","")&amp;IF(N(F858)&lt;=0,"원가보정 ","")&amp;IF(AND(B858&lt;&gt;"CN",N(H858)&lt;=0),"공급가보정 ","")&amp;IF(AND(B858="CN",N(I858)&lt;=0),"중국공급가=원가+마진 ",""))</f>
        <v/>
      </c>
    </row>
    <row r="859" customFormat="false" ht="15" hidden="false" customHeight="true" outlineLevel="0" collapsed="false">
      <c r="A859" s="94" t="s">
        <v>1689</v>
      </c>
      <c r="B859" s="34" t="str">
        <f aca="false">IF(A859="100","HK",IF(A859="200","CN",IF(A859="300","TW","홀세일")))</f>
        <v>홀세일</v>
      </c>
      <c r="C859" s="94" t="s">
        <v>498</v>
      </c>
      <c r="D859" s="95" t="n">
        <v>80</v>
      </c>
      <c r="E859" s="95" t="n">
        <v>59000</v>
      </c>
      <c r="F859" s="95" t="n">
        <v>12801</v>
      </c>
      <c r="G859" s="34" t="n">
        <v>4.07</v>
      </c>
      <c r="H859" s="34" t="n">
        <v>13.9</v>
      </c>
      <c r="I859" s="34" t="n">
        <v>11.3</v>
      </c>
      <c r="J859" s="95" t="n">
        <f aca="false">IF(N(E859)&gt;0,E859,IF(N(F859)&gt;0,F859*가정!$B$5,0))</f>
        <v>59000</v>
      </c>
      <c r="K859" s="95" t="n">
        <f aca="false">IF(N(F859)&gt;0,F859,IF(N(E859)&gt;0,E859/가정!$B$5,0))</f>
        <v>12801</v>
      </c>
      <c r="L859" s="95" t="n">
        <f aca="false">IF(B859="CN",IF(N(I859)&gt;0,I859*가정!$B$3,K859*(1+가정!$B$6)),IF(N(H859)&gt;0,H859*가정!$B$3,J859*가정!$B$4))</f>
        <v>18942.642</v>
      </c>
      <c r="M859" s="95" t="n">
        <f aca="false">D859*J859</f>
        <v>4720000</v>
      </c>
      <c r="N859" s="95" t="n">
        <f aca="false">D859*K859</f>
        <v>1024080</v>
      </c>
      <c r="O859" s="95" t="n">
        <f aca="false">D859*L859</f>
        <v>1515411.36</v>
      </c>
      <c r="P859" s="34" t="str">
        <f aca="false">TRIM(IF(N(E859)&lt;=0,"택가보정 ","")&amp;IF(N(F859)&lt;=0,"원가보정 ","")&amp;IF(AND(B859&lt;&gt;"CN",N(H859)&lt;=0),"공급가보정 ","")&amp;IF(AND(B859="CN",N(I859)&lt;=0),"중국공급가=원가+마진 ",""))</f>
        <v/>
      </c>
    </row>
    <row r="860" customFormat="false" ht="15" hidden="false" customHeight="true" outlineLevel="0" collapsed="false">
      <c r="A860" s="94" t="s">
        <v>1684</v>
      </c>
      <c r="B860" s="34" t="str">
        <f aca="false">IF(A860="100","HK",IF(A860="200","CN",IF(A860="300","TW","홀세일")))</f>
        <v>HK</v>
      </c>
      <c r="C860" s="94" t="s">
        <v>500</v>
      </c>
      <c r="D860" s="95" t="n">
        <v>200</v>
      </c>
      <c r="E860" s="95" t="n">
        <v>69000</v>
      </c>
      <c r="F860" s="95" t="n">
        <v>14200</v>
      </c>
      <c r="G860" s="34" t="n">
        <v>4.01</v>
      </c>
      <c r="H860" s="34" t="n">
        <v>16.3</v>
      </c>
      <c r="I860" s="34" t="n">
        <v>0</v>
      </c>
      <c r="J860" s="95" t="n">
        <f aca="false">IF(N(E860)&gt;0,E860,IF(N(F860)&gt;0,F860*가정!$B$5,0))</f>
        <v>69000</v>
      </c>
      <c r="K860" s="95" t="n">
        <f aca="false">IF(N(F860)&gt;0,F860,IF(N(E860)&gt;0,E860/가정!$B$5,0))</f>
        <v>14200</v>
      </c>
      <c r="L860" s="95" t="n">
        <f aca="false">IF(B860="CN",IF(N(I860)&gt;0,I860*가정!$B$3,K860*(1+가정!$B$6)),IF(N(H860)&gt;0,H860*가정!$B$3,J860*가정!$B$4))</f>
        <v>22213.314</v>
      </c>
      <c r="M860" s="95" t="n">
        <f aca="false">D860*J860</f>
        <v>13800000</v>
      </c>
      <c r="N860" s="95" t="n">
        <f aca="false">D860*K860</f>
        <v>2840000</v>
      </c>
      <c r="O860" s="95" t="n">
        <f aca="false">D860*L860</f>
        <v>4442662.8</v>
      </c>
      <c r="P860" s="34" t="str">
        <f aca="false">TRIM(IF(N(E860)&lt;=0,"택가보정 ","")&amp;IF(N(F860)&lt;=0,"원가보정 ","")&amp;IF(AND(B860&lt;&gt;"CN",N(H860)&lt;=0),"공급가보정 ","")&amp;IF(AND(B860="CN",N(I860)&lt;=0),"중국공급가=원가+마진 ",""))</f>
        <v/>
      </c>
    </row>
    <row r="861" customFormat="false" ht="15" hidden="false" customHeight="true" outlineLevel="0" collapsed="false">
      <c r="A861" s="94" t="s">
        <v>1686</v>
      </c>
      <c r="B861" s="34" t="str">
        <f aca="false">IF(A861="100","HK",IF(A861="200","CN",IF(A861="300","TW","홀세일")))</f>
        <v>TW</v>
      </c>
      <c r="C861" s="94" t="s">
        <v>500</v>
      </c>
      <c r="D861" s="95" t="n">
        <v>120</v>
      </c>
      <c r="E861" s="95" t="n">
        <v>69000</v>
      </c>
      <c r="F861" s="95" t="n">
        <v>14200</v>
      </c>
      <c r="G861" s="34" t="n">
        <v>4.01</v>
      </c>
      <c r="H861" s="34" t="n">
        <v>16.3</v>
      </c>
      <c r="I861" s="34" t="n">
        <v>0</v>
      </c>
      <c r="J861" s="95" t="n">
        <f aca="false">IF(N(E861)&gt;0,E861,IF(N(F861)&gt;0,F861*가정!$B$5,0))</f>
        <v>69000</v>
      </c>
      <c r="K861" s="95" t="n">
        <f aca="false">IF(N(F861)&gt;0,F861,IF(N(E861)&gt;0,E861/가정!$B$5,0))</f>
        <v>14200</v>
      </c>
      <c r="L861" s="95" t="n">
        <f aca="false">IF(B861="CN",IF(N(I861)&gt;0,I861*가정!$B$3,K861*(1+가정!$B$6)),IF(N(H861)&gt;0,H861*가정!$B$3,J861*가정!$B$4))</f>
        <v>22213.314</v>
      </c>
      <c r="M861" s="95" t="n">
        <f aca="false">D861*J861</f>
        <v>8280000</v>
      </c>
      <c r="N861" s="95" t="n">
        <f aca="false">D861*K861</f>
        <v>1704000</v>
      </c>
      <c r="O861" s="95" t="n">
        <f aca="false">D861*L861</f>
        <v>2665597.68</v>
      </c>
      <c r="P861" s="34" t="str">
        <f aca="false">TRIM(IF(N(E861)&lt;=0,"택가보정 ","")&amp;IF(N(F861)&lt;=0,"원가보정 ","")&amp;IF(AND(B861&lt;&gt;"CN",N(H861)&lt;=0),"공급가보정 ","")&amp;IF(AND(B861="CN",N(I861)&lt;=0),"중국공급가=원가+마진 ",""))</f>
        <v/>
      </c>
    </row>
    <row r="862" customFormat="false" ht="15" hidden="false" customHeight="true" outlineLevel="0" collapsed="false">
      <c r="A862" s="94" t="s">
        <v>1687</v>
      </c>
      <c r="B862" s="34" t="str">
        <f aca="false">IF(A862="100","HK",IF(A862="200","CN",IF(A862="300","TW","홀세일")))</f>
        <v>홀세일</v>
      </c>
      <c r="C862" s="94" t="s">
        <v>500</v>
      </c>
      <c r="D862" s="95" t="n">
        <v>375</v>
      </c>
      <c r="E862" s="95" t="n">
        <v>69000</v>
      </c>
      <c r="F862" s="95" t="n">
        <v>14200</v>
      </c>
      <c r="G862" s="34" t="n">
        <v>4.01</v>
      </c>
      <c r="H862" s="34" t="n">
        <v>16.3</v>
      </c>
      <c r="I862" s="34" t="n">
        <v>0</v>
      </c>
      <c r="J862" s="95" t="n">
        <f aca="false">IF(N(E862)&gt;0,E862,IF(N(F862)&gt;0,F862*가정!$B$5,0))</f>
        <v>69000</v>
      </c>
      <c r="K862" s="95" t="n">
        <f aca="false">IF(N(F862)&gt;0,F862,IF(N(E862)&gt;0,E862/가정!$B$5,0))</f>
        <v>14200</v>
      </c>
      <c r="L862" s="95" t="n">
        <f aca="false">IF(B862="CN",IF(N(I862)&gt;0,I862*가정!$B$3,K862*(1+가정!$B$6)),IF(N(H862)&gt;0,H862*가정!$B$3,J862*가정!$B$4))</f>
        <v>22213.314</v>
      </c>
      <c r="M862" s="95" t="n">
        <f aca="false">D862*J862</f>
        <v>25875000</v>
      </c>
      <c r="N862" s="95" t="n">
        <f aca="false">D862*K862</f>
        <v>5325000</v>
      </c>
      <c r="O862" s="95" t="n">
        <f aca="false">D862*L862</f>
        <v>8329992.75</v>
      </c>
      <c r="P862" s="34" t="str">
        <f aca="false">TRIM(IF(N(E862)&lt;=0,"택가보정 ","")&amp;IF(N(F862)&lt;=0,"원가보정 ","")&amp;IF(AND(B862&lt;&gt;"CN",N(H862)&lt;=0),"공급가보정 ","")&amp;IF(AND(B862="CN",N(I862)&lt;=0),"중국공급가=원가+마진 ",""))</f>
        <v/>
      </c>
    </row>
    <row r="863" customFormat="false" ht="15" hidden="false" customHeight="true" outlineLevel="0" collapsed="false">
      <c r="A863" s="94" t="s">
        <v>1688</v>
      </c>
      <c r="B863" s="34" t="str">
        <f aca="false">IF(A863="100","HK",IF(A863="200","CN",IF(A863="300","TW","홀세일")))</f>
        <v>홀세일</v>
      </c>
      <c r="C863" s="94" t="s">
        <v>500</v>
      </c>
      <c r="D863" s="95" t="n">
        <v>120</v>
      </c>
      <c r="E863" s="95" t="n">
        <v>69000</v>
      </c>
      <c r="F863" s="95" t="n">
        <v>14200</v>
      </c>
      <c r="G863" s="34" t="n">
        <v>4.01</v>
      </c>
      <c r="H863" s="34" t="n">
        <v>16.3</v>
      </c>
      <c r="I863" s="34" t="n">
        <v>0</v>
      </c>
      <c r="J863" s="95" t="n">
        <f aca="false">IF(N(E863)&gt;0,E863,IF(N(F863)&gt;0,F863*가정!$B$5,0))</f>
        <v>69000</v>
      </c>
      <c r="K863" s="95" t="n">
        <f aca="false">IF(N(F863)&gt;0,F863,IF(N(E863)&gt;0,E863/가정!$B$5,0))</f>
        <v>14200</v>
      </c>
      <c r="L863" s="95" t="n">
        <f aca="false">IF(B863="CN",IF(N(I863)&gt;0,I863*가정!$B$3,K863*(1+가정!$B$6)),IF(N(H863)&gt;0,H863*가정!$B$3,J863*가정!$B$4))</f>
        <v>22213.314</v>
      </c>
      <c r="M863" s="95" t="n">
        <f aca="false">D863*J863</f>
        <v>8280000</v>
      </c>
      <c r="N863" s="95" t="n">
        <f aca="false">D863*K863</f>
        <v>1704000</v>
      </c>
      <c r="O863" s="95" t="n">
        <f aca="false">D863*L863</f>
        <v>2665597.68</v>
      </c>
      <c r="P863" s="34" t="str">
        <f aca="false">TRIM(IF(N(E863)&lt;=0,"택가보정 ","")&amp;IF(N(F863)&lt;=0,"원가보정 ","")&amp;IF(AND(B863&lt;&gt;"CN",N(H863)&lt;=0),"공급가보정 ","")&amp;IF(AND(B863="CN",N(I863)&lt;=0),"중국공급가=원가+마진 ",""))</f>
        <v/>
      </c>
    </row>
    <row r="864" customFormat="false" ht="15" hidden="false" customHeight="true" outlineLevel="0" collapsed="false">
      <c r="A864" s="94" t="s">
        <v>1690</v>
      </c>
      <c r="B864" s="34" t="str">
        <f aca="false">IF(A864="100","HK",IF(A864="200","CN",IF(A864="300","TW","홀세일")))</f>
        <v>홀세일</v>
      </c>
      <c r="C864" s="94" t="s">
        <v>500</v>
      </c>
      <c r="D864" s="95" t="n">
        <v>216</v>
      </c>
      <c r="E864" s="95" t="n">
        <v>69000</v>
      </c>
      <c r="F864" s="95" t="n">
        <v>14200</v>
      </c>
      <c r="G864" s="34" t="n">
        <v>4.01</v>
      </c>
      <c r="H864" s="34" t="n">
        <v>16.3</v>
      </c>
      <c r="I864" s="34" t="n">
        <v>0</v>
      </c>
      <c r="J864" s="95" t="n">
        <f aca="false">IF(N(E864)&gt;0,E864,IF(N(F864)&gt;0,F864*가정!$B$5,0))</f>
        <v>69000</v>
      </c>
      <c r="K864" s="95" t="n">
        <f aca="false">IF(N(F864)&gt;0,F864,IF(N(E864)&gt;0,E864/가정!$B$5,0))</f>
        <v>14200</v>
      </c>
      <c r="L864" s="95" t="n">
        <f aca="false">IF(B864="CN",IF(N(I864)&gt;0,I864*가정!$B$3,K864*(1+가정!$B$6)),IF(N(H864)&gt;0,H864*가정!$B$3,J864*가정!$B$4))</f>
        <v>22213.314</v>
      </c>
      <c r="M864" s="95" t="n">
        <f aca="false">D864*J864</f>
        <v>14904000</v>
      </c>
      <c r="N864" s="95" t="n">
        <f aca="false">D864*K864</f>
        <v>3067200</v>
      </c>
      <c r="O864" s="95" t="n">
        <f aca="false">D864*L864</f>
        <v>4798075.824</v>
      </c>
      <c r="P864" s="34" t="str">
        <f aca="false">TRIM(IF(N(E864)&lt;=0,"택가보정 ","")&amp;IF(N(F864)&lt;=0,"원가보정 ","")&amp;IF(AND(B864&lt;&gt;"CN",N(H864)&lt;=0),"공급가보정 ","")&amp;IF(AND(B864="CN",N(I864)&lt;=0),"중국공급가=원가+마진 ",""))</f>
        <v/>
      </c>
    </row>
    <row r="865" customFormat="false" ht="15" hidden="false" customHeight="true" outlineLevel="0" collapsed="false">
      <c r="A865" s="94" t="s">
        <v>1691</v>
      </c>
      <c r="B865" s="34" t="str">
        <f aca="false">IF(A865="100","HK",IF(A865="200","CN",IF(A865="300","TW","홀세일")))</f>
        <v>홀세일</v>
      </c>
      <c r="C865" s="94" t="s">
        <v>500</v>
      </c>
      <c r="D865" s="95" t="n">
        <v>175</v>
      </c>
      <c r="E865" s="95" t="n">
        <v>69000</v>
      </c>
      <c r="F865" s="95" t="n">
        <v>14200</v>
      </c>
      <c r="G865" s="34" t="n">
        <v>4.01</v>
      </c>
      <c r="H865" s="34" t="n">
        <v>16.3</v>
      </c>
      <c r="I865" s="34" t="n">
        <v>0</v>
      </c>
      <c r="J865" s="95" t="n">
        <f aca="false">IF(N(E865)&gt;0,E865,IF(N(F865)&gt;0,F865*가정!$B$5,0))</f>
        <v>69000</v>
      </c>
      <c r="K865" s="95" t="n">
        <f aca="false">IF(N(F865)&gt;0,F865,IF(N(E865)&gt;0,E865/가정!$B$5,0))</f>
        <v>14200</v>
      </c>
      <c r="L865" s="95" t="n">
        <f aca="false">IF(B865="CN",IF(N(I865)&gt;0,I865*가정!$B$3,K865*(1+가정!$B$6)),IF(N(H865)&gt;0,H865*가정!$B$3,J865*가정!$B$4))</f>
        <v>22213.314</v>
      </c>
      <c r="M865" s="95" t="n">
        <f aca="false">D865*J865</f>
        <v>12075000</v>
      </c>
      <c r="N865" s="95" t="n">
        <f aca="false">D865*K865</f>
        <v>2485000</v>
      </c>
      <c r="O865" s="95" t="n">
        <f aca="false">D865*L865</f>
        <v>3887329.95</v>
      </c>
      <c r="P865" s="34" t="str">
        <f aca="false">TRIM(IF(N(E865)&lt;=0,"택가보정 ","")&amp;IF(N(F865)&lt;=0,"원가보정 ","")&amp;IF(AND(B865&lt;&gt;"CN",N(H865)&lt;=0),"공급가보정 ","")&amp;IF(AND(B865="CN",N(I865)&lt;=0),"중국공급가=원가+마진 ",""))</f>
        <v/>
      </c>
    </row>
    <row r="866" customFormat="false" ht="15" hidden="false" customHeight="true" outlineLevel="0" collapsed="false">
      <c r="A866" s="94" t="s">
        <v>1686</v>
      </c>
      <c r="B866" s="34" t="str">
        <f aca="false">IF(A866="100","HK",IF(A866="200","CN",IF(A866="300","TW","홀세일")))</f>
        <v>TW</v>
      </c>
      <c r="C866" s="94" t="s">
        <v>502</v>
      </c>
      <c r="D866" s="95" t="n">
        <v>300</v>
      </c>
      <c r="E866" s="95" t="n">
        <v>99000</v>
      </c>
      <c r="F866" s="95" t="n">
        <v>22000</v>
      </c>
      <c r="G866" s="34" t="n">
        <v>3.83</v>
      </c>
      <c r="H866" s="34" t="n">
        <v>24</v>
      </c>
      <c r="I866" s="34" t="n">
        <v>0</v>
      </c>
      <c r="J866" s="95" t="n">
        <f aca="false">IF(N(E866)&gt;0,E866,IF(N(F866)&gt;0,F866*가정!$B$5,0))</f>
        <v>99000</v>
      </c>
      <c r="K866" s="95" t="n">
        <f aca="false">IF(N(F866)&gt;0,F866,IF(N(E866)&gt;0,E866/가정!$B$5,0))</f>
        <v>22000</v>
      </c>
      <c r="L866" s="95" t="n">
        <f aca="false">IF(B866="CN",IF(N(I866)&gt;0,I866*가정!$B$3,K866*(1+가정!$B$6)),IF(N(H866)&gt;0,H866*가정!$B$3,J866*가정!$B$4))</f>
        <v>32706.72</v>
      </c>
      <c r="M866" s="95" t="n">
        <f aca="false">D866*J866</f>
        <v>29700000</v>
      </c>
      <c r="N866" s="95" t="n">
        <f aca="false">D866*K866</f>
        <v>6600000</v>
      </c>
      <c r="O866" s="95" t="n">
        <f aca="false">D866*L866</f>
        <v>9812016</v>
      </c>
      <c r="P866" s="34" t="str">
        <f aca="false">TRIM(IF(N(E866)&lt;=0,"택가보정 ","")&amp;IF(N(F866)&lt;=0,"원가보정 ","")&amp;IF(AND(B866&lt;&gt;"CN",N(H866)&lt;=0),"공급가보정 ","")&amp;IF(AND(B866="CN",N(I866)&lt;=0),"중국공급가=원가+마진 ",""))</f>
        <v/>
      </c>
    </row>
    <row r="867" customFormat="false" ht="15" hidden="false" customHeight="true" outlineLevel="0" collapsed="false">
      <c r="A867" s="94" t="s">
        <v>1687</v>
      </c>
      <c r="B867" s="34" t="str">
        <f aca="false">IF(A867="100","HK",IF(A867="200","CN",IF(A867="300","TW","홀세일")))</f>
        <v>홀세일</v>
      </c>
      <c r="C867" s="94" t="s">
        <v>1706</v>
      </c>
      <c r="D867" s="95" t="n">
        <v>290</v>
      </c>
      <c r="E867" s="95" t="n">
        <v>69000</v>
      </c>
      <c r="F867" s="95" t="n">
        <v>13700</v>
      </c>
      <c r="G867" s="34" t="n">
        <v>4.45</v>
      </c>
      <c r="H867" s="34" t="n">
        <v>16.3</v>
      </c>
      <c r="I867" s="34" t="n">
        <v>0</v>
      </c>
      <c r="J867" s="95" t="n">
        <f aca="false">IF(N(E867)&gt;0,E867,IF(N(F867)&gt;0,F867*가정!$B$5,0))</f>
        <v>69000</v>
      </c>
      <c r="K867" s="95" t="n">
        <f aca="false">IF(N(F867)&gt;0,F867,IF(N(E867)&gt;0,E867/가정!$B$5,0))</f>
        <v>13700</v>
      </c>
      <c r="L867" s="95" t="n">
        <f aca="false">IF(B867="CN",IF(N(I867)&gt;0,I867*가정!$B$3,K867*(1+가정!$B$6)),IF(N(H867)&gt;0,H867*가정!$B$3,J867*가정!$B$4))</f>
        <v>22213.314</v>
      </c>
      <c r="M867" s="95" t="n">
        <f aca="false">D867*J867</f>
        <v>20010000</v>
      </c>
      <c r="N867" s="95" t="n">
        <f aca="false">D867*K867</f>
        <v>3973000</v>
      </c>
      <c r="O867" s="95" t="n">
        <f aca="false">D867*L867</f>
        <v>6441861.06</v>
      </c>
      <c r="P867" s="34" t="str">
        <f aca="false">TRIM(IF(N(E867)&lt;=0,"택가보정 ","")&amp;IF(N(F867)&lt;=0,"원가보정 ","")&amp;IF(AND(B867&lt;&gt;"CN",N(H867)&lt;=0),"공급가보정 ","")&amp;IF(AND(B867="CN",N(I867)&lt;=0),"중국공급가=원가+마진 ",""))</f>
        <v/>
      </c>
    </row>
    <row r="868" customFormat="false" ht="15" hidden="false" customHeight="true" outlineLevel="0" collapsed="false">
      <c r="A868" s="94" t="s">
        <v>1684</v>
      </c>
      <c r="B868" s="34" t="str">
        <f aca="false">IF(A868="100","HK",IF(A868="200","CN",IF(A868="300","TW","홀세일")))</f>
        <v>HK</v>
      </c>
      <c r="C868" s="94" t="s">
        <v>504</v>
      </c>
      <c r="D868" s="95" t="n">
        <v>200</v>
      </c>
      <c r="E868" s="95" t="n">
        <v>69000</v>
      </c>
      <c r="F868" s="95" t="n">
        <v>14799</v>
      </c>
      <c r="G868" s="34" t="n">
        <v>3.78</v>
      </c>
      <c r="H868" s="34" t="n">
        <v>16.3</v>
      </c>
      <c r="I868" s="34" t="n">
        <v>10.9</v>
      </c>
      <c r="J868" s="95" t="n">
        <f aca="false">IF(N(E868)&gt;0,E868,IF(N(F868)&gt;0,F868*가정!$B$5,0))</f>
        <v>69000</v>
      </c>
      <c r="K868" s="95" t="n">
        <f aca="false">IF(N(F868)&gt;0,F868,IF(N(E868)&gt;0,E868/가정!$B$5,0))</f>
        <v>14799</v>
      </c>
      <c r="L868" s="95" t="n">
        <f aca="false">IF(B868="CN",IF(N(I868)&gt;0,I868*가정!$B$3,K868*(1+가정!$B$6)),IF(N(H868)&gt;0,H868*가정!$B$3,J868*가정!$B$4))</f>
        <v>22213.314</v>
      </c>
      <c r="M868" s="95" t="n">
        <f aca="false">D868*J868</f>
        <v>13800000</v>
      </c>
      <c r="N868" s="95" t="n">
        <f aca="false">D868*K868</f>
        <v>2959800</v>
      </c>
      <c r="O868" s="95" t="n">
        <f aca="false">D868*L868</f>
        <v>4442662.8</v>
      </c>
      <c r="P868" s="34" t="str">
        <f aca="false">TRIM(IF(N(E868)&lt;=0,"택가보정 ","")&amp;IF(N(F868)&lt;=0,"원가보정 ","")&amp;IF(AND(B868&lt;&gt;"CN",N(H868)&lt;=0),"공급가보정 ","")&amp;IF(AND(B868="CN",N(I868)&lt;=0),"중국공급가=원가+마진 ",""))</f>
        <v/>
      </c>
    </row>
    <row r="869" customFormat="false" ht="15" hidden="false" customHeight="true" outlineLevel="0" collapsed="false">
      <c r="A869" s="94" t="s">
        <v>1685</v>
      </c>
      <c r="B869" s="34" t="str">
        <f aca="false">IF(A869="100","HK",IF(A869="200","CN",IF(A869="300","TW","홀세일")))</f>
        <v>CN</v>
      </c>
      <c r="C869" s="94" t="s">
        <v>504</v>
      </c>
      <c r="D869" s="95" t="n">
        <v>222</v>
      </c>
      <c r="E869" s="95" t="n">
        <v>69000</v>
      </c>
      <c r="F869" s="95" t="n">
        <v>14799</v>
      </c>
      <c r="G869" s="34" t="n">
        <v>3.78</v>
      </c>
      <c r="H869" s="34" t="n">
        <v>16.3</v>
      </c>
      <c r="I869" s="34" t="n">
        <v>10.9</v>
      </c>
      <c r="J869" s="95" t="n">
        <f aca="false">IF(N(E869)&gt;0,E869,IF(N(F869)&gt;0,F869*가정!$B$5,0))</f>
        <v>69000</v>
      </c>
      <c r="K869" s="95" t="n">
        <f aca="false">IF(N(F869)&gt;0,F869,IF(N(E869)&gt;0,E869/가정!$B$5,0))</f>
        <v>14799</v>
      </c>
      <c r="L869" s="95" t="n">
        <f aca="false">IF(B869="CN",IF(N(I869)&gt;0,I869*가정!$B$3,K869*(1+가정!$B$6)),IF(N(H869)&gt;0,H869*가정!$B$3,J869*가정!$B$4))</f>
        <v>14854.302</v>
      </c>
      <c r="M869" s="95" t="n">
        <f aca="false">D869*J869</f>
        <v>15318000</v>
      </c>
      <c r="N869" s="95" t="n">
        <f aca="false">D869*K869</f>
        <v>3285378</v>
      </c>
      <c r="O869" s="95" t="n">
        <f aca="false">D869*L869</f>
        <v>3297655.044</v>
      </c>
      <c r="P869" s="34" t="str">
        <f aca="false">TRIM(IF(N(E869)&lt;=0,"택가보정 ","")&amp;IF(N(F869)&lt;=0,"원가보정 ","")&amp;IF(AND(B869&lt;&gt;"CN",N(H869)&lt;=0),"공급가보정 ","")&amp;IF(AND(B869="CN",N(I869)&lt;=0),"중국공급가=원가+마진 ",""))</f>
        <v/>
      </c>
    </row>
    <row r="870" customFormat="false" ht="15" hidden="false" customHeight="true" outlineLevel="0" collapsed="false">
      <c r="A870" s="94" t="s">
        <v>1686</v>
      </c>
      <c r="B870" s="34" t="str">
        <f aca="false">IF(A870="100","HK",IF(A870="200","CN",IF(A870="300","TW","홀세일")))</f>
        <v>TW</v>
      </c>
      <c r="C870" s="94" t="s">
        <v>504</v>
      </c>
      <c r="D870" s="95" t="n">
        <v>100</v>
      </c>
      <c r="E870" s="95" t="n">
        <v>69000</v>
      </c>
      <c r="F870" s="95" t="n">
        <v>14799</v>
      </c>
      <c r="G870" s="34" t="n">
        <v>3.78</v>
      </c>
      <c r="H870" s="34" t="n">
        <v>16.3</v>
      </c>
      <c r="I870" s="34" t="n">
        <v>10.9</v>
      </c>
      <c r="J870" s="95" t="n">
        <f aca="false">IF(N(E870)&gt;0,E870,IF(N(F870)&gt;0,F870*가정!$B$5,0))</f>
        <v>69000</v>
      </c>
      <c r="K870" s="95" t="n">
        <f aca="false">IF(N(F870)&gt;0,F870,IF(N(E870)&gt;0,E870/가정!$B$5,0))</f>
        <v>14799</v>
      </c>
      <c r="L870" s="95" t="n">
        <f aca="false">IF(B870="CN",IF(N(I870)&gt;0,I870*가정!$B$3,K870*(1+가정!$B$6)),IF(N(H870)&gt;0,H870*가정!$B$3,J870*가정!$B$4))</f>
        <v>22213.314</v>
      </c>
      <c r="M870" s="95" t="n">
        <f aca="false">D870*J870</f>
        <v>6900000</v>
      </c>
      <c r="N870" s="95" t="n">
        <f aca="false">D870*K870</f>
        <v>1479900</v>
      </c>
      <c r="O870" s="95" t="n">
        <f aca="false">D870*L870</f>
        <v>2221331.4</v>
      </c>
      <c r="P870" s="34" t="str">
        <f aca="false">TRIM(IF(N(E870)&lt;=0,"택가보정 ","")&amp;IF(N(F870)&lt;=0,"원가보정 ","")&amp;IF(AND(B870&lt;&gt;"CN",N(H870)&lt;=0),"공급가보정 ","")&amp;IF(AND(B870="CN",N(I870)&lt;=0),"중국공급가=원가+마진 ",""))</f>
        <v/>
      </c>
    </row>
    <row r="871" customFormat="false" ht="15" hidden="false" customHeight="true" outlineLevel="0" collapsed="false">
      <c r="A871" s="94" t="s">
        <v>1688</v>
      </c>
      <c r="B871" s="34" t="str">
        <f aca="false">IF(A871="100","HK",IF(A871="200","CN",IF(A871="300","TW","홀세일")))</f>
        <v>홀세일</v>
      </c>
      <c r="C871" s="94" t="s">
        <v>504</v>
      </c>
      <c r="D871" s="95" t="n">
        <v>180</v>
      </c>
      <c r="E871" s="95" t="n">
        <v>69000</v>
      </c>
      <c r="F871" s="95" t="n">
        <v>14799</v>
      </c>
      <c r="G871" s="34" t="n">
        <v>3.78</v>
      </c>
      <c r="H871" s="34" t="n">
        <v>16.3</v>
      </c>
      <c r="I871" s="34" t="n">
        <v>10.9</v>
      </c>
      <c r="J871" s="95" t="n">
        <f aca="false">IF(N(E871)&gt;0,E871,IF(N(F871)&gt;0,F871*가정!$B$5,0))</f>
        <v>69000</v>
      </c>
      <c r="K871" s="95" t="n">
        <f aca="false">IF(N(F871)&gt;0,F871,IF(N(E871)&gt;0,E871/가정!$B$5,0))</f>
        <v>14799</v>
      </c>
      <c r="L871" s="95" t="n">
        <f aca="false">IF(B871="CN",IF(N(I871)&gt;0,I871*가정!$B$3,K871*(1+가정!$B$6)),IF(N(H871)&gt;0,H871*가정!$B$3,J871*가정!$B$4))</f>
        <v>22213.314</v>
      </c>
      <c r="M871" s="95" t="n">
        <f aca="false">D871*J871</f>
        <v>12420000</v>
      </c>
      <c r="N871" s="95" t="n">
        <f aca="false">D871*K871</f>
        <v>2663820</v>
      </c>
      <c r="O871" s="95" t="n">
        <f aca="false">D871*L871</f>
        <v>3998396.52</v>
      </c>
      <c r="P871" s="34" t="str">
        <f aca="false">TRIM(IF(N(E871)&lt;=0,"택가보정 ","")&amp;IF(N(F871)&lt;=0,"원가보정 ","")&amp;IF(AND(B871&lt;&gt;"CN",N(H871)&lt;=0),"공급가보정 ","")&amp;IF(AND(B871="CN",N(I871)&lt;=0),"중국공급가=원가+마진 ",""))</f>
        <v/>
      </c>
    </row>
    <row r="872" customFormat="false" ht="15" hidden="false" customHeight="true" outlineLevel="0" collapsed="false">
      <c r="A872" s="94" t="s">
        <v>1689</v>
      </c>
      <c r="B872" s="34" t="str">
        <f aca="false">IF(A872="100","HK",IF(A872="200","CN",IF(A872="300","TW","홀세일")))</f>
        <v>홀세일</v>
      </c>
      <c r="C872" s="94" t="s">
        <v>504</v>
      </c>
      <c r="D872" s="95" t="n">
        <v>70</v>
      </c>
      <c r="E872" s="95" t="n">
        <v>69000</v>
      </c>
      <c r="F872" s="95" t="n">
        <v>14799</v>
      </c>
      <c r="G872" s="34" t="n">
        <v>3.78</v>
      </c>
      <c r="H872" s="34" t="n">
        <v>16.3</v>
      </c>
      <c r="I872" s="34" t="n">
        <v>10.9</v>
      </c>
      <c r="J872" s="95" t="n">
        <f aca="false">IF(N(E872)&gt;0,E872,IF(N(F872)&gt;0,F872*가정!$B$5,0))</f>
        <v>69000</v>
      </c>
      <c r="K872" s="95" t="n">
        <f aca="false">IF(N(F872)&gt;0,F872,IF(N(E872)&gt;0,E872/가정!$B$5,0))</f>
        <v>14799</v>
      </c>
      <c r="L872" s="95" t="n">
        <f aca="false">IF(B872="CN",IF(N(I872)&gt;0,I872*가정!$B$3,K872*(1+가정!$B$6)),IF(N(H872)&gt;0,H872*가정!$B$3,J872*가정!$B$4))</f>
        <v>22213.314</v>
      </c>
      <c r="M872" s="95" t="n">
        <f aca="false">D872*J872</f>
        <v>4830000</v>
      </c>
      <c r="N872" s="95" t="n">
        <f aca="false">D872*K872</f>
        <v>1035930</v>
      </c>
      <c r="O872" s="95" t="n">
        <f aca="false">D872*L872</f>
        <v>1554931.98</v>
      </c>
      <c r="P872" s="34" t="str">
        <f aca="false">TRIM(IF(N(E872)&lt;=0,"택가보정 ","")&amp;IF(N(F872)&lt;=0,"원가보정 ","")&amp;IF(AND(B872&lt;&gt;"CN",N(H872)&lt;=0),"공급가보정 ","")&amp;IF(AND(B872="CN",N(I872)&lt;=0),"중국공급가=원가+마진 ",""))</f>
        <v/>
      </c>
    </row>
    <row r="873" customFormat="false" ht="15" hidden="false" customHeight="true" outlineLevel="0" collapsed="false">
      <c r="A873" s="94" t="s">
        <v>1690</v>
      </c>
      <c r="B873" s="34" t="str">
        <f aca="false">IF(A873="100","HK",IF(A873="200","CN",IF(A873="300","TW","홀세일")))</f>
        <v>홀세일</v>
      </c>
      <c r="C873" s="94" t="s">
        <v>504</v>
      </c>
      <c r="D873" s="95" t="n">
        <v>216</v>
      </c>
      <c r="E873" s="95" t="n">
        <v>69000</v>
      </c>
      <c r="F873" s="95" t="n">
        <v>14799</v>
      </c>
      <c r="G873" s="34" t="n">
        <v>3.78</v>
      </c>
      <c r="H873" s="34" t="n">
        <v>16.3</v>
      </c>
      <c r="I873" s="34" t="n">
        <v>10.9</v>
      </c>
      <c r="J873" s="95" t="n">
        <f aca="false">IF(N(E873)&gt;0,E873,IF(N(F873)&gt;0,F873*가정!$B$5,0))</f>
        <v>69000</v>
      </c>
      <c r="K873" s="95" t="n">
        <f aca="false">IF(N(F873)&gt;0,F873,IF(N(E873)&gt;0,E873/가정!$B$5,0))</f>
        <v>14799</v>
      </c>
      <c r="L873" s="95" t="n">
        <f aca="false">IF(B873="CN",IF(N(I873)&gt;0,I873*가정!$B$3,K873*(1+가정!$B$6)),IF(N(H873)&gt;0,H873*가정!$B$3,J873*가정!$B$4))</f>
        <v>22213.314</v>
      </c>
      <c r="M873" s="95" t="n">
        <f aca="false">D873*J873</f>
        <v>14904000</v>
      </c>
      <c r="N873" s="95" t="n">
        <f aca="false">D873*K873</f>
        <v>3196584</v>
      </c>
      <c r="O873" s="95" t="n">
        <f aca="false">D873*L873</f>
        <v>4798075.824</v>
      </c>
      <c r="P873" s="34" t="str">
        <f aca="false">TRIM(IF(N(E873)&lt;=0,"택가보정 ","")&amp;IF(N(F873)&lt;=0,"원가보정 ","")&amp;IF(AND(B873&lt;&gt;"CN",N(H873)&lt;=0),"공급가보정 ","")&amp;IF(AND(B873="CN",N(I873)&lt;=0),"중국공급가=원가+마진 ",""))</f>
        <v/>
      </c>
    </row>
    <row r="874" customFormat="false" ht="15" hidden="false" customHeight="true" outlineLevel="0" collapsed="false">
      <c r="A874" s="94" t="s">
        <v>1684</v>
      </c>
      <c r="B874" s="34" t="str">
        <f aca="false">IF(A874="100","HK",IF(A874="200","CN",IF(A874="300","TW","홀세일")))</f>
        <v>HK</v>
      </c>
      <c r="C874" s="94" t="s">
        <v>506</v>
      </c>
      <c r="D874" s="95" t="n">
        <v>70</v>
      </c>
      <c r="E874" s="95" t="n">
        <v>79000</v>
      </c>
      <c r="F874" s="95" t="n">
        <v>17200</v>
      </c>
      <c r="G874" s="34" t="n">
        <v>4.33</v>
      </c>
      <c r="H874" s="34" t="n">
        <v>18.6</v>
      </c>
      <c r="I874" s="34" t="n">
        <v>0</v>
      </c>
      <c r="J874" s="95" t="n">
        <f aca="false">IF(N(E874)&gt;0,E874,IF(N(F874)&gt;0,F874*가정!$B$5,0))</f>
        <v>79000</v>
      </c>
      <c r="K874" s="95" t="n">
        <f aca="false">IF(N(F874)&gt;0,F874,IF(N(E874)&gt;0,E874/가정!$B$5,0))</f>
        <v>17200</v>
      </c>
      <c r="L874" s="95" t="n">
        <f aca="false">IF(B874="CN",IF(N(I874)&gt;0,I874*가정!$B$3,K874*(1+가정!$B$6)),IF(N(H874)&gt;0,H874*가정!$B$3,J874*가정!$B$4))</f>
        <v>25347.708</v>
      </c>
      <c r="M874" s="95" t="n">
        <f aca="false">D874*J874</f>
        <v>5530000</v>
      </c>
      <c r="N874" s="95" t="n">
        <f aca="false">D874*K874</f>
        <v>1204000</v>
      </c>
      <c r="O874" s="95" t="n">
        <f aca="false">D874*L874</f>
        <v>1774339.56</v>
      </c>
      <c r="P874" s="34" t="str">
        <f aca="false">TRIM(IF(N(E874)&lt;=0,"택가보정 ","")&amp;IF(N(F874)&lt;=0,"원가보정 ","")&amp;IF(AND(B874&lt;&gt;"CN",N(H874)&lt;=0),"공급가보정 ","")&amp;IF(AND(B874="CN",N(I874)&lt;=0),"중국공급가=원가+마진 ",""))</f>
        <v/>
      </c>
    </row>
    <row r="875" customFormat="false" ht="15" hidden="false" customHeight="true" outlineLevel="0" collapsed="false">
      <c r="A875" s="94" t="s">
        <v>1686</v>
      </c>
      <c r="B875" s="34" t="str">
        <f aca="false">IF(A875="100","HK",IF(A875="200","CN",IF(A875="300","TW","홀세일")))</f>
        <v>TW</v>
      </c>
      <c r="C875" s="94" t="s">
        <v>506</v>
      </c>
      <c r="D875" s="95" t="n">
        <v>100</v>
      </c>
      <c r="E875" s="95" t="n">
        <v>79000</v>
      </c>
      <c r="F875" s="95" t="n">
        <v>17200</v>
      </c>
      <c r="G875" s="34" t="n">
        <v>4.33</v>
      </c>
      <c r="H875" s="34" t="n">
        <v>18.6</v>
      </c>
      <c r="I875" s="34" t="n">
        <v>0</v>
      </c>
      <c r="J875" s="95" t="n">
        <f aca="false">IF(N(E875)&gt;0,E875,IF(N(F875)&gt;0,F875*가정!$B$5,0))</f>
        <v>79000</v>
      </c>
      <c r="K875" s="95" t="n">
        <f aca="false">IF(N(F875)&gt;0,F875,IF(N(E875)&gt;0,E875/가정!$B$5,0))</f>
        <v>17200</v>
      </c>
      <c r="L875" s="95" t="n">
        <f aca="false">IF(B875="CN",IF(N(I875)&gt;0,I875*가정!$B$3,K875*(1+가정!$B$6)),IF(N(H875)&gt;0,H875*가정!$B$3,J875*가정!$B$4))</f>
        <v>25347.708</v>
      </c>
      <c r="M875" s="95" t="n">
        <f aca="false">D875*J875</f>
        <v>7900000</v>
      </c>
      <c r="N875" s="95" t="n">
        <f aca="false">D875*K875</f>
        <v>1720000</v>
      </c>
      <c r="O875" s="95" t="n">
        <f aca="false">D875*L875</f>
        <v>2534770.8</v>
      </c>
      <c r="P875" s="34" t="str">
        <f aca="false">TRIM(IF(N(E875)&lt;=0,"택가보정 ","")&amp;IF(N(F875)&lt;=0,"원가보정 ","")&amp;IF(AND(B875&lt;&gt;"CN",N(H875)&lt;=0),"공급가보정 ","")&amp;IF(AND(B875="CN",N(I875)&lt;=0),"중국공급가=원가+마진 ",""))</f>
        <v/>
      </c>
    </row>
    <row r="876" customFormat="false" ht="15" hidden="false" customHeight="true" outlineLevel="0" collapsed="false">
      <c r="A876" s="94" t="s">
        <v>1688</v>
      </c>
      <c r="B876" s="34" t="str">
        <f aca="false">IF(A876="100","HK",IF(A876="200","CN",IF(A876="300","TW","홀세일")))</f>
        <v>홀세일</v>
      </c>
      <c r="C876" s="94" t="s">
        <v>506</v>
      </c>
      <c r="D876" s="95" t="n">
        <v>35</v>
      </c>
      <c r="E876" s="95" t="n">
        <v>79000</v>
      </c>
      <c r="F876" s="95" t="n">
        <v>17200</v>
      </c>
      <c r="G876" s="34" t="n">
        <v>4.33</v>
      </c>
      <c r="H876" s="34" t="n">
        <v>18.6</v>
      </c>
      <c r="I876" s="34" t="n">
        <v>0</v>
      </c>
      <c r="J876" s="95" t="n">
        <f aca="false">IF(N(E876)&gt;0,E876,IF(N(F876)&gt;0,F876*가정!$B$5,0))</f>
        <v>79000</v>
      </c>
      <c r="K876" s="95" t="n">
        <f aca="false">IF(N(F876)&gt;0,F876,IF(N(E876)&gt;0,E876/가정!$B$5,0))</f>
        <v>17200</v>
      </c>
      <c r="L876" s="95" t="n">
        <f aca="false">IF(B876="CN",IF(N(I876)&gt;0,I876*가정!$B$3,K876*(1+가정!$B$6)),IF(N(H876)&gt;0,H876*가정!$B$3,J876*가정!$B$4))</f>
        <v>25347.708</v>
      </c>
      <c r="M876" s="95" t="n">
        <f aca="false">D876*J876</f>
        <v>2765000</v>
      </c>
      <c r="N876" s="95" t="n">
        <f aca="false">D876*K876</f>
        <v>602000</v>
      </c>
      <c r="O876" s="95" t="n">
        <f aca="false">D876*L876</f>
        <v>887169.78</v>
      </c>
      <c r="P876" s="34" t="str">
        <f aca="false">TRIM(IF(N(E876)&lt;=0,"택가보정 ","")&amp;IF(N(F876)&lt;=0,"원가보정 ","")&amp;IF(AND(B876&lt;&gt;"CN",N(H876)&lt;=0),"공급가보정 ","")&amp;IF(AND(B876="CN",N(I876)&lt;=0),"중국공급가=원가+마진 ",""))</f>
        <v/>
      </c>
    </row>
    <row r="877" customFormat="false" ht="15" hidden="false" customHeight="true" outlineLevel="0" collapsed="false">
      <c r="A877" s="94" t="s">
        <v>1689</v>
      </c>
      <c r="B877" s="34" t="str">
        <f aca="false">IF(A877="100","HK",IF(A877="200","CN",IF(A877="300","TW","홀세일")))</f>
        <v>홀세일</v>
      </c>
      <c r="C877" s="94" t="s">
        <v>506</v>
      </c>
      <c r="D877" s="95" t="n">
        <v>70</v>
      </c>
      <c r="E877" s="95" t="n">
        <v>79000</v>
      </c>
      <c r="F877" s="95" t="n">
        <v>17200</v>
      </c>
      <c r="G877" s="34" t="n">
        <v>4.33</v>
      </c>
      <c r="H877" s="34" t="n">
        <v>18.6</v>
      </c>
      <c r="I877" s="34" t="n">
        <v>0</v>
      </c>
      <c r="J877" s="95" t="n">
        <f aca="false">IF(N(E877)&gt;0,E877,IF(N(F877)&gt;0,F877*가정!$B$5,0))</f>
        <v>79000</v>
      </c>
      <c r="K877" s="95" t="n">
        <f aca="false">IF(N(F877)&gt;0,F877,IF(N(E877)&gt;0,E877/가정!$B$5,0))</f>
        <v>17200</v>
      </c>
      <c r="L877" s="95" t="n">
        <f aca="false">IF(B877="CN",IF(N(I877)&gt;0,I877*가정!$B$3,K877*(1+가정!$B$6)),IF(N(H877)&gt;0,H877*가정!$B$3,J877*가정!$B$4))</f>
        <v>25347.708</v>
      </c>
      <c r="M877" s="95" t="n">
        <f aca="false">D877*J877</f>
        <v>5530000</v>
      </c>
      <c r="N877" s="95" t="n">
        <f aca="false">D877*K877</f>
        <v>1204000</v>
      </c>
      <c r="O877" s="95" t="n">
        <f aca="false">D877*L877</f>
        <v>1774339.56</v>
      </c>
      <c r="P877" s="34" t="str">
        <f aca="false">TRIM(IF(N(E877)&lt;=0,"택가보정 ","")&amp;IF(N(F877)&lt;=0,"원가보정 ","")&amp;IF(AND(B877&lt;&gt;"CN",N(H877)&lt;=0),"공급가보정 ","")&amp;IF(AND(B877="CN",N(I877)&lt;=0),"중국공급가=원가+마진 ",""))</f>
        <v/>
      </c>
    </row>
    <row r="878" customFormat="false" ht="15" hidden="false" customHeight="true" outlineLevel="0" collapsed="false">
      <c r="A878" s="94" t="s">
        <v>1690</v>
      </c>
      <c r="B878" s="34" t="str">
        <f aca="false">IF(A878="100","HK",IF(A878="200","CN",IF(A878="300","TW","홀세일")))</f>
        <v>홀세일</v>
      </c>
      <c r="C878" s="94" t="s">
        <v>506</v>
      </c>
      <c r="D878" s="95" t="n">
        <v>216</v>
      </c>
      <c r="E878" s="95" t="n">
        <v>79000</v>
      </c>
      <c r="F878" s="95" t="n">
        <v>17200</v>
      </c>
      <c r="G878" s="34" t="n">
        <v>4.33</v>
      </c>
      <c r="H878" s="34" t="n">
        <v>18.6</v>
      </c>
      <c r="I878" s="34" t="n">
        <v>0</v>
      </c>
      <c r="J878" s="95" t="n">
        <f aca="false">IF(N(E878)&gt;0,E878,IF(N(F878)&gt;0,F878*가정!$B$5,0))</f>
        <v>79000</v>
      </c>
      <c r="K878" s="95" t="n">
        <f aca="false">IF(N(F878)&gt;0,F878,IF(N(E878)&gt;0,E878/가정!$B$5,0))</f>
        <v>17200</v>
      </c>
      <c r="L878" s="95" t="n">
        <f aca="false">IF(B878="CN",IF(N(I878)&gt;0,I878*가정!$B$3,K878*(1+가정!$B$6)),IF(N(H878)&gt;0,H878*가정!$B$3,J878*가정!$B$4))</f>
        <v>25347.708</v>
      </c>
      <c r="M878" s="95" t="n">
        <f aca="false">D878*J878</f>
        <v>17064000</v>
      </c>
      <c r="N878" s="95" t="n">
        <f aca="false">D878*K878</f>
        <v>3715200</v>
      </c>
      <c r="O878" s="95" t="n">
        <f aca="false">D878*L878</f>
        <v>5475104.928</v>
      </c>
      <c r="P878" s="34" t="str">
        <f aca="false">TRIM(IF(N(E878)&lt;=0,"택가보정 ","")&amp;IF(N(F878)&lt;=0,"원가보정 ","")&amp;IF(AND(B878&lt;&gt;"CN",N(H878)&lt;=0),"공급가보정 ","")&amp;IF(AND(B878="CN",N(I878)&lt;=0),"중국공급가=원가+마진 ",""))</f>
        <v/>
      </c>
    </row>
    <row r="879" customFormat="false" ht="15" hidden="false" customHeight="true" outlineLevel="0" collapsed="false">
      <c r="A879" s="94" t="s">
        <v>1684</v>
      </c>
      <c r="B879" s="34" t="str">
        <f aca="false">IF(A879="100","HK",IF(A879="200","CN",IF(A879="300","TW","홀세일")))</f>
        <v>HK</v>
      </c>
      <c r="C879" s="94" t="s">
        <v>508</v>
      </c>
      <c r="D879" s="95" t="n">
        <v>280</v>
      </c>
      <c r="E879" s="95" t="n">
        <v>69000</v>
      </c>
      <c r="F879" s="95" t="n">
        <v>15000</v>
      </c>
      <c r="G879" s="34" t="n">
        <v>4.05</v>
      </c>
      <c r="H879" s="34" t="n">
        <v>16.3</v>
      </c>
      <c r="I879" s="34" t="n">
        <v>0</v>
      </c>
      <c r="J879" s="95" t="n">
        <f aca="false">IF(N(E879)&gt;0,E879,IF(N(F879)&gt;0,F879*가정!$B$5,0))</f>
        <v>69000</v>
      </c>
      <c r="K879" s="95" t="n">
        <f aca="false">IF(N(F879)&gt;0,F879,IF(N(E879)&gt;0,E879/가정!$B$5,0))</f>
        <v>15000</v>
      </c>
      <c r="L879" s="95" t="n">
        <f aca="false">IF(B879="CN",IF(N(I879)&gt;0,I879*가정!$B$3,K879*(1+가정!$B$6)),IF(N(H879)&gt;0,H879*가정!$B$3,J879*가정!$B$4))</f>
        <v>22213.314</v>
      </c>
      <c r="M879" s="95" t="n">
        <f aca="false">D879*J879</f>
        <v>19320000</v>
      </c>
      <c r="N879" s="95" t="n">
        <f aca="false">D879*K879</f>
        <v>4200000</v>
      </c>
      <c r="O879" s="95" t="n">
        <f aca="false">D879*L879</f>
        <v>6219727.92</v>
      </c>
      <c r="P879" s="34" t="str">
        <f aca="false">TRIM(IF(N(E879)&lt;=0,"택가보정 ","")&amp;IF(N(F879)&lt;=0,"원가보정 ","")&amp;IF(AND(B879&lt;&gt;"CN",N(H879)&lt;=0),"공급가보정 ","")&amp;IF(AND(B879="CN",N(I879)&lt;=0),"중국공급가=원가+마진 ",""))</f>
        <v/>
      </c>
    </row>
    <row r="880" customFormat="false" ht="15" hidden="false" customHeight="true" outlineLevel="0" collapsed="false">
      <c r="A880" s="94" t="s">
        <v>1686</v>
      </c>
      <c r="B880" s="34" t="str">
        <f aca="false">IF(A880="100","HK",IF(A880="200","CN",IF(A880="300","TW","홀세일")))</f>
        <v>TW</v>
      </c>
      <c r="C880" s="94" t="s">
        <v>508</v>
      </c>
      <c r="D880" s="95" t="n">
        <v>270</v>
      </c>
      <c r="E880" s="95" t="n">
        <v>69000</v>
      </c>
      <c r="F880" s="95" t="n">
        <v>15000</v>
      </c>
      <c r="G880" s="34" t="n">
        <v>4.05</v>
      </c>
      <c r="H880" s="34" t="n">
        <v>16.3</v>
      </c>
      <c r="I880" s="34" t="n">
        <v>0</v>
      </c>
      <c r="J880" s="95" t="n">
        <f aca="false">IF(N(E880)&gt;0,E880,IF(N(F880)&gt;0,F880*가정!$B$5,0))</f>
        <v>69000</v>
      </c>
      <c r="K880" s="95" t="n">
        <f aca="false">IF(N(F880)&gt;0,F880,IF(N(E880)&gt;0,E880/가정!$B$5,0))</f>
        <v>15000</v>
      </c>
      <c r="L880" s="95" t="n">
        <f aca="false">IF(B880="CN",IF(N(I880)&gt;0,I880*가정!$B$3,K880*(1+가정!$B$6)),IF(N(H880)&gt;0,H880*가정!$B$3,J880*가정!$B$4))</f>
        <v>22213.314</v>
      </c>
      <c r="M880" s="95" t="n">
        <f aca="false">D880*J880</f>
        <v>18630000</v>
      </c>
      <c r="N880" s="95" t="n">
        <f aca="false">D880*K880</f>
        <v>4050000</v>
      </c>
      <c r="O880" s="95" t="n">
        <f aca="false">D880*L880</f>
        <v>5997594.78</v>
      </c>
      <c r="P880" s="34" t="str">
        <f aca="false">TRIM(IF(N(E880)&lt;=0,"택가보정 ","")&amp;IF(N(F880)&lt;=0,"원가보정 ","")&amp;IF(AND(B880&lt;&gt;"CN",N(H880)&lt;=0),"공급가보정 ","")&amp;IF(AND(B880="CN",N(I880)&lt;=0),"중국공급가=원가+마진 ",""))</f>
        <v/>
      </c>
    </row>
    <row r="881" customFormat="false" ht="15" hidden="false" customHeight="true" outlineLevel="0" collapsed="false">
      <c r="A881" s="94" t="s">
        <v>1687</v>
      </c>
      <c r="B881" s="34" t="str">
        <f aca="false">IF(A881="100","HK",IF(A881="200","CN",IF(A881="300","TW","홀세일")))</f>
        <v>홀세일</v>
      </c>
      <c r="C881" s="94" t="s">
        <v>508</v>
      </c>
      <c r="D881" s="95" t="n">
        <v>1115</v>
      </c>
      <c r="E881" s="95" t="n">
        <v>69000</v>
      </c>
      <c r="F881" s="95" t="n">
        <v>15000</v>
      </c>
      <c r="G881" s="34" t="n">
        <v>4.05</v>
      </c>
      <c r="H881" s="34" t="n">
        <v>16.3</v>
      </c>
      <c r="I881" s="34" t="n">
        <v>0</v>
      </c>
      <c r="J881" s="95" t="n">
        <f aca="false">IF(N(E881)&gt;0,E881,IF(N(F881)&gt;0,F881*가정!$B$5,0))</f>
        <v>69000</v>
      </c>
      <c r="K881" s="95" t="n">
        <f aca="false">IF(N(F881)&gt;0,F881,IF(N(E881)&gt;0,E881/가정!$B$5,0))</f>
        <v>15000</v>
      </c>
      <c r="L881" s="95" t="n">
        <f aca="false">IF(B881="CN",IF(N(I881)&gt;0,I881*가정!$B$3,K881*(1+가정!$B$6)),IF(N(H881)&gt;0,H881*가정!$B$3,J881*가정!$B$4))</f>
        <v>22213.314</v>
      </c>
      <c r="M881" s="95" t="n">
        <f aca="false">D881*J881</f>
        <v>76935000</v>
      </c>
      <c r="N881" s="95" t="n">
        <f aca="false">D881*K881</f>
        <v>16725000</v>
      </c>
      <c r="O881" s="95" t="n">
        <f aca="false">D881*L881</f>
        <v>24767845.11</v>
      </c>
      <c r="P881" s="34" t="str">
        <f aca="false">TRIM(IF(N(E881)&lt;=0,"택가보정 ","")&amp;IF(N(F881)&lt;=0,"원가보정 ","")&amp;IF(AND(B881&lt;&gt;"CN",N(H881)&lt;=0),"공급가보정 ","")&amp;IF(AND(B881="CN",N(I881)&lt;=0),"중국공급가=원가+마진 ",""))</f>
        <v/>
      </c>
    </row>
    <row r="882" customFormat="false" ht="15" hidden="false" customHeight="true" outlineLevel="0" collapsed="false">
      <c r="A882" s="94" t="s">
        <v>1688</v>
      </c>
      <c r="B882" s="34" t="str">
        <f aca="false">IF(A882="100","HK",IF(A882="200","CN",IF(A882="300","TW","홀세일")))</f>
        <v>홀세일</v>
      </c>
      <c r="C882" s="94" t="s">
        <v>508</v>
      </c>
      <c r="D882" s="95" t="n">
        <v>190</v>
      </c>
      <c r="E882" s="95" t="n">
        <v>69000</v>
      </c>
      <c r="F882" s="95" t="n">
        <v>15000</v>
      </c>
      <c r="G882" s="34" t="n">
        <v>4.05</v>
      </c>
      <c r="H882" s="34" t="n">
        <v>16.3</v>
      </c>
      <c r="I882" s="34" t="n">
        <v>0</v>
      </c>
      <c r="J882" s="95" t="n">
        <f aca="false">IF(N(E882)&gt;0,E882,IF(N(F882)&gt;0,F882*가정!$B$5,0))</f>
        <v>69000</v>
      </c>
      <c r="K882" s="95" t="n">
        <f aca="false">IF(N(F882)&gt;0,F882,IF(N(E882)&gt;0,E882/가정!$B$5,0))</f>
        <v>15000</v>
      </c>
      <c r="L882" s="95" t="n">
        <f aca="false">IF(B882="CN",IF(N(I882)&gt;0,I882*가정!$B$3,K882*(1+가정!$B$6)),IF(N(H882)&gt;0,H882*가정!$B$3,J882*가정!$B$4))</f>
        <v>22213.314</v>
      </c>
      <c r="M882" s="95" t="n">
        <f aca="false">D882*J882</f>
        <v>13110000</v>
      </c>
      <c r="N882" s="95" t="n">
        <f aca="false">D882*K882</f>
        <v>2850000</v>
      </c>
      <c r="O882" s="95" t="n">
        <f aca="false">D882*L882</f>
        <v>4220529.66</v>
      </c>
      <c r="P882" s="34" t="str">
        <f aca="false">TRIM(IF(N(E882)&lt;=0,"택가보정 ","")&amp;IF(N(F882)&lt;=0,"원가보정 ","")&amp;IF(AND(B882&lt;&gt;"CN",N(H882)&lt;=0),"공급가보정 ","")&amp;IF(AND(B882="CN",N(I882)&lt;=0),"중국공급가=원가+마진 ",""))</f>
        <v/>
      </c>
    </row>
    <row r="883" customFormat="false" ht="15" hidden="false" customHeight="true" outlineLevel="0" collapsed="false">
      <c r="A883" s="94" t="s">
        <v>1692</v>
      </c>
      <c r="B883" s="34" t="str">
        <f aca="false">IF(A883="100","HK",IF(A883="200","CN",IF(A883="300","TW","홀세일")))</f>
        <v>홀세일</v>
      </c>
      <c r="C883" s="94" t="s">
        <v>508</v>
      </c>
      <c r="D883" s="95" t="n">
        <v>222</v>
      </c>
      <c r="E883" s="95" t="n">
        <v>69000</v>
      </c>
      <c r="F883" s="95" t="n">
        <v>15000</v>
      </c>
      <c r="G883" s="34" t="n">
        <v>4.05</v>
      </c>
      <c r="H883" s="34" t="n">
        <v>16.3</v>
      </c>
      <c r="I883" s="34" t="n">
        <v>0</v>
      </c>
      <c r="J883" s="95" t="n">
        <f aca="false">IF(N(E883)&gt;0,E883,IF(N(F883)&gt;0,F883*가정!$B$5,0))</f>
        <v>69000</v>
      </c>
      <c r="K883" s="95" t="n">
        <f aca="false">IF(N(F883)&gt;0,F883,IF(N(E883)&gt;0,E883/가정!$B$5,0))</f>
        <v>15000</v>
      </c>
      <c r="L883" s="95" t="n">
        <f aca="false">IF(B883="CN",IF(N(I883)&gt;0,I883*가정!$B$3,K883*(1+가정!$B$6)),IF(N(H883)&gt;0,H883*가정!$B$3,J883*가정!$B$4))</f>
        <v>22213.314</v>
      </c>
      <c r="M883" s="95" t="n">
        <f aca="false">D883*J883</f>
        <v>15318000</v>
      </c>
      <c r="N883" s="95" t="n">
        <f aca="false">D883*K883</f>
        <v>3330000</v>
      </c>
      <c r="O883" s="95" t="n">
        <f aca="false">D883*L883</f>
        <v>4931355.708</v>
      </c>
      <c r="P883" s="34" t="str">
        <f aca="false">TRIM(IF(N(E883)&lt;=0,"택가보정 ","")&amp;IF(N(F883)&lt;=0,"원가보정 ","")&amp;IF(AND(B883&lt;&gt;"CN",N(H883)&lt;=0),"공급가보정 ","")&amp;IF(AND(B883="CN",N(I883)&lt;=0),"중국공급가=원가+마진 ",""))</f>
        <v/>
      </c>
    </row>
    <row r="884" customFormat="false" ht="15" hidden="false" customHeight="true" outlineLevel="0" collapsed="false">
      <c r="A884" s="94" t="s">
        <v>1689</v>
      </c>
      <c r="B884" s="34" t="str">
        <f aca="false">IF(A884="100","HK",IF(A884="200","CN",IF(A884="300","TW","홀세일")))</f>
        <v>홀세일</v>
      </c>
      <c r="C884" s="94" t="s">
        <v>508</v>
      </c>
      <c r="D884" s="95" t="n">
        <v>70</v>
      </c>
      <c r="E884" s="95" t="n">
        <v>69000</v>
      </c>
      <c r="F884" s="95" t="n">
        <v>15000</v>
      </c>
      <c r="G884" s="34" t="n">
        <v>4.05</v>
      </c>
      <c r="H884" s="34" t="n">
        <v>16.3</v>
      </c>
      <c r="I884" s="34" t="n">
        <v>0</v>
      </c>
      <c r="J884" s="95" t="n">
        <f aca="false">IF(N(E884)&gt;0,E884,IF(N(F884)&gt;0,F884*가정!$B$5,0))</f>
        <v>69000</v>
      </c>
      <c r="K884" s="95" t="n">
        <f aca="false">IF(N(F884)&gt;0,F884,IF(N(E884)&gt;0,E884/가정!$B$5,0))</f>
        <v>15000</v>
      </c>
      <c r="L884" s="95" t="n">
        <f aca="false">IF(B884="CN",IF(N(I884)&gt;0,I884*가정!$B$3,K884*(1+가정!$B$6)),IF(N(H884)&gt;0,H884*가정!$B$3,J884*가정!$B$4))</f>
        <v>22213.314</v>
      </c>
      <c r="M884" s="95" t="n">
        <f aca="false">D884*J884</f>
        <v>4830000</v>
      </c>
      <c r="N884" s="95" t="n">
        <f aca="false">D884*K884</f>
        <v>1050000</v>
      </c>
      <c r="O884" s="95" t="n">
        <f aca="false">D884*L884</f>
        <v>1554931.98</v>
      </c>
      <c r="P884" s="34" t="str">
        <f aca="false">TRIM(IF(N(E884)&lt;=0,"택가보정 ","")&amp;IF(N(F884)&lt;=0,"원가보정 ","")&amp;IF(AND(B884&lt;&gt;"CN",N(H884)&lt;=0),"공급가보정 ","")&amp;IF(AND(B884="CN",N(I884)&lt;=0),"중국공급가=원가+마진 ",""))</f>
        <v/>
      </c>
    </row>
    <row r="885" customFormat="false" ht="15" hidden="false" customHeight="true" outlineLevel="0" collapsed="false">
      <c r="A885" s="94" t="s">
        <v>1690</v>
      </c>
      <c r="B885" s="34" t="str">
        <f aca="false">IF(A885="100","HK",IF(A885="200","CN",IF(A885="300","TW","홀세일")))</f>
        <v>홀세일</v>
      </c>
      <c r="C885" s="94" t="s">
        <v>508</v>
      </c>
      <c r="D885" s="95" t="n">
        <v>216</v>
      </c>
      <c r="E885" s="95" t="n">
        <v>69000</v>
      </c>
      <c r="F885" s="95" t="n">
        <v>15000</v>
      </c>
      <c r="G885" s="34" t="n">
        <v>4.05</v>
      </c>
      <c r="H885" s="34" t="n">
        <v>16.3</v>
      </c>
      <c r="I885" s="34" t="n">
        <v>0</v>
      </c>
      <c r="J885" s="95" t="n">
        <f aca="false">IF(N(E885)&gt;0,E885,IF(N(F885)&gt;0,F885*가정!$B$5,0))</f>
        <v>69000</v>
      </c>
      <c r="K885" s="95" t="n">
        <f aca="false">IF(N(F885)&gt;0,F885,IF(N(E885)&gt;0,E885/가정!$B$5,0))</f>
        <v>15000</v>
      </c>
      <c r="L885" s="95" t="n">
        <f aca="false">IF(B885="CN",IF(N(I885)&gt;0,I885*가정!$B$3,K885*(1+가정!$B$6)),IF(N(H885)&gt;0,H885*가정!$B$3,J885*가정!$B$4))</f>
        <v>22213.314</v>
      </c>
      <c r="M885" s="95" t="n">
        <f aca="false">D885*J885</f>
        <v>14904000</v>
      </c>
      <c r="N885" s="95" t="n">
        <f aca="false">D885*K885</f>
        <v>3240000</v>
      </c>
      <c r="O885" s="95" t="n">
        <f aca="false">D885*L885</f>
        <v>4798075.824</v>
      </c>
      <c r="P885" s="34" t="str">
        <f aca="false">TRIM(IF(N(E885)&lt;=0,"택가보정 ","")&amp;IF(N(F885)&lt;=0,"원가보정 ","")&amp;IF(AND(B885&lt;&gt;"CN",N(H885)&lt;=0),"공급가보정 ","")&amp;IF(AND(B885="CN",N(I885)&lt;=0),"중국공급가=원가+마진 ",""))</f>
        <v/>
      </c>
    </row>
    <row r="886" customFormat="false" ht="15" hidden="false" customHeight="true" outlineLevel="0" collapsed="false">
      <c r="A886" s="94" t="s">
        <v>1691</v>
      </c>
      <c r="B886" s="34" t="str">
        <f aca="false">IF(A886="100","HK",IF(A886="200","CN",IF(A886="300","TW","홀세일")))</f>
        <v>홀세일</v>
      </c>
      <c r="C886" s="94" t="s">
        <v>508</v>
      </c>
      <c r="D886" s="95" t="n">
        <v>220</v>
      </c>
      <c r="E886" s="95" t="n">
        <v>69000</v>
      </c>
      <c r="F886" s="95" t="n">
        <v>15000</v>
      </c>
      <c r="G886" s="34" t="n">
        <v>4.05</v>
      </c>
      <c r="H886" s="34" t="n">
        <v>16.3</v>
      </c>
      <c r="I886" s="34" t="n">
        <v>0</v>
      </c>
      <c r="J886" s="95" t="n">
        <f aca="false">IF(N(E886)&gt;0,E886,IF(N(F886)&gt;0,F886*가정!$B$5,0))</f>
        <v>69000</v>
      </c>
      <c r="K886" s="95" t="n">
        <f aca="false">IF(N(F886)&gt;0,F886,IF(N(E886)&gt;0,E886/가정!$B$5,0))</f>
        <v>15000</v>
      </c>
      <c r="L886" s="95" t="n">
        <f aca="false">IF(B886="CN",IF(N(I886)&gt;0,I886*가정!$B$3,K886*(1+가정!$B$6)),IF(N(H886)&gt;0,H886*가정!$B$3,J886*가정!$B$4))</f>
        <v>22213.314</v>
      </c>
      <c r="M886" s="95" t="n">
        <f aca="false">D886*J886</f>
        <v>15180000</v>
      </c>
      <c r="N886" s="95" t="n">
        <f aca="false">D886*K886</f>
        <v>3300000</v>
      </c>
      <c r="O886" s="95" t="n">
        <f aca="false">D886*L886</f>
        <v>4886929.08</v>
      </c>
      <c r="P886" s="34" t="str">
        <f aca="false">TRIM(IF(N(E886)&lt;=0,"택가보정 ","")&amp;IF(N(F886)&lt;=0,"원가보정 ","")&amp;IF(AND(B886&lt;&gt;"CN",N(H886)&lt;=0),"공급가보정 ","")&amp;IF(AND(B886="CN",N(I886)&lt;=0),"중국공급가=원가+마진 ",""))</f>
        <v/>
      </c>
    </row>
    <row r="887" customFormat="false" ht="15" hidden="false" customHeight="true" outlineLevel="0" collapsed="false">
      <c r="A887" s="94" t="s">
        <v>1686</v>
      </c>
      <c r="B887" s="34" t="str">
        <f aca="false">IF(A887="100","HK",IF(A887="200","CN",IF(A887="300","TW","홀세일")))</f>
        <v>TW</v>
      </c>
      <c r="C887" s="94" t="s">
        <v>510</v>
      </c>
      <c r="D887" s="95" t="n">
        <v>1600</v>
      </c>
      <c r="E887" s="95" t="n">
        <v>59000</v>
      </c>
      <c r="F887" s="95" t="n">
        <v>14300</v>
      </c>
      <c r="G887" s="34" t="n">
        <v>3.8</v>
      </c>
      <c r="H887" s="34" t="n">
        <v>14.3</v>
      </c>
      <c r="J887" s="95" t="n">
        <f aca="false">IF(N(E887)&gt;0,E887,IF(N(F887)&gt;0,F887*가정!$B$5,0))</f>
        <v>59000</v>
      </c>
      <c r="K887" s="95" t="n">
        <f aca="false">IF(N(F887)&gt;0,F887,IF(N(E887)&gt;0,E887/가정!$B$5,0))</f>
        <v>14300</v>
      </c>
      <c r="L887" s="95" t="n">
        <f aca="false">IF(B887="CN",IF(N(I887)&gt;0,I887*가정!$B$3,K887*(1+가정!$B$6)),IF(N(H887)&gt;0,H887*가정!$B$3,J887*가정!$B$4))</f>
        <v>19487.754</v>
      </c>
      <c r="M887" s="95" t="n">
        <f aca="false">D887*J887</f>
        <v>94400000</v>
      </c>
      <c r="N887" s="95" t="n">
        <f aca="false">D887*K887</f>
        <v>22880000</v>
      </c>
      <c r="O887" s="95" t="n">
        <f aca="false">D887*L887</f>
        <v>31180406.4</v>
      </c>
      <c r="P887" s="34" t="str">
        <f aca="false">TRIM(IF(N(E887)&lt;=0,"택가보정 ","")&amp;IF(N(F887)&lt;=0,"원가보정 ","")&amp;IF(AND(B887&lt;&gt;"CN",N(H887)&lt;=0),"공급가보정 ","")&amp;IF(AND(B887="CN",N(I887)&lt;=0),"중국공급가=원가+마진 ",""))</f>
        <v/>
      </c>
    </row>
    <row r="888" customFormat="false" ht="15" hidden="false" customHeight="true" outlineLevel="0" collapsed="false">
      <c r="A888" s="94" t="s">
        <v>1684</v>
      </c>
      <c r="B888" s="34" t="str">
        <f aca="false">IF(A888="100","HK",IF(A888="200","CN",IF(A888="300","TW","홀세일")))</f>
        <v>HK</v>
      </c>
      <c r="C888" s="94" t="s">
        <v>949</v>
      </c>
      <c r="D888" s="95" t="n">
        <v>90</v>
      </c>
      <c r="E888" s="95" t="n">
        <v>109000</v>
      </c>
      <c r="F888" s="95" t="n">
        <v>23100</v>
      </c>
      <c r="G888" s="34" t="n">
        <v>3.5</v>
      </c>
      <c r="H888" s="34" t="n">
        <v>25.7</v>
      </c>
      <c r="I888" s="34" t="n">
        <v>0</v>
      </c>
      <c r="J888" s="95" t="n">
        <f aca="false">IF(N(E888)&gt;0,E888,IF(N(F888)&gt;0,F888*가정!$B$5,0))</f>
        <v>109000</v>
      </c>
      <c r="K888" s="95" t="n">
        <f aca="false">IF(N(F888)&gt;0,F888,IF(N(E888)&gt;0,E888/가정!$B$5,0))</f>
        <v>23100</v>
      </c>
      <c r="L888" s="95" t="n">
        <f aca="false">IF(B888="CN",IF(N(I888)&gt;0,I888*가정!$B$3,K888*(1+가정!$B$6)),IF(N(H888)&gt;0,H888*가정!$B$3,J888*가정!$B$4))</f>
        <v>35023.446</v>
      </c>
      <c r="M888" s="95" t="n">
        <f aca="false">D888*J888</f>
        <v>9810000</v>
      </c>
      <c r="N888" s="95" t="n">
        <f aca="false">D888*K888</f>
        <v>2079000</v>
      </c>
      <c r="O888" s="95" t="n">
        <f aca="false">D888*L888</f>
        <v>3152110.14</v>
      </c>
      <c r="P888" s="34" t="str">
        <f aca="false">TRIM(IF(N(E888)&lt;=0,"택가보정 ","")&amp;IF(N(F888)&lt;=0,"원가보정 ","")&amp;IF(AND(B888&lt;&gt;"CN",N(H888)&lt;=0),"공급가보정 ","")&amp;IF(AND(B888="CN",N(I888)&lt;=0),"중국공급가=원가+마진 ",""))</f>
        <v/>
      </c>
    </row>
    <row r="889" customFormat="false" ht="15" hidden="false" customHeight="true" outlineLevel="0" collapsed="false">
      <c r="A889" s="94" t="s">
        <v>1688</v>
      </c>
      <c r="B889" s="34" t="str">
        <f aca="false">IF(A889="100","HK",IF(A889="200","CN",IF(A889="300","TW","홀세일")))</f>
        <v>홀세일</v>
      </c>
      <c r="C889" s="94" t="s">
        <v>949</v>
      </c>
      <c r="D889" s="95" t="n">
        <v>50</v>
      </c>
      <c r="E889" s="95" t="n">
        <v>109000</v>
      </c>
      <c r="F889" s="95" t="n">
        <v>23100</v>
      </c>
      <c r="G889" s="34" t="n">
        <v>3.5</v>
      </c>
      <c r="H889" s="34" t="n">
        <v>25.7</v>
      </c>
      <c r="I889" s="34" t="n">
        <v>0</v>
      </c>
      <c r="J889" s="95" t="n">
        <f aca="false">IF(N(E889)&gt;0,E889,IF(N(F889)&gt;0,F889*가정!$B$5,0))</f>
        <v>109000</v>
      </c>
      <c r="K889" s="95" t="n">
        <f aca="false">IF(N(F889)&gt;0,F889,IF(N(E889)&gt;0,E889/가정!$B$5,0))</f>
        <v>23100</v>
      </c>
      <c r="L889" s="95" t="n">
        <f aca="false">IF(B889="CN",IF(N(I889)&gt;0,I889*가정!$B$3,K889*(1+가정!$B$6)),IF(N(H889)&gt;0,H889*가정!$B$3,J889*가정!$B$4))</f>
        <v>35023.446</v>
      </c>
      <c r="M889" s="95" t="n">
        <f aca="false">D889*J889</f>
        <v>5450000</v>
      </c>
      <c r="N889" s="95" t="n">
        <f aca="false">D889*K889</f>
        <v>1155000</v>
      </c>
      <c r="O889" s="95" t="n">
        <f aca="false">D889*L889</f>
        <v>1751172.3</v>
      </c>
      <c r="P889" s="34" t="str">
        <f aca="false">TRIM(IF(N(E889)&lt;=0,"택가보정 ","")&amp;IF(N(F889)&lt;=0,"원가보정 ","")&amp;IF(AND(B889&lt;&gt;"CN",N(H889)&lt;=0),"공급가보정 ","")&amp;IF(AND(B889="CN",N(I889)&lt;=0),"중국공급가=원가+마진 ",""))</f>
        <v/>
      </c>
    </row>
    <row r="890" customFormat="false" ht="15" hidden="false" customHeight="true" outlineLevel="0" collapsed="false">
      <c r="A890" s="94" t="s">
        <v>1689</v>
      </c>
      <c r="B890" s="34" t="str">
        <f aca="false">IF(A890="100","HK",IF(A890="200","CN",IF(A890="300","TW","홀세일")))</f>
        <v>홀세일</v>
      </c>
      <c r="C890" s="94" t="s">
        <v>949</v>
      </c>
      <c r="D890" s="95" t="n">
        <v>25</v>
      </c>
      <c r="E890" s="95" t="n">
        <v>109000</v>
      </c>
      <c r="F890" s="95" t="n">
        <v>23100</v>
      </c>
      <c r="G890" s="34" t="n">
        <v>3.5</v>
      </c>
      <c r="H890" s="34" t="n">
        <v>25.7</v>
      </c>
      <c r="I890" s="34" t="n">
        <v>0</v>
      </c>
      <c r="J890" s="95" t="n">
        <f aca="false">IF(N(E890)&gt;0,E890,IF(N(F890)&gt;0,F890*가정!$B$5,0))</f>
        <v>109000</v>
      </c>
      <c r="K890" s="95" t="n">
        <f aca="false">IF(N(F890)&gt;0,F890,IF(N(E890)&gt;0,E890/가정!$B$5,0))</f>
        <v>23100</v>
      </c>
      <c r="L890" s="95" t="n">
        <f aca="false">IF(B890="CN",IF(N(I890)&gt;0,I890*가정!$B$3,K890*(1+가정!$B$6)),IF(N(H890)&gt;0,H890*가정!$B$3,J890*가정!$B$4))</f>
        <v>35023.446</v>
      </c>
      <c r="M890" s="95" t="n">
        <f aca="false">D890*J890</f>
        <v>2725000</v>
      </c>
      <c r="N890" s="95" t="n">
        <f aca="false">D890*K890</f>
        <v>577500</v>
      </c>
      <c r="O890" s="95" t="n">
        <f aca="false">D890*L890</f>
        <v>875586.15</v>
      </c>
      <c r="P890" s="34" t="str">
        <f aca="false">TRIM(IF(N(E890)&lt;=0,"택가보정 ","")&amp;IF(N(F890)&lt;=0,"원가보정 ","")&amp;IF(AND(B890&lt;&gt;"CN",N(H890)&lt;=0),"공급가보정 ","")&amp;IF(AND(B890="CN",N(I890)&lt;=0),"중국공급가=원가+마진 ",""))</f>
        <v/>
      </c>
    </row>
    <row r="891" customFormat="false" ht="15" hidden="false" customHeight="true" outlineLevel="0" collapsed="false">
      <c r="A891" s="94" t="s">
        <v>1690</v>
      </c>
      <c r="B891" s="34" t="str">
        <f aca="false">IF(A891="100","HK",IF(A891="200","CN",IF(A891="300","TW","홀세일")))</f>
        <v>홀세일</v>
      </c>
      <c r="C891" s="94" t="s">
        <v>949</v>
      </c>
      <c r="D891" s="95" t="n">
        <v>144</v>
      </c>
      <c r="E891" s="95" t="n">
        <v>109000</v>
      </c>
      <c r="F891" s="95" t="n">
        <v>23100</v>
      </c>
      <c r="G891" s="34" t="n">
        <v>3.5</v>
      </c>
      <c r="H891" s="34" t="n">
        <v>25.7</v>
      </c>
      <c r="I891" s="34" t="n">
        <v>0</v>
      </c>
      <c r="J891" s="95" t="n">
        <f aca="false">IF(N(E891)&gt;0,E891,IF(N(F891)&gt;0,F891*가정!$B$5,0))</f>
        <v>109000</v>
      </c>
      <c r="K891" s="95" t="n">
        <f aca="false">IF(N(F891)&gt;0,F891,IF(N(E891)&gt;0,E891/가정!$B$5,0))</f>
        <v>23100</v>
      </c>
      <c r="L891" s="95" t="n">
        <f aca="false">IF(B891="CN",IF(N(I891)&gt;0,I891*가정!$B$3,K891*(1+가정!$B$6)),IF(N(H891)&gt;0,H891*가정!$B$3,J891*가정!$B$4))</f>
        <v>35023.446</v>
      </c>
      <c r="M891" s="95" t="n">
        <f aca="false">D891*J891</f>
        <v>15696000</v>
      </c>
      <c r="N891" s="95" t="n">
        <f aca="false">D891*K891</f>
        <v>3326400</v>
      </c>
      <c r="O891" s="95" t="n">
        <f aca="false">D891*L891</f>
        <v>5043376.224</v>
      </c>
      <c r="P891" s="34" t="str">
        <f aca="false">TRIM(IF(N(E891)&lt;=0,"택가보정 ","")&amp;IF(N(F891)&lt;=0,"원가보정 ","")&amp;IF(AND(B891&lt;&gt;"CN",N(H891)&lt;=0),"공급가보정 ","")&amp;IF(AND(B891="CN",N(I891)&lt;=0),"중국공급가=원가+마진 ",""))</f>
        <v/>
      </c>
    </row>
    <row r="892" customFormat="false" ht="15" hidden="false" customHeight="true" outlineLevel="0" collapsed="false">
      <c r="A892" s="94" t="s">
        <v>1684</v>
      </c>
      <c r="B892" s="34" t="str">
        <f aca="false">IF(A892="100","HK",IF(A892="200","CN",IF(A892="300","TW","홀세일")))</f>
        <v>HK</v>
      </c>
      <c r="C892" s="94" t="s">
        <v>512</v>
      </c>
      <c r="D892" s="95" t="n">
        <v>160</v>
      </c>
      <c r="E892" s="95" t="n">
        <v>109000</v>
      </c>
      <c r="F892" s="95" t="n">
        <v>22500</v>
      </c>
      <c r="G892" s="34" t="n">
        <v>3.68</v>
      </c>
      <c r="H892" s="34" t="n">
        <v>25.7</v>
      </c>
      <c r="I892" s="34" t="n">
        <v>0</v>
      </c>
      <c r="J892" s="95" t="n">
        <f aca="false">IF(N(E892)&gt;0,E892,IF(N(F892)&gt;0,F892*가정!$B$5,0))</f>
        <v>109000</v>
      </c>
      <c r="K892" s="95" t="n">
        <f aca="false">IF(N(F892)&gt;0,F892,IF(N(E892)&gt;0,E892/가정!$B$5,0))</f>
        <v>22500</v>
      </c>
      <c r="L892" s="95" t="n">
        <f aca="false">IF(B892="CN",IF(N(I892)&gt;0,I892*가정!$B$3,K892*(1+가정!$B$6)),IF(N(H892)&gt;0,H892*가정!$B$3,J892*가정!$B$4))</f>
        <v>35023.446</v>
      </c>
      <c r="M892" s="95" t="n">
        <f aca="false">D892*J892</f>
        <v>17440000</v>
      </c>
      <c r="N892" s="95" t="n">
        <f aca="false">D892*K892</f>
        <v>3600000</v>
      </c>
      <c r="O892" s="95" t="n">
        <f aca="false">D892*L892</f>
        <v>5603751.36</v>
      </c>
      <c r="P892" s="34" t="str">
        <f aca="false">TRIM(IF(N(E892)&lt;=0,"택가보정 ","")&amp;IF(N(F892)&lt;=0,"원가보정 ","")&amp;IF(AND(B892&lt;&gt;"CN",N(H892)&lt;=0),"공급가보정 ","")&amp;IF(AND(B892="CN",N(I892)&lt;=0),"중국공급가=원가+마진 ",""))</f>
        <v/>
      </c>
    </row>
    <row r="893" customFormat="false" ht="15" hidden="false" customHeight="true" outlineLevel="0" collapsed="false">
      <c r="A893" s="94" t="s">
        <v>1686</v>
      </c>
      <c r="B893" s="34" t="str">
        <f aca="false">IF(A893="100","HK",IF(A893="200","CN",IF(A893="300","TW","홀세일")))</f>
        <v>TW</v>
      </c>
      <c r="C893" s="94" t="s">
        <v>512</v>
      </c>
      <c r="D893" s="95" t="n">
        <v>140</v>
      </c>
      <c r="E893" s="95" t="n">
        <v>109000</v>
      </c>
      <c r="F893" s="95" t="n">
        <v>22500</v>
      </c>
      <c r="G893" s="34" t="n">
        <v>3.68</v>
      </c>
      <c r="H893" s="34" t="n">
        <v>25.7</v>
      </c>
      <c r="I893" s="34" t="n">
        <v>0</v>
      </c>
      <c r="J893" s="95" t="n">
        <f aca="false">IF(N(E893)&gt;0,E893,IF(N(F893)&gt;0,F893*가정!$B$5,0))</f>
        <v>109000</v>
      </c>
      <c r="K893" s="95" t="n">
        <f aca="false">IF(N(F893)&gt;0,F893,IF(N(E893)&gt;0,E893/가정!$B$5,0))</f>
        <v>22500</v>
      </c>
      <c r="L893" s="95" t="n">
        <f aca="false">IF(B893="CN",IF(N(I893)&gt;0,I893*가정!$B$3,K893*(1+가정!$B$6)),IF(N(H893)&gt;0,H893*가정!$B$3,J893*가정!$B$4))</f>
        <v>35023.446</v>
      </c>
      <c r="M893" s="95" t="n">
        <f aca="false">D893*J893</f>
        <v>15260000</v>
      </c>
      <c r="N893" s="95" t="n">
        <f aca="false">D893*K893</f>
        <v>3150000</v>
      </c>
      <c r="O893" s="95" t="n">
        <f aca="false">D893*L893</f>
        <v>4903282.44</v>
      </c>
      <c r="P893" s="34" t="str">
        <f aca="false">TRIM(IF(N(E893)&lt;=0,"택가보정 ","")&amp;IF(N(F893)&lt;=0,"원가보정 ","")&amp;IF(AND(B893&lt;&gt;"CN",N(H893)&lt;=0),"공급가보정 ","")&amp;IF(AND(B893="CN",N(I893)&lt;=0),"중국공급가=원가+마진 ",""))</f>
        <v/>
      </c>
    </row>
    <row r="894" customFormat="false" ht="15" hidden="false" customHeight="true" outlineLevel="0" collapsed="false">
      <c r="A894" s="94" t="s">
        <v>1688</v>
      </c>
      <c r="B894" s="34" t="str">
        <f aca="false">IF(A894="100","HK",IF(A894="200","CN",IF(A894="300","TW","홀세일")))</f>
        <v>홀세일</v>
      </c>
      <c r="C894" s="94" t="s">
        <v>512</v>
      </c>
      <c r="D894" s="95" t="n">
        <v>45</v>
      </c>
      <c r="E894" s="95" t="n">
        <v>109000</v>
      </c>
      <c r="F894" s="95" t="n">
        <v>22500</v>
      </c>
      <c r="G894" s="34" t="n">
        <v>3.68</v>
      </c>
      <c r="H894" s="34" t="n">
        <v>25.7</v>
      </c>
      <c r="I894" s="34" t="n">
        <v>0</v>
      </c>
      <c r="J894" s="95" t="n">
        <f aca="false">IF(N(E894)&gt;0,E894,IF(N(F894)&gt;0,F894*가정!$B$5,0))</f>
        <v>109000</v>
      </c>
      <c r="K894" s="95" t="n">
        <f aca="false">IF(N(F894)&gt;0,F894,IF(N(E894)&gt;0,E894/가정!$B$5,0))</f>
        <v>22500</v>
      </c>
      <c r="L894" s="95" t="n">
        <f aca="false">IF(B894="CN",IF(N(I894)&gt;0,I894*가정!$B$3,K894*(1+가정!$B$6)),IF(N(H894)&gt;0,H894*가정!$B$3,J894*가정!$B$4))</f>
        <v>35023.446</v>
      </c>
      <c r="M894" s="95" t="n">
        <f aca="false">D894*J894</f>
        <v>4905000</v>
      </c>
      <c r="N894" s="95" t="n">
        <f aca="false">D894*K894</f>
        <v>1012500</v>
      </c>
      <c r="O894" s="95" t="n">
        <f aca="false">D894*L894</f>
        <v>1576055.07</v>
      </c>
      <c r="P894" s="34" t="str">
        <f aca="false">TRIM(IF(N(E894)&lt;=0,"택가보정 ","")&amp;IF(N(F894)&lt;=0,"원가보정 ","")&amp;IF(AND(B894&lt;&gt;"CN",N(H894)&lt;=0),"공급가보정 ","")&amp;IF(AND(B894="CN",N(I894)&lt;=0),"중국공급가=원가+마진 ",""))</f>
        <v/>
      </c>
    </row>
    <row r="895" customFormat="false" ht="15" hidden="false" customHeight="true" outlineLevel="0" collapsed="false">
      <c r="A895" s="94" t="s">
        <v>1689</v>
      </c>
      <c r="B895" s="34" t="str">
        <f aca="false">IF(A895="100","HK",IF(A895="200","CN",IF(A895="300","TW","홀세일")))</f>
        <v>홀세일</v>
      </c>
      <c r="C895" s="94" t="s">
        <v>512</v>
      </c>
      <c r="D895" s="95" t="n">
        <v>30</v>
      </c>
      <c r="E895" s="95" t="n">
        <v>109000</v>
      </c>
      <c r="F895" s="95" t="n">
        <v>22500</v>
      </c>
      <c r="G895" s="34" t="n">
        <v>3.68</v>
      </c>
      <c r="H895" s="34" t="n">
        <v>25.7</v>
      </c>
      <c r="I895" s="34" t="n">
        <v>0</v>
      </c>
      <c r="J895" s="95" t="n">
        <f aca="false">IF(N(E895)&gt;0,E895,IF(N(F895)&gt;0,F895*가정!$B$5,0))</f>
        <v>109000</v>
      </c>
      <c r="K895" s="95" t="n">
        <f aca="false">IF(N(F895)&gt;0,F895,IF(N(E895)&gt;0,E895/가정!$B$5,0))</f>
        <v>22500</v>
      </c>
      <c r="L895" s="95" t="n">
        <f aca="false">IF(B895="CN",IF(N(I895)&gt;0,I895*가정!$B$3,K895*(1+가정!$B$6)),IF(N(H895)&gt;0,H895*가정!$B$3,J895*가정!$B$4))</f>
        <v>35023.446</v>
      </c>
      <c r="M895" s="95" t="n">
        <f aca="false">D895*J895</f>
        <v>3270000</v>
      </c>
      <c r="N895" s="95" t="n">
        <f aca="false">D895*K895</f>
        <v>675000</v>
      </c>
      <c r="O895" s="95" t="n">
        <f aca="false">D895*L895</f>
        <v>1050703.38</v>
      </c>
      <c r="P895" s="34" t="str">
        <f aca="false">TRIM(IF(N(E895)&lt;=0,"택가보정 ","")&amp;IF(N(F895)&lt;=0,"원가보정 ","")&amp;IF(AND(B895&lt;&gt;"CN",N(H895)&lt;=0),"공급가보정 ","")&amp;IF(AND(B895="CN",N(I895)&lt;=0),"중국공급가=원가+마진 ",""))</f>
        <v/>
      </c>
    </row>
    <row r="896" customFormat="false" ht="15" hidden="false" customHeight="true" outlineLevel="0" collapsed="false">
      <c r="A896" s="94" t="s">
        <v>1684</v>
      </c>
      <c r="B896" s="34" t="str">
        <f aca="false">IF(A896="100","HK",IF(A896="200","CN",IF(A896="300","TW","홀세일")))</f>
        <v>HK</v>
      </c>
      <c r="C896" s="94" t="s">
        <v>514</v>
      </c>
      <c r="D896" s="95" t="n">
        <v>90</v>
      </c>
      <c r="E896" s="95" t="n">
        <v>149000</v>
      </c>
      <c r="F896" s="95" t="n">
        <v>29700</v>
      </c>
      <c r="G896" s="34" t="n">
        <v>4.01</v>
      </c>
      <c r="H896" s="34" t="n">
        <v>35.1</v>
      </c>
      <c r="I896" s="34" t="n">
        <v>0</v>
      </c>
      <c r="J896" s="95" t="n">
        <f aca="false">IF(N(E896)&gt;0,E896,IF(N(F896)&gt;0,F896*가정!$B$5,0))</f>
        <v>149000</v>
      </c>
      <c r="K896" s="95" t="n">
        <f aca="false">IF(N(F896)&gt;0,F896,IF(N(E896)&gt;0,E896/가정!$B$5,0))</f>
        <v>29700</v>
      </c>
      <c r="L896" s="95" t="n">
        <f aca="false">IF(B896="CN",IF(N(I896)&gt;0,I896*가정!$B$3,K896*(1+가정!$B$6)),IF(N(H896)&gt;0,H896*가정!$B$3,J896*가정!$B$4))</f>
        <v>47833.578</v>
      </c>
      <c r="M896" s="95" t="n">
        <f aca="false">D896*J896</f>
        <v>13410000</v>
      </c>
      <c r="N896" s="95" t="n">
        <f aca="false">D896*K896</f>
        <v>2673000</v>
      </c>
      <c r="O896" s="95" t="n">
        <f aca="false">D896*L896</f>
        <v>4305022.02</v>
      </c>
      <c r="P896" s="34" t="str">
        <f aca="false">TRIM(IF(N(E896)&lt;=0,"택가보정 ","")&amp;IF(N(F896)&lt;=0,"원가보정 ","")&amp;IF(AND(B896&lt;&gt;"CN",N(H896)&lt;=0),"공급가보정 ","")&amp;IF(AND(B896="CN",N(I896)&lt;=0),"중국공급가=원가+마진 ",""))</f>
        <v/>
      </c>
    </row>
    <row r="897" customFormat="false" ht="15" hidden="false" customHeight="true" outlineLevel="0" collapsed="false">
      <c r="A897" s="94" t="s">
        <v>1686</v>
      </c>
      <c r="B897" s="34" t="str">
        <f aca="false">IF(A897="100","HK",IF(A897="200","CN",IF(A897="300","TW","홀세일")))</f>
        <v>TW</v>
      </c>
      <c r="C897" s="94" t="s">
        <v>514</v>
      </c>
      <c r="D897" s="95" t="n">
        <v>100</v>
      </c>
      <c r="E897" s="95" t="n">
        <v>149000</v>
      </c>
      <c r="F897" s="95" t="n">
        <v>29700</v>
      </c>
      <c r="G897" s="34" t="n">
        <v>4.01</v>
      </c>
      <c r="H897" s="34" t="n">
        <v>35.1</v>
      </c>
      <c r="I897" s="34" t="n">
        <v>0</v>
      </c>
      <c r="J897" s="95" t="n">
        <f aca="false">IF(N(E897)&gt;0,E897,IF(N(F897)&gt;0,F897*가정!$B$5,0))</f>
        <v>149000</v>
      </c>
      <c r="K897" s="95" t="n">
        <f aca="false">IF(N(F897)&gt;0,F897,IF(N(E897)&gt;0,E897/가정!$B$5,0))</f>
        <v>29700</v>
      </c>
      <c r="L897" s="95" t="n">
        <f aca="false">IF(B897="CN",IF(N(I897)&gt;0,I897*가정!$B$3,K897*(1+가정!$B$6)),IF(N(H897)&gt;0,H897*가정!$B$3,J897*가정!$B$4))</f>
        <v>47833.578</v>
      </c>
      <c r="M897" s="95" t="n">
        <f aca="false">D897*J897</f>
        <v>14900000</v>
      </c>
      <c r="N897" s="95" t="n">
        <f aca="false">D897*K897</f>
        <v>2970000</v>
      </c>
      <c r="O897" s="95" t="n">
        <f aca="false">D897*L897</f>
        <v>4783357.8</v>
      </c>
      <c r="P897" s="34" t="str">
        <f aca="false">TRIM(IF(N(E897)&lt;=0,"택가보정 ","")&amp;IF(N(F897)&lt;=0,"원가보정 ","")&amp;IF(AND(B897&lt;&gt;"CN",N(H897)&lt;=0),"공급가보정 ","")&amp;IF(AND(B897="CN",N(I897)&lt;=0),"중국공급가=원가+마진 ",""))</f>
        <v/>
      </c>
    </row>
    <row r="898" customFormat="false" ht="15" hidden="false" customHeight="true" outlineLevel="0" collapsed="false">
      <c r="A898" s="94" t="s">
        <v>1688</v>
      </c>
      <c r="B898" s="34" t="str">
        <f aca="false">IF(A898="100","HK",IF(A898="200","CN",IF(A898="300","TW","홀세일")))</f>
        <v>홀세일</v>
      </c>
      <c r="C898" s="94" t="s">
        <v>514</v>
      </c>
      <c r="D898" s="95" t="n">
        <v>25</v>
      </c>
      <c r="E898" s="95" t="n">
        <v>149000</v>
      </c>
      <c r="F898" s="95" t="n">
        <v>29700</v>
      </c>
      <c r="G898" s="34" t="n">
        <v>4.01</v>
      </c>
      <c r="H898" s="34" t="n">
        <v>35.1</v>
      </c>
      <c r="I898" s="34" t="n">
        <v>0</v>
      </c>
      <c r="J898" s="95" t="n">
        <f aca="false">IF(N(E898)&gt;0,E898,IF(N(F898)&gt;0,F898*가정!$B$5,0))</f>
        <v>149000</v>
      </c>
      <c r="K898" s="95" t="n">
        <f aca="false">IF(N(F898)&gt;0,F898,IF(N(E898)&gt;0,E898/가정!$B$5,0))</f>
        <v>29700</v>
      </c>
      <c r="L898" s="95" t="n">
        <f aca="false">IF(B898="CN",IF(N(I898)&gt;0,I898*가정!$B$3,K898*(1+가정!$B$6)),IF(N(H898)&gt;0,H898*가정!$B$3,J898*가정!$B$4))</f>
        <v>47833.578</v>
      </c>
      <c r="M898" s="95" t="n">
        <f aca="false">D898*J898</f>
        <v>3725000</v>
      </c>
      <c r="N898" s="95" t="n">
        <f aca="false">D898*K898</f>
        <v>742500</v>
      </c>
      <c r="O898" s="95" t="n">
        <f aca="false">D898*L898</f>
        <v>1195839.45</v>
      </c>
      <c r="P898" s="34" t="str">
        <f aca="false">TRIM(IF(N(E898)&lt;=0,"택가보정 ","")&amp;IF(N(F898)&lt;=0,"원가보정 ","")&amp;IF(AND(B898&lt;&gt;"CN",N(H898)&lt;=0),"공급가보정 ","")&amp;IF(AND(B898="CN",N(I898)&lt;=0),"중국공급가=원가+마진 ",""))</f>
        <v/>
      </c>
    </row>
    <row r="899" customFormat="false" ht="15" hidden="false" customHeight="true" outlineLevel="0" collapsed="false">
      <c r="A899" s="94" t="s">
        <v>1684</v>
      </c>
      <c r="B899" s="34" t="str">
        <f aca="false">IF(A899="100","HK",IF(A899="200","CN",IF(A899="300","TW","홀세일")))</f>
        <v>HK</v>
      </c>
      <c r="C899" s="94" t="s">
        <v>516</v>
      </c>
      <c r="D899" s="95" t="n">
        <v>90</v>
      </c>
      <c r="E899" s="95" t="n">
        <v>149000</v>
      </c>
      <c r="F899" s="95" t="n">
        <v>23400</v>
      </c>
      <c r="G899" s="34" t="n">
        <v>4.59</v>
      </c>
      <c r="H899" s="34" t="n">
        <v>35.1</v>
      </c>
      <c r="I899" s="34" t="n">
        <v>0</v>
      </c>
      <c r="J899" s="95" t="n">
        <f aca="false">IF(N(E899)&gt;0,E899,IF(N(F899)&gt;0,F899*가정!$B$5,0))</f>
        <v>149000</v>
      </c>
      <c r="K899" s="95" t="n">
        <f aca="false">IF(N(F899)&gt;0,F899,IF(N(E899)&gt;0,E899/가정!$B$5,0))</f>
        <v>23400</v>
      </c>
      <c r="L899" s="95" t="n">
        <f aca="false">IF(B899="CN",IF(N(I899)&gt;0,I899*가정!$B$3,K899*(1+가정!$B$6)),IF(N(H899)&gt;0,H899*가정!$B$3,J899*가정!$B$4))</f>
        <v>47833.578</v>
      </c>
      <c r="M899" s="95" t="n">
        <f aca="false">D899*J899</f>
        <v>13410000</v>
      </c>
      <c r="N899" s="95" t="n">
        <f aca="false">D899*K899</f>
        <v>2106000</v>
      </c>
      <c r="O899" s="95" t="n">
        <f aca="false">D899*L899</f>
        <v>4305022.02</v>
      </c>
      <c r="P899" s="34" t="str">
        <f aca="false">TRIM(IF(N(E899)&lt;=0,"택가보정 ","")&amp;IF(N(F899)&lt;=0,"원가보정 ","")&amp;IF(AND(B899&lt;&gt;"CN",N(H899)&lt;=0),"공급가보정 ","")&amp;IF(AND(B899="CN",N(I899)&lt;=0),"중국공급가=원가+마진 ",""))</f>
        <v/>
      </c>
    </row>
    <row r="900" customFormat="false" ht="15" hidden="false" customHeight="true" outlineLevel="0" collapsed="false">
      <c r="A900" s="94" t="s">
        <v>1686</v>
      </c>
      <c r="B900" s="34" t="str">
        <f aca="false">IF(A900="100","HK",IF(A900="200","CN",IF(A900="300","TW","홀세일")))</f>
        <v>TW</v>
      </c>
      <c r="C900" s="94" t="s">
        <v>516</v>
      </c>
      <c r="D900" s="95" t="n">
        <v>255</v>
      </c>
      <c r="E900" s="95" t="n">
        <v>149000</v>
      </c>
      <c r="F900" s="95" t="n">
        <v>23400</v>
      </c>
      <c r="G900" s="34" t="n">
        <v>4.59</v>
      </c>
      <c r="H900" s="34" t="n">
        <v>35.1</v>
      </c>
      <c r="I900" s="34" t="n">
        <v>0</v>
      </c>
      <c r="J900" s="95" t="n">
        <f aca="false">IF(N(E900)&gt;0,E900,IF(N(F900)&gt;0,F900*가정!$B$5,0))</f>
        <v>149000</v>
      </c>
      <c r="K900" s="95" t="n">
        <f aca="false">IF(N(F900)&gt;0,F900,IF(N(E900)&gt;0,E900/가정!$B$5,0))</f>
        <v>23400</v>
      </c>
      <c r="L900" s="95" t="n">
        <f aca="false">IF(B900="CN",IF(N(I900)&gt;0,I900*가정!$B$3,K900*(1+가정!$B$6)),IF(N(H900)&gt;0,H900*가정!$B$3,J900*가정!$B$4))</f>
        <v>47833.578</v>
      </c>
      <c r="M900" s="95" t="n">
        <f aca="false">D900*J900</f>
        <v>37995000</v>
      </c>
      <c r="N900" s="95" t="n">
        <f aca="false">D900*K900</f>
        <v>5967000</v>
      </c>
      <c r="O900" s="95" t="n">
        <f aca="false">D900*L900</f>
        <v>12197562.39</v>
      </c>
      <c r="P900" s="34" t="str">
        <f aca="false">TRIM(IF(N(E900)&lt;=0,"택가보정 ","")&amp;IF(N(F900)&lt;=0,"원가보정 ","")&amp;IF(AND(B900&lt;&gt;"CN",N(H900)&lt;=0),"공급가보정 ","")&amp;IF(AND(B900="CN",N(I900)&lt;=0),"중국공급가=원가+마진 ",""))</f>
        <v/>
      </c>
    </row>
    <row r="901" customFormat="false" ht="15" hidden="false" customHeight="true" outlineLevel="0" collapsed="false">
      <c r="A901" s="94" t="s">
        <v>1686</v>
      </c>
      <c r="B901" s="34" t="str">
        <f aca="false">IF(A901="100","HK",IF(A901="200","CN",IF(A901="300","TW","홀세일")))</f>
        <v>TW</v>
      </c>
      <c r="C901" s="94" t="s">
        <v>518</v>
      </c>
      <c r="D901" s="95" t="n">
        <v>220</v>
      </c>
      <c r="E901" s="95" t="n">
        <v>139000</v>
      </c>
      <c r="F901" s="95" t="n">
        <v>36500</v>
      </c>
      <c r="G901" s="34" t="n">
        <v>3.63</v>
      </c>
      <c r="H901" s="34" t="n">
        <v>33.7</v>
      </c>
      <c r="I901" s="34" t="n">
        <v>0</v>
      </c>
      <c r="J901" s="95" t="n">
        <f aca="false">IF(N(E901)&gt;0,E901,IF(N(F901)&gt;0,F901*가정!$B$5,0))</f>
        <v>139000</v>
      </c>
      <c r="K901" s="95" t="n">
        <f aca="false">IF(N(F901)&gt;0,F901,IF(N(E901)&gt;0,E901/가정!$B$5,0))</f>
        <v>36500</v>
      </c>
      <c r="L901" s="95" t="n">
        <f aca="false">IF(B901="CN",IF(N(I901)&gt;0,I901*가정!$B$3,K901*(1+가정!$B$6)),IF(N(H901)&gt;0,H901*가정!$B$3,J901*가정!$B$4))</f>
        <v>45925.686</v>
      </c>
      <c r="M901" s="95" t="n">
        <f aca="false">D901*J901</f>
        <v>30580000</v>
      </c>
      <c r="N901" s="95" t="n">
        <f aca="false">D901*K901</f>
        <v>8030000</v>
      </c>
      <c r="O901" s="95" t="n">
        <f aca="false">D901*L901</f>
        <v>10103650.92</v>
      </c>
      <c r="P901" s="34" t="str">
        <f aca="false">TRIM(IF(N(E901)&lt;=0,"택가보정 ","")&amp;IF(N(F901)&lt;=0,"원가보정 ","")&amp;IF(AND(B901&lt;&gt;"CN",N(H901)&lt;=0),"공급가보정 ","")&amp;IF(AND(B901="CN",N(I901)&lt;=0),"중국공급가=원가+마진 ",""))</f>
        <v/>
      </c>
    </row>
    <row r="902" customFormat="false" ht="15" hidden="false" customHeight="true" outlineLevel="0" collapsed="false">
      <c r="A902" s="94" t="s">
        <v>1684</v>
      </c>
      <c r="B902" s="34" t="str">
        <f aca="false">IF(A902="100","HK",IF(A902="200","CN",IF(A902="300","TW","홀세일")))</f>
        <v>HK</v>
      </c>
      <c r="C902" s="94" t="s">
        <v>951</v>
      </c>
      <c r="D902" s="95" t="n">
        <v>70</v>
      </c>
      <c r="E902" s="95" t="n">
        <v>139000</v>
      </c>
      <c r="F902" s="95" t="n">
        <v>32904</v>
      </c>
      <c r="G902" s="34" t="n">
        <v>3.5</v>
      </c>
      <c r="H902" s="34" t="n">
        <v>32.7</v>
      </c>
      <c r="I902" s="34" t="n">
        <v>28</v>
      </c>
      <c r="J902" s="95" t="n">
        <f aca="false">IF(N(E902)&gt;0,E902,IF(N(F902)&gt;0,F902*가정!$B$5,0))</f>
        <v>139000</v>
      </c>
      <c r="K902" s="95" t="n">
        <f aca="false">IF(N(F902)&gt;0,F902,IF(N(E902)&gt;0,E902/가정!$B$5,0))</f>
        <v>32904</v>
      </c>
      <c r="L902" s="95" t="n">
        <f aca="false">IF(B902="CN",IF(N(I902)&gt;0,I902*가정!$B$3,K902*(1+가정!$B$6)),IF(N(H902)&gt;0,H902*가정!$B$3,J902*가정!$B$4))</f>
        <v>44562.906</v>
      </c>
      <c r="M902" s="95" t="n">
        <f aca="false">D902*J902</f>
        <v>9730000</v>
      </c>
      <c r="N902" s="95" t="n">
        <f aca="false">D902*K902</f>
        <v>2303280</v>
      </c>
      <c r="O902" s="95" t="n">
        <f aca="false">D902*L902</f>
        <v>3119403.42</v>
      </c>
      <c r="P902" s="34" t="str">
        <f aca="false">TRIM(IF(N(E902)&lt;=0,"택가보정 ","")&amp;IF(N(F902)&lt;=0,"원가보정 ","")&amp;IF(AND(B902&lt;&gt;"CN",N(H902)&lt;=0),"공급가보정 ","")&amp;IF(AND(B902="CN",N(I902)&lt;=0),"중국공급가=원가+마진 ",""))</f>
        <v/>
      </c>
    </row>
    <row r="903" customFormat="false" ht="15" hidden="false" customHeight="true" outlineLevel="0" collapsed="false">
      <c r="A903" s="94" t="s">
        <v>1685</v>
      </c>
      <c r="B903" s="34" t="str">
        <f aca="false">IF(A903="100","HK",IF(A903="200","CN",IF(A903="300","TW","홀세일")))</f>
        <v>CN</v>
      </c>
      <c r="C903" s="94" t="s">
        <v>951</v>
      </c>
      <c r="D903" s="95" t="n">
        <v>217</v>
      </c>
      <c r="E903" s="95" t="n">
        <v>139000</v>
      </c>
      <c r="F903" s="95" t="n">
        <v>32904</v>
      </c>
      <c r="G903" s="34" t="n">
        <v>3.5</v>
      </c>
      <c r="H903" s="34" t="n">
        <v>32.7</v>
      </c>
      <c r="I903" s="34" t="n">
        <v>28</v>
      </c>
      <c r="J903" s="95" t="n">
        <f aca="false">IF(N(E903)&gt;0,E903,IF(N(F903)&gt;0,F903*가정!$B$5,0))</f>
        <v>139000</v>
      </c>
      <c r="K903" s="95" t="n">
        <f aca="false">IF(N(F903)&gt;0,F903,IF(N(E903)&gt;0,E903/가정!$B$5,0))</f>
        <v>32904</v>
      </c>
      <c r="L903" s="95" t="n">
        <f aca="false">IF(B903="CN",IF(N(I903)&gt;0,I903*가정!$B$3,K903*(1+가정!$B$6)),IF(N(H903)&gt;0,H903*가정!$B$3,J903*가정!$B$4))</f>
        <v>38157.84</v>
      </c>
      <c r="M903" s="95" t="n">
        <f aca="false">D903*J903</f>
        <v>30163000</v>
      </c>
      <c r="N903" s="95" t="n">
        <f aca="false">D903*K903</f>
        <v>7140168</v>
      </c>
      <c r="O903" s="95" t="n">
        <f aca="false">D903*L903</f>
        <v>8280251.28</v>
      </c>
      <c r="P903" s="34" t="str">
        <f aca="false">TRIM(IF(N(E903)&lt;=0,"택가보정 ","")&amp;IF(N(F903)&lt;=0,"원가보정 ","")&amp;IF(AND(B903&lt;&gt;"CN",N(H903)&lt;=0),"공급가보정 ","")&amp;IF(AND(B903="CN",N(I903)&lt;=0),"중국공급가=원가+마진 ",""))</f>
        <v/>
      </c>
    </row>
    <row r="904" customFormat="false" ht="15" hidden="false" customHeight="true" outlineLevel="0" collapsed="false">
      <c r="A904" s="94" t="s">
        <v>1686</v>
      </c>
      <c r="B904" s="34" t="str">
        <f aca="false">IF(A904="100","HK",IF(A904="200","CN",IF(A904="300","TW","홀세일")))</f>
        <v>TW</v>
      </c>
      <c r="C904" s="94" t="s">
        <v>520</v>
      </c>
      <c r="D904" s="95" t="n">
        <v>50</v>
      </c>
      <c r="E904" s="95" t="n">
        <v>159000</v>
      </c>
      <c r="F904" s="95" t="n">
        <v>25500</v>
      </c>
      <c r="G904" s="34" t="n">
        <v>3.5</v>
      </c>
      <c r="H904" s="34" t="n">
        <v>37.4</v>
      </c>
      <c r="I904" s="34" t="n">
        <v>0</v>
      </c>
      <c r="J904" s="95" t="n">
        <f aca="false">IF(N(E904)&gt;0,E904,IF(N(F904)&gt;0,F904*가정!$B$5,0))</f>
        <v>159000</v>
      </c>
      <c r="K904" s="95" t="n">
        <f aca="false">IF(N(F904)&gt;0,F904,IF(N(E904)&gt;0,E904/가정!$B$5,0))</f>
        <v>25500</v>
      </c>
      <c r="L904" s="95" t="n">
        <f aca="false">IF(B904="CN",IF(N(I904)&gt;0,I904*가정!$B$3,K904*(1+가정!$B$6)),IF(N(H904)&gt;0,H904*가정!$B$3,J904*가정!$B$4))</f>
        <v>50967.972</v>
      </c>
      <c r="M904" s="95" t="n">
        <f aca="false">D904*J904</f>
        <v>7950000</v>
      </c>
      <c r="N904" s="95" t="n">
        <f aca="false">D904*K904</f>
        <v>1275000</v>
      </c>
      <c r="O904" s="95" t="n">
        <f aca="false">D904*L904</f>
        <v>2548398.6</v>
      </c>
      <c r="P904" s="34" t="str">
        <f aca="false">TRIM(IF(N(E904)&lt;=0,"택가보정 ","")&amp;IF(N(F904)&lt;=0,"원가보정 ","")&amp;IF(AND(B904&lt;&gt;"CN",N(H904)&lt;=0),"공급가보정 ","")&amp;IF(AND(B904="CN",N(I904)&lt;=0),"중국공급가=원가+마진 ",""))</f>
        <v/>
      </c>
    </row>
    <row r="905" customFormat="false" ht="15" hidden="false" customHeight="true" outlineLevel="0" collapsed="false">
      <c r="A905" s="94" t="s">
        <v>1688</v>
      </c>
      <c r="B905" s="34" t="str">
        <f aca="false">IF(A905="100","HK",IF(A905="200","CN",IF(A905="300","TW","홀세일")))</f>
        <v>홀세일</v>
      </c>
      <c r="C905" s="94" t="s">
        <v>520</v>
      </c>
      <c r="D905" s="95" t="n">
        <v>30</v>
      </c>
      <c r="E905" s="95" t="n">
        <v>159000</v>
      </c>
      <c r="F905" s="95" t="n">
        <v>25500</v>
      </c>
      <c r="G905" s="34" t="n">
        <v>3.5</v>
      </c>
      <c r="H905" s="34" t="n">
        <v>37.4</v>
      </c>
      <c r="I905" s="34" t="n">
        <v>0</v>
      </c>
      <c r="J905" s="95" t="n">
        <f aca="false">IF(N(E905)&gt;0,E905,IF(N(F905)&gt;0,F905*가정!$B$5,0))</f>
        <v>159000</v>
      </c>
      <c r="K905" s="95" t="n">
        <f aca="false">IF(N(F905)&gt;0,F905,IF(N(E905)&gt;0,E905/가정!$B$5,0))</f>
        <v>25500</v>
      </c>
      <c r="L905" s="95" t="n">
        <f aca="false">IF(B905="CN",IF(N(I905)&gt;0,I905*가정!$B$3,K905*(1+가정!$B$6)),IF(N(H905)&gt;0,H905*가정!$B$3,J905*가정!$B$4))</f>
        <v>50967.972</v>
      </c>
      <c r="M905" s="95" t="n">
        <f aca="false">D905*J905</f>
        <v>4770000</v>
      </c>
      <c r="N905" s="95" t="n">
        <f aca="false">D905*K905</f>
        <v>765000</v>
      </c>
      <c r="O905" s="95" t="n">
        <f aca="false">D905*L905</f>
        <v>1529039.16</v>
      </c>
      <c r="P905" s="34" t="str">
        <f aca="false">TRIM(IF(N(E905)&lt;=0,"택가보정 ","")&amp;IF(N(F905)&lt;=0,"원가보정 ","")&amp;IF(AND(B905&lt;&gt;"CN",N(H905)&lt;=0),"공급가보정 ","")&amp;IF(AND(B905="CN",N(I905)&lt;=0),"중국공급가=원가+마진 ",""))</f>
        <v/>
      </c>
    </row>
    <row r="906" customFormat="false" ht="15" hidden="false" customHeight="true" outlineLevel="0" collapsed="false">
      <c r="A906" s="94" t="s">
        <v>1684</v>
      </c>
      <c r="B906" s="34" t="str">
        <f aca="false">IF(A906="100","HK",IF(A906="200","CN",IF(A906="300","TW","홀세일")))</f>
        <v>HK</v>
      </c>
      <c r="C906" s="94" t="s">
        <v>522</v>
      </c>
      <c r="D906" s="95" t="n">
        <v>180</v>
      </c>
      <c r="E906" s="95" t="n">
        <v>259000</v>
      </c>
      <c r="F906" s="95" t="n">
        <v>58900</v>
      </c>
      <c r="G906" s="34" t="n">
        <v>3.83</v>
      </c>
      <c r="H906" s="34" t="n">
        <v>64.9</v>
      </c>
      <c r="I906" s="34" t="n">
        <v>0</v>
      </c>
      <c r="J906" s="95" t="n">
        <f aca="false">IF(N(E906)&gt;0,E906,IF(N(F906)&gt;0,F906*가정!$B$5,0))</f>
        <v>259000</v>
      </c>
      <c r="K906" s="95" t="n">
        <f aca="false">IF(N(F906)&gt;0,F906,IF(N(E906)&gt;0,E906/가정!$B$5,0))</f>
        <v>58900</v>
      </c>
      <c r="L906" s="95" t="n">
        <f aca="false">IF(B906="CN",IF(N(I906)&gt;0,I906*가정!$B$3,K906*(1+가정!$B$6)),IF(N(H906)&gt;0,H906*가정!$B$3,J906*가정!$B$4))</f>
        <v>88444.422</v>
      </c>
      <c r="M906" s="95" t="n">
        <f aca="false">D906*J906</f>
        <v>46620000</v>
      </c>
      <c r="N906" s="95" t="n">
        <f aca="false">D906*K906</f>
        <v>10602000</v>
      </c>
      <c r="O906" s="95" t="n">
        <f aca="false">D906*L906</f>
        <v>15919995.96</v>
      </c>
      <c r="P906" s="34" t="str">
        <f aca="false">TRIM(IF(N(E906)&lt;=0,"택가보정 ","")&amp;IF(N(F906)&lt;=0,"원가보정 ","")&amp;IF(AND(B906&lt;&gt;"CN",N(H906)&lt;=0),"공급가보정 ","")&amp;IF(AND(B906="CN",N(I906)&lt;=0),"중국공급가=원가+마진 ",""))</f>
        <v/>
      </c>
    </row>
    <row r="907" customFormat="false" ht="15" hidden="false" customHeight="true" outlineLevel="0" collapsed="false">
      <c r="A907" s="94" t="s">
        <v>1686</v>
      </c>
      <c r="B907" s="34" t="str">
        <f aca="false">IF(A907="100","HK",IF(A907="200","CN",IF(A907="300","TW","홀세일")))</f>
        <v>TW</v>
      </c>
      <c r="C907" s="94" t="s">
        <v>522</v>
      </c>
      <c r="D907" s="95" t="n">
        <v>270</v>
      </c>
      <c r="E907" s="95" t="n">
        <v>259000</v>
      </c>
      <c r="F907" s="95" t="n">
        <v>58900</v>
      </c>
      <c r="G907" s="34" t="n">
        <v>3.83</v>
      </c>
      <c r="H907" s="34" t="n">
        <v>64.9</v>
      </c>
      <c r="I907" s="34" t="n">
        <v>0</v>
      </c>
      <c r="J907" s="95" t="n">
        <f aca="false">IF(N(E907)&gt;0,E907,IF(N(F907)&gt;0,F907*가정!$B$5,0))</f>
        <v>259000</v>
      </c>
      <c r="K907" s="95" t="n">
        <f aca="false">IF(N(F907)&gt;0,F907,IF(N(E907)&gt;0,E907/가정!$B$5,0))</f>
        <v>58900</v>
      </c>
      <c r="L907" s="95" t="n">
        <f aca="false">IF(B907="CN",IF(N(I907)&gt;0,I907*가정!$B$3,K907*(1+가정!$B$6)),IF(N(H907)&gt;0,H907*가정!$B$3,J907*가정!$B$4))</f>
        <v>88444.422</v>
      </c>
      <c r="M907" s="95" t="n">
        <f aca="false">D907*J907</f>
        <v>69930000</v>
      </c>
      <c r="N907" s="95" t="n">
        <f aca="false">D907*K907</f>
        <v>15903000</v>
      </c>
      <c r="O907" s="95" t="n">
        <f aca="false">D907*L907</f>
        <v>23879993.94</v>
      </c>
      <c r="P907" s="34" t="str">
        <f aca="false">TRIM(IF(N(E907)&lt;=0,"택가보정 ","")&amp;IF(N(F907)&lt;=0,"원가보정 ","")&amp;IF(AND(B907&lt;&gt;"CN",N(H907)&lt;=0),"공급가보정 ","")&amp;IF(AND(B907="CN",N(I907)&lt;=0),"중국공급가=원가+마진 ",""))</f>
        <v/>
      </c>
    </row>
    <row r="908" customFormat="false" ht="15" hidden="false" customHeight="true" outlineLevel="0" collapsed="false">
      <c r="A908" s="94" t="s">
        <v>1687</v>
      </c>
      <c r="B908" s="34" t="str">
        <f aca="false">IF(A908="100","HK",IF(A908="200","CN",IF(A908="300","TW","홀세일")))</f>
        <v>홀세일</v>
      </c>
      <c r="C908" s="94" t="s">
        <v>522</v>
      </c>
      <c r="D908" s="95" t="n">
        <v>200</v>
      </c>
      <c r="E908" s="95" t="n">
        <v>259000</v>
      </c>
      <c r="F908" s="95" t="n">
        <v>58900</v>
      </c>
      <c r="G908" s="34" t="n">
        <v>3.83</v>
      </c>
      <c r="H908" s="34" t="n">
        <v>64.9</v>
      </c>
      <c r="I908" s="34" t="n">
        <v>0</v>
      </c>
      <c r="J908" s="95" t="n">
        <f aca="false">IF(N(E908)&gt;0,E908,IF(N(F908)&gt;0,F908*가정!$B$5,0))</f>
        <v>259000</v>
      </c>
      <c r="K908" s="95" t="n">
        <f aca="false">IF(N(F908)&gt;0,F908,IF(N(E908)&gt;0,E908/가정!$B$5,0))</f>
        <v>58900</v>
      </c>
      <c r="L908" s="95" t="n">
        <f aca="false">IF(B908="CN",IF(N(I908)&gt;0,I908*가정!$B$3,K908*(1+가정!$B$6)),IF(N(H908)&gt;0,H908*가정!$B$3,J908*가정!$B$4))</f>
        <v>88444.422</v>
      </c>
      <c r="M908" s="95" t="n">
        <f aca="false">D908*J908</f>
        <v>51800000</v>
      </c>
      <c r="N908" s="95" t="n">
        <f aca="false">D908*K908</f>
        <v>11780000</v>
      </c>
      <c r="O908" s="95" t="n">
        <f aca="false">D908*L908</f>
        <v>17688884.4</v>
      </c>
      <c r="P908" s="34" t="str">
        <f aca="false">TRIM(IF(N(E908)&lt;=0,"택가보정 ","")&amp;IF(N(F908)&lt;=0,"원가보정 ","")&amp;IF(AND(B908&lt;&gt;"CN",N(H908)&lt;=0),"공급가보정 ","")&amp;IF(AND(B908="CN",N(I908)&lt;=0),"중국공급가=원가+마진 ",""))</f>
        <v/>
      </c>
    </row>
    <row r="909" customFormat="false" ht="15" hidden="false" customHeight="true" outlineLevel="0" collapsed="false">
      <c r="A909" s="94" t="s">
        <v>1688</v>
      </c>
      <c r="B909" s="34" t="str">
        <f aca="false">IF(A909="100","HK",IF(A909="200","CN",IF(A909="300","TW","홀세일")))</f>
        <v>홀세일</v>
      </c>
      <c r="C909" s="94" t="s">
        <v>522</v>
      </c>
      <c r="D909" s="95" t="n">
        <v>30</v>
      </c>
      <c r="E909" s="95" t="n">
        <v>259000</v>
      </c>
      <c r="F909" s="95" t="n">
        <v>58900</v>
      </c>
      <c r="G909" s="34" t="n">
        <v>3.83</v>
      </c>
      <c r="H909" s="34" t="n">
        <v>64.9</v>
      </c>
      <c r="I909" s="34" t="n">
        <v>0</v>
      </c>
      <c r="J909" s="95" t="n">
        <f aca="false">IF(N(E909)&gt;0,E909,IF(N(F909)&gt;0,F909*가정!$B$5,0))</f>
        <v>259000</v>
      </c>
      <c r="K909" s="95" t="n">
        <f aca="false">IF(N(F909)&gt;0,F909,IF(N(E909)&gt;0,E909/가정!$B$5,0))</f>
        <v>58900</v>
      </c>
      <c r="L909" s="95" t="n">
        <f aca="false">IF(B909="CN",IF(N(I909)&gt;0,I909*가정!$B$3,K909*(1+가정!$B$6)),IF(N(H909)&gt;0,H909*가정!$B$3,J909*가정!$B$4))</f>
        <v>88444.422</v>
      </c>
      <c r="M909" s="95" t="n">
        <f aca="false">D909*J909</f>
        <v>7770000</v>
      </c>
      <c r="N909" s="95" t="n">
        <f aca="false">D909*K909</f>
        <v>1767000</v>
      </c>
      <c r="O909" s="95" t="n">
        <f aca="false">D909*L909</f>
        <v>2653332.66</v>
      </c>
      <c r="P909" s="34" t="str">
        <f aca="false">TRIM(IF(N(E909)&lt;=0,"택가보정 ","")&amp;IF(N(F909)&lt;=0,"원가보정 ","")&amp;IF(AND(B909&lt;&gt;"CN",N(H909)&lt;=0),"공급가보정 ","")&amp;IF(AND(B909="CN",N(I909)&lt;=0),"중국공급가=원가+마진 ",""))</f>
        <v/>
      </c>
    </row>
    <row r="910" customFormat="false" ht="15" hidden="false" customHeight="true" outlineLevel="0" collapsed="false">
      <c r="A910" s="94" t="s">
        <v>1684</v>
      </c>
      <c r="B910" s="34" t="str">
        <f aca="false">IF(A910="100","HK",IF(A910="200","CN",IF(A910="300","TW","홀세일")))</f>
        <v>HK</v>
      </c>
      <c r="C910" s="94" t="s">
        <v>953</v>
      </c>
      <c r="D910" s="95" t="n">
        <v>160</v>
      </c>
      <c r="E910" s="95" t="n">
        <v>179000</v>
      </c>
      <c r="F910" s="95" t="n">
        <v>53400</v>
      </c>
      <c r="G910" s="34" t="n">
        <v>2.83</v>
      </c>
      <c r="H910" s="34" t="n">
        <v>44.8</v>
      </c>
      <c r="I910" s="34" t="n">
        <v>0</v>
      </c>
      <c r="J910" s="95" t="n">
        <f aca="false">IF(N(E910)&gt;0,E910,IF(N(F910)&gt;0,F910*가정!$B$5,0))</f>
        <v>179000</v>
      </c>
      <c r="K910" s="95" t="n">
        <f aca="false">IF(N(F910)&gt;0,F910,IF(N(E910)&gt;0,E910/가정!$B$5,0))</f>
        <v>53400</v>
      </c>
      <c r="L910" s="95" t="n">
        <f aca="false">IF(B910="CN",IF(N(I910)&gt;0,I910*가정!$B$3,K910*(1+가정!$B$6)),IF(N(H910)&gt;0,H910*가정!$B$3,J910*가정!$B$4))</f>
        <v>61052.544</v>
      </c>
      <c r="M910" s="95" t="n">
        <f aca="false">D910*J910</f>
        <v>28640000</v>
      </c>
      <c r="N910" s="95" t="n">
        <f aca="false">D910*K910</f>
        <v>8544000</v>
      </c>
      <c r="O910" s="95" t="n">
        <f aca="false">D910*L910</f>
        <v>9768407.04</v>
      </c>
      <c r="P910" s="34" t="str">
        <f aca="false">TRIM(IF(N(E910)&lt;=0,"택가보정 ","")&amp;IF(N(F910)&lt;=0,"원가보정 ","")&amp;IF(AND(B910&lt;&gt;"CN",N(H910)&lt;=0),"공급가보정 ","")&amp;IF(AND(B910="CN",N(I910)&lt;=0),"중국공급가=원가+마진 ",""))</f>
        <v/>
      </c>
    </row>
    <row r="911" customFormat="false" ht="15" hidden="false" customHeight="true" outlineLevel="0" collapsed="false">
      <c r="A911" s="94" t="s">
        <v>1688</v>
      </c>
      <c r="B911" s="34" t="str">
        <f aca="false">IF(A911="100","HK",IF(A911="200","CN",IF(A911="300","TW","홀세일")))</f>
        <v>홀세일</v>
      </c>
      <c r="C911" s="94" t="s">
        <v>1371</v>
      </c>
      <c r="D911" s="95" t="n">
        <v>20</v>
      </c>
      <c r="E911" s="95" t="n">
        <v>199000</v>
      </c>
      <c r="F911" s="95" t="n">
        <v>64200</v>
      </c>
      <c r="G911" s="34" t="n">
        <v>3.85</v>
      </c>
      <c r="H911" s="34" t="n">
        <v>49.8</v>
      </c>
      <c r="I911" s="34" t="n">
        <v>0</v>
      </c>
      <c r="J911" s="95" t="n">
        <f aca="false">IF(N(E911)&gt;0,E911,IF(N(F911)&gt;0,F911*가정!$B$5,0))</f>
        <v>199000</v>
      </c>
      <c r="K911" s="95" t="n">
        <f aca="false">IF(N(F911)&gt;0,F911,IF(N(E911)&gt;0,E911/가정!$B$5,0))</f>
        <v>64200</v>
      </c>
      <c r="L911" s="95" t="n">
        <f aca="false">IF(B911="CN",IF(N(I911)&gt;0,I911*가정!$B$3,K911*(1+가정!$B$6)),IF(N(H911)&gt;0,H911*가정!$B$3,J911*가정!$B$4))</f>
        <v>67866.444</v>
      </c>
      <c r="M911" s="95" t="n">
        <f aca="false">D911*J911</f>
        <v>3980000</v>
      </c>
      <c r="N911" s="95" t="n">
        <f aca="false">D911*K911</f>
        <v>1284000</v>
      </c>
      <c r="O911" s="95" t="n">
        <f aca="false">D911*L911</f>
        <v>1357328.88</v>
      </c>
      <c r="P911" s="34" t="str">
        <f aca="false">TRIM(IF(N(E911)&lt;=0,"택가보정 ","")&amp;IF(N(F911)&lt;=0,"원가보정 ","")&amp;IF(AND(B911&lt;&gt;"CN",N(H911)&lt;=0),"공급가보정 ","")&amp;IF(AND(B911="CN",N(I911)&lt;=0),"중국공급가=원가+마진 ",""))</f>
        <v/>
      </c>
    </row>
    <row r="912" customFormat="false" ht="15" hidden="false" customHeight="true" outlineLevel="0" collapsed="false">
      <c r="A912" s="94" t="s">
        <v>1684</v>
      </c>
      <c r="B912" s="34" t="str">
        <f aca="false">IF(A912="100","HK",IF(A912="200","CN",IF(A912="300","TW","홀세일")))</f>
        <v>HK</v>
      </c>
      <c r="C912" s="94" t="s">
        <v>524</v>
      </c>
      <c r="D912" s="95" t="n">
        <v>180</v>
      </c>
      <c r="E912" s="95" t="n">
        <v>149000</v>
      </c>
      <c r="F912" s="95" t="n">
        <v>35200</v>
      </c>
      <c r="G912" s="34" t="n">
        <v>3.58</v>
      </c>
      <c r="H912" s="34" t="n">
        <v>35.1</v>
      </c>
      <c r="I912" s="34" t="n">
        <v>0</v>
      </c>
      <c r="J912" s="95" t="n">
        <f aca="false">IF(N(E912)&gt;0,E912,IF(N(F912)&gt;0,F912*가정!$B$5,0))</f>
        <v>149000</v>
      </c>
      <c r="K912" s="95" t="n">
        <f aca="false">IF(N(F912)&gt;0,F912,IF(N(E912)&gt;0,E912/가정!$B$5,0))</f>
        <v>35200</v>
      </c>
      <c r="L912" s="95" t="n">
        <f aca="false">IF(B912="CN",IF(N(I912)&gt;0,I912*가정!$B$3,K912*(1+가정!$B$6)),IF(N(H912)&gt;0,H912*가정!$B$3,J912*가정!$B$4))</f>
        <v>47833.578</v>
      </c>
      <c r="M912" s="95" t="n">
        <f aca="false">D912*J912</f>
        <v>26820000</v>
      </c>
      <c r="N912" s="95" t="n">
        <f aca="false">D912*K912</f>
        <v>6336000</v>
      </c>
      <c r="O912" s="95" t="n">
        <f aca="false">D912*L912</f>
        <v>8610044.04</v>
      </c>
      <c r="P912" s="34" t="str">
        <f aca="false">TRIM(IF(N(E912)&lt;=0,"택가보정 ","")&amp;IF(N(F912)&lt;=0,"원가보정 ","")&amp;IF(AND(B912&lt;&gt;"CN",N(H912)&lt;=0),"공급가보정 ","")&amp;IF(AND(B912="CN",N(I912)&lt;=0),"중국공급가=원가+마진 ",""))</f>
        <v/>
      </c>
    </row>
    <row r="913" customFormat="false" ht="15" hidden="false" customHeight="true" outlineLevel="0" collapsed="false">
      <c r="A913" s="94" t="s">
        <v>1686</v>
      </c>
      <c r="B913" s="34" t="str">
        <f aca="false">IF(A913="100","HK",IF(A913="200","CN",IF(A913="300","TW","홀세일")))</f>
        <v>TW</v>
      </c>
      <c r="C913" s="94" t="s">
        <v>524</v>
      </c>
      <c r="D913" s="95" t="n">
        <v>270</v>
      </c>
      <c r="E913" s="95" t="n">
        <v>149000</v>
      </c>
      <c r="F913" s="95" t="n">
        <v>35200</v>
      </c>
      <c r="G913" s="34" t="n">
        <v>3.58</v>
      </c>
      <c r="H913" s="34" t="n">
        <v>35.1</v>
      </c>
      <c r="I913" s="34" t="n">
        <v>0</v>
      </c>
      <c r="J913" s="95" t="n">
        <f aca="false">IF(N(E913)&gt;0,E913,IF(N(F913)&gt;0,F913*가정!$B$5,0))</f>
        <v>149000</v>
      </c>
      <c r="K913" s="95" t="n">
        <f aca="false">IF(N(F913)&gt;0,F913,IF(N(E913)&gt;0,E913/가정!$B$5,0))</f>
        <v>35200</v>
      </c>
      <c r="L913" s="95" t="n">
        <f aca="false">IF(B913="CN",IF(N(I913)&gt;0,I913*가정!$B$3,K913*(1+가정!$B$6)),IF(N(H913)&gt;0,H913*가정!$B$3,J913*가정!$B$4))</f>
        <v>47833.578</v>
      </c>
      <c r="M913" s="95" t="n">
        <f aca="false">D913*J913</f>
        <v>40230000</v>
      </c>
      <c r="N913" s="95" t="n">
        <f aca="false">D913*K913</f>
        <v>9504000</v>
      </c>
      <c r="O913" s="95" t="n">
        <f aca="false">D913*L913</f>
        <v>12915066.06</v>
      </c>
      <c r="P913" s="34" t="str">
        <f aca="false">TRIM(IF(N(E913)&lt;=0,"택가보정 ","")&amp;IF(N(F913)&lt;=0,"원가보정 ","")&amp;IF(AND(B913&lt;&gt;"CN",N(H913)&lt;=0),"공급가보정 ","")&amp;IF(AND(B913="CN",N(I913)&lt;=0),"중국공급가=원가+마진 ",""))</f>
        <v/>
      </c>
    </row>
    <row r="914" customFormat="false" ht="15" hidden="false" customHeight="true" outlineLevel="0" collapsed="false">
      <c r="A914" s="94" t="s">
        <v>1688</v>
      </c>
      <c r="B914" s="34" t="str">
        <f aca="false">IF(A914="100","HK",IF(A914="200","CN",IF(A914="300","TW","홀세일")))</f>
        <v>홀세일</v>
      </c>
      <c r="C914" s="94" t="s">
        <v>524</v>
      </c>
      <c r="D914" s="95" t="n">
        <v>40</v>
      </c>
      <c r="E914" s="95" t="n">
        <v>149000</v>
      </c>
      <c r="F914" s="95" t="n">
        <v>35200</v>
      </c>
      <c r="G914" s="34" t="n">
        <v>3.58</v>
      </c>
      <c r="H914" s="34" t="n">
        <v>35.1</v>
      </c>
      <c r="I914" s="34" t="n">
        <v>0</v>
      </c>
      <c r="J914" s="95" t="n">
        <f aca="false">IF(N(E914)&gt;0,E914,IF(N(F914)&gt;0,F914*가정!$B$5,0))</f>
        <v>149000</v>
      </c>
      <c r="K914" s="95" t="n">
        <f aca="false">IF(N(F914)&gt;0,F914,IF(N(E914)&gt;0,E914/가정!$B$5,0))</f>
        <v>35200</v>
      </c>
      <c r="L914" s="95" t="n">
        <f aca="false">IF(B914="CN",IF(N(I914)&gt;0,I914*가정!$B$3,K914*(1+가정!$B$6)),IF(N(H914)&gt;0,H914*가정!$B$3,J914*가정!$B$4))</f>
        <v>47833.578</v>
      </c>
      <c r="M914" s="95" t="n">
        <f aca="false">D914*J914</f>
        <v>5960000</v>
      </c>
      <c r="N914" s="95" t="n">
        <f aca="false">D914*K914</f>
        <v>1408000</v>
      </c>
      <c r="O914" s="95" t="n">
        <f aca="false">D914*L914</f>
        <v>1913343.12</v>
      </c>
      <c r="P914" s="34" t="str">
        <f aca="false">TRIM(IF(N(E914)&lt;=0,"택가보정 ","")&amp;IF(N(F914)&lt;=0,"원가보정 ","")&amp;IF(AND(B914&lt;&gt;"CN",N(H914)&lt;=0),"공급가보정 ","")&amp;IF(AND(B914="CN",N(I914)&lt;=0),"중국공급가=원가+마진 ",""))</f>
        <v/>
      </c>
    </row>
    <row r="915" customFormat="false" ht="15" hidden="false" customHeight="true" outlineLevel="0" collapsed="false">
      <c r="A915" s="94" t="s">
        <v>1689</v>
      </c>
      <c r="B915" s="34" t="str">
        <f aca="false">IF(A915="100","HK",IF(A915="200","CN",IF(A915="300","TW","홀세일")))</f>
        <v>홀세일</v>
      </c>
      <c r="C915" s="94" t="s">
        <v>524</v>
      </c>
      <c r="D915" s="95" t="n">
        <v>30</v>
      </c>
      <c r="E915" s="95" t="n">
        <v>149000</v>
      </c>
      <c r="F915" s="95" t="n">
        <v>35200</v>
      </c>
      <c r="G915" s="34" t="n">
        <v>3.58</v>
      </c>
      <c r="H915" s="34" t="n">
        <v>35.1</v>
      </c>
      <c r="I915" s="34" t="n">
        <v>0</v>
      </c>
      <c r="J915" s="95" t="n">
        <f aca="false">IF(N(E915)&gt;0,E915,IF(N(F915)&gt;0,F915*가정!$B$5,0))</f>
        <v>149000</v>
      </c>
      <c r="K915" s="95" t="n">
        <f aca="false">IF(N(F915)&gt;0,F915,IF(N(E915)&gt;0,E915/가정!$B$5,0))</f>
        <v>35200</v>
      </c>
      <c r="L915" s="95" t="n">
        <f aca="false">IF(B915="CN",IF(N(I915)&gt;0,I915*가정!$B$3,K915*(1+가정!$B$6)),IF(N(H915)&gt;0,H915*가정!$B$3,J915*가정!$B$4))</f>
        <v>47833.578</v>
      </c>
      <c r="M915" s="95" t="n">
        <f aca="false">D915*J915</f>
        <v>4470000</v>
      </c>
      <c r="N915" s="95" t="n">
        <f aca="false">D915*K915</f>
        <v>1056000</v>
      </c>
      <c r="O915" s="95" t="n">
        <f aca="false">D915*L915</f>
        <v>1435007.34</v>
      </c>
      <c r="P915" s="34" t="str">
        <f aca="false">TRIM(IF(N(E915)&lt;=0,"택가보정 ","")&amp;IF(N(F915)&lt;=0,"원가보정 ","")&amp;IF(AND(B915&lt;&gt;"CN",N(H915)&lt;=0),"공급가보정 ","")&amp;IF(AND(B915="CN",N(I915)&lt;=0),"중국공급가=원가+마진 ",""))</f>
        <v/>
      </c>
    </row>
    <row r="916" customFormat="false" ht="15" hidden="false" customHeight="true" outlineLevel="0" collapsed="false">
      <c r="A916" s="94" t="s">
        <v>1684</v>
      </c>
      <c r="B916" s="34" t="str">
        <f aca="false">IF(A916="100","HK",IF(A916="200","CN",IF(A916="300","TW","홀세일")))</f>
        <v>HK</v>
      </c>
      <c r="C916" s="94" t="s">
        <v>526</v>
      </c>
      <c r="D916" s="95" t="n">
        <v>100</v>
      </c>
      <c r="E916" s="95" t="n">
        <v>189000</v>
      </c>
      <c r="F916" s="95" t="n">
        <v>41200</v>
      </c>
      <c r="G916" s="34" t="n">
        <v>3.74</v>
      </c>
      <c r="H916" s="34" t="n">
        <v>44.5</v>
      </c>
      <c r="I916" s="34" t="n">
        <v>0</v>
      </c>
      <c r="J916" s="95" t="n">
        <f aca="false">IF(N(E916)&gt;0,E916,IF(N(F916)&gt;0,F916*가정!$B$5,0))</f>
        <v>189000</v>
      </c>
      <c r="K916" s="95" t="n">
        <f aca="false">IF(N(F916)&gt;0,F916,IF(N(E916)&gt;0,E916/가정!$B$5,0))</f>
        <v>41200</v>
      </c>
      <c r="L916" s="95" t="n">
        <f aca="false">IF(B916="CN",IF(N(I916)&gt;0,I916*가정!$B$3,K916*(1+가정!$B$6)),IF(N(H916)&gt;0,H916*가정!$B$3,J916*가정!$B$4))</f>
        <v>60643.71</v>
      </c>
      <c r="M916" s="95" t="n">
        <f aca="false">D916*J916</f>
        <v>18900000</v>
      </c>
      <c r="N916" s="95" t="n">
        <f aca="false">D916*K916</f>
        <v>4120000</v>
      </c>
      <c r="O916" s="95" t="n">
        <f aca="false">D916*L916</f>
        <v>6064371</v>
      </c>
      <c r="P916" s="34" t="str">
        <f aca="false">TRIM(IF(N(E916)&lt;=0,"택가보정 ","")&amp;IF(N(F916)&lt;=0,"원가보정 ","")&amp;IF(AND(B916&lt;&gt;"CN",N(H916)&lt;=0),"공급가보정 ","")&amp;IF(AND(B916="CN",N(I916)&lt;=0),"중국공급가=원가+마진 ",""))</f>
        <v/>
      </c>
    </row>
    <row r="917" customFormat="false" ht="15" hidden="false" customHeight="true" outlineLevel="0" collapsed="false">
      <c r="A917" s="94" t="s">
        <v>1686</v>
      </c>
      <c r="B917" s="34" t="str">
        <f aca="false">IF(A917="100","HK",IF(A917="200","CN",IF(A917="300","TW","홀세일")))</f>
        <v>TW</v>
      </c>
      <c r="C917" s="94" t="s">
        <v>526</v>
      </c>
      <c r="D917" s="95" t="n">
        <v>280</v>
      </c>
      <c r="E917" s="95" t="n">
        <v>189000</v>
      </c>
      <c r="F917" s="95" t="n">
        <v>41200</v>
      </c>
      <c r="G917" s="34" t="n">
        <v>3.74</v>
      </c>
      <c r="H917" s="34" t="n">
        <v>44.5</v>
      </c>
      <c r="I917" s="34" t="n">
        <v>0</v>
      </c>
      <c r="J917" s="95" t="n">
        <f aca="false">IF(N(E917)&gt;0,E917,IF(N(F917)&gt;0,F917*가정!$B$5,0))</f>
        <v>189000</v>
      </c>
      <c r="K917" s="95" t="n">
        <f aca="false">IF(N(F917)&gt;0,F917,IF(N(E917)&gt;0,E917/가정!$B$5,0))</f>
        <v>41200</v>
      </c>
      <c r="L917" s="95" t="n">
        <f aca="false">IF(B917="CN",IF(N(I917)&gt;0,I917*가정!$B$3,K917*(1+가정!$B$6)),IF(N(H917)&gt;0,H917*가정!$B$3,J917*가정!$B$4))</f>
        <v>60643.71</v>
      </c>
      <c r="M917" s="95" t="n">
        <f aca="false">D917*J917</f>
        <v>52920000</v>
      </c>
      <c r="N917" s="95" t="n">
        <f aca="false">D917*K917</f>
        <v>11536000</v>
      </c>
      <c r="O917" s="95" t="n">
        <f aca="false">D917*L917</f>
        <v>16980238.8</v>
      </c>
      <c r="P917" s="34" t="str">
        <f aca="false">TRIM(IF(N(E917)&lt;=0,"택가보정 ","")&amp;IF(N(F917)&lt;=0,"원가보정 ","")&amp;IF(AND(B917&lt;&gt;"CN",N(H917)&lt;=0),"공급가보정 ","")&amp;IF(AND(B917="CN",N(I917)&lt;=0),"중국공급가=원가+마진 ",""))</f>
        <v/>
      </c>
    </row>
    <row r="918" customFormat="false" ht="15" hidden="false" customHeight="true" outlineLevel="0" collapsed="false">
      <c r="A918" s="94" t="s">
        <v>1688</v>
      </c>
      <c r="B918" s="34" t="str">
        <f aca="false">IF(A918="100","HK",IF(A918="200","CN",IF(A918="300","TW","홀세일")))</f>
        <v>홀세일</v>
      </c>
      <c r="C918" s="94" t="s">
        <v>526</v>
      </c>
      <c r="D918" s="95" t="n">
        <v>60</v>
      </c>
      <c r="E918" s="95" t="n">
        <v>189000</v>
      </c>
      <c r="F918" s="95" t="n">
        <v>41200</v>
      </c>
      <c r="G918" s="34" t="n">
        <v>3.74</v>
      </c>
      <c r="H918" s="34" t="n">
        <v>44.5</v>
      </c>
      <c r="I918" s="34" t="n">
        <v>0</v>
      </c>
      <c r="J918" s="95" t="n">
        <f aca="false">IF(N(E918)&gt;0,E918,IF(N(F918)&gt;0,F918*가정!$B$5,0))</f>
        <v>189000</v>
      </c>
      <c r="K918" s="95" t="n">
        <f aca="false">IF(N(F918)&gt;0,F918,IF(N(E918)&gt;0,E918/가정!$B$5,0))</f>
        <v>41200</v>
      </c>
      <c r="L918" s="95" t="n">
        <f aca="false">IF(B918="CN",IF(N(I918)&gt;0,I918*가정!$B$3,K918*(1+가정!$B$6)),IF(N(H918)&gt;0,H918*가정!$B$3,J918*가정!$B$4))</f>
        <v>60643.71</v>
      </c>
      <c r="M918" s="95" t="n">
        <f aca="false">D918*J918</f>
        <v>11340000</v>
      </c>
      <c r="N918" s="95" t="n">
        <f aca="false">D918*K918</f>
        <v>2472000</v>
      </c>
      <c r="O918" s="95" t="n">
        <f aca="false">D918*L918</f>
        <v>3638622.6</v>
      </c>
      <c r="P918" s="34" t="str">
        <f aca="false">TRIM(IF(N(E918)&lt;=0,"택가보정 ","")&amp;IF(N(F918)&lt;=0,"원가보정 ","")&amp;IF(AND(B918&lt;&gt;"CN",N(H918)&lt;=0),"공급가보정 ","")&amp;IF(AND(B918="CN",N(I918)&lt;=0),"중국공급가=원가+마진 ",""))</f>
        <v/>
      </c>
    </row>
    <row r="919" customFormat="false" ht="15" hidden="false" customHeight="true" outlineLevel="0" collapsed="false">
      <c r="A919" s="94" t="s">
        <v>1688</v>
      </c>
      <c r="B919" s="34" t="str">
        <f aca="false">IF(A919="100","HK",IF(A919="200","CN",IF(A919="300","TW","홀세일")))</f>
        <v>홀세일</v>
      </c>
      <c r="C919" s="94" t="s">
        <v>1373</v>
      </c>
      <c r="D919" s="95" t="n">
        <v>20</v>
      </c>
      <c r="E919" s="95" t="n">
        <v>199000</v>
      </c>
      <c r="F919" s="95" t="n">
        <v>64200</v>
      </c>
      <c r="G919" s="34" t="n">
        <v>3.89</v>
      </c>
      <c r="H919" s="34" t="n">
        <v>46.8</v>
      </c>
      <c r="I919" s="34" t="n">
        <v>0</v>
      </c>
      <c r="J919" s="95" t="n">
        <f aca="false">IF(N(E919)&gt;0,E919,IF(N(F919)&gt;0,F919*가정!$B$5,0))</f>
        <v>199000</v>
      </c>
      <c r="K919" s="95" t="n">
        <f aca="false">IF(N(F919)&gt;0,F919,IF(N(E919)&gt;0,E919/가정!$B$5,0))</f>
        <v>64200</v>
      </c>
      <c r="L919" s="95" t="n">
        <f aca="false">IF(B919="CN",IF(N(I919)&gt;0,I919*가정!$B$3,K919*(1+가정!$B$6)),IF(N(H919)&gt;0,H919*가정!$B$3,J919*가정!$B$4))</f>
        <v>63778.104</v>
      </c>
      <c r="M919" s="95" t="n">
        <f aca="false">D919*J919</f>
        <v>3980000</v>
      </c>
      <c r="N919" s="95" t="n">
        <f aca="false">D919*K919</f>
        <v>1284000</v>
      </c>
      <c r="O919" s="95" t="n">
        <f aca="false">D919*L919</f>
        <v>1275562.08</v>
      </c>
      <c r="P919" s="34" t="str">
        <f aca="false">TRIM(IF(N(E919)&lt;=0,"택가보정 ","")&amp;IF(N(F919)&lt;=0,"원가보정 ","")&amp;IF(AND(B919&lt;&gt;"CN",N(H919)&lt;=0),"공급가보정 ","")&amp;IF(AND(B919="CN",N(I919)&lt;=0),"중국공급가=원가+마진 ",""))</f>
        <v/>
      </c>
    </row>
    <row r="920" customFormat="false" ht="15" hidden="false" customHeight="true" outlineLevel="0" collapsed="false">
      <c r="A920" s="94" t="s">
        <v>1684</v>
      </c>
      <c r="B920" s="34" t="str">
        <f aca="false">IF(A920="100","HK",IF(A920="200","CN",IF(A920="300","TW","홀세일")))</f>
        <v>HK</v>
      </c>
      <c r="C920" s="94" t="s">
        <v>528</v>
      </c>
      <c r="D920" s="95" t="n">
        <v>180</v>
      </c>
      <c r="E920" s="95" t="n">
        <v>79000</v>
      </c>
      <c r="F920" s="95" t="n">
        <v>15000</v>
      </c>
      <c r="G920" s="34" t="n">
        <v>3.73</v>
      </c>
      <c r="H920" s="34" t="n">
        <v>18.6</v>
      </c>
      <c r="I920" s="34" t="n">
        <v>0</v>
      </c>
      <c r="J920" s="95" t="n">
        <f aca="false">IF(N(E920)&gt;0,E920,IF(N(F920)&gt;0,F920*가정!$B$5,0))</f>
        <v>79000</v>
      </c>
      <c r="K920" s="95" t="n">
        <f aca="false">IF(N(F920)&gt;0,F920,IF(N(E920)&gt;0,E920/가정!$B$5,0))</f>
        <v>15000</v>
      </c>
      <c r="L920" s="95" t="n">
        <f aca="false">IF(B920="CN",IF(N(I920)&gt;0,I920*가정!$B$3,K920*(1+가정!$B$6)),IF(N(H920)&gt;0,H920*가정!$B$3,J920*가정!$B$4))</f>
        <v>25347.708</v>
      </c>
      <c r="M920" s="95" t="n">
        <f aca="false">D920*J920</f>
        <v>14220000</v>
      </c>
      <c r="N920" s="95" t="n">
        <f aca="false">D920*K920</f>
        <v>2700000</v>
      </c>
      <c r="O920" s="95" t="n">
        <f aca="false">D920*L920</f>
        <v>4562587.44</v>
      </c>
      <c r="P920" s="34" t="str">
        <f aca="false">TRIM(IF(N(E920)&lt;=0,"택가보정 ","")&amp;IF(N(F920)&lt;=0,"원가보정 ","")&amp;IF(AND(B920&lt;&gt;"CN",N(H920)&lt;=0),"공급가보정 ","")&amp;IF(AND(B920="CN",N(I920)&lt;=0),"중국공급가=원가+마진 ",""))</f>
        <v/>
      </c>
    </row>
    <row r="921" customFormat="false" ht="15" hidden="false" customHeight="true" outlineLevel="0" collapsed="false">
      <c r="A921" s="94" t="s">
        <v>1686</v>
      </c>
      <c r="B921" s="34" t="str">
        <f aca="false">IF(A921="100","HK",IF(A921="200","CN",IF(A921="300","TW","홀세일")))</f>
        <v>TW</v>
      </c>
      <c r="C921" s="94" t="s">
        <v>528</v>
      </c>
      <c r="D921" s="95" t="n">
        <v>290</v>
      </c>
      <c r="E921" s="95" t="n">
        <v>79000</v>
      </c>
      <c r="F921" s="95" t="n">
        <v>15000</v>
      </c>
      <c r="G921" s="34" t="n">
        <v>3.73</v>
      </c>
      <c r="H921" s="34" t="n">
        <v>18.6</v>
      </c>
      <c r="I921" s="34" t="n">
        <v>0</v>
      </c>
      <c r="J921" s="95" t="n">
        <f aca="false">IF(N(E921)&gt;0,E921,IF(N(F921)&gt;0,F921*가정!$B$5,0))</f>
        <v>79000</v>
      </c>
      <c r="K921" s="95" t="n">
        <f aca="false">IF(N(F921)&gt;0,F921,IF(N(E921)&gt;0,E921/가정!$B$5,0))</f>
        <v>15000</v>
      </c>
      <c r="L921" s="95" t="n">
        <f aca="false">IF(B921="CN",IF(N(I921)&gt;0,I921*가정!$B$3,K921*(1+가정!$B$6)),IF(N(H921)&gt;0,H921*가정!$B$3,J921*가정!$B$4))</f>
        <v>25347.708</v>
      </c>
      <c r="M921" s="95" t="n">
        <f aca="false">D921*J921</f>
        <v>22910000</v>
      </c>
      <c r="N921" s="95" t="n">
        <f aca="false">D921*K921</f>
        <v>4350000</v>
      </c>
      <c r="O921" s="95" t="n">
        <f aca="false">D921*L921</f>
        <v>7350835.32</v>
      </c>
      <c r="P921" s="34" t="str">
        <f aca="false">TRIM(IF(N(E921)&lt;=0,"택가보정 ","")&amp;IF(N(F921)&lt;=0,"원가보정 ","")&amp;IF(AND(B921&lt;&gt;"CN",N(H921)&lt;=0),"공급가보정 ","")&amp;IF(AND(B921="CN",N(I921)&lt;=0),"중국공급가=원가+마진 ",""))</f>
        <v/>
      </c>
    </row>
    <row r="922" customFormat="false" ht="15" hidden="false" customHeight="true" outlineLevel="0" collapsed="false">
      <c r="A922" s="94" t="s">
        <v>1689</v>
      </c>
      <c r="B922" s="34" t="str">
        <f aca="false">IF(A922="100","HK",IF(A922="200","CN",IF(A922="300","TW","홀세일")))</f>
        <v>홀세일</v>
      </c>
      <c r="C922" s="94" t="s">
        <v>528</v>
      </c>
      <c r="D922" s="95" t="n">
        <v>70</v>
      </c>
      <c r="E922" s="95" t="n">
        <v>79000</v>
      </c>
      <c r="F922" s="95" t="n">
        <v>15000</v>
      </c>
      <c r="G922" s="34" t="n">
        <v>3.73</v>
      </c>
      <c r="H922" s="34" t="n">
        <v>18.6</v>
      </c>
      <c r="I922" s="34" t="n">
        <v>0</v>
      </c>
      <c r="J922" s="95" t="n">
        <f aca="false">IF(N(E922)&gt;0,E922,IF(N(F922)&gt;0,F922*가정!$B$5,0))</f>
        <v>79000</v>
      </c>
      <c r="K922" s="95" t="n">
        <f aca="false">IF(N(F922)&gt;0,F922,IF(N(E922)&gt;0,E922/가정!$B$5,0))</f>
        <v>15000</v>
      </c>
      <c r="L922" s="95" t="n">
        <f aca="false">IF(B922="CN",IF(N(I922)&gt;0,I922*가정!$B$3,K922*(1+가정!$B$6)),IF(N(H922)&gt;0,H922*가정!$B$3,J922*가정!$B$4))</f>
        <v>25347.708</v>
      </c>
      <c r="M922" s="95" t="n">
        <f aca="false">D922*J922</f>
        <v>5530000</v>
      </c>
      <c r="N922" s="95" t="n">
        <f aca="false">D922*K922</f>
        <v>1050000</v>
      </c>
      <c r="O922" s="95" t="n">
        <f aca="false">D922*L922</f>
        <v>1774339.56</v>
      </c>
      <c r="P922" s="34" t="str">
        <f aca="false">TRIM(IF(N(E922)&lt;=0,"택가보정 ","")&amp;IF(N(F922)&lt;=0,"원가보정 ","")&amp;IF(AND(B922&lt;&gt;"CN",N(H922)&lt;=0),"공급가보정 ","")&amp;IF(AND(B922="CN",N(I922)&lt;=0),"중국공급가=원가+마진 ",""))</f>
        <v/>
      </c>
    </row>
    <row r="923" customFormat="false" ht="15" hidden="false" customHeight="true" outlineLevel="0" collapsed="false">
      <c r="A923" s="94" t="s">
        <v>1684</v>
      </c>
      <c r="B923" s="34" t="str">
        <f aca="false">IF(A923="100","HK",IF(A923="200","CN",IF(A923="300","TW","홀세일")))</f>
        <v>HK</v>
      </c>
      <c r="C923" s="94" t="s">
        <v>955</v>
      </c>
      <c r="D923" s="95" t="n">
        <v>200</v>
      </c>
      <c r="E923" s="95" t="n">
        <v>109000</v>
      </c>
      <c r="F923" s="95" t="n">
        <v>24800</v>
      </c>
      <c r="G923" s="34" t="n">
        <v>3.96</v>
      </c>
      <c r="H923" s="34" t="n">
        <v>26.4</v>
      </c>
      <c r="I923" s="34" t="n">
        <v>0</v>
      </c>
      <c r="J923" s="95" t="n">
        <f aca="false">IF(N(E923)&gt;0,E923,IF(N(F923)&gt;0,F923*가정!$B$5,0))</f>
        <v>109000</v>
      </c>
      <c r="K923" s="95" t="n">
        <f aca="false">IF(N(F923)&gt;0,F923,IF(N(E923)&gt;0,E923/가정!$B$5,0))</f>
        <v>24800</v>
      </c>
      <c r="L923" s="95" t="n">
        <f aca="false">IF(B923="CN",IF(N(I923)&gt;0,I923*가정!$B$3,K923*(1+가정!$B$6)),IF(N(H923)&gt;0,H923*가정!$B$3,J923*가정!$B$4))</f>
        <v>35977.392</v>
      </c>
      <c r="M923" s="95" t="n">
        <f aca="false">D923*J923</f>
        <v>21800000</v>
      </c>
      <c r="N923" s="95" t="n">
        <f aca="false">D923*K923</f>
        <v>4960000</v>
      </c>
      <c r="O923" s="95" t="n">
        <f aca="false">D923*L923</f>
        <v>7195478.4</v>
      </c>
      <c r="P923" s="34" t="str">
        <f aca="false">TRIM(IF(N(E923)&lt;=0,"택가보정 ","")&amp;IF(N(F923)&lt;=0,"원가보정 ","")&amp;IF(AND(B923&lt;&gt;"CN",N(H923)&lt;=0),"공급가보정 ","")&amp;IF(AND(B923="CN",N(I923)&lt;=0),"중국공급가=원가+마진 ",""))</f>
        <v/>
      </c>
    </row>
    <row r="924" customFormat="false" ht="15" hidden="false" customHeight="true" outlineLevel="0" collapsed="false">
      <c r="A924" s="94" t="s">
        <v>1684</v>
      </c>
      <c r="B924" s="34" t="str">
        <f aca="false">IF(A924="100","HK",IF(A924="200","CN",IF(A924="300","TW","홀세일")))</f>
        <v>HK</v>
      </c>
      <c r="C924" s="94" t="s">
        <v>957</v>
      </c>
      <c r="D924" s="95" t="n">
        <v>200</v>
      </c>
      <c r="E924" s="95" t="n">
        <v>69000</v>
      </c>
      <c r="F924" s="95" t="n">
        <v>14500</v>
      </c>
      <c r="G924" s="34" t="n">
        <v>3.5</v>
      </c>
      <c r="H924" s="34" t="n">
        <v>16.3</v>
      </c>
      <c r="I924" s="34" t="n">
        <v>0</v>
      </c>
      <c r="J924" s="95" t="n">
        <f aca="false">IF(N(E924)&gt;0,E924,IF(N(F924)&gt;0,F924*가정!$B$5,0))</f>
        <v>69000</v>
      </c>
      <c r="K924" s="95" t="n">
        <f aca="false">IF(N(F924)&gt;0,F924,IF(N(E924)&gt;0,E924/가정!$B$5,0))</f>
        <v>14500</v>
      </c>
      <c r="L924" s="95" t="n">
        <f aca="false">IF(B924="CN",IF(N(I924)&gt;0,I924*가정!$B$3,K924*(1+가정!$B$6)),IF(N(H924)&gt;0,H924*가정!$B$3,J924*가정!$B$4))</f>
        <v>22213.314</v>
      </c>
      <c r="M924" s="95" t="n">
        <f aca="false">D924*J924</f>
        <v>13800000</v>
      </c>
      <c r="N924" s="95" t="n">
        <f aca="false">D924*K924</f>
        <v>2900000</v>
      </c>
      <c r="O924" s="95" t="n">
        <f aca="false">D924*L924</f>
        <v>4442662.8</v>
      </c>
      <c r="P924" s="34" t="str">
        <f aca="false">TRIM(IF(N(E924)&lt;=0,"택가보정 ","")&amp;IF(N(F924)&lt;=0,"원가보정 ","")&amp;IF(AND(B924&lt;&gt;"CN",N(H924)&lt;=0),"공급가보정 ","")&amp;IF(AND(B924="CN",N(I924)&lt;=0),"중국공급가=원가+마진 ",""))</f>
        <v/>
      </c>
    </row>
    <row r="925" customFormat="false" ht="15" hidden="false" customHeight="true" outlineLevel="0" collapsed="false">
      <c r="A925" s="94" t="s">
        <v>1689</v>
      </c>
      <c r="B925" s="34" t="str">
        <f aca="false">IF(A925="100","HK",IF(A925="200","CN",IF(A925="300","TW","홀세일")))</f>
        <v>홀세일</v>
      </c>
      <c r="C925" s="94" t="s">
        <v>957</v>
      </c>
      <c r="D925" s="95" t="n">
        <v>80</v>
      </c>
      <c r="E925" s="95" t="n">
        <v>69000</v>
      </c>
      <c r="F925" s="95" t="n">
        <v>14500</v>
      </c>
      <c r="G925" s="34" t="n">
        <v>3.5</v>
      </c>
      <c r="H925" s="34" t="n">
        <v>16.3</v>
      </c>
      <c r="I925" s="34" t="n">
        <v>0</v>
      </c>
      <c r="J925" s="95" t="n">
        <f aca="false">IF(N(E925)&gt;0,E925,IF(N(F925)&gt;0,F925*가정!$B$5,0))</f>
        <v>69000</v>
      </c>
      <c r="K925" s="95" t="n">
        <f aca="false">IF(N(F925)&gt;0,F925,IF(N(E925)&gt;0,E925/가정!$B$5,0))</f>
        <v>14500</v>
      </c>
      <c r="L925" s="95" t="n">
        <f aca="false">IF(B925="CN",IF(N(I925)&gt;0,I925*가정!$B$3,K925*(1+가정!$B$6)),IF(N(H925)&gt;0,H925*가정!$B$3,J925*가정!$B$4))</f>
        <v>22213.314</v>
      </c>
      <c r="M925" s="95" t="n">
        <f aca="false">D925*J925</f>
        <v>5520000</v>
      </c>
      <c r="N925" s="95" t="n">
        <f aca="false">D925*K925</f>
        <v>1160000</v>
      </c>
      <c r="O925" s="95" t="n">
        <f aca="false">D925*L925</f>
        <v>1777065.12</v>
      </c>
      <c r="P925" s="34" t="str">
        <f aca="false">TRIM(IF(N(E925)&lt;=0,"택가보정 ","")&amp;IF(N(F925)&lt;=0,"원가보정 ","")&amp;IF(AND(B925&lt;&gt;"CN",N(H925)&lt;=0),"공급가보정 ","")&amp;IF(AND(B925="CN",N(I925)&lt;=0),"중국공급가=원가+마진 ",""))</f>
        <v/>
      </c>
    </row>
    <row r="926" customFormat="false" ht="15" hidden="false" customHeight="true" outlineLevel="0" collapsed="false">
      <c r="A926" s="94" t="s">
        <v>1690</v>
      </c>
      <c r="B926" s="34" t="str">
        <f aca="false">IF(A926="100","HK",IF(A926="200","CN",IF(A926="300","TW","홀세일")))</f>
        <v>홀세일</v>
      </c>
      <c r="C926" s="94" t="s">
        <v>957</v>
      </c>
      <c r="D926" s="95" t="n">
        <v>204</v>
      </c>
      <c r="E926" s="95" t="n">
        <v>69000</v>
      </c>
      <c r="F926" s="95" t="n">
        <v>14500</v>
      </c>
      <c r="G926" s="34" t="n">
        <v>3.5</v>
      </c>
      <c r="H926" s="34" t="n">
        <v>16.3</v>
      </c>
      <c r="I926" s="34" t="n">
        <v>0</v>
      </c>
      <c r="J926" s="95" t="n">
        <f aca="false">IF(N(E926)&gt;0,E926,IF(N(F926)&gt;0,F926*가정!$B$5,0))</f>
        <v>69000</v>
      </c>
      <c r="K926" s="95" t="n">
        <f aca="false">IF(N(F926)&gt;0,F926,IF(N(E926)&gt;0,E926/가정!$B$5,0))</f>
        <v>14500</v>
      </c>
      <c r="L926" s="95" t="n">
        <f aca="false">IF(B926="CN",IF(N(I926)&gt;0,I926*가정!$B$3,K926*(1+가정!$B$6)),IF(N(H926)&gt;0,H926*가정!$B$3,J926*가정!$B$4))</f>
        <v>22213.314</v>
      </c>
      <c r="M926" s="95" t="n">
        <f aca="false">D926*J926</f>
        <v>14076000</v>
      </c>
      <c r="N926" s="95" t="n">
        <f aca="false">D926*K926</f>
        <v>2958000</v>
      </c>
      <c r="O926" s="95" t="n">
        <f aca="false">D926*L926</f>
        <v>4531516.056</v>
      </c>
      <c r="P926" s="34" t="str">
        <f aca="false">TRIM(IF(N(E926)&lt;=0,"택가보정 ","")&amp;IF(N(F926)&lt;=0,"원가보정 ","")&amp;IF(AND(B926&lt;&gt;"CN",N(H926)&lt;=0),"공급가보정 ","")&amp;IF(AND(B926="CN",N(I926)&lt;=0),"중국공급가=원가+마진 ",""))</f>
        <v/>
      </c>
    </row>
    <row r="927" customFormat="false" ht="15" hidden="false" customHeight="true" outlineLevel="0" collapsed="false">
      <c r="A927" s="94" t="s">
        <v>1685</v>
      </c>
      <c r="B927" s="34" t="str">
        <f aca="false">IF(A927="100","HK",IF(A927="200","CN",IF(A927="300","TW","홀세일")))</f>
        <v>CN</v>
      </c>
      <c r="C927" s="94" t="s">
        <v>1122</v>
      </c>
      <c r="D927" s="95" t="n">
        <v>242</v>
      </c>
      <c r="E927" s="95" t="n">
        <v>59000</v>
      </c>
      <c r="F927" s="95" t="n">
        <v>11200</v>
      </c>
      <c r="G927" s="34" t="n">
        <v>4.58</v>
      </c>
      <c r="H927" s="34" t="n">
        <v>14.3</v>
      </c>
      <c r="I927" s="34" t="n">
        <v>9.1</v>
      </c>
      <c r="J927" s="95" t="n">
        <f aca="false">IF(N(E927)&gt;0,E927,IF(N(F927)&gt;0,F927*가정!$B$5,0))</f>
        <v>59000</v>
      </c>
      <c r="K927" s="95" t="n">
        <f aca="false">IF(N(F927)&gt;0,F927,IF(N(E927)&gt;0,E927/가정!$B$5,0))</f>
        <v>11200</v>
      </c>
      <c r="L927" s="95" t="n">
        <f aca="false">IF(B927="CN",IF(N(I927)&gt;0,I927*가정!$B$3,K927*(1+가정!$B$6)),IF(N(H927)&gt;0,H927*가정!$B$3,J927*가정!$B$4))</f>
        <v>12401.298</v>
      </c>
      <c r="M927" s="95" t="n">
        <f aca="false">D927*J927</f>
        <v>14278000</v>
      </c>
      <c r="N927" s="95" t="n">
        <f aca="false">D927*K927</f>
        <v>2710400</v>
      </c>
      <c r="O927" s="95" t="n">
        <f aca="false">D927*L927</f>
        <v>3001114.116</v>
      </c>
      <c r="P927" s="34" t="str">
        <f aca="false">TRIM(IF(N(E927)&lt;=0,"택가보정 ","")&amp;IF(N(F927)&lt;=0,"원가보정 ","")&amp;IF(AND(B927&lt;&gt;"CN",N(H927)&lt;=0),"공급가보정 ","")&amp;IF(AND(B927="CN",N(I927)&lt;=0),"중국공급가=원가+마진 ",""))</f>
        <v/>
      </c>
    </row>
    <row r="928" customFormat="false" ht="15" hidden="false" customHeight="true" outlineLevel="0" collapsed="false">
      <c r="A928" s="94" t="s">
        <v>1684</v>
      </c>
      <c r="B928" s="34" t="str">
        <f aca="false">IF(A928="100","HK",IF(A928="200","CN",IF(A928="300","TW","홀세일")))</f>
        <v>HK</v>
      </c>
      <c r="C928" s="94" t="s">
        <v>530</v>
      </c>
      <c r="D928" s="95" t="n">
        <v>350</v>
      </c>
      <c r="E928" s="95" t="n">
        <v>59000</v>
      </c>
      <c r="F928" s="95" t="n">
        <v>13700</v>
      </c>
      <c r="G928" s="34" t="n">
        <v>4.09</v>
      </c>
      <c r="H928" s="34" t="n">
        <v>13.9</v>
      </c>
      <c r="I928" s="34" t="n">
        <v>11.4</v>
      </c>
      <c r="J928" s="95" t="n">
        <f aca="false">IF(N(E928)&gt;0,E928,IF(N(F928)&gt;0,F928*가정!$B$5,0))</f>
        <v>59000</v>
      </c>
      <c r="K928" s="95" t="n">
        <f aca="false">IF(N(F928)&gt;0,F928,IF(N(E928)&gt;0,E928/가정!$B$5,0))</f>
        <v>13700</v>
      </c>
      <c r="L928" s="95" t="n">
        <f aca="false">IF(B928="CN",IF(N(I928)&gt;0,I928*가정!$B$3,K928*(1+가정!$B$6)),IF(N(H928)&gt;0,H928*가정!$B$3,J928*가정!$B$4))</f>
        <v>18942.642</v>
      </c>
      <c r="M928" s="95" t="n">
        <f aca="false">D928*J928</f>
        <v>20650000</v>
      </c>
      <c r="N928" s="95" t="n">
        <f aca="false">D928*K928</f>
        <v>4795000</v>
      </c>
      <c r="O928" s="95" t="n">
        <f aca="false">D928*L928</f>
        <v>6629924.7</v>
      </c>
      <c r="P928" s="34" t="str">
        <f aca="false">TRIM(IF(N(E928)&lt;=0,"택가보정 ","")&amp;IF(N(F928)&lt;=0,"원가보정 ","")&amp;IF(AND(B928&lt;&gt;"CN",N(H928)&lt;=0),"공급가보정 ","")&amp;IF(AND(B928="CN",N(I928)&lt;=0),"중국공급가=원가+마진 ",""))</f>
        <v/>
      </c>
    </row>
    <row r="929" customFormat="false" ht="15" hidden="false" customHeight="true" outlineLevel="0" collapsed="false">
      <c r="A929" s="94" t="s">
        <v>1685</v>
      </c>
      <c r="B929" s="34" t="str">
        <f aca="false">IF(A929="100","HK",IF(A929="200","CN",IF(A929="300","TW","홀세일")))</f>
        <v>CN</v>
      </c>
      <c r="C929" s="94" t="s">
        <v>530</v>
      </c>
      <c r="D929" s="95" t="n">
        <v>483</v>
      </c>
      <c r="E929" s="95" t="n">
        <v>59000</v>
      </c>
      <c r="F929" s="95" t="n">
        <v>13700</v>
      </c>
      <c r="G929" s="34" t="n">
        <v>4.09</v>
      </c>
      <c r="H929" s="34" t="n">
        <v>13.9</v>
      </c>
      <c r="I929" s="34" t="n">
        <v>11.4</v>
      </c>
      <c r="J929" s="95" t="n">
        <f aca="false">IF(N(E929)&gt;0,E929,IF(N(F929)&gt;0,F929*가정!$B$5,0))</f>
        <v>59000</v>
      </c>
      <c r="K929" s="95" t="n">
        <f aca="false">IF(N(F929)&gt;0,F929,IF(N(E929)&gt;0,E929/가정!$B$5,0))</f>
        <v>13700</v>
      </c>
      <c r="L929" s="95" t="n">
        <f aca="false">IF(B929="CN",IF(N(I929)&gt;0,I929*가정!$B$3,K929*(1+가정!$B$6)),IF(N(H929)&gt;0,H929*가정!$B$3,J929*가정!$B$4))</f>
        <v>15535.692</v>
      </c>
      <c r="M929" s="95" t="n">
        <f aca="false">D929*J929</f>
        <v>28497000</v>
      </c>
      <c r="N929" s="95" t="n">
        <f aca="false">D929*K929</f>
        <v>6617100</v>
      </c>
      <c r="O929" s="95" t="n">
        <f aca="false">D929*L929</f>
        <v>7503739.236</v>
      </c>
      <c r="P929" s="34" t="str">
        <f aca="false">TRIM(IF(N(E929)&lt;=0,"택가보정 ","")&amp;IF(N(F929)&lt;=0,"원가보정 ","")&amp;IF(AND(B929&lt;&gt;"CN",N(H929)&lt;=0),"공급가보정 ","")&amp;IF(AND(B929="CN",N(I929)&lt;=0),"중국공급가=원가+마진 ",""))</f>
        <v/>
      </c>
    </row>
    <row r="930" customFormat="false" ht="15" hidden="false" customHeight="true" outlineLevel="0" collapsed="false">
      <c r="A930" s="94" t="s">
        <v>1686</v>
      </c>
      <c r="B930" s="34" t="str">
        <f aca="false">IF(A930="100","HK",IF(A930="200","CN",IF(A930="300","TW","홀세일")))</f>
        <v>TW</v>
      </c>
      <c r="C930" s="94" t="s">
        <v>530</v>
      </c>
      <c r="D930" s="95" t="n">
        <v>540</v>
      </c>
      <c r="E930" s="95" t="n">
        <v>59000</v>
      </c>
      <c r="F930" s="95" t="n">
        <v>13700</v>
      </c>
      <c r="G930" s="34" t="n">
        <v>4.09</v>
      </c>
      <c r="H930" s="34" t="n">
        <v>13.9</v>
      </c>
      <c r="I930" s="34" t="n">
        <v>11.4</v>
      </c>
      <c r="J930" s="95" t="n">
        <f aca="false">IF(N(E930)&gt;0,E930,IF(N(F930)&gt;0,F930*가정!$B$5,0))</f>
        <v>59000</v>
      </c>
      <c r="K930" s="95" t="n">
        <f aca="false">IF(N(F930)&gt;0,F930,IF(N(E930)&gt;0,E930/가정!$B$5,0))</f>
        <v>13700</v>
      </c>
      <c r="L930" s="95" t="n">
        <f aca="false">IF(B930="CN",IF(N(I930)&gt;0,I930*가정!$B$3,K930*(1+가정!$B$6)),IF(N(H930)&gt;0,H930*가정!$B$3,J930*가정!$B$4))</f>
        <v>18942.642</v>
      </c>
      <c r="M930" s="95" t="n">
        <f aca="false">D930*J930</f>
        <v>31860000</v>
      </c>
      <c r="N930" s="95" t="n">
        <f aca="false">D930*K930</f>
        <v>7398000</v>
      </c>
      <c r="O930" s="95" t="n">
        <f aca="false">D930*L930</f>
        <v>10229026.68</v>
      </c>
      <c r="P930" s="34" t="str">
        <f aca="false">TRIM(IF(N(E930)&lt;=0,"택가보정 ","")&amp;IF(N(F930)&lt;=0,"원가보정 ","")&amp;IF(AND(B930&lt;&gt;"CN",N(H930)&lt;=0),"공급가보정 ","")&amp;IF(AND(B930="CN",N(I930)&lt;=0),"중국공급가=원가+마진 ",""))</f>
        <v/>
      </c>
    </row>
    <row r="931" customFormat="false" ht="15" hidden="false" customHeight="true" outlineLevel="0" collapsed="false">
      <c r="A931" s="94" t="s">
        <v>1688</v>
      </c>
      <c r="B931" s="34" t="str">
        <f aca="false">IF(A931="100","HK",IF(A931="200","CN",IF(A931="300","TW","홀세일")))</f>
        <v>홀세일</v>
      </c>
      <c r="C931" s="94" t="s">
        <v>530</v>
      </c>
      <c r="D931" s="95" t="n">
        <v>210</v>
      </c>
      <c r="E931" s="95" t="n">
        <v>59000</v>
      </c>
      <c r="F931" s="95" t="n">
        <v>13700</v>
      </c>
      <c r="G931" s="34" t="n">
        <v>4.09</v>
      </c>
      <c r="H931" s="34" t="n">
        <v>13.9</v>
      </c>
      <c r="I931" s="34" t="n">
        <v>11.4</v>
      </c>
      <c r="J931" s="95" t="n">
        <f aca="false">IF(N(E931)&gt;0,E931,IF(N(F931)&gt;0,F931*가정!$B$5,0))</f>
        <v>59000</v>
      </c>
      <c r="K931" s="95" t="n">
        <f aca="false">IF(N(F931)&gt;0,F931,IF(N(E931)&gt;0,E931/가정!$B$5,0))</f>
        <v>13700</v>
      </c>
      <c r="L931" s="95" t="n">
        <f aca="false">IF(B931="CN",IF(N(I931)&gt;0,I931*가정!$B$3,K931*(1+가정!$B$6)),IF(N(H931)&gt;0,H931*가정!$B$3,J931*가정!$B$4))</f>
        <v>18942.642</v>
      </c>
      <c r="M931" s="95" t="n">
        <f aca="false">D931*J931</f>
        <v>12390000</v>
      </c>
      <c r="N931" s="95" t="n">
        <f aca="false">D931*K931</f>
        <v>2877000</v>
      </c>
      <c r="O931" s="95" t="n">
        <f aca="false">D931*L931</f>
        <v>3977954.82</v>
      </c>
      <c r="P931" s="34" t="str">
        <f aca="false">TRIM(IF(N(E931)&lt;=0,"택가보정 ","")&amp;IF(N(F931)&lt;=0,"원가보정 ","")&amp;IF(AND(B931&lt;&gt;"CN",N(H931)&lt;=0),"공급가보정 ","")&amp;IF(AND(B931="CN",N(I931)&lt;=0),"중국공급가=원가+마진 ",""))</f>
        <v/>
      </c>
    </row>
    <row r="932" customFormat="false" ht="15" hidden="false" customHeight="true" outlineLevel="0" collapsed="false">
      <c r="A932" s="94" t="s">
        <v>1692</v>
      </c>
      <c r="B932" s="34" t="str">
        <f aca="false">IF(A932="100","HK",IF(A932="200","CN",IF(A932="300","TW","홀세일")))</f>
        <v>홀세일</v>
      </c>
      <c r="C932" s="94" t="s">
        <v>530</v>
      </c>
      <c r="D932" s="95" t="n">
        <v>232</v>
      </c>
      <c r="E932" s="95" t="n">
        <v>59000</v>
      </c>
      <c r="F932" s="95" t="n">
        <v>13700</v>
      </c>
      <c r="G932" s="34" t="n">
        <v>4.09</v>
      </c>
      <c r="H932" s="34" t="n">
        <v>13.9</v>
      </c>
      <c r="I932" s="34" t="n">
        <v>11.4</v>
      </c>
      <c r="J932" s="95" t="n">
        <f aca="false">IF(N(E932)&gt;0,E932,IF(N(F932)&gt;0,F932*가정!$B$5,0))</f>
        <v>59000</v>
      </c>
      <c r="K932" s="95" t="n">
        <f aca="false">IF(N(F932)&gt;0,F932,IF(N(E932)&gt;0,E932/가정!$B$5,0))</f>
        <v>13700</v>
      </c>
      <c r="L932" s="95" t="n">
        <f aca="false">IF(B932="CN",IF(N(I932)&gt;0,I932*가정!$B$3,K932*(1+가정!$B$6)),IF(N(H932)&gt;0,H932*가정!$B$3,J932*가정!$B$4))</f>
        <v>18942.642</v>
      </c>
      <c r="M932" s="95" t="n">
        <f aca="false">D932*J932</f>
        <v>13688000</v>
      </c>
      <c r="N932" s="95" t="n">
        <f aca="false">D932*K932</f>
        <v>3178400</v>
      </c>
      <c r="O932" s="95" t="n">
        <f aca="false">D932*L932</f>
        <v>4394692.944</v>
      </c>
      <c r="P932" s="34" t="str">
        <f aca="false">TRIM(IF(N(E932)&lt;=0,"택가보정 ","")&amp;IF(N(F932)&lt;=0,"원가보정 ","")&amp;IF(AND(B932&lt;&gt;"CN",N(H932)&lt;=0),"공급가보정 ","")&amp;IF(AND(B932="CN",N(I932)&lt;=0),"중국공급가=원가+마진 ",""))</f>
        <v/>
      </c>
    </row>
    <row r="933" customFormat="false" ht="15" hidden="false" customHeight="true" outlineLevel="0" collapsed="false">
      <c r="A933" s="94" t="s">
        <v>1691</v>
      </c>
      <c r="B933" s="34" t="str">
        <f aca="false">IF(A933="100","HK",IF(A933="200","CN",IF(A933="300","TW","홀세일")))</f>
        <v>홀세일</v>
      </c>
      <c r="C933" s="94" t="s">
        <v>530</v>
      </c>
      <c r="D933" s="95" t="n">
        <v>105</v>
      </c>
      <c r="E933" s="95" t="n">
        <v>59000</v>
      </c>
      <c r="F933" s="95" t="n">
        <v>13700</v>
      </c>
      <c r="G933" s="34" t="n">
        <v>4.09</v>
      </c>
      <c r="H933" s="34" t="n">
        <v>13.9</v>
      </c>
      <c r="I933" s="34" t="n">
        <v>11.4</v>
      </c>
      <c r="J933" s="95" t="n">
        <f aca="false">IF(N(E933)&gt;0,E933,IF(N(F933)&gt;0,F933*가정!$B$5,0))</f>
        <v>59000</v>
      </c>
      <c r="K933" s="95" t="n">
        <f aca="false">IF(N(F933)&gt;0,F933,IF(N(E933)&gt;0,E933/가정!$B$5,0))</f>
        <v>13700</v>
      </c>
      <c r="L933" s="95" t="n">
        <f aca="false">IF(B933="CN",IF(N(I933)&gt;0,I933*가정!$B$3,K933*(1+가정!$B$6)),IF(N(H933)&gt;0,H933*가정!$B$3,J933*가정!$B$4))</f>
        <v>18942.642</v>
      </c>
      <c r="M933" s="95" t="n">
        <f aca="false">D933*J933</f>
        <v>6195000</v>
      </c>
      <c r="N933" s="95" t="n">
        <f aca="false">D933*K933</f>
        <v>1438500</v>
      </c>
      <c r="O933" s="95" t="n">
        <f aca="false">D933*L933</f>
        <v>1988977.41</v>
      </c>
      <c r="P933" s="34" t="str">
        <f aca="false">TRIM(IF(N(E933)&lt;=0,"택가보정 ","")&amp;IF(N(F933)&lt;=0,"원가보정 ","")&amp;IF(AND(B933&lt;&gt;"CN",N(H933)&lt;=0),"공급가보정 ","")&amp;IF(AND(B933="CN",N(I933)&lt;=0),"중국공급가=원가+마진 ",""))</f>
        <v/>
      </c>
    </row>
    <row r="934" customFormat="false" ht="15" hidden="false" customHeight="true" outlineLevel="0" collapsed="false">
      <c r="A934" s="94" t="s">
        <v>1688</v>
      </c>
      <c r="B934" s="34" t="str">
        <f aca="false">IF(A934="100","HK",IF(A934="200","CN",IF(A934="300","TW","홀세일")))</f>
        <v>홀세일</v>
      </c>
      <c r="C934" s="94" t="s">
        <v>1375</v>
      </c>
      <c r="D934" s="95" t="n">
        <v>50</v>
      </c>
      <c r="E934" s="95" t="n">
        <v>69000</v>
      </c>
      <c r="F934" s="95" t="n">
        <v>14100</v>
      </c>
      <c r="G934" s="34" t="n">
        <v>4.51</v>
      </c>
      <c r="H934" s="34" t="n">
        <v>16.3</v>
      </c>
      <c r="I934" s="34" t="n">
        <v>0</v>
      </c>
      <c r="J934" s="95" t="n">
        <f aca="false">IF(N(E934)&gt;0,E934,IF(N(F934)&gt;0,F934*가정!$B$5,0))</f>
        <v>69000</v>
      </c>
      <c r="K934" s="95" t="n">
        <f aca="false">IF(N(F934)&gt;0,F934,IF(N(E934)&gt;0,E934/가정!$B$5,0))</f>
        <v>14100</v>
      </c>
      <c r="L934" s="95" t="n">
        <f aca="false">IF(B934="CN",IF(N(I934)&gt;0,I934*가정!$B$3,K934*(1+가정!$B$6)),IF(N(H934)&gt;0,H934*가정!$B$3,J934*가정!$B$4))</f>
        <v>22213.314</v>
      </c>
      <c r="M934" s="95" t="n">
        <f aca="false">D934*J934</f>
        <v>3450000</v>
      </c>
      <c r="N934" s="95" t="n">
        <f aca="false">D934*K934</f>
        <v>705000</v>
      </c>
      <c r="O934" s="95" t="n">
        <f aca="false">D934*L934</f>
        <v>1110665.7</v>
      </c>
      <c r="P934" s="34" t="str">
        <f aca="false">TRIM(IF(N(E934)&lt;=0,"택가보정 ","")&amp;IF(N(F934)&lt;=0,"원가보정 ","")&amp;IF(AND(B934&lt;&gt;"CN",N(H934)&lt;=0),"공급가보정 ","")&amp;IF(AND(B934="CN",N(I934)&lt;=0),"중국공급가=원가+마진 ",""))</f>
        <v/>
      </c>
    </row>
    <row r="935" customFormat="false" ht="15" hidden="false" customHeight="true" outlineLevel="0" collapsed="false">
      <c r="A935" s="94" t="s">
        <v>1684</v>
      </c>
      <c r="B935" s="34" t="str">
        <f aca="false">IF(A935="100","HK",IF(A935="200","CN",IF(A935="300","TW","홀세일")))</f>
        <v>HK</v>
      </c>
      <c r="C935" s="94" t="s">
        <v>533</v>
      </c>
      <c r="D935" s="95" t="n">
        <v>120</v>
      </c>
      <c r="E935" s="95" t="n">
        <v>79000</v>
      </c>
      <c r="F935" s="95" t="n">
        <v>15658</v>
      </c>
      <c r="G935" s="34" t="n">
        <v>4.27</v>
      </c>
      <c r="H935" s="34" t="n">
        <v>19.8</v>
      </c>
      <c r="I935" s="34" t="n">
        <v>0</v>
      </c>
      <c r="J935" s="95" t="n">
        <f aca="false">IF(N(E935)&gt;0,E935,IF(N(F935)&gt;0,F935*가정!$B$5,0))</f>
        <v>79000</v>
      </c>
      <c r="K935" s="95" t="n">
        <f aca="false">IF(N(F935)&gt;0,F935,IF(N(E935)&gt;0,E935/가정!$B$5,0))</f>
        <v>15658</v>
      </c>
      <c r="L935" s="95" t="n">
        <f aca="false">IF(B935="CN",IF(N(I935)&gt;0,I935*가정!$B$3,K935*(1+가정!$B$6)),IF(N(H935)&gt;0,H935*가정!$B$3,J935*가정!$B$4))</f>
        <v>26983.044</v>
      </c>
      <c r="M935" s="95" t="n">
        <f aca="false">D935*J935</f>
        <v>9480000</v>
      </c>
      <c r="N935" s="95" t="n">
        <f aca="false">D935*K935</f>
        <v>1878960</v>
      </c>
      <c r="O935" s="95" t="n">
        <f aca="false">D935*L935</f>
        <v>3237965.28</v>
      </c>
      <c r="P935" s="34" t="str">
        <f aca="false">TRIM(IF(N(E935)&lt;=0,"택가보정 ","")&amp;IF(N(F935)&lt;=0,"원가보정 ","")&amp;IF(AND(B935&lt;&gt;"CN",N(H935)&lt;=0),"공급가보정 ","")&amp;IF(AND(B935="CN",N(I935)&lt;=0),"중국공급가=원가+마진 ",""))</f>
        <v/>
      </c>
    </row>
    <row r="936" customFormat="false" ht="15" hidden="false" customHeight="true" outlineLevel="0" collapsed="false">
      <c r="A936" s="94" t="s">
        <v>1686</v>
      </c>
      <c r="B936" s="34" t="str">
        <f aca="false">IF(A936="100","HK",IF(A936="200","CN",IF(A936="300","TW","홀세일")))</f>
        <v>TW</v>
      </c>
      <c r="C936" s="94" t="s">
        <v>533</v>
      </c>
      <c r="D936" s="95" t="n">
        <v>200</v>
      </c>
      <c r="E936" s="95" t="n">
        <v>79000</v>
      </c>
      <c r="F936" s="95" t="n">
        <v>15658</v>
      </c>
      <c r="G936" s="34" t="n">
        <v>4.27</v>
      </c>
      <c r="H936" s="34" t="n">
        <v>19.8</v>
      </c>
      <c r="I936" s="34" t="n">
        <v>0</v>
      </c>
      <c r="J936" s="95" t="n">
        <f aca="false">IF(N(E936)&gt;0,E936,IF(N(F936)&gt;0,F936*가정!$B$5,0))</f>
        <v>79000</v>
      </c>
      <c r="K936" s="95" t="n">
        <f aca="false">IF(N(F936)&gt;0,F936,IF(N(E936)&gt;0,E936/가정!$B$5,0))</f>
        <v>15658</v>
      </c>
      <c r="L936" s="95" t="n">
        <f aca="false">IF(B936="CN",IF(N(I936)&gt;0,I936*가정!$B$3,K936*(1+가정!$B$6)),IF(N(H936)&gt;0,H936*가정!$B$3,J936*가정!$B$4))</f>
        <v>26983.044</v>
      </c>
      <c r="M936" s="95" t="n">
        <f aca="false">D936*J936</f>
        <v>15800000</v>
      </c>
      <c r="N936" s="95" t="n">
        <f aca="false">D936*K936</f>
        <v>3131600</v>
      </c>
      <c r="O936" s="95" t="n">
        <f aca="false">D936*L936</f>
        <v>5396608.8</v>
      </c>
      <c r="P936" s="34" t="str">
        <f aca="false">TRIM(IF(N(E936)&lt;=0,"택가보정 ","")&amp;IF(N(F936)&lt;=0,"원가보정 ","")&amp;IF(AND(B936&lt;&gt;"CN",N(H936)&lt;=0),"공급가보정 ","")&amp;IF(AND(B936="CN",N(I936)&lt;=0),"중국공급가=원가+마진 ",""))</f>
        <v/>
      </c>
    </row>
    <row r="937" customFormat="false" ht="15" hidden="false" customHeight="true" outlineLevel="0" collapsed="false">
      <c r="A937" s="94" t="s">
        <v>1687</v>
      </c>
      <c r="B937" s="34" t="str">
        <f aca="false">IF(A937="100","HK",IF(A937="200","CN",IF(A937="300","TW","홀세일")))</f>
        <v>홀세일</v>
      </c>
      <c r="C937" s="94" t="s">
        <v>533</v>
      </c>
      <c r="D937" s="95" t="n">
        <v>20</v>
      </c>
      <c r="E937" s="95" t="n">
        <v>79000</v>
      </c>
      <c r="F937" s="95" t="n">
        <v>15658</v>
      </c>
      <c r="G937" s="34" t="n">
        <v>4.27</v>
      </c>
      <c r="H937" s="34" t="n">
        <v>19.8</v>
      </c>
      <c r="I937" s="34" t="n">
        <v>0</v>
      </c>
      <c r="J937" s="95" t="n">
        <f aca="false">IF(N(E937)&gt;0,E937,IF(N(F937)&gt;0,F937*가정!$B$5,0))</f>
        <v>79000</v>
      </c>
      <c r="K937" s="95" t="n">
        <f aca="false">IF(N(F937)&gt;0,F937,IF(N(E937)&gt;0,E937/가정!$B$5,0))</f>
        <v>15658</v>
      </c>
      <c r="L937" s="95" t="n">
        <f aca="false">IF(B937="CN",IF(N(I937)&gt;0,I937*가정!$B$3,K937*(1+가정!$B$6)),IF(N(H937)&gt;0,H937*가정!$B$3,J937*가정!$B$4))</f>
        <v>26983.044</v>
      </c>
      <c r="M937" s="95" t="n">
        <f aca="false">D937*J937</f>
        <v>1580000</v>
      </c>
      <c r="N937" s="95" t="n">
        <f aca="false">D937*K937</f>
        <v>313160</v>
      </c>
      <c r="O937" s="95" t="n">
        <f aca="false">D937*L937</f>
        <v>539660.88</v>
      </c>
      <c r="P937" s="34" t="str">
        <f aca="false">TRIM(IF(N(E937)&lt;=0,"택가보정 ","")&amp;IF(N(F937)&lt;=0,"원가보정 ","")&amp;IF(AND(B937&lt;&gt;"CN",N(H937)&lt;=0),"공급가보정 ","")&amp;IF(AND(B937="CN",N(I937)&lt;=0),"중국공급가=원가+마진 ",""))</f>
        <v/>
      </c>
    </row>
    <row r="938" customFormat="false" ht="15" hidden="false" customHeight="true" outlineLevel="0" collapsed="false">
      <c r="A938" s="94" t="s">
        <v>1688</v>
      </c>
      <c r="B938" s="34" t="str">
        <f aca="false">IF(A938="100","HK",IF(A938="200","CN",IF(A938="300","TW","홀세일")))</f>
        <v>홀세일</v>
      </c>
      <c r="C938" s="94" t="s">
        <v>533</v>
      </c>
      <c r="D938" s="95" t="n">
        <v>35</v>
      </c>
      <c r="E938" s="95" t="n">
        <v>79000</v>
      </c>
      <c r="F938" s="95" t="n">
        <v>15658</v>
      </c>
      <c r="G938" s="34" t="n">
        <v>4.27</v>
      </c>
      <c r="H938" s="34" t="n">
        <v>19.8</v>
      </c>
      <c r="I938" s="34" t="n">
        <v>0</v>
      </c>
      <c r="J938" s="95" t="n">
        <f aca="false">IF(N(E938)&gt;0,E938,IF(N(F938)&gt;0,F938*가정!$B$5,0))</f>
        <v>79000</v>
      </c>
      <c r="K938" s="95" t="n">
        <f aca="false">IF(N(F938)&gt;0,F938,IF(N(E938)&gt;0,E938/가정!$B$5,0))</f>
        <v>15658</v>
      </c>
      <c r="L938" s="95" t="n">
        <f aca="false">IF(B938="CN",IF(N(I938)&gt;0,I938*가정!$B$3,K938*(1+가정!$B$6)),IF(N(H938)&gt;0,H938*가정!$B$3,J938*가정!$B$4))</f>
        <v>26983.044</v>
      </c>
      <c r="M938" s="95" t="n">
        <f aca="false">D938*J938</f>
        <v>2765000</v>
      </c>
      <c r="N938" s="95" t="n">
        <f aca="false">D938*K938</f>
        <v>548030</v>
      </c>
      <c r="O938" s="95" t="n">
        <f aca="false">D938*L938</f>
        <v>944406.54</v>
      </c>
      <c r="P938" s="34" t="str">
        <f aca="false">TRIM(IF(N(E938)&lt;=0,"택가보정 ","")&amp;IF(N(F938)&lt;=0,"원가보정 ","")&amp;IF(AND(B938&lt;&gt;"CN",N(H938)&lt;=0),"공급가보정 ","")&amp;IF(AND(B938="CN",N(I938)&lt;=0),"중국공급가=원가+마진 ",""))</f>
        <v/>
      </c>
    </row>
    <row r="939" customFormat="false" ht="15" hidden="false" customHeight="true" outlineLevel="0" collapsed="false">
      <c r="A939" s="94" t="s">
        <v>1692</v>
      </c>
      <c r="B939" s="34" t="str">
        <f aca="false">IF(A939="100","HK",IF(A939="200","CN",IF(A939="300","TW","홀세일")))</f>
        <v>홀세일</v>
      </c>
      <c r="C939" s="94" t="s">
        <v>533</v>
      </c>
      <c r="D939" s="95" t="n">
        <v>162</v>
      </c>
      <c r="E939" s="95" t="n">
        <v>79000</v>
      </c>
      <c r="F939" s="95" t="n">
        <v>15658</v>
      </c>
      <c r="G939" s="34" t="n">
        <v>4.27</v>
      </c>
      <c r="H939" s="34" t="n">
        <v>19.8</v>
      </c>
      <c r="I939" s="34" t="n">
        <v>0</v>
      </c>
      <c r="J939" s="95" t="n">
        <f aca="false">IF(N(E939)&gt;0,E939,IF(N(F939)&gt;0,F939*가정!$B$5,0))</f>
        <v>79000</v>
      </c>
      <c r="K939" s="95" t="n">
        <f aca="false">IF(N(F939)&gt;0,F939,IF(N(E939)&gt;0,E939/가정!$B$5,0))</f>
        <v>15658</v>
      </c>
      <c r="L939" s="95" t="n">
        <f aca="false">IF(B939="CN",IF(N(I939)&gt;0,I939*가정!$B$3,K939*(1+가정!$B$6)),IF(N(H939)&gt;0,H939*가정!$B$3,J939*가정!$B$4))</f>
        <v>26983.044</v>
      </c>
      <c r="M939" s="95" t="n">
        <f aca="false">D939*J939</f>
        <v>12798000</v>
      </c>
      <c r="N939" s="95" t="n">
        <f aca="false">D939*K939</f>
        <v>2536596</v>
      </c>
      <c r="O939" s="95" t="n">
        <f aca="false">D939*L939</f>
        <v>4371253.128</v>
      </c>
      <c r="P939" s="34" t="str">
        <f aca="false">TRIM(IF(N(E939)&lt;=0,"택가보정 ","")&amp;IF(N(F939)&lt;=0,"원가보정 ","")&amp;IF(AND(B939&lt;&gt;"CN",N(H939)&lt;=0),"공급가보정 ","")&amp;IF(AND(B939="CN",N(I939)&lt;=0),"중국공급가=원가+마진 ",""))</f>
        <v/>
      </c>
    </row>
    <row r="940" customFormat="false" ht="15" hidden="false" customHeight="true" outlineLevel="0" collapsed="false">
      <c r="A940" s="94" t="s">
        <v>1686</v>
      </c>
      <c r="B940" s="34" t="str">
        <f aca="false">IF(A940="100","HK",IF(A940="200","CN",IF(A940="300","TW","홀세일")))</f>
        <v>TW</v>
      </c>
      <c r="C940" s="94" t="s">
        <v>535</v>
      </c>
      <c r="D940" s="95" t="n">
        <v>200</v>
      </c>
      <c r="E940" s="95" t="n">
        <v>79000</v>
      </c>
      <c r="F940" s="95" t="n">
        <v>18000</v>
      </c>
      <c r="G940" s="34" t="n">
        <v>3.37</v>
      </c>
      <c r="H940" s="34" t="n">
        <v>19.8</v>
      </c>
      <c r="I940" s="34" t="n">
        <v>0</v>
      </c>
      <c r="J940" s="95" t="n">
        <f aca="false">IF(N(E940)&gt;0,E940,IF(N(F940)&gt;0,F940*가정!$B$5,0))</f>
        <v>79000</v>
      </c>
      <c r="K940" s="95" t="n">
        <f aca="false">IF(N(F940)&gt;0,F940,IF(N(E940)&gt;0,E940/가정!$B$5,0))</f>
        <v>18000</v>
      </c>
      <c r="L940" s="95" t="n">
        <f aca="false">IF(B940="CN",IF(N(I940)&gt;0,I940*가정!$B$3,K940*(1+가정!$B$6)),IF(N(H940)&gt;0,H940*가정!$B$3,J940*가정!$B$4))</f>
        <v>26983.044</v>
      </c>
      <c r="M940" s="95" t="n">
        <f aca="false">D940*J940</f>
        <v>15800000</v>
      </c>
      <c r="N940" s="95" t="n">
        <f aca="false">D940*K940</f>
        <v>3600000</v>
      </c>
      <c r="O940" s="95" t="n">
        <f aca="false">D940*L940</f>
        <v>5396608.8</v>
      </c>
      <c r="P940" s="34" t="str">
        <f aca="false">TRIM(IF(N(E940)&lt;=0,"택가보정 ","")&amp;IF(N(F940)&lt;=0,"원가보정 ","")&amp;IF(AND(B940&lt;&gt;"CN",N(H940)&lt;=0),"공급가보정 ","")&amp;IF(AND(B940="CN",N(I940)&lt;=0),"중국공급가=원가+마진 ",""))</f>
        <v/>
      </c>
    </row>
    <row r="941" customFormat="false" ht="15" hidden="false" customHeight="true" outlineLevel="0" collapsed="false">
      <c r="A941" s="94" t="s">
        <v>1687</v>
      </c>
      <c r="B941" s="34" t="str">
        <f aca="false">IF(A941="100","HK",IF(A941="200","CN",IF(A941="300","TW","홀세일")))</f>
        <v>홀세일</v>
      </c>
      <c r="C941" s="94" t="s">
        <v>535</v>
      </c>
      <c r="D941" s="95" t="n">
        <v>20</v>
      </c>
      <c r="E941" s="95" t="n">
        <v>79000</v>
      </c>
      <c r="F941" s="95" t="n">
        <v>18000</v>
      </c>
      <c r="G941" s="34" t="n">
        <v>3.37</v>
      </c>
      <c r="H941" s="34" t="n">
        <v>19.8</v>
      </c>
      <c r="I941" s="34" t="n">
        <v>0</v>
      </c>
      <c r="J941" s="95" t="n">
        <f aca="false">IF(N(E941)&gt;0,E941,IF(N(F941)&gt;0,F941*가정!$B$5,0))</f>
        <v>79000</v>
      </c>
      <c r="K941" s="95" t="n">
        <f aca="false">IF(N(F941)&gt;0,F941,IF(N(E941)&gt;0,E941/가정!$B$5,0))</f>
        <v>18000</v>
      </c>
      <c r="L941" s="95" t="n">
        <f aca="false">IF(B941="CN",IF(N(I941)&gt;0,I941*가정!$B$3,K941*(1+가정!$B$6)),IF(N(H941)&gt;0,H941*가정!$B$3,J941*가정!$B$4))</f>
        <v>26983.044</v>
      </c>
      <c r="M941" s="95" t="n">
        <f aca="false">D941*J941</f>
        <v>1580000</v>
      </c>
      <c r="N941" s="95" t="n">
        <f aca="false">D941*K941</f>
        <v>360000</v>
      </c>
      <c r="O941" s="95" t="n">
        <f aca="false">D941*L941</f>
        <v>539660.88</v>
      </c>
      <c r="P941" s="34" t="str">
        <f aca="false">TRIM(IF(N(E941)&lt;=0,"택가보정 ","")&amp;IF(N(F941)&lt;=0,"원가보정 ","")&amp;IF(AND(B941&lt;&gt;"CN",N(H941)&lt;=0),"공급가보정 ","")&amp;IF(AND(B941="CN",N(I941)&lt;=0),"중국공급가=원가+마진 ",""))</f>
        <v/>
      </c>
    </row>
    <row r="942" customFormat="false" ht="15" hidden="false" customHeight="true" outlineLevel="0" collapsed="false">
      <c r="A942" s="94" t="s">
        <v>1688</v>
      </c>
      <c r="B942" s="34" t="str">
        <f aca="false">IF(A942="100","HK",IF(A942="200","CN",IF(A942="300","TW","홀세일")))</f>
        <v>홀세일</v>
      </c>
      <c r="C942" s="94" t="s">
        <v>535</v>
      </c>
      <c r="D942" s="95" t="n">
        <v>35</v>
      </c>
      <c r="E942" s="95" t="n">
        <v>79000</v>
      </c>
      <c r="F942" s="95" t="n">
        <v>18000</v>
      </c>
      <c r="G942" s="34" t="n">
        <v>3.37</v>
      </c>
      <c r="H942" s="34" t="n">
        <v>19.8</v>
      </c>
      <c r="I942" s="34" t="n">
        <v>0</v>
      </c>
      <c r="J942" s="95" t="n">
        <f aca="false">IF(N(E942)&gt;0,E942,IF(N(F942)&gt;0,F942*가정!$B$5,0))</f>
        <v>79000</v>
      </c>
      <c r="K942" s="95" t="n">
        <f aca="false">IF(N(F942)&gt;0,F942,IF(N(E942)&gt;0,E942/가정!$B$5,0))</f>
        <v>18000</v>
      </c>
      <c r="L942" s="95" t="n">
        <f aca="false">IF(B942="CN",IF(N(I942)&gt;0,I942*가정!$B$3,K942*(1+가정!$B$6)),IF(N(H942)&gt;0,H942*가정!$B$3,J942*가정!$B$4))</f>
        <v>26983.044</v>
      </c>
      <c r="M942" s="95" t="n">
        <f aca="false">D942*J942</f>
        <v>2765000</v>
      </c>
      <c r="N942" s="95" t="n">
        <f aca="false">D942*K942</f>
        <v>630000</v>
      </c>
      <c r="O942" s="95" t="n">
        <f aca="false">D942*L942</f>
        <v>944406.54</v>
      </c>
      <c r="P942" s="34" t="str">
        <f aca="false">TRIM(IF(N(E942)&lt;=0,"택가보정 ","")&amp;IF(N(F942)&lt;=0,"원가보정 ","")&amp;IF(AND(B942&lt;&gt;"CN",N(H942)&lt;=0),"공급가보정 ","")&amp;IF(AND(B942="CN",N(I942)&lt;=0),"중국공급가=원가+마진 ",""))</f>
        <v/>
      </c>
    </row>
    <row r="943" customFormat="false" ht="15" hidden="false" customHeight="true" outlineLevel="0" collapsed="false">
      <c r="A943" s="94" t="s">
        <v>1692</v>
      </c>
      <c r="B943" s="34" t="str">
        <f aca="false">IF(A943="100","HK",IF(A943="200","CN",IF(A943="300","TW","홀세일")))</f>
        <v>홀세일</v>
      </c>
      <c r="C943" s="94" t="s">
        <v>535</v>
      </c>
      <c r="D943" s="95" t="n">
        <v>92</v>
      </c>
      <c r="E943" s="95" t="n">
        <v>79000</v>
      </c>
      <c r="F943" s="95" t="n">
        <v>18000</v>
      </c>
      <c r="G943" s="34" t="n">
        <v>3.37</v>
      </c>
      <c r="H943" s="34" t="n">
        <v>19.8</v>
      </c>
      <c r="I943" s="34" t="n">
        <v>0</v>
      </c>
      <c r="J943" s="95" t="n">
        <f aca="false">IF(N(E943)&gt;0,E943,IF(N(F943)&gt;0,F943*가정!$B$5,0))</f>
        <v>79000</v>
      </c>
      <c r="K943" s="95" t="n">
        <f aca="false">IF(N(F943)&gt;0,F943,IF(N(E943)&gt;0,E943/가정!$B$5,0))</f>
        <v>18000</v>
      </c>
      <c r="L943" s="95" t="n">
        <f aca="false">IF(B943="CN",IF(N(I943)&gt;0,I943*가정!$B$3,K943*(1+가정!$B$6)),IF(N(H943)&gt;0,H943*가정!$B$3,J943*가정!$B$4))</f>
        <v>26983.044</v>
      </c>
      <c r="M943" s="95" t="n">
        <f aca="false">D943*J943</f>
        <v>7268000</v>
      </c>
      <c r="N943" s="95" t="n">
        <f aca="false">D943*K943</f>
        <v>1656000</v>
      </c>
      <c r="O943" s="95" t="n">
        <f aca="false">D943*L943</f>
        <v>2482440.048</v>
      </c>
      <c r="P943" s="34" t="str">
        <f aca="false">TRIM(IF(N(E943)&lt;=0,"택가보정 ","")&amp;IF(N(F943)&lt;=0,"원가보정 ","")&amp;IF(AND(B943&lt;&gt;"CN",N(H943)&lt;=0),"공급가보정 ","")&amp;IF(AND(B943="CN",N(I943)&lt;=0),"중국공급가=원가+마진 ",""))</f>
        <v/>
      </c>
    </row>
    <row r="944" customFormat="false" ht="15" hidden="false" customHeight="true" outlineLevel="0" collapsed="false">
      <c r="A944" s="94" t="s">
        <v>1684</v>
      </c>
      <c r="B944" s="34" t="str">
        <f aca="false">IF(A944="100","HK",IF(A944="200","CN",IF(A944="300","TW","홀세일")))</f>
        <v>HK</v>
      </c>
      <c r="C944" s="94" t="s">
        <v>959</v>
      </c>
      <c r="D944" s="95" t="n">
        <v>220</v>
      </c>
      <c r="E944" s="95" t="n">
        <v>149000</v>
      </c>
      <c r="F944" s="95" t="n">
        <v>34800</v>
      </c>
      <c r="G944" s="34" t="n">
        <v>3.68</v>
      </c>
      <c r="H944" s="34" t="n">
        <v>35.1</v>
      </c>
      <c r="I944" s="34" t="n">
        <v>0</v>
      </c>
      <c r="J944" s="95" t="n">
        <f aca="false">IF(N(E944)&gt;0,E944,IF(N(F944)&gt;0,F944*가정!$B$5,0))</f>
        <v>149000</v>
      </c>
      <c r="K944" s="95" t="n">
        <f aca="false">IF(N(F944)&gt;0,F944,IF(N(E944)&gt;0,E944/가정!$B$5,0))</f>
        <v>34800</v>
      </c>
      <c r="L944" s="95" t="n">
        <f aca="false">IF(B944="CN",IF(N(I944)&gt;0,I944*가정!$B$3,K944*(1+가정!$B$6)),IF(N(H944)&gt;0,H944*가정!$B$3,J944*가정!$B$4))</f>
        <v>47833.578</v>
      </c>
      <c r="M944" s="95" t="n">
        <f aca="false">D944*J944</f>
        <v>32780000</v>
      </c>
      <c r="N944" s="95" t="n">
        <f aca="false">D944*K944</f>
        <v>7656000</v>
      </c>
      <c r="O944" s="95" t="n">
        <f aca="false">D944*L944</f>
        <v>10523387.16</v>
      </c>
      <c r="P944" s="34" t="str">
        <f aca="false">TRIM(IF(N(E944)&lt;=0,"택가보정 ","")&amp;IF(N(F944)&lt;=0,"원가보정 ","")&amp;IF(AND(B944&lt;&gt;"CN",N(H944)&lt;=0),"공급가보정 ","")&amp;IF(AND(B944="CN",N(I944)&lt;=0),"중국공급가=원가+마진 ",""))</f>
        <v/>
      </c>
    </row>
    <row r="945" customFormat="false" ht="15" hidden="false" customHeight="true" outlineLevel="0" collapsed="false">
      <c r="A945" s="94" t="s">
        <v>1692</v>
      </c>
      <c r="B945" s="34" t="str">
        <f aca="false">IF(A945="100","HK",IF(A945="200","CN",IF(A945="300","TW","홀세일")))</f>
        <v>홀세일</v>
      </c>
      <c r="C945" s="94" t="s">
        <v>959</v>
      </c>
      <c r="D945" s="95" t="n">
        <v>222</v>
      </c>
      <c r="E945" s="95" t="n">
        <v>149000</v>
      </c>
      <c r="F945" s="95" t="n">
        <v>34800</v>
      </c>
      <c r="G945" s="34" t="n">
        <v>3.68</v>
      </c>
      <c r="H945" s="34" t="n">
        <v>35.1</v>
      </c>
      <c r="I945" s="34" t="n">
        <v>0</v>
      </c>
      <c r="J945" s="95" t="n">
        <f aca="false">IF(N(E945)&gt;0,E945,IF(N(F945)&gt;0,F945*가정!$B$5,0))</f>
        <v>149000</v>
      </c>
      <c r="K945" s="95" t="n">
        <f aca="false">IF(N(F945)&gt;0,F945,IF(N(E945)&gt;0,E945/가정!$B$5,0))</f>
        <v>34800</v>
      </c>
      <c r="L945" s="95" t="n">
        <f aca="false">IF(B945="CN",IF(N(I945)&gt;0,I945*가정!$B$3,K945*(1+가정!$B$6)),IF(N(H945)&gt;0,H945*가정!$B$3,J945*가정!$B$4))</f>
        <v>47833.578</v>
      </c>
      <c r="M945" s="95" t="n">
        <f aca="false">D945*J945</f>
        <v>33078000</v>
      </c>
      <c r="N945" s="95" t="n">
        <f aca="false">D945*K945</f>
        <v>7725600</v>
      </c>
      <c r="O945" s="95" t="n">
        <f aca="false">D945*L945</f>
        <v>10619054.316</v>
      </c>
      <c r="P945" s="34" t="str">
        <f aca="false">TRIM(IF(N(E945)&lt;=0,"택가보정 ","")&amp;IF(N(F945)&lt;=0,"원가보정 ","")&amp;IF(AND(B945&lt;&gt;"CN",N(H945)&lt;=0),"공급가보정 ","")&amp;IF(AND(B945="CN",N(I945)&lt;=0),"중국공급가=원가+마진 ",""))</f>
        <v/>
      </c>
    </row>
    <row r="946" customFormat="false" ht="15" hidden="false" customHeight="true" outlineLevel="0" collapsed="false">
      <c r="A946" s="94" t="s">
        <v>1686</v>
      </c>
      <c r="B946" s="34" t="str">
        <f aca="false">IF(A946="100","HK",IF(A946="200","CN",IF(A946="300","TW","홀세일")))</f>
        <v>TW</v>
      </c>
      <c r="C946" s="94" t="s">
        <v>537</v>
      </c>
      <c r="D946" s="95" t="n">
        <v>180</v>
      </c>
      <c r="E946" s="95" t="n">
        <v>169000</v>
      </c>
      <c r="F946" s="95" t="n">
        <v>43800</v>
      </c>
      <c r="G946" s="34" t="n">
        <v>3.5</v>
      </c>
      <c r="H946" s="34" t="n">
        <v>39.8</v>
      </c>
      <c r="I946" s="34" t="n">
        <v>0</v>
      </c>
      <c r="J946" s="95" t="n">
        <f aca="false">IF(N(E946)&gt;0,E946,IF(N(F946)&gt;0,F946*가정!$B$5,0))</f>
        <v>169000</v>
      </c>
      <c r="K946" s="95" t="n">
        <f aca="false">IF(N(F946)&gt;0,F946,IF(N(E946)&gt;0,E946/가정!$B$5,0))</f>
        <v>43800</v>
      </c>
      <c r="L946" s="95" t="n">
        <f aca="false">IF(B946="CN",IF(N(I946)&gt;0,I946*가정!$B$3,K946*(1+가정!$B$6)),IF(N(H946)&gt;0,H946*가정!$B$3,J946*가정!$B$4))</f>
        <v>54238.644</v>
      </c>
      <c r="M946" s="95" t="n">
        <f aca="false">D946*J946</f>
        <v>30420000</v>
      </c>
      <c r="N946" s="95" t="n">
        <f aca="false">D946*K946</f>
        <v>7884000</v>
      </c>
      <c r="O946" s="95" t="n">
        <f aca="false">D946*L946</f>
        <v>9762955.92</v>
      </c>
      <c r="P946" s="34" t="str">
        <f aca="false">TRIM(IF(N(E946)&lt;=0,"택가보정 ","")&amp;IF(N(F946)&lt;=0,"원가보정 ","")&amp;IF(AND(B946&lt;&gt;"CN",N(H946)&lt;=0),"공급가보정 ","")&amp;IF(AND(B946="CN",N(I946)&lt;=0),"중국공급가=원가+마진 ",""))</f>
        <v/>
      </c>
    </row>
    <row r="947" customFormat="false" ht="15" hidden="false" customHeight="true" outlineLevel="0" collapsed="false">
      <c r="A947" s="94" t="s">
        <v>1688</v>
      </c>
      <c r="B947" s="34" t="str">
        <f aca="false">IF(A947="100","HK",IF(A947="200","CN",IF(A947="300","TW","홀세일")))</f>
        <v>홀세일</v>
      </c>
      <c r="C947" s="94" t="s">
        <v>537</v>
      </c>
      <c r="D947" s="95" t="n">
        <v>55</v>
      </c>
      <c r="E947" s="95" t="n">
        <v>169000</v>
      </c>
      <c r="F947" s="95" t="n">
        <v>43800</v>
      </c>
      <c r="G947" s="34" t="n">
        <v>3.5</v>
      </c>
      <c r="H947" s="34" t="n">
        <v>39.8</v>
      </c>
      <c r="I947" s="34" t="n">
        <v>0</v>
      </c>
      <c r="J947" s="95" t="n">
        <f aca="false">IF(N(E947)&gt;0,E947,IF(N(F947)&gt;0,F947*가정!$B$5,0))</f>
        <v>169000</v>
      </c>
      <c r="K947" s="95" t="n">
        <f aca="false">IF(N(F947)&gt;0,F947,IF(N(E947)&gt;0,E947/가정!$B$5,0))</f>
        <v>43800</v>
      </c>
      <c r="L947" s="95" t="n">
        <f aca="false">IF(B947="CN",IF(N(I947)&gt;0,I947*가정!$B$3,K947*(1+가정!$B$6)),IF(N(H947)&gt;0,H947*가정!$B$3,J947*가정!$B$4))</f>
        <v>54238.644</v>
      </c>
      <c r="M947" s="95" t="n">
        <f aca="false">D947*J947</f>
        <v>9295000</v>
      </c>
      <c r="N947" s="95" t="n">
        <f aca="false">D947*K947</f>
        <v>2409000</v>
      </c>
      <c r="O947" s="95" t="n">
        <f aca="false">D947*L947</f>
        <v>2983125.42</v>
      </c>
      <c r="P947" s="34" t="str">
        <f aca="false">TRIM(IF(N(E947)&lt;=0,"택가보정 ","")&amp;IF(N(F947)&lt;=0,"원가보정 ","")&amp;IF(AND(B947&lt;&gt;"CN",N(H947)&lt;=0),"공급가보정 ","")&amp;IF(AND(B947="CN",N(I947)&lt;=0),"중국공급가=원가+마진 ",""))</f>
        <v/>
      </c>
    </row>
    <row r="948" customFormat="false" ht="15" hidden="false" customHeight="true" outlineLevel="0" collapsed="false">
      <c r="A948" s="94" t="s">
        <v>1684</v>
      </c>
      <c r="B948" s="34" t="str">
        <f aca="false">IF(A948="100","HK",IF(A948="200","CN",IF(A948="300","TW","홀세일")))</f>
        <v>HK</v>
      </c>
      <c r="C948" s="94" t="s">
        <v>961</v>
      </c>
      <c r="D948" s="95" t="n">
        <v>180</v>
      </c>
      <c r="E948" s="95" t="n">
        <v>149000</v>
      </c>
      <c r="F948" s="95" t="n">
        <v>37300</v>
      </c>
      <c r="G948" s="34" t="n">
        <v>3.56</v>
      </c>
      <c r="H948" s="34" t="n">
        <v>36.1</v>
      </c>
      <c r="I948" s="34" t="n">
        <v>0</v>
      </c>
      <c r="J948" s="95" t="n">
        <f aca="false">IF(N(E948)&gt;0,E948,IF(N(F948)&gt;0,F948*가정!$B$5,0))</f>
        <v>149000</v>
      </c>
      <c r="K948" s="95" t="n">
        <f aca="false">IF(N(F948)&gt;0,F948,IF(N(E948)&gt;0,E948/가정!$B$5,0))</f>
        <v>37300</v>
      </c>
      <c r="L948" s="95" t="n">
        <f aca="false">IF(B948="CN",IF(N(I948)&gt;0,I948*가정!$B$3,K948*(1+가정!$B$6)),IF(N(H948)&gt;0,H948*가정!$B$3,J948*가정!$B$4))</f>
        <v>49196.358</v>
      </c>
      <c r="M948" s="95" t="n">
        <f aca="false">D948*J948</f>
        <v>26820000</v>
      </c>
      <c r="N948" s="95" t="n">
        <f aca="false">D948*K948</f>
        <v>6714000</v>
      </c>
      <c r="O948" s="95" t="n">
        <f aca="false">D948*L948</f>
        <v>8855344.44</v>
      </c>
      <c r="P948" s="34" t="str">
        <f aca="false">TRIM(IF(N(E948)&lt;=0,"택가보정 ","")&amp;IF(N(F948)&lt;=0,"원가보정 ","")&amp;IF(AND(B948&lt;&gt;"CN",N(H948)&lt;=0),"공급가보정 ","")&amp;IF(AND(B948="CN",N(I948)&lt;=0),"중국공급가=원가+마진 ",""))</f>
        <v/>
      </c>
    </row>
    <row r="949" customFormat="false" ht="15" hidden="false" customHeight="true" outlineLevel="0" collapsed="false">
      <c r="A949" s="94" t="s">
        <v>1687</v>
      </c>
      <c r="B949" s="34" t="str">
        <f aca="false">IF(A949="100","HK",IF(A949="200","CN",IF(A949="300","TW","홀세일")))</f>
        <v>홀세일</v>
      </c>
      <c r="C949" s="94" t="s">
        <v>961</v>
      </c>
      <c r="D949" s="95" t="n">
        <v>170</v>
      </c>
      <c r="E949" s="95" t="n">
        <v>149000</v>
      </c>
      <c r="F949" s="95" t="n">
        <v>37300</v>
      </c>
      <c r="G949" s="34" t="n">
        <v>3.56</v>
      </c>
      <c r="H949" s="34" t="n">
        <v>36.1</v>
      </c>
      <c r="I949" s="34" t="n">
        <v>0</v>
      </c>
      <c r="J949" s="95" t="n">
        <f aca="false">IF(N(E949)&gt;0,E949,IF(N(F949)&gt;0,F949*가정!$B$5,0))</f>
        <v>149000</v>
      </c>
      <c r="K949" s="95" t="n">
        <f aca="false">IF(N(F949)&gt;0,F949,IF(N(E949)&gt;0,E949/가정!$B$5,0))</f>
        <v>37300</v>
      </c>
      <c r="L949" s="95" t="n">
        <f aca="false">IF(B949="CN",IF(N(I949)&gt;0,I949*가정!$B$3,K949*(1+가정!$B$6)),IF(N(H949)&gt;0,H949*가정!$B$3,J949*가정!$B$4))</f>
        <v>49196.358</v>
      </c>
      <c r="M949" s="95" t="n">
        <f aca="false">D949*J949</f>
        <v>25330000</v>
      </c>
      <c r="N949" s="95" t="n">
        <f aca="false">D949*K949</f>
        <v>6341000</v>
      </c>
      <c r="O949" s="95" t="n">
        <f aca="false">D949*L949</f>
        <v>8363380.86</v>
      </c>
      <c r="P949" s="34" t="str">
        <f aca="false">TRIM(IF(N(E949)&lt;=0,"택가보정 ","")&amp;IF(N(F949)&lt;=0,"원가보정 ","")&amp;IF(AND(B949&lt;&gt;"CN",N(H949)&lt;=0),"공급가보정 ","")&amp;IF(AND(B949="CN",N(I949)&lt;=0),"중국공급가=원가+마진 ",""))</f>
        <v/>
      </c>
    </row>
    <row r="950" customFormat="false" ht="15" hidden="false" customHeight="true" outlineLevel="0" collapsed="false">
      <c r="A950" s="94" t="s">
        <v>1689</v>
      </c>
      <c r="B950" s="34" t="str">
        <f aca="false">IF(A950="100","HK",IF(A950="200","CN",IF(A950="300","TW","홀세일")))</f>
        <v>홀세일</v>
      </c>
      <c r="C950" s="94" t="s">
        <v>1707</v>
      </c>
      <c r="D950" s="95" t="n">
        <v>60</v>
      </c>
      <c r="E950" s="95" t="n">
        <v>169000</v>
      </c>
      <c r="F950" s="95" t="n">
        <v>29200</v>
      </c>
      <c r="G950" s="34" t="n">
        <v>3.5</v>
      </c>
      <c r="H950" s="34" t="n">
        <v>39.8</v>
      </c>
      <c r="I950" s="34" t="n">
        <v>0</v>
      </c>
      <c r="J950" s="95" t="n">
        <f aca="false">IF(N(E950)&gt;0,E950,IF(N(F950)&gt;0,F950*가정!$B$5,0))</f>
        <v>169000</v>
      </c>
      <c r="K950" s="95" t="n">
        <f aca="false">IF(N(F950)&gt;0,F950,IF(N(E950)&gt;0,E950/가정!$B$5,0))</f>
        <v>29200</v>
      </c>
      <c r="L950" s="95" t="n">
        <f aca="false">IF(B950="CN",IF(N(I950)&gt;0,I950*가정!$B$3,K950*(1+가정!$B$6)),IF(N(H950)&gt;0,H950*가정!$B$3,J950*가정!$B$4))</f>
        <v>54238.644</v>
      </c>
      <c r="M950" s="95" t="n">
        <f aca="false">D950*J950</f>
        <v>10140000</v>
      </c>
      <c r="N950" s="95" t="n">
        <f aca="false">D950*K950</f>
        <v>1752000</v>
      </c>
      <c r="O950" s="95" t="n">
        <f aca="false">D950*L950</f>
        <v>3254318.64</v>
      </c>
      <c r="P950" s="34" t="str">
        <f aca="false">TRIM(IF(N(E950)&lt;=0,"택가보정 ","")&amp;IF(N(F950)&lt;=0,"원가보정 ","")&amp;IF(AND(B950&lt;&gt;"CN",N(H950)&lt;=0),"공급가보정 ","")&amp;IF(AND(B950="CN",N(I950)&lt;=0),"중국공급가=원가+마진 ",""))</f>
        <v/>
      </c>
    </row>
    <row r="951" customFormat="false" ht="15" hidden="false" customHeight="true" outlineLevel="0" collapsed="false">
      <c r="A951" s="94" t="s">
        <v>1687</v>
      </c>
      <c r="B951" s="34" t="str">
        <f aca="false">IF(A951="100","HK",IF(A951="200","CN",IF(A951="300","TW","홀세일")))</f>
        <v>홀세일</v>
      </c>
      <c r="C951" s="94" t="s">
        <v>1377</v>
      </c>
      <c r="D951" s="95" t="n">
        <v>140</v>
      </c>
      <c r="E951" s="95" t="n">
        <v>139000</v>
      </c>
      <c r="F951" s="95" t="n">
        <v>38500</v>
      </c>
      <c r="G951" s="34" t="n">
        <v>4.02</v>
      </c>
      <c r="H951" s="34" t="n">
        <v>32.7</v>
      </c>
      <c r="I951" s="34" t="n">
        <v>0</v>
      </c>
      <c r="J951" s="95" t="n">
        <f aca="false">IF(N(E951)&gt;0,E951,IF(N(F951)&gt;0,F951*가정!$B$5,0))</f>
        <v>139000</v>
      </c>
      <c r="K951" s="95" t="n">
        <f aca="false">IF(N(F951)&gt;0,F951,IF(N(E951)&gt;0,E951/가정!$B$5,0))</f>
        <v>38500</v>
      </c>
      <c r="L951" s="95" t="n">
        <f aca="false">IF(B951="CN",IF(N(I951)&gt;0,I951*가정!$B$3,K951*(1+가정!$B$6)),IF(N(H951)&gt;0,H951*가정!$B$3,J951*가정!$B$4))</f>
        <v>44562.906</v>
      </c>
      <c r="M951" s="95" t="n">
        <f aca="false">D951*J951</f>
        <v>19460000</v>
      </c>
      <c r="N951" s="95" t="n">
        <f aca="false">D951*K951</f>
        <v>5390000</v>
      </c>
      <c r="O951" s="95" t="n">
        <f aca="false">D951*L951</f>
        <v>6238806.84</v>
      </c>
      <c r="P951" s="34" t="str">
        <f aca="false">TRIM(IF(N(E951)&lt;=0,"택가보정 ","")&amp;IF(N(F951)&lt;=0,"원가보정 ","")&amp;IF(AND(B951&lt;&gt;"CN",N(H951)&lt;=0),"공급가보정 ","")&amp;IF(AND(B951="CN",N(I951)&lt;=0),"중국공급가=원가+마진 ",""))</f>
        <v/>
      </c>
    </row>
    <row r="952" customFormat="false" ht="15" hidden="false" customHeight="true" outlineLevel="0" collapsed="false">
      <c r="A952" s="94" t="s">
        <v>1688</v>
      </c>
      <c r="B952" s="34" t="str">
        <f aca="false">IF(A952="100","HK",IF(A952="200","CN",IF(A952="300","TW","홀세일")))</f>
        <v>홀세일</v>
      </c>
      <c r="C952" s="94" t="s">
        <v>1377</v>
      </c>
      <c r="D952" s="95" t="n">
        <v>30</v>
      </c>
      <c r="E952" s="95" t="n">
        <v>139000</v>
      </c>
      <c r="F952" s="95" t="n">
        <v>38500</v>
      </c>
      <c r="G952" s="34" t="n">
        <v>4.02</v>
      </c>
      <c r="H952" s="34" t="n">
        <v>32.7</v>
      </c>
      <c r="I952" s="34" t="n">
        <v>0</v>
      </c>
      <c r="J952" s="95" t="n">
        <f aca="false">IF(N(E952)&gt;0,E952,IF(N(F952)&gt;0,F952*가정!$B$5,0))</f>
        <v>139000</v>
      </c>
      <c r="K952" s="95" t="n">
        <f aca="false">IF(N(F952)&gt;0,F952,IF(N(E952)&gt;0,E952/가정!$B$5,0))</f>
        <v>38500</v>
      </c>
      <c r="L952" s="95" t="n">
        <f aca="false">IF(B952="CN",IF(N(I952)&gt;0,I952*가정!$B$3,K952*(1+가정!$B$6)),IF(N(H952)&gt;0,H952*가정!$B$3,J952*가정!$B$4))</f>
        <v>44562.906</v>
      </c>
      <c r="M952" s="95" t="n">
        <f aca="false">D952*J952</f>
        <v>4170000</v>
      </c>
      <c r="N952" s="95" t="n">
        <f aca="false">D952*K952</f>
        <v>1155000</v>
      </c>
      <c r="O952" s="95" t="n">
        <f aca="false">D952*L952</f>
        <v>1336887.18</v>
      </c>
      <c r="P952" s="34" t="str">
        <f aca="false">TRIM(IF(N(E952)&lt;=0,"택가보정 ","")&amp;IF(N(F952)&lt;=0,"원가보정 ","")&amp;IF(AND(B952&lt;&gt;"CN",N(H952)&lt;=0),"공급가보정 ","")&amp;IF(AND(B952="CN",N(I952)&lt;=0),"중국공급가=원가+마진 ",""))</f>
        <v/>
      </c>
    </row>
    <row r="953" customFormat="false" ht="15" hidden="false" customHeight="true" outlineLevel="0" collapsed="false">
      <c r="A953" s="94" t="s">
        <v>1692</v>
      </c>
      <c r="B953" s="34" t="str">
        <f aca="false">IF(A953="100","HK",IF(A953="200","CN",IF(A953="300","TW","홀세일")))</f>
        <v>홀세일</v>
      </c>
      <c r="C953" s="94" t="s">
        <v>1708</v>
      </c>
      <c r="D953" s="95" t="n">
        <v>222</v>
      </c>
      <c r="E953" s="95" t="n">
        <v>169000</v>
      </c>
      <c r="F953" s="95" t="n">
        <v>55900</v>
      </c>
      <c r="G953" s="34" t="n">
        <v>3.66</v>
      </c>
      <c r="H953" s="34" t="n">
        <v>39.8</v>
      </c>
      <c r="I953" s="34" t="n">
        <v>0</v>
      </c>
      <c r="J953" s="95" t="n">
        <f aca="false">IF(N(E953)&gt;0,E953,IF(N(F953)&gt;0,F953*가정!$B$5,0))</f>
        <v>169000</v>
      </c>
      <c r="K953" s="95" t="n">
        <f aca="false">IF(N(F953)&gt;0,F953,IF(N(E953)&gt;0,E953/가정!$B$5,0))</f>
        <v>55900</v>
      </c>
      <c r="L953" s="95" t="n">
        <f aca="false">IF(B953="CN",IF(N(I953)&gt;0,I953*가정!$B$3,K953*(1+가정!$B$6)),IF(N(H953)&gt;0,H953*가정!$B$3,J953*가정!$B$4))</f>
        <v>54238.644</v>
      </c>
      <c r="M953" s="95" t="n">
        <f aca="false">D953*J953</f>
        <v>37518000</v>
      </c>
      <c r="N953" s="95" t="n">
        <f aca="false">D953*K953</f>
        <v>12409800</v>
      </c>
      <c r="O953" s="95" t="n">
        <f aca="false">D953*L953</f>
        <v>12040978.968</v>
      </c>
      <c r="P953" s="34" t="str">
        <f aca="false">TRIM(IF(N(E953)&lt;=0,"택가보정 ","")&amp;IF(N(F953)&lt;=0,"원가보정 ","")&amp;IF(AND(B953&lt;&gt;"CN",N(H953)&lt;=0),"공급가보정 ","")&amp;IF(AND(B953="CN",N(I953)&lt;=0),"중국공급가=원가+마진 ",""))</f>
        <v/>
      </c>
    </row>
    <row r="954" customFormat="false" ht="15" hidden="false" customHeight="true" outlineLevel="0" collapsed="false">
      <c r="A954" s="94" t="s">
        <v>1687</v>
      </c>
      <c r="B954" s="34" t="str">
        <f aca="false">IF(A954="100","HK",IF(A954="200","CN",IF(A954="300","TW","홀세일")))</f>
        <v>홀세일</v>
      </c>
      <c r="C954" s="94" t="s">
        <v>1709</v>
      </c>
      <c r="D954" s="95" t="n">
        <v>100</v>
      </c>
      <c r="E954" s="95" t="n">
        <v>199000</v>
      </c>
      <c r="F954" s="95" t="n">
        <v>51700</v>
      </c>
      <c r="G954" s="34" t="n">
        <v>3.34</v>
      </c>
      <c r="H954" s="34" t="n">
        <v>46.8</v>
      </c>
      <c r="I954" s="34" t="n">
        <v>0</v>
      </c>
      <c r="J954" s="95" t="n">
        <f aca="false">IF(N(E954)&gt;0,E954,IF(N(F954)&gt;0,F954*가정!$B$5,0))</f>
        <v>199000</v>
      </c>
      <c r="K954" s="95" t="n">
        <f aca="false">IF(N(F954)&gt;0,F954,IF(N(E954)&gt;0,E954/가정!$B$5,0))</f>
        <v>51700</v>
      </c>
      <c r="L954" s="95" t="n">
        <f aca="false">IF(B954="CN",IF(N(I954)&gt;0,I954*가정!$B$3,K954*(1+가정!$B$6)),IF(N(H954)&gt;0,H954*가정!$B$3,J954*가정!$B$4))</f>
        <v>63778.104</v>
      </c>
      <c r="M954" s="95" t="n">
        <f aca="false">D954*J954</f>
        <v>19900000</v>
      </c>
      <c r="N954" s="95" t="n">
        <f aca="false">D954*K954</f>
        <v>5170000</v>
      </c>
      <c r="O954" s="95" t="n">
        <f aca="false">D954*L954</f>
        <v>6377810.4</v>
      </c>
      <c r="P954" s="34" t="str">
        <f aca="false">TRIM(IF(N(E954)&lt;=0,"택가보정 ","")&amp;IF(N(F954)&lt;=0,"원가보정 ","")&amp;IF(AND(B954&lt;&gt;"CN",N(H954)&lt;=0),"공급가보정 ","")&amp;IF(AND(B954="CN",N(I954)&lt;=0),"중국공급가=원가+마진 ",""))</f>
        <v/>
      </c>
    </row>
    <row r="955" customFormat="false" ht="15" hidden="false" customHeight="true" outlineLevel="0" collapsed="false">
      <c r="A955" s="94" t="s">
        <v>1685</v>
      </c>
      <c r="B955" s="34" t="str">
        <f aca="false">IF(A955="100","HK",IF(A955="200","CN",IF(A955="300","TW","홀세일")))</f>
        <v>CN</v>
      </c>
      <c r="C955" s="94" t="s">
        <v>1124</v>
      </c>
      <c r="D955" s="95" t="n">
        <v>132</v>
      </c>
      <c r="E955" s="95" t="n">
        <v>199000</v>
      </c>
      <c r="F955" s="95" t="n">
        <v>65900</v>
      </c>
      <c r="G955" s="34" t="n">
        <v>2.89</v>
      </c>
      <c r="H955" s="34" t="n">
        <v>46.8</v>
      </c>
      <c r="I955" s="34" t="n">
        <v>50.3</v>
      </c>
      <c r="J955" s="95" t="n">
        <f aca="false">IF(N(E955)&gt;0,E955,IF(N(F955)&gt;0,F955*가정!$B$5,0))</f>
        <v>199000</v>
      </c>
      <c r="K955" s="95" t="n">
        <f aca="false">IF(N(F955)&gt;0,F955,IF(N(E955)&gt;0,E955/가정!$B$5,0))</f>
        <v>65900</v>
      </c>
      <c r="L955" s="95" t="n">
        <f aca="false">IF(B955="CN",IF(N(I955)&gt;0,I955*가정!$B$3,K955*(1+가정!$B$6)),IF(N(H955)&gt;0,H955*가정!$B$3,J955*가정!$B$4))</f>
        <v>68547.834</v>
      </c>
      <c r="M955" s="95" t="n">
        <f aca="false">D955*J955</f>
        <v>26268000</v>
      </c>
      <c r="N955" s="95" t="n">
        <f aca="false">D955*K955</f>
        <v>8698800</v>
      </c>
      <c r="O955" s="95" t="n">
        <f aca="false">D955*L955</f>
        <v>9048314.088</v>
      </c>
      <c r="P955" s="34" t="str">
        <f aca="false">TRIM(IF(N(E955)&lt;=0,"택가보정 ","")&amp;IF(N(F955)&lt;=0,"원가보정 ","")&amp;IF(AND(B955&lt;&gt;"CN",N(H955)&lt;=0),"공급가보정 ","")&amp;IF(AND(B955="CN",N(I955)&lt;=0),"중국공급가=원가+마진 ",""))</f>
        <v/>
      </c>
    </row>
    <row r="956" customFormat="false" ht="15" hidden="false" customHeight="true" outlineLevel="0" collapsed="false">
      <c r="A956" s="94" t="s">
        <v>1688</v>
      </c>
      <c r="B956" s="34" t="str">
        <f aca="false">IF(A956="100","HK",IF(A956="200","CN",IF(A956="300","TW","홀세일")))</f>
        <v>홀세일</v>
      </c>
      <c r="C956" s="94" t="s">
        <v>1124</v>
      </c>
      <c r="D956" s="95" t="n">
        <v>10</v>
      </c>
      <c r="E956" s="95" t="n">
        <v>199000</v>
      </c>
      <c r="F956" s="95" t="n">
        <v>65900</v>
      </c>
      <c r="G956" s="34" t="n">
        <v>2.89</v>
      </c>
      <c r="H956" s="34" t="n">
        <v>46.8</v>
      </c>
      <c r="I956" s="34" t="n">
        <v>50.3</v>
      </c>
      <c r="J956" s="95" t="n">
        <f aca="false">IF(N(E956)&gt;0,E956,IF(N(F956)&gt;0,F956*가정!$B$5,0))</f>
        <v>199000</v>
      </c>
      <c r="K956" s="95" t="n">
        <f aca="false">IF(N(F956)&gt;0,F956,IF(N(E956)&gt;0,E956/가정!$B$5,0))</f>
        <v>65900</v>
      </c>
      <c r="L956" s="95" t="n">
        <f aca="false">IF(B956="CN",IF(N(I956)&gt;0,I956*가정!$B$3,K956*(1+가정!$B$6)),IF(N(H956)&gt;0,H956*가정!$B$3,J956*가정!$B$4))</f>
        <v>63778.104</v>
      </c>
      <c r="M956" s="95" t="n">
        <f aca="false">D956*J956</f>
        <v>1990000</v>
      </c>
      <c r="N956" s="95" t="n">
        <f aca="false">D956*K956</f>
        <v>659000</v>
      </c>
      <c r="O956" s="95" t="n">
        <f aca="false">D956*L956</f>
        <v>637781.04</v>
      </c>
      <c r="P956" s="34" t="str">
        <f aca="false">TRIM(IF(N(E956)&lt;=0,"택가보정 ","")&amp;IF(N(F956)&lt;=0,"원가보정 ","")&amp;IF(AND(B956&lt;&gt;"CN",N(H956)&lt;=0),"공급가보정 ","")&amp;IF(AND(B956="CN",N(I956)&lt;=0),"중국공급가=원가+마진 ",""))</f>
        <v/>
      </c>
    </row>
    <row r="957" customFormat="false" ht="15" hidden="false" customHeight="true" outlineLevel="0" collapsed="false">
      <c r="A957" s="94" t="s">
        <v>1684</v>
      </c>
      <c r="B957" s="34" t="str">
        <f aca="false">IF(A957="100","HK",IF(A957="200","CN",IF(A957="300","TW","홀세일")))</f>
        <v>HK</v>
      </c>
      <c r="C957" s="94" t="s">
        <v>963</v>
      </c>
      <c r="D957" s="95" t="n">
        <v>200</v>
      </c>
      <c r="E957" s="95" t="n">
        <v>199000</v>
      </c>
      <c r="F957" s="95" t="n">
        <v>47386</v>
      </c>
      <c r="G957" s="34" t="n">
        <v>3.82</v>
      </c>
      <c r="H957" s="34" t="n">
        <v>49.8</v>
      </c>
      <c r="I957" s="34" t="n">
        <v>43</v>
      </c>
      <c r="J957" s="95" t="n">
        <f aca="false">IF(N(E957)&gt;0,E957,IF(N(F957)&gt;0,F957*가정!$B$5,0))</f>
        <v>199000</v>
      </c>
      <c r="K957" s="95" t="n">
        <f aca="false">IF(N(F957)&gt;0,F957,IF(N(E957)&gt;0,E957/가정!$B$5,0))</f>
        <v>47386</v>
      </c>
      <c r="L957" s="95" t="n">
        <f aca="false">IF(B957="CN",IF(N(I957)&gt;0,I957*가정!$B$3,K957*(1+가정!$B$6)),IF(N(H957)&gt;0,H957*가정!$B$3,J957*가정!$B$4))</f>
        <v>67866.444</v>
      </c>
      <c r="M957" s="95" t="n">
        <f aca="false">D957*J957</f>
        <v>39800000</v>
      </c>
      <c r="N957" s="95" t="n">
        <f aca="false">D957*K957</f>
        <v>9477200</v>
      </c>
      <c r="O957" s="95" t="n">
        <f aca="false">D957*L957</f>
        <v>13573288.8</v>
      </c>
      <c r="P957" s="34" t="str">
        <f aca="false">TRIM(IF(N(E957)&lt;=0,"택가보정 ","")&amp;IF(N(F957)&lt;=0,"원가보정 ","")&amp;IF(AND(B957&lt;&gt;"CN",N(H957)&lt;=0),"공급가보정 ","")&amp;IF(AND(B957="CN",N(I957)&lt;=0),"중국공급가=원가+마진 ",""))</f>
        <v/>
      </c>
    </row>
    <row r="958" customFormat="false" ht="15" hidden="false" customHeight="true" outlineLevel="0" collapsed="false">
      <c r="A958" s="94" t="s">
        <v>1685</v>
      </c>
      <c r="B958" s="34" t="str">
        <f aca="false">IF(A958="100","HK",IF(A958="200","CN",IF(A958="300","TW","홀세일")))</f>
        <v>CN</v>
      </c>
      <c r="C958" s="94" t="s">
        <v>963</v>
      </c>
      <c r="D958" s="95" t="n">
        <v>282</v>
      </c>
      <c r="E958" s="95" t="n">
        <v>199000</v>
      </c>
      <c r="F958" s="95" t="n">
        <v>47386</v>
      </c>
      <c r="G958" s="34" t="n">
        <v>3.82</v>
      </c>
      <c r="H958" s="34" t="n">
        <v>49.8</v>
      </c>
      <c r="I958" s="34" t="n">
        <v>43</v>
      </c>
      <c r="J958" s="95" t="n">
        <f aca="false">IF(N(E958)&gt;0,E958,IF(N(F958)&gt;0,F958*가정!$B$5,0))</f>
        <v>199000</v>
      </c>
      <c r="K958" s="95" t="n">
        <f aca="false">IF(N(F958)&gt;0,F958,IF(N(E958)&gt;0,E958/가정!$B$5,0))</f>
        <v>47386</v>
      </c>
      <c r="L958" s="95" t="n">
        <f aca="false">IF(B958="CN",IF(N(I958)&gt;0,I958*가정!$B$3,K958*(1+가정!$B$6)),IF(N(H958)&gt;0,H958*가정!$B$3,J958*가정!$B$4))</f>
        <v>58599.54</v>
      </c>
      <c r="M958" s="95" t="n">
        <f aca="false">D958*J958</f>
        <v>56118000</v>
      </c>
      <c r="N958" s="95" t="n">
        <f aca="false">D958*K958</f>
        <v>13362852</v>
      </c>
      <c r="O958" s="95" t="n">
        <f aca="false">D958*L958</f>
        <v>16525070.28</v>
      </c>
      <c r="P958" s="34" t="str">
        <f aca="false">TRIM(IF(N(E958)&lt;=0,"택가보정 ","")&amp;IF(N(F958)&lt;=0,"원가보정 ","")&amp;IF(AND(B958&lt;&gt;"CN",N(H958)&lt;=0),"공급가보정 ","")&amp;IF(AND(B958="CN",N(I958)&lt;=0),"중국공급가=원가+마진 ",""))</f>
        <v/>
      </c>
    </row>
    <row r="959" customFormat="false" ht="15" hidden="false" customHeight="true" outlineLevel="0" collapsed="false">
      <c r="A959" s="94" t="s">
        <v>1688</v>
      </c>
      <c r="B959" s="34" t="str">
        <f aca="false">IF(A959="100","HK",IF(A959="200","CN",IF(A959="300","TW","홀세일")))</f>
        <v>홀세일</v>
      </c>
      <c r="C959" s="94" t="s">
        <v>963</v>
      </c>
      <c r="D959" s="95" t="n">
        <v>25</v>
      </c>
      <c r="E959" s="95" t="n">
        <v>199000</v>
      </c>
      <c r="F959" s="95" t="n">
        <v>47386</v>
      </c>
      <c r="G959" s="34" t="n">
        <v>3.82</v>
      </c>
      <c r="H959" s="34" t="n">
        <v>49.8</v>
      </c>
      <c r="I959" s="34" t="n">
        <v>43</v>
      </c>
      <c r="J959" s="95" t="n">
        <f aca="false">IF(N(E959)&gt;0,E959,IF(N(F959)&gt;0,F959*가정!$B$5,0))</f>
        <v>199000</v>
      </c>
      <c r="K959" s="95" t="n">
        <f aca="false">IF(N(F959)&gt;0,F959,IF(N(E959)&gt;0,E959/가정!$B$5,0))</f>
        <v>47386</v>
      </c>
      <c r="L959" s="95" t="n">
        <f aca="false">IF(B959="CN",IF(N(I959)&gt;0,I959*가정!$B$3,K959*(1+가정!$B$6)),IF(N(H959)&gt;0,H959*가정!$B$3,J959*가정!$B$4))</f>
        <v>67866.444</v>
      </c>
      <c r="M959" s="95" t="n">
        <f aca="false">D959*J959</f>
        <v>4975000</v>
      </c>
      <c r="N959" s="95" t="n">
        <f aca="false">D959*K959</f>
        <v>1184650</v>
      </c>
      <c r="O959" s="95" t="n">
        <f aca="false">D959*L959</f>
        <v>1696661.1</v>
      </c>
      <c r="P959" s="34" t="str">
        <f aca="false">TRIM(IF(N(E959)&lt;=0,"택가보정 ","")&amp;IF(N(F959)&lt;=0,"원가보정 ","")&amp;IF(AND(B959&lt;&gt;"CN",N(H959)&lt;=0),"공급가보정 ","")&amp;IF(AND(B959="CN",N(I959)&lt;=0),"중국공급가=원가+마진 ",""))</f>
        <v/>
      </c>
    </row>
    <row r="960" customFormat="false" ht="15" hidden="false" customHeight="true" outlineLevel="0" collapsed="false">
      <c r="A960" s="94" t="s">
        <v>1684</v>
      </c>
      <c r="B960" s="34" t="str">
        <f aca="false">IF(A960="100","HK",IF(A960="200","CN",IF(A960="300","TW","홀세일")))</f>
        <v>HK</v>
      </c>
      <c r="C960" s="94" t="s">
        <v>539</v>
      </c>
      <c r="D960" s="95" t="n">
        <v>220</v>
      </c>
      <c r="E960" s="95" t="n">
        <v>199000</v>
      </c>
      <c r="F960" s="95" t="n">
        <v>56300</v>
      </c>
      <c r="G960" s="34" t="n">
        <v>3.5</v>
      </c>
      <c r="H960" s="34" t="n">
        <v>49.8</v>
      </c>
      <c r="I960" s="34" t="n">
        <v>0</v>
      </c>
      <c r="J960" s="95" t="n">
        <f aca="false">IF(N(E960)&gt;0,E960,IF(N(F960)&gt;0,F960*가정!$B$5,0))</f>
        <v>199000</v>
      </c>
      <c r="K960" s="95" t="n">
        <f aca="false">IF(N(F960)&gt;0,F960,IF(N(E960)&gt;0,E960/가정!$B$5,0))</f>
        <v>56300</v>
      </c>
      <c r="L960" s="95" t="n">
        <f aca="false">IF(B960="CN",IF(N(I960)&gt;0,I960*가정!$B$3,K960*(1+가정!$B$6)),IF(N(H960)&gt;0,H960*가정!$B$3,J960*가정!$B$4))</f>
        <v>67866.444</v>
      </c>
      <c r="M960" s="95" t="n">
        <f aca="false">D960*J960</f>
        <v>43780000</v>
      </c>
      <c r="N960" s="95" t="n">
        <f aca="false">D960*K960</f>
        <v>12386000</v>
      </c>
      <c r="O960" s="95" t="n">
        <f aca="false">D960*L960</f>
        <v>14930617.68</v>
      </c>
      <c r="P960" s="34" t="str">
        <f aca="false">TRIM(IF(N(E960)&lt;=0,"택가보정 ","")&amp;IF(N(F960)&lt;=0,"원가보정 ","")&amp;IF(AND(B960&lt;&gt;"CN",N(H960)&lt;=0),"공급가보정 ","")&amp;IF(AND(B960="CN",N(I960)&lt;=0),"중국공급가=원가+마진 ",""))</f>
        <v/>
      </c>
    </row>
    <row r="961" customFormat="false" ht="15" hidden="false" customHeight="true" outlineLevel="0" collapsed="false">
      <c r="A961" s="94" t="s">
        <v>1686</v>
      </c>
      <c r="B961" s="34" t="str">
        <f aca="false">IF(A961="100","HK",IF(A961="200","CN",IF(A961="300","TW","홀세일")))</f>
        <v>TW</v>
      </c>
      <c r="C961" s="94" t="s">
        <v>539</v>
      </c>
      <c r="D961" s="95" t="n">
        <v>100</v>
      </c>
      <c r="E961" s="95" t="n">
        <v>199000</v>
      </c>
      <c r="F961" s="95" t="n">
        <v>56300</v>
      </c>
      <c r="G961" s="34" t="n">
        <v>3.5</v>
      </c>
      <c r="H961" s="34" t="n">
        <v>49.8</v>
      </c>
      <c r="I961" s="34" t="n">
        <v>0</v>
      </c>
      <c r="J961" s="95" t="n">
        <f aca="false">IF(N(E961)&gt;0,E961,IF(N(F961)&gt;0,F961*가정!$B$5,0))</f>
        <v>199000</v>
      </c>
      <c r="K961" s="95" t="n">
        <f aca="false">IF(N(F961)&gt;0,F961,IF(N(E961)&gt;0,E961/가정!$B$5,0))</f>
        <v>56300</v>
      </c>
      <c r="L961" s="95" t="n">
        <f aca="false">IF(B961="CN",IF(N(I961)&gt;0,I961*가정!$B$3,K961*(1+가정!$B$6)),IF(N(H961)&gt;0,H961*가정!$B$3,J961*가정!$B$4))</f>
        <v>67866.444</v>
      </c>
      <c r="M961" s="95" t="n">
        <f aca="false">D961*J961</f>
        <v>19900000</v>
      </c>
      <c r="N961" s="95" t="n">
        <f aca="false">D961*K961</f>
        <v>5630000</v>
      </c>
      <c r="O961" s="95" t="n">
        <f aca="false">D961*L961</f>
        <v>6786644.4</v>
      </c>
      <c r="P961" s="34" t="str">
        <f aca="false">TRIM(IF(N(E961)&lt;=0,"택가보정 ","")&amp;IF(N(F961)&lt;=0,"원가보정 ","")&amp;IF(AND(B961&lt;&gt;"CN",N(H961)&lt;=0),"공급가보정 ","")&amp;IF(AND(B961="CN",N(I961)&lt;=0),"중국공급가=원가+마진 ",""))</f>
        <v/>
      </c>
    </row>
    <row r="962" customFormat="false" ht="15" hidden="false" customHeight="true" outlineLevel="0" collapsed="false">
      <c r="A962" s="94" t="s">
        <v>1684</v>
      </c>
      <c r="B962" s="34" t="str">
        <f aca="false">IF(A962="100","HK",IF(A962="200","CN",IF(A962="300","TW","홀세일")))</f>
        <v>HK</v>
      </c>
      <c r="C962" s="94" t="s">
        <v>965</v>
      </c>
      <c r="D962" s="95" t="n">
        <v>280</v>
      </c>
      <c r="E962" s="95" t="n">
        <v>439000</v>
      </c>
      <c r="F962" s="95" t="n">
        <v>120204</v>
      </c>
      <c r="G962" s="34" t="n">
        <v>3.22</v>
      </c>
      <c r="H962" s="34" t="n">
        <v>109.9</v>
      </c>
      <c r="I962" s="34" t="n">
        <v>102.4</v>
      </c>
      <c r="J962" s="95" t="n">
        <f aca="false">IF(N(E962)&gt;0,E962,IF(N(F962)&gt;0,F962*가정!$B$5,0))</f>
        <v>439000</v>
      </c>
      <c r="K962" s="95" t="n">
        <f aca="false">IF(N(F962)&gt;0,F962,IF(N(E962)&gt;0,E962/가정!$B$5,0))</f>
        <v>120204</v>
      </c>
      <c r="L962" s="95" t="n">
        <f aca="false">IF(B962="CN",IF(N(I962)&gt;0,I962*가정!$B$3,K962*(1+가정!$B$6)),IF(N(H962)&gt;0,H962*가정!$B$3,J962*가정!$B$4))</f>
        <v>149769.522</v>
      </c>
      <c r="M962" s="95" t="n">
        <f aca="false">D962*J962</f>
        <v>122920000</v>
      </c>
      <c r="N962" s="95" t="n">
        <f aca="false">D962*K962</f>
        <v>33657120</v>
      </c>
      <c r="O962" s="95" t="n">
        <f aca="false">D962*L962</f>
        <v>41935466.16</v>
      </c>
      <c r="P962" s="34" t="str">
        <f aca="false">TRIM(IF(N(E962)&lt;=0,"택가보정 ","")&amp;IF(N(F962)&lt;=0,"원가보정 ","")&amp;IF(AND(B962&lt;&gt;"CN",N(H962)&lt;=0),"공급가보정 ","")&amp;IF(AND(B962="CN",N(I962)&lt;=0),"중국공급가=원가+마진 ",""))</f>
        <v/>
      </c>
    </row>
    <row r="963" customFormat="false" ht="15" hidden="false" customHeight="true" outlineLevel="0" collapsed="false">
      <c r="A963" s="94" t="s">
        <v>1685</v>
      </c>
      <c r="B963" s="34" t="str">
        <f aca="false">IF(A963="100","HK",IF(A963="200","CN",IF(A963="300","TW","홀세일")))</f>
        <v>CN</v>
      </c>
      <c r="C963" s="94" t="s">
        <v>965</v>
      </c>
      <c r="D963" s="95" t="n">
        <v>262</v>
      </c>
      <c r="E963" s="95" t="n">
        <v>439000</v>
      </c>
      <c r="F963" s="95" t="n">
        <v>120204</v>
      </c>
      <c r="G963" s="34" t="n">
        <v>3.22</v>
      </c>
      <c r="H963" s="34" t="n">
        <v>109.9</v>
      </c>
      <c r="I963" s="34" t="n">
        <v>102.4</v>
      </c>
      <c r="J963" s="95" t="n">
        <f aca="false">IF(N(E963)&gt;0,E963,IF(N(F963)&gt;0,F963*가정!$B$5,0))</f>
        <v>439000</v>
      </c>
      <c r="K963" s="95" t="n">
        <f aca="false">IF(N(F963)&gt;0,F963,IF(N(E963)&gt;0,E963/가정!$B$5,0))</f>
        <v>120204</v>
      </c>
      <c r="L963" s="95" t="n">
        <f aca="false">IF(B963="CN",IF(N(I963)&gt;0,I963*가정!$B$3,K963*(1+가정!$B$6)),IF(N(H963)&gt;0,H963*가정!$B$3,J963*가정!$B$4))</f>
        <v>139548.672</v>
      </c>
      <c r="M963" s="95" t="n">
        <f aca="false">D963*J963</f>
        <v>115018000</v>
      </c>
      <c r="N963" s="95" t="n">
        <f aca="false">D963*K963</f>
        <v>31493448</v>
      </c>
      <c r="O963" s="95" t="n">
        <f aca="false">D963*L963</f>
        <v>36561752.064</v>
      </c>
      <c r="P963" s="34" t="str">
        <f aca="false">TRIM(IF(N(E963)&lt;=0,"택가보정 ","")&amp;IF(N(F963)&lt;=0,"원가보정 ","")&amp;IF(AND(B963&lt;&gt;"CN",N(H963)&lt;=0),"공급가보정 ","")&amp;IF(AND(B963="CN",N(I963)&lt;=0),"중국공급가=원가+마진 ",""))</f>
        <v/>
      </c>
    </row>
    <row r="964" customFormat="false" ht="15" hidden="false" customHeight="true" outlineLevel="0" collapsed="false">
      <c r="A964" s="94" t="s">
        <v>1688</v>
      </c>
      <c r="B964" s="34" t="str">
        <f aca="false">IF(A964="100","HK",IF(A964="200","CN",IF(A964="300","TW","홀세일")))</f>
        <v>홀세일</v>
      </c>
      <c r="C964" s="94" t="s">
        <v>965</v>
      </c>
      <c r="D964" s="95" t="n">
        <v>30</v>
      </c>
      <c r="E964" s="95" t="n">
        <v>439000</v>
      </c>
      <c r="F964" s="95" t="n">
        <v>120204</v>
      </c>
      <c r="G964" s="34" t="n">
        <v>3.22</v>
      </c>
      <c r="H964" s="34" t="n">
        <v>109.9</v>
      </c>
      <c r="I964" s="34" t="n">
        <v>102.4</v>
      </c>
      <c r="J964" s="95" t="n">
        <f aca="false">IF(N(E964)&gt;0,E964,IF(N(F964)&gt;0,F964*가정!$B$5,0))</f>
        <v>439000</v>
      </c>
      <c r="K964" s="95" t="n">
        <f aca="false">IF(N(F964)&gt;0,F964,IF(N(E964)&gt;0,E964/가정!$B$5,0))</f>
        <v>120204</v>
      </c>
      <c r="L964" s="95" t="n">
        <f aca="false">IF(B964="CN",IF(N(I964)&gt;0,I964*가정!$B$3,K964*(1+가정!$B$6)),IF(N(H964)&gt;0,H964*가정!$B$3,J964*가정!$B$4))</f>
        <v>149769.522</v>
      </c>
      <c r="M964" s="95" t="n">
        <f aca="false">D964*J964</f>
        <v>13170000</v>
      </c>
      <c r="N964" s="95" t="n">
        <f aca="false">D964*K964</f>
        <v>3606120</v>
      </c>
      <c r="O964" s="95" t="n">
        <f aca="false">D964*L964</f>
        <v>4493085.66</v>
      </c>
      <c r="P964" s="34" t="str">
        <f aca="false">TRIM(IF(N(E964)&lt;=0,"택가보정 ","")&amp;IF(N(F964)&lt;=0,"원가보정 ","")&amp;IF(AND(B964&lt;&gt;"CN",N(H964)&lt;=0),"공급가보정 ","")&amp;IF(AND(B964="CN",N(I964)&lt;=0),"중국공급가=원가+마진 ",""))</f>
        <v/>
      </c>
    </row>
    <row r="965" customFormat="false" ht="15" hidden="false" customHeight="true" outlineLevel="0" collapsed="false">
      <c r="A965" s="94" t="s">
        <v>1692</v>
      </c>
      <c r="B965" s="34" t="str">
        <f aca="false">IF(A965="100","HK",IF(A965="200","CN",IF(A965="300","TW","홀세일")))</f>
        <v>홀세일</v>
      </c>
      <c r="C965" s="94" t="s">
        <v>965</v>
      </c>
      <c r="D965" s="95" t="n">
        <v>52</v>
      </c>
      <c r="E965" s="95" t="n">
        <v>439000</v>
      </c>
      <c r="F965" s="95" t="n">
        <v>120204</v>
      </c>
      <c r="G965" s="34" t="n">
        <v>3.22</v>
      </c>
      <c r="H965" s="34" t="n">
        <v>109.9</v>
      </c>
      <c r="I965" s="34" t="n">
        <v>102.4</v>
      </c>
      <c r="J965" s="95" t="n">
        <f aca="false">IF(N(E965)&gt;0,E965,IF(N(F965)&gt;0,F965*가정!$B$5,0))</f>
        <v>439000</v>
      </c>
      <c r="K965" s="95" t="n">
        <f aca="false">IF(N(F965)&gt;0,F965,IF(N(E965)&gt;0,E965/가정!$B$5,0))</f>
        <v>120204</v>
      </c>
      <c r="L965" s="95" t="n">
        <f aca="false">IF(B965="CN",IF(N(I965)&gt;0,I965*가정!$B$3,K965*(1+가정!$B$6)),IF(N(H965)&gt;0,H965*가정!$B$3,J965*가정!$B$4))</f>
        <v>149769.522</v>
      </c>
      <c r="M965" s="95" t="n">
        <f aca="false">D965*J965</f>
        <v>22828000</v>
      </c>
      <c r="N965" s="95" t="n">
        <f aca="false">D965*K965</f>
        <v>6250608</v>
      </c>
      <c r="O965" s="95" t="n">
        <f aca="false">D965*L965</f>
        <v>7788015.144</v>
      </c>
      <c r="P965" s="34" t="str">
        <f aca="false">TRIM(IF(N(E965)&lt;=0,"택가보정 ","")&amp;IF(N(F965)&lt;=0,"원가보정 ","")&amp;IF(AND(B965&lt;&gt;"CN",N(H965)&lt;=0),"공급가보정 ","")&amp;IF(AND(B965="CN",N(I965)&lt;=0),"중국공급가=원가+마진 ",""))</f>
        <v/>
      </c>
    </row>
    <row r="966" customFormat="false" ht="15" hidden="false" customHeight="true" outlineLevel="0" collapsed="false">
      <c r="A966" s="94" t="s">
        <v>1685</v>
      </c>
      <c r="B966" s="34" t="str">
        <f aca="false">IF(A966="100","HK",IF(A966="200","CN",IF(A966="300","TW","홀세일")))</f>
        <v>CN</v>
      </c>
      <c r="C966" s="94" t="s">
        <v>1126</v>
      </c>
      <c r="D966" s="95" t="n">
        <v>202</v>
      </c>
      <c r="E966" s="95" t="n">
        <v>499000</v>
      </c>
      <c r="F966" s="95" t="n">
        <v>175400</v>
      </c>
      <c r="G966" s="34" t="n">
        <v>2.48</v>
      </c>
      <c r="H966" s="34" t="n">
        <v>124.9</v>
      </c>
      <c r="I966" s="34" t="n">
        <v>139.7</v>
      </c>
      <c r="J966" s="95" t="n">
        <f aca="false">IF(N(E966)&gt;0,E966,IF(N(F966)&gt;0,F966*가정!$B$5,0))</f>
        <v>499000</v>
      </c>
      <c r="K966" s="95" t="n">
        <f aca="false">IF(N(F966)&gt;0,F966,IF(N(E966)&gt;0,E966/가정!$B$5,0))</f>
        <v>175400</v>
      </c>
      <c r="L966" s="95" t="n">
        <f aca="false">IF(B966="CN",IF(N(I966)&gt;0,I966*가정!$B$3,K966*(1+가정!$B$6)),IF(N(H966)&gt;0,H966*가정!$B$3,J966*가정!$B$4))</f>
        <v>190380.366</v>
      </c>
      <c r="M966" s="95" t="n">
        <f aca="false">D966*J966</f>
        <v>100798000</v>
      </c>
      <c r="N966" s="95" t="n">
        <f aca="false">D966*K966</f>
        <v>35430800</v>
      </c>
      <c r="O966" s="95" t="n">
        <f aca="false">D966*L966</f>
        <v>38456833.932</v>
      </c>
      <c r="P966" s="34" t="str">
        <f aca="false">TRIM(IF(N(E966)&lt;=0,"택가보정 ","")&amp;IF(N(F966)&lt;=0,"원가보정 ","")&amp;IF(AND(B966&lt;&gt;"CN",N(H966)&lt;=0),"공급가보정 ","")&amp;IF(AND(B966="CN",N(I966)&lt;=0),"중국공급가=원가+마진 ",""))</f>
        <v/>
      </c>
    </row>
    <row r="967" customFormat="false" ht="15" hidden="false" customHeight="true" outlineLevel="0" collapsed="false">
      <c r="A967" s="94" t="s">
        <v>1686</v>
      </c>
      <c r="B967" s="34" t="str">
        <f aca="false">IF(A967="100","HK",IF(A967="200","CN",IF(A967="300","TW","홀세일")))</f>
        <v>TW</v>
      </c>
      <c r="C967" s="94" t="s">
        <v>1126</v>
      </c>
      <c r="D967" s="95" t="n">
        <v>40</v>
      </c>
      <c r="E967" s="95" t="n">
        <v>499000</v>
      </c>
      <c r="F967" s="95" t="n">
        <v>175400</v>
      </c>
      <c r="G967" s="34" t="n">
        <v>2.48</v>
      </c>
      <c r="H967" s="34" t="n">
        <v>124.9</v>
      </c>
      <c r="I967" s="34" t="n">
        <v>139.7</v>
      </c>
      <c r="J967" s="95" t="n">
        <f aca="false">IF(N(E967)&gt;0,E967,IF(N(F967)&gt;0,F967*가정!$B$5,0))</f>
        <v>499000</v>
      </c>
      <c r="K967" s="95" t="n">
        <f aca="false">IF(N(F967)&gt;0,F967,IF(N(E967)&gt;0,E967/가정!$B$5,0))</f>
        <v>175400</v>
      </c>
      <c r="L967" s="95" t="n">
        <f aca="false">IF(B967="CN",IF(N(I967)&gt;0,I967*가정!$B$3,K967*(1+가정!$B$6)),IF(N(H967)&gt;0,H967*가정!$B$3,J967*가정!$B$4))</f>
        <v>170211.222</v>
      </c>
      <c r="M967" s="95" t="n">
        <f aca="false">D967*J967</f>
        <v>19960000</v>
      </c>
      <c r="N967" s="95" t="n">
        <f aca="false">D967*K967</f>
        <v>7016000</v>
      </c>
      <c r="O967" s="95" t="n">
        <f aca="false">D967*L967</f>
        <v>6808448.88</v>
      </c>
      <c r="P967" s="34" t="str">
        <f aca="false">TRIM(IF(N(E967)&lt;=0,"택가보정 ","")&amp;IF(N(F967)&lt;=0,"원가보정 ","")&amp;IF(AND(B967&lt;&gt;"CN",N(H967)&lt;=0),"공급가보정 ","")&amp;IF(AND(B967="CN",N(I967)&lt;=0),"중국공급가=원가+마진 ",""))</f>
        <v/>
      </c>
    </row>
    <row r="968" customFormat="false" ht="15" hidden="false" customHeight="true" outlineLevel="0" collapsed="false">
      <c r="A968" s="94" t="s">
        <v>1687</v>
      </c>
      <c r="B968" s="34" t="str">
        <f aca="false">IF(A968="100","HK",IF(A968="200","CN",IF(A968="300","TW","홀세일")))</f>
        <v>홀세일</v>
      </c>
      <c r="C968" s="94" t="s">
        <v>1126</v>
      </c>
      <c r="D968" s="95" t="n">
        <v>60</v>
      </c>
      <c r="E968" s="95" t="n">
        <v>499000</v>
      </c>
      <c r="F968" s="95" t="n">
        <v>175400</v>
      </c>
      <c r="G968" s="34" t="n">
        <v>2.48</v>
      </c>
      <c r="H968" s="34" t="n">
        <v>124.9</v>
      </c>
      <c r="I968" s="34" t="n">
        <v>139.7</v>
      </c>
      <c r="J968" s="95" t="n">
        <f aca="false">IF(N(E968)&gt;0,E968,IF(N(F968)&gt;0,F968*가정!$B$5,0))</f>
        <v>499000</v>
      </c>
      <c r="K968" s="95" t="n">
        <f aca="false">IF(N(F968)&gt;0,F968,IF(N(E968)&gt;0,E968/가정!$B$5,0))</f>
        <v>175400</v>
      </c>
      <c r="L968" s="95" t="n">
        <f aca="false">IF(B968="CN",IF(N(I968)&gt;0,I968*가정!$B$3,K968*(1+가정!$B$6)),IF(N(H968)&gt;0,H968*가정!$B$3,J968*가정!$B$4))</f>
        <v>170211.222</v>
      </c>
      <c r="M968" s="95" t="n">
        <f aca="false">D968*J968</f>
        <v>29940000</v>
      </c>
      <c r="N968" s="95" t="n">
        <f aca="false">D968*K968</f>
        <v>10524000</v>
      </c>
      <c r="O968" s="95" t="n">
        <f aca="false">D968*L968</f>
        <v>10212673.32</v>
      </c>
      <c r="P968" s="34" t="str">
        <f aca="false">TRIM(IF(N(E968)&lt;=0,"택가보정 ","")&amp;IF(N(F968)&lt;=0,"원가보정 ","")&amp;IF(AND(B968&lt;&gt;"CN",N(H968)&lt;=0),"공급가보정 ","")&amp;IF(AND(B968="CN",N(I968)&lt;=0),"중국공급가=원가+마진 ",""))</f>
        <v/>
      </c>
    </row>
    <row r="969" customFormat="false" ht="15" hidden="false" customHeight="true" outlineLevel="0" collapsed="false">
      <c r="A969" s="94" t="s">
        <v>1689</v>
      </c>
      <c r="B969" s="34" t="str">
        <f aca="false">IF(A969="100","HK",IF(A969="200","CN",IF(A969="300","TW","홀세일")))</f>
        <v>홀세일</v>
      </c>
      <c r="C969" s="94" t="s">
        <v>1126</v>
      </c>
      <c r="D969" s="95" t="n">
        <v>50</v>
      </c>
      <c r="E969" s="95" t="n">
        <v>499000</v>
      </c>
      <c r="F969" s="95" t="n">
        <v>175400</v>
      </c>
      <c r="G969" s="34" t="n">
        <v>2.48</v>
      </c>
      <c r="H969" s="34" t="n">
        <v>124.9</v>
      </c>
      <c r="I969" s="34" t="n">
        <v>139.7</v>
      </c>
      <c r="J969" s="95" t="n">
        <f aca="false">IF(N(E969)&gt;0,E969,IF(N(F969)&gt;0,F969*가정!$B$5,0))</f>
        <v>499000</v>
      </c>
      <c r="K969" s="95" t="n">
        <f aca="false">IF(N(F969)&gt;0,F969,IF(N(E969)&gt;0,E969/가정!$B$5,0))</f>
        <v>175400</v>
      </c>
      <c r="L969" s="95" t="n">
        <f aca="false">IF(B969="CN",IF(N(I969)&gt;0,I969*가정!$B$3,K969*(1+가정!$B$6)),IF(N(H969)&gt;0,H969*가정!$B$3,J969*가정!$B$4))</f>
        <v>170211.222</v>
      </c>
      <c r="M969" s="95" t="n">
        <f aca="false">D969*J969</f>
        <v>24950000</v>
      </c>
      <c r="N969" s="95" t="n">
        <f aca="false">D969*K969</f>
        <v>8770000</v>
      </c>
      <c r="O969" s="95" t="n">
        <f aca="false">D969*L969</f>
        <v>8510561.1</v>
      </c>
      <c r="P969" s="34" t="str">
        <f aca="false">TRIM(IF(N(E969)&lt;=0,"택가보정 ","")&amp;IF(N(F969)&lt;=0,"원가보정 ","")&amp;IF(AND(B969&lt;&gt;"CN",N(H969)&lt;=0),"공급가보정 ","")&amp;IF(AND(B969="CN",N(I969)&lt;=0),"중국공급가=원가+마진 ",""))</f>
        <v/>
      </c>
    </row>
    <row r="970" customFormat="false" ht="15" hidden="false" customHeight="true" outlineLevel="0" collapsed="false">
      <c r="A970" s="94" t="s">
        <v>1685</v>
      </c>
      <c r="B970" s="34" t="str">
        <f aca="false">IF(A970="100","HK",IF(A970="200","CN",IF(A970="300","TW","홀세일")))</f>
        <v>CN</v>
      </c>
      <c r="C970" s="94" t="s">
        <v>1128</v>
      </c>
      <c r="D970" s="95" t="n">
        <v>71</v>
      </c>
      <c r="E970" s="95" t="n">
        <v>590000</v>
      </c>
      <c r="F970" s="95" t="n">
        <v>162500</v>
      </c>
      <c r="G970" s="34" t="n">
        <v>3.32</v>
      </c>
      <c r="H970" s="34" t="n">
        <v>147.7</v>
      </c>
      <c r="I970" s="34" t="n">
        <v>129.4</v>
      </c>
      <c r="J970" s="95" t="n">
        <f aca="false">IF(N(E970)&gt;0,E970,IF(N(F970)&gt;0,F970*가정!$B$5,0))</f>
        <v>590000</v>
      </c>
      <c r="K970" s="95" t="n">
        <f aca="false">IF(N(F970)&gt;0,F970,IF(N(E970)&gt;0,E970/가정!$B$5,0))</f>
        <v>162500</v>
      </c>
      <c r="L970" s="95" t="n">
        <f aca="false">IF(B970="CN",IF(N(I970)&gt;0,I970*가정!$B$3,K970*(1+가정!$B$6)),IF(N(H970)&gt;0,H970*가정!$B$3,J970*가정!$B$4))</f>
        <v>176343.732</v>
      </c>
      <c r="M970" s="95" t="n">
        <f aca="false">D970*J970</f>
        <v>41890000</v>
      </c>
      <c r="N970" s="95" t="n">
        <f aca="false">D970*K970</f>
        <v>11537500</v>
      </c>
      <c r="O970" s="95" t="n">
        <f aca="false">D970*L970</f>
        <v>12520404.972</v>
      </c>
      <c r="P970" s="34" t="str">
        <f aca="false">TRIM(IF(N(E970)&lt;=0,"택가보정 ","")&amp;IF(N(F970)&lt;=0,"원가보정 ","")&amp;IF(AND(B970&lt;&gt;"CN",N(H970)&lt;=0),"공급가보정 ","")&amp;IF(AND(B970="CN",N(I970)&lt;=0),"중국공급가=원가+마진 ",""))</f>
        <v/>
      </c>
    </row>
    <row r="971" customFormat="false" ht="15" hidden="false" customHeight="true" outlineLevel="0" collapsed="false">
      <c r="A971" s="94" t="s">
        <v>1686</v>
      </c>
      <c r="B971" s="34" t="str">
        <f aca="false">IF(A971="100","HK",IF(A971="200","CN",IF(A971="300","TW","홀세일")))</f>
        <v>TW</v>
      </c>
      <c r="C971" s="94" t="s">
        <v>1128</v>
      </c>
      <c r="D971" s="95" t="n">
        <v>70</v>
      </c>
      <c r="E971" s="95" t="n">
        <v>590000</v>
      </c>
      <c r="F971" s="95" t="n">
        <v>162500</v>
      </c>
      <c r="G971" s="34" t="n">
        <v>3.32</v>
      </c>
      <c r="H971" s="34" t="n">
        <v>147.7</v>
      </c>
      <c r="I971" s="34" t="n">
        <v>129.4</v>
      </c>
      <c r="J971" s="95" t="n">
        <f aca="false">IF(N(E971)&gt;0,E971,IF(N(F971)&gt;0,F971*가정!$B$5,0))</f>
        <v>590000</v>
      </c>
      <c r="K971" s="95" t="n">
        <f aca="false">IF(N(F971)&gt;0,F971,IF(N(E971)&gt;0,E971/가정!$B$5,0))</f>
        <v>162500</v>
      </c>
      <c r="L971" s="95" t="n">
        <f aca="false">IF(B971="CN",IF(N(I971)&gt;0,I971*가정!$B$3,K971*(1+가정!$B$6)),IF(N(H971)&gt;0,H971*가정!$B$3,J971*가정!$B$4))</f>
        <v>201282.606</v>
      </c>
      <c r="M971" s="95" t="n">
        <f aca="false">D971*J971</f>
        <v>41300000</v>
      </c>
      <c r="N971" s="95" t="n">
        <f aca="false">D971*K971</f>
        <v>11375000</v>
      </c>
      <c r="O971" s="95" t="n">
        <f aca="false">D971*L971</f>
        <v>14089782.42</v>
      </c>
      <c r="P971" s="34" t="str">
        <f aca="false">TRIM(IF(N(E971)&lt;=0,"택가보정 ","")&amp;IF(N(F971)&lt;=0,"원가보정 ","")&amp;IF(AND(B971&lt;&gt;"CN",N(H971)&lt;=0),"공급가보정 ","")&amp;IF(AND(B971="CN",N(I971)&lt;=0),"중국공급가=원가+마진 ",""))</f>
        <v/>
      </c>
    </row>
    <row r="972" customFormat="false" ht="15" hidden="false" customHeight="true" outlineLevel="0" collapsed="false">
      <c r="A972" s="94" t="s">
        <v>1687</v>
      </c>
      <c r="B972" s="34" t="str">
        <f aca="false">IF(A972="100","HK",IF(A972="200","CN",IF(A972="300","TW","홀세일")))</f>
        <v>홀세일</v>
      </c>
      <c r="C972" s="94" t="s">
        <v>1128</v>
      </c>
      <c r="D972" s="95" t="n">
        <v>30</v>
      </c>
      <c r="E972" s="95" t="n">
        <v>590000</v>
      </c>
      <c r="F972" s="95" t="n">
        <v>162500</v>
      </c>
      <c r="G972" s="34" t="n">
        <v>3.32</v>
      </c>
      <c r="H972" s="34" t="n">
        <v>147.7</v>
      </c>
      <c r="I972" s="34" t="n">
        <v>129.4</v>
      </c>
      <c r="J972" s="95" t="n">
        <f aca="false">IF(N(E972)&gt;0,E972,IF(N(F972)&gt;0,F972*가정!$B$5,0))</f>
        <v>590000</v>
      </c>
      <c r="K972" s="95" t="n">
        <f aca="false">IF(N(F972)&gt;0,F972,IF(N(E972)&gt;0,E972/가정!$B$5,0))</f>
        <v>162500</v>
      </c>
      <c r="L972" s="95" t="n">
        <f aca="false">IF(B972="CN",IF(N(I972)&gt;0,I972*가정!$B$3,K972*(1+가정!$B$6)),IF(N(H972)&gt;0,H972*가정!$B$3,J972*가정!$B$4))</f>
        <v>201282.606</v>
      </c>
      <c r="M972" s="95" t="n">
        <f aca="false">D972*J972</f>
        <v>17700000</v>
      </c>
      <c r="N972" s="95" t="n">
        <f aca="false">D972*K972</f>
        <v>4875000</v>
      </c>
      <c r="O972" s="95" t="n">
        <f aca="false">D972*L972</f>
        <v>6038478.18</v>
      </c>
      <c r="P972" s="34" t="str">
        <f aca="false">TRIM(IF(N(E972)&lt;=0,"택가보정 ","")&amp;IF(N(F972)&lt;=0,"원가보정 ","")&amp;IF(AND(B972&lt;&gt;"CN",N(H972)&lt;=0),"공급가보정 ","")&amp;IF(AND(B972="CN",N(I972)&lt;=0),"중국공급가=원가+마진 ",""))</f>
        <v/>
      </c>
    </row>
    <row r="973" customFormat="false" ht="15" hidden="false" customHeight="true" outlineLevel="0" collapsed="false">
      <c r="A973" s="94" t="s">
        <v>1684</v>
      </c>
      <c r="B973" s="34" t="str">
        <f aca="false">IF(A973="100","HK",IF(A973="200","CN",IF(A973="300","TW","홀세일")))</f>
        <v>HK</v>
      </c>
      <c r="C973" s="94" t="s">
        <v>541</v>
      </c>
      <c r="D973" s="95" t="n">
        <v>140</v>
      </c>
      <c r="E973" s="95" t="n">
        <v>259000</v>
      </c>
      <c r="F973" s="95" t="n">
        <v>78500</v>
      </c>
      <c r="G973" s="34" t="n">
        <v>3.3</v>
      </c>
      <c r="H973" s="34" t="n">
        <v>64.9</v>
      </c>
      <c r="I973" s="34" t="n">
        <v>0</v>
      </c>
      <c r="J973" s="95" t="n">
        <f aca="false">IF(N(E973)&gt;0,E973,IF(N(F973)&gt;0,F973*가정!$B$5,0))</f>
        <v>259000</v>
      </c>
      <c r="K973" s="95" t="n">
        <f aca="false">IF(N(F973)&gt;0,F973,IF(N(E973)&gt;0,E973/가정!$B$5,0))</f>
        <v>78500</v>
      </c>
      <c r="L973" s="95" t="n">
        <f aca="false">IF(B973="CN",IF(N(I973)&gt;0,I973*가정!$B$3,K973*(1+가정!$B$6)),IF(N(H973)&gt;0,H973*가정!$B$3,J973*가정!$B$4))</f>
        <v>88444.422</v>
      </c>
      <c r="M973" s="95" t="n">
        <f aca="false">D973*J973</f>
        <v>36260000</v>
      </c>
      <c r="N973" s="95" t="n">
        <f aca="false">D973*K973</f>
        <v>10990000</v>
      </c>
      <c r="O973" s="95" t="n">
        <f aca="false">D973*L973</f>
        <v>12382219.08</v>
      </c>
      <c r="P973" s="34" t="str">
        <f aca="false">TRIM(IF(N(E973)&lt;=0,"택가보정 ","")&amp;IF(N(F973)&lt;=0,"원가보정 ","")&amp;IF(AND(B973&lt;&gt;"CN",N(H973)&lt;=0),"공급가보정 ","")&amp;IF(AND(B973="CN",N(I973)&lt;=0),"중국공급가=원가+마진 ",""))</f>
        <v/>
      </c>
    </row>
    <row r="974" customFormat="false" ht="15" hidden="false" customHeight="true" outlineLevel="0" collapsed="false">
      <c r="A974" s="94" t="s">
        <v>1686</v>
      </c>
      <c r="B974" s="34" t="str">
        <f aca="false">IF(A974="100","HK",IF(A974="200","CN",IF(A974="300","TW","홀세일")))</f>
        <v>TW</v>
      </c>
      <c r="C974" s="94" t="s">
        <v>541</v>
      </c>
      <c r="D974" s="95" t="n">
        <v>50</v>
      </c>
      <c r="E974" s="95" t="n">
        <v>259000</v>
      </c>
      <c r="F974" s="95" t="n">
        <v>78500</v>
      </c>
      <c r="G974" s="34" t="n">
        <v>3.3</v>
      </c>
      <c r="H974" s="34" t="n">
        <v>64.9</v>
      </c>
      <c r="I974" s="34" t="n">
        <v>0</v>
      </c>
      <c r="J974" s="95" t="n">
        <f aca="false">IF(N(E974)&gt;0,E974,IF(N(F974)&gt;0,F974*가정!$B$5,0))</f>
        <v>259000</v>
      </c>
      <c r="K974" s="95" t="n">
        <f aca="false">IF(N(F974)&gt;0,F974,IF(N(E974)&gt;0,E974/가정!$B$5,0))</f>
        <v>78500</v>
      </c>
      <c r="L974" s="95" t="n">
        <f aca="false">IF(B974="CN",IF(N(I974)&gt;0,I974*가정!$B$3,K974*(1+가정!$B$6)),IF(N(H974)&gt;0,H974*가정!$B$3,J974*가정!$B$4))</f>
        <v>88444.422</v>
      </c>
      <c r="M974" s="95" t="n">
        <f aca="false">D974*J974</f>
        <v>12950000</v>
      </c>
      <c r="N974" s="95" t="n">
        <f aca="false">D974*K974</f>
        <v>3925000</v>
      </c>
      <c r="O974" s="95" t="n">
        <f aca="false">D974*L974</f>
        <v>4422221.1</v>
      </c>
      <c r="P974" s="34" t="str">
        <f aca="false">TRIM(IF(N(E974)&lt;=0,"택가보정 ","")&amp;IF(N(F974)&lt;=0,"원가보정 ","")&amp;IF(AND(B974&lt;&gt;"CN",N(H974)&lt;=0),"공급가보정 ","")&amp;IF(AND(B974="CN",N(I974)&lt;=0),"중국공급가=원가+마진 ",""))</f>
        <v/>
      </c>
    </row>
    <row r="975" customFormat="false" ht="15" hidden="false" customHeight="true" outlineLevel="0" collapsed="false">
      <c r="A975" s="94" t="s">
        <v>1684</v>
      </c>
      <c r="B975" s="34" t="str">
        <f aca="false">IF(A975="100","HK",IF(A975="200","CN",IF(A975="300","TW","홀세일")))</f>
        <v>HK</v>
      </c>
      <c r="C975" s="94" t="s">
        <v>967</v>
      </c>
      <c r="D975" s="95" t="n">
        <v>50</v>
      </c>
      <c r="E975" s="95" t="n">
        <v>259000</v>
      </c>
      <c r="F975" s="95" t="n">
        <v>76900</v>
      </c>
      <c r="G975" s="34" t="n">
        <v>3.43</v>
      </c>
      <c r="H975" s="34" t="n">
        <v>64.9</v>
      </c>
      <c r="J975" s="95" t="n">
        <f aca="false">IF(N(E975)&gt;0,E975,IF(N(F975)&gt;0,F975*가정!$B$5,0))</f>
        <v>259000</v>
      </c>
      <c r="K975" s="95" t="n">
        <f aca="false">IF(N(F975)&gt;0,F975,IF(N(E975)&gt;0,E975/가정!$B$5,0))</f>
        <v>76900</v>
      </c>
      <c r="L975" s="95" t="n">
        <f aca="false">IF(B975="CN",IF(N(I975)&gt;0,I975*가정!$B$3,K975*(1+가정!$B$6)),IF(N(H975)&gt;0,H975*가정!$B$3,J975*가정!$B$4))</f>
        <v>88444.422</v>
      </c>
      <c r="M975" s="95" t="n">
        <f aca="false">D975*J975</f>
        <v>12950000</v>
      </c>
      <c r="N975" s="95" t="n">
        <f aca="false">D975*K975</f>
        <v>3845000</v>
      </c>
      <c r="O975" s="95" t="n">
        <f aca="false">D975*L975</f>
        <v>4422221.1</v>
      </c>
      <c r="P975" s="34" t="str">
        <f aca="false">TRIM(IF(N(E975)&lt;=0,"택가보정 ","")&amp;IF(N(F975)&lt;=0,"원가보정 ","")&amp;IF(AND(B975&lt;&gt;"CN",N(H975)&lt;=0),"공급가보정 ","")&amp;IF(AND(B975="CN",N(I975)&lt;=0),"중국공급가=원가+마진 ",""))</f>
        <v/>
      </c>
    </row>
    <row r="976" customFormat="false" ht="15" hidden="false" customHeight="true" outlineLevel="0" collapsed="false">
      <c r="A976" s="94" t="s">
        <v>1685</v>
      </c>
      <c r="B976" s="34" t="str">
        <f aca="false">IF(A976="100","HK",IF(A976="200","CN",IF(A976="300","TW","홀세일")))</f>
        <v>CN</v>
      </c>
      <c r="C976" s="94" t="s">
        <v>1130</v>
      </c>
      <c r="D976" s="95" t="n">
        <v>412</v>
      </c>
      <c r="E976" s="95" t="n">
        <v>199000</v>
      </c>
      <c r="F976" s="95" t="n">
        <v>48700</v>
      </c>
      <c r="G976" s="34" t="n">
        <v>3.68</v>
      </c>
      <c r="H976" s="34" t="n">
        <v>51.2</v>
      </c>
      <c r="I976" s="34" t="n">
        <v>37.9</v>
      </c>
      <c r="J976" s="95" t="n">
        <f aca="false">IF(N(E976)&gt;0,E976,IF(N(F976)&gt;0,F976*가정!$B$5,0))</f>
        <v>199000</v>
      </c>
      <c r="K976" s="95" t="n">
        <f aca="false">IF(N(F976)&gt;0,F976,IF(N(E976)&gt;0,E976/가정!$B$5,0))</f>
        <v>48700</v>
      </c>
      <c r="L976" s="95" t="n">
        <f aca="false">IF(B976="CN",IF(N(I976)&gt;0,I976*가정!$B$3,K976*(1+가정!$B$6)),IF(N(H976)&gt;0,H976*가정!$B$3,J976*가정!$B$4))</f>
        <v>51649.362</v>
      </c>
      <c r="M976" s="95" t="n">
        <f aca="false">D976*J976</f>
        <v>81988000</v>
      </c>
      <c r="N976" s="95" t="n">
        <f aca="false">D976*K976</f>
        <v>20064400</v>
      </c>
      <c r="O976" s="95" t="n">
        <f aca="false">D976*L976</f>
        <v>21279537.144</v>
      </c>
      <c r="P976" s="34" t="str">
        <f aca="false">TRIM(IF(N(E976)&lt;=0,"택가보정 ","")&amp;IF(N(F976)&lt;=0,"원가보정 ","")&amp;IF(AND(B976&lt;&gt;"CN",N(H976)&lt;=0),"공급가보정 ","")&amp;IF(AND(B976="CN",N(I976)&lt;=0),"중국공급가=원가+마진 ",""))</f>
        <v/>
      </c>
    </row>
    <row r="977" customFormat="false" ht="15" hidden="false" customHeight="true" outlineLevel="0" collapsed="false">
      <c r="A977" s="94" t="s">
        <v>1685</v>
      </c>
      <c r="B977" s="34" t="str">
        <f aca="false">IF(A977="100","HK",IF(A977="200","CN",IF(A977="300","TW","홀세일")))</f>
        <v>CN</v>
      </c>
      <c r="C977" s="94" t="s">
        <v>543</v>
      </c>
      <c r="D977" s="95" t="n">
        <v>332</v>
      </c>
      <c r="E977" s="95" t="n">
        <v>219000</v>
      </c>
      <c r="F977" s="95" t="n">
        <v>59295</v>
      </c>
      <c r="G977" s="34" t="n">
        <v>3.72</v>
      </c>
      <c r="H977" s="34" t="n">
        <v>51.5</v>
      </c>
      <c r="I977" s="34" t="n">
        <v>43.8</v>
      </c>
      <c r="J977" s="95" t="n">
        <f aca="false">IF(N(E977)&gt;0,E977,IF(N(F977)&gt;0,F977*가정!$B$5,0))</f>
        <v>219000</v>
      </c>
      <c r="K977" s="95" t="n">
        <f aca="false">IF(N(F977)&gt;0,F977,IF(N(E977)&gt;0,E977/가정!$B$5,0))</f>
        <v>59295</v>
      </c>
      <c r="L977" s="95" t="n">
        <f aca="false">IF(B977="CN",IF(N(I977)&gt;0,I977*가정!$B$3,K977*(1+가정!$B$6)),IF(N(H977)&gt;0,H977*가정!$B$3,J977*가정!$B$4))</f>
        <v>59689.764</v>
      </c>
      <c r="M977" s="95" t="n">
        <f aca="false">D977*J977</f>
        <v>72708000</v>
      </c>
      <c r="N977" s="95" t="n">
        <f aca="false">D977*K977</f>
        <v>19685940</v>
      </c>
      <c r="O977" s="95" t="n">
        <f aca="false">D977*L977</f>
        <v>19817001.648</v>
      </c>
      <c r="P977" s="34" t="str">
        <f aca="false">TRIM(IF(N(E977)&lt;=0,"택가보정 ","")&amp;IF(N(F977)&lt;=0,"원가보정 ","")&amp;IF(AND(B977&lt;&gt;"CN",N(H977)&lt;=0),"공급가보정 ","")&amp;IF(AND(B977="CN",N(I977)&lt;=0),"중국공급가=원가+마진 ",""))</f>
        <v/>
      </c>
    </row>
    <row r="978" customFormat="false" ht="15" hidden="false" customHeight="true" outlineLevel="0" collapsed="false">
      <c r="A978" s="94" t="s">
        <v>1686</v>
      </c>
      <c r="B978" s="34" t="str">
        <f aca="false">IF(A978="100","HK",IF(A978="200","CN",IF(A978="300","TW","홀세일")))</f>
        <v>TW</v>
      </c>
      <c r="C978" s="94" t="s">
        <v>543</v>
      </c>
      <c r="D978" s="95" t="n">
        <v>150</v>
      </c>
      <c r="E978" s="95" t="n">
        <v>219000</v>
      </c>
      <c r="F978" s="95" t="n">
        <v>59295</v>
      </c>
      <c r="G978" s="34" t="n">
        <v>3.72</v>
      </c>
      <c r="H978" s="34" t="n">
        <v>51.5</v>
      </c>
      <c r="I978" s="34" t="n">
        <v>43.8</v>
      </c>
      <c r="J978" s="95" t="n">
        <f aca="false">IF(N(E978)&gt;0,E978,IF(N(F978)&gt;0,F978*가정!$B$5,0))</f>
        <v>219000</v>
      </c>
      <c r="K978" s="95" t="n">
        <f aca="false">IF(N(F978)&gt;0,F978,IF(N(E978)&gt;0,E978/가정!$B$5,0))</f>
        <v>59295</v>
      </c>
      <c r="L978" s="95" t="n">
        <f aca="false">IF(B978="CN",IF(N(I978)&gt;0,I978*가정!$B$3,K978*(1+가정!$B$6)),IF(N(H978)&gt;0,H978*가정!$B$3,J978*가정!$B$4))</f>
        <v>70183.17</v>
      </c>
      <c r="M978" s="95" t="n">
        <f aca="false">D978*J978</f>
        <v>32850000</v>
      </c>
      <c r="N978" s="95" t="n">
        <f aca="false">D978*K978</f>
        <v>8894250</v>
      </c>
      <c r="O978" s="95" t="n">
        <f aca="false">D978*L978</f>
        <v>10527475.5</v>
      </c>
      <c r="P978" s="34" t="str">
        <f aca="false">TRIM(IF(N(E978)&lt;=0,"택가보정 ","")&amp;IF(N(F978)&lt;=0,"원가보정 ","")&amp;IF(AND(B978&lt;&gt;"CN",N(H978)&lt;=0),"공급가보정 ","")&amp;IF(AND(B978="CN",N(I978)&lt;=0),"중국공급가=원가+마진 ",""))</f>
        <v/>
      </c>
    </row>
    <row r="979" customFormat="false" ht="15" hidden="false" customHeight="true" outlineLevel="0" collapsed="false">
      <c r="A979" s="94" t="s">
        <v>1690</v>
      </c>
      <c r="B979" s="34" t="str">
        <f aca="false">IF(A979="100","HK",IF(A979="200","CN",IF(A979="300","TW","홀세일")))</f>
        <v>홀세일</v>
      </c>
      <c r="C979" s="94" t="s">
        <v>543</v>
      </c>
      <c r="D979" s="95" t="n">
        <v>216</v>
      </c>
      <c r="E979" s="95" t="n">
        <v>219000</v>
      </c>
      <c r="F979" s="95" t="n">
        <v>59295</v>
      </c>
      <c r="G979" s="34" t="n">
        <v>3.72</v>
      </c>
      <c r="H979" s="34" t="n">
        <v>51.5</v>
      </c>
      <c r="I979" s="34" t="n">
        <v>43.8</v>
      </c>
      <c r="J979" s="95" t="n">
        <f aca="false">IF(N(E979)&gt;0,E979,IF(N(F979)&gt;0,F979*가정!$B$5,0))</f>
        <v>219000</v>
      </c>
      <c r="K979" s="95" t="n">
        <f aca="false">IF(N(F979)&gt;0,F979,IF(N(E979)&gt;0,E979/가정!$B$5,0))</f>
        <v>59295</v>
      </c>
      <c r="L979" s="95" t="n">
        <f aca="false">IF(B979="CN",IF(N(I979)&gt;0,I979*가정!$B$3,K979*(1+가정!$B$6)),IF(N(H979)&gt;0,H979*가정!$B$3,J979*가정!$B$4))</f>
        <v>70183.17</v>
      </c>
      <c r="M979" s="95" t="n">
        <f aca="false">D979*J979</f>
        <v>47304000</v>
      </c>
      <c r="N979" s="95" t="n">
        <f aca="false">D979*K979</f>
        <v>12807720</v>
      </c>
      <c r="O979" s="95" t="n">
        <f aca="false">D979*L979</f>
        <v>15159564.72</v>
      </c>
      <c r="P979" s="34" t="str">
        <f aca="false">TRIM(IF(N(E979)&lt;=0,"택가보정 ","")&amp;IF(N(F979)&lt;=0,"원가보정 ","")&amp;IF(AND(B979&lt;&gt;"CN",N(H979)&lt;=0),"공급가보정 ","")&amp;IF(AND(B979="CN",N(I979)&lt;=0),"중국공급가=원가+마진 ",""))</f>
        <v/>
      </c>
    </row>
    <row r="980" customFormat="false" ht="15" hidden="false" customHeight="true" outlineLevel="0" collapsed="false">
      <c r="A980" s="94" t="s">
        <v>1684</v>
      </c>
      <c r="B980" s="34" t="str">
        <f aca="false">IF(A980="100","HK",IF(A980="200","CN",IF(A980="300","TW","홀세일")))</f>
        <v>HK</v>
      </c>
      <c r="C980" s="94" t="s">
        <v>969</v>
      </c>
      <c r="D980" s="95" t="n">
        <v>115</v>
      </c>
      <c r="E980" s="95" t="n">
        <v>139000</v>
      </c>
      <c r="F980" s="95" t="n">
        <v>37108</v>
      </c>
      <c r="G980" s="34" t="n">
        <v>3.36</v>
      </c>
      <c r="H980" s="34" t="n">
        <v>32.7</v>
      </c>
      <c r="I980" s="34" t="n">
        <v>32.1</v>
      </c>
      <c r="J980" s="95" t="n">
        <f aca="false">IF(N(E980)&gt;0,E980,IF(N(F980)&gt;0,F980*가정!$B$5,0))</f>
        <v>139000</v>
      </c>
      <c r="K980" s="95" t="n">
        <f aca="false">IF(N(F980)&gt;0,F980,IF(N(E980)&gt;0,E980/가정!$B$5,0))</f>
        <v>37108</v>
      </c>
      <c r="L980" s="95" t="n">
        <f aca="false">IF(B980="CN",IF(N(I980)&gt;0,I980*가정!$B$3,K980*(1+가정!$B$6)),IF(N(H980)&gt;0,H980*가정!$B$3,J980*가정!$B$4))</f>
        <v>44562.906</v>
      </c>
      <c r="M980" s="95" t="n">
        <f aca="false">D980*J980</f>
        <v>15985000</v>
      </c>
      <c r="N980" s="95" t="n">
        <f aca="false">D980*K980</f>
        <v>4267420</v>
      </c>
      <c r="O980" s="95" t="n">
        <f aca="false">D980*L980</f>
        <v>5124734.19</v>
      </c>
      <c r="P980" s="34" t="str">
        <f aca="false">TRIM(IF(N(E980)&lt;=0,"택가보정 ","")&amp;IF(N(F980)&lt;=0,"원가보정 ","")&amp;IF(AND(B980&lt;&gt;"CN",N(H980)&lt;=0),"공급가보정 ","")&amp;IF(AND(B980="CN",N(I980)&lt;=0),"중국공급가=원가+마진 ",""))</f>
        <v/>
      </c>
    </row>
    <row r="981" customFormat="false" ht="15" hidden="false" customHeight="true" outlineLevel="0" collapsed="false">
      <c r="A981" s="94" t="s">
        <v>1685</v>
      </c>
      <c r="B981" s="34" t="str">
        <f aca="false">IF(A981="100","HK",IF(A981="200","CN",IF(A981="300","TW","홀세일")))</f>
        <v>CN</v>
      </c>
      <c r="C981" s="94" t="s">
        <v>969</v>
      </c>
      <c r="D981" s="95" t="n">
        <v>122</v>
      </c>
      <c r="E981" s="95" t="n">
        <v>139000</v>
      </c>
      <c r="F981" s="95" t="n">
        <v>37108</v>
      </c>
      <c r="G981" s="34" t="n">
        <v>3.36</v>
      </c>
      <c r="H981" s="34" t="n">
        <v>32.7</v>
      </c>
      <c r="I981" s="34" t="n">
        <v>32.1</v>
      </c>
      <c r="J981" s="95" t="n">
        <f aca="false">IF(N(E981)&gt;0,E981,IF(N(F981)&gt;0,F981*가정!$B$5,0))</f>
        <v>139000</v>
      </c>
      <c r="K981" s="95" t="n">
        <f aca="false">IF(N(F981)&gt;0,F981,IF(N(E981)&gt;0,E981/가정!$B$5,0))</f>
        <v>37108</v>
      </c>
      <c r="L981" s="95" t="n">
        <f aca="false">IF(B981="CN",IF(N(I981)&gt;0,I981*가정!$B$3,K981*(1+가정!$B$6)),IF(N(H981)&gt;0,H981*가정!$B$3,J981*가정!$B$4))</f>
        <v>43745.238</v>
      </c>
      <c r="M981" s="95" t="n">
        <f aca="false">D981*J981</f>
        <v>16958000</v>
      </c>
      <c r="N981" s="95" t="n">
        <f aca="false">D981*K981</f>
        <v>4527176</v>
      </c>
      <c r="O981" s="95" t="n">
        <f aca="false">D981*L981</f>
        <v>5336919.036</v>
      </c>
      <c r="P981" s="34" t="str">
        <f aca="false">TRIM(IF(N(E981)&lt;=0,"택가보정 ","")&amp;IF(N(F981)&lt;=0,"원가보정 ","")&amp;IF(AND(B981&lt;&gt;"CN",N(H981)&lt;=0),"공급가보정 ","")&amp;IF(AND(B981="CN",N(I981)&lt;=0),"중국공급가=원가+마진 ",""))</f>
        <v/>
      </c>
    </row>
    <row r="982" customFormat="false" ht="15" hidden="false" customHeight="true" outlineLevel="0" collapsed="false">
      <c r="A982" s="94" t="s">
        <v>1692</v>
      </c>
      <c r="B982" s="34" t="str">
        <f aca="false">IF(A982="100","HK",IF(A982="200","CN",IF(A982="300","TW","홀세일")))</f>
        <v>홀세일</v>
      </c>
      <c r="C982" s="94" t="s">
        <v>969</v>
      </c>
      <c r="D982" s="95" t="n">
        <v>51</v>
      </c>
      <c r="E982" s="95" t="n">
        <v>139000</v>
      </c>
      <c r="F982" s="95" t="n">
        <v>37108</v>
      </c>
      <c r="G982" s="34" t="n">
        <v>3.36</v>
      </c>
      <c r="H982" s="34" t="n">
        <v>32.7</v>
      </c>
      <c r="I982" s="34" t="n">
        <v>32.1</v>
      </c>
      <c r="J982" s="95" t="n">
        <f aca="false">IF(N(E982)&gt;0,E982,IF(N(F982)&gt;0,F982*가정!$B$5,0))</f>
        <v>139000</v>
      </c>
      <c r="K982" s="95" t="n">
        <f aca="false">IF(N(F982)&gt;0,F982,IF(N(E982)&gt;0,E982/가정!$B$5,0))</f>
        <v>37108</v>
      </c>
      <c r="L982" s="95" t="n">
        <f aca="false">IF(B982="CN",IF(N(I982)&gt;0,I982*가정!$B$3,K982*(1+가정!$B$6)),IF(N(H982)&gt;0,H982*가정!$B$3,J982*가정!$B$4))</f>
        <v>44562.906</v>
      </c>
      <c r="M982" s="95" t="n">
        <f aca="false">D982*J982</f>
        <v>7089000</v>
      </c>
      <c r="N982" s="95" t="n">
        <f aca="false">D982*K982</f>
        <v>1892508</v>
      </c>
      <c r="O982" s="95" t="n">
        <f aca="false">D982*L982</f>
        <v>2272708.206</v>
      </c>
      <c r="P982" s="34" t="str">
        <f aca="false">TRIM(IF(N(E982)&lt;=0,"택가보정 ","")&amp;IF(N(F982)&lt;=0,"원가보정 ","")&amp;IF(AND(B982&lt;&gt;"CN",N(H982)&lt;=0),"공급가보정 ","")&amp;IF(AND(B982="CN",N(I982)&lt;=0),"중국공급가=원가+마진 ",""))</f>
        <v/>
      </c>
    </row>
    <row r="983" customFormat="false" ht="15" hidden="false" customHeight="true" outlineLevel="0" collapsed="false">
      <c r="A983" s="94" t="s">
        <v>1686</v>
      </c>
      <c r="B983" s="34" t="str">
        <f aca="false">IF(A983="100","HK",IF(A983="200","CN",IF(A983="300","TW","홀세일")))</f>
        <v>TW</v>
      </c>
      <c r="C983" s="94" t="s">
        <v>1710</v>
      </c>
      <c r="D983" s="95" t="n">
        <v>260</v>
      </c>
      <c r="E983" s="95" t="n">
        <v>239000</v>
      </c>
      <c r="F983" s="95" t="n">
        <v>62300</v>
      </c>
      <c r="G983" s="34" t="n">
        <v>3.43</v>
      </c>
      <c r="H983" s="34" t="n">
        <v>57.9</v>
      </c>
      <c r="I983" s="34" t="n">
        <v>0</v>
      </c>
      <c r="J983" s="95" t="n">
        <f aca="false">IF(N(E983)&gt;0,E983,IF(N(F983)&gt;0,F983*가정!$B$5,0))</f>
        <v>239000</v>
      </c>
      <c r="K983" s="95" t="n">
        <f aca="false">IF(N(F983)&gt;0,F983,IF(N(E983)&gt;0,E983/가정!$B$5,0))</f>
        <v>62300</v>
      </c>
      <c r="L983" s="95" t="n">
        <f aca="false">IF(B983="CN",IF(N(I983)&gt;0,I983*가정!$B$3,K983*(1+가정!$B$6)),IF(N(H983)&gt;0,H983*가정!$B$3,J983*가정!$B$4))</f>
        <v>78904.962</v>
      </c>
      <c r="M983" s="95" t="n">
        <f aca="false">D983*J983</f>
        <v>62140000</v>
      </c>
      <c r="N983" s="95" t="n">
        <f aca="false">D983*K983</f>
        <v>16198000</v>
      </c>
      <c r="O983" s="95" t="n">
        <f aca="false">D983*L983</f>
        <v>20515290.12</v>
      </c>
      <c r="P983" s="34" t="str">
        <f aca="false">TRIM(IF(N(E983)&lt;=0,"택가보정 ","")&amp;IF(N(F983)&lt;=0,"원가보정 ","")&amp;IF(AND(B983&lt;&gt;"CN",N(H983)&lt;=0),"공급가보정 ","")&amp;IF(AND(B983="CN",N(I983)&lt;=0),"중국공급가=원가+마진 ",""))</f>
        <v/>
      </c>
    </row>
    <row r="984" customFormat="false" ht="15" hidden="false" customHeight="true" outlineLevel="0" collapsed="false">
      <c r="A984" s="94" t="s">
        <v>1684</v>
      </c>
      <c r="B984" s="34" t="str">
        <f aca="false">IF(A984="100","HK",IF(A984="200","CN",IF(A984="300","TW","홀세일")))</f>
        <v>HK</v>
      </c>
      <c r="C984" s="94" t="s">
        <v>545</v>
      </c>
      <c r="D984" s="95" t="n">
        <v>70</v>
      </c>
      <c r="E984" s="95" t="n">
        <v>99000</v>
      </c>
      <c r="F984" s="95" t="n">
        <v>22102</v>
      </c>
      <c r="G984" s="34" t="n">
        <v>3.44</v>
      </c>
      <c r="H984" s="34" t="n">
        <v>23.3</v>
      </c>
      <c r="I984" s="34" t="n">
        <v>18.4</v>
      </c>
      <c r="J984" s="95" t="n">
        <f aca="false">IF(N(E984)&gt;0,E984,IF(N(F984)&gt;0,F984*가정!$B$5,0))</f>
        <v>99000</v>
      </c>
      <c r="K984" s="95" t="n">
        <f aca="false">IF(N(F984)&gt;0,F984,IF(N(E984)&gt;0,E984/가정!$B$5,0))</f>
        <v>22102</v>
      </c>
      <c r="L984" s="95" t="n">
        <f aca="false">IF(B984="CN",IF(N(I984)&gt;0,I984*가정!$B$3,K984*(1+가정!$B$6)),IF(N(H984)&gt;0,H984*가정!$B$3,J984*가정!$B$4))</f>
        <v>31752.774</v>
      </c>
      <c r="M984" s="95" t="n">
        <f aca="false">D984*J984</f>
        <v>6930000</v>
      </c>
      <c r="N984" s="95" t="n">
        <f aca="false">D984*K984</f>
        <v>1547140</v>
      </c>
      <c r="O984" s="95" t="n">
        <f aca="false">D984*L984</f>
        <v>2222694.18</v>
      </c>
      <c r="P984" s="34" t="str">
        <f aca="false">TRIM(IF(N(E984)&lt;=0,"택가보정 ","")&amp;IF(N(F984)&lt;=0,"원가보정 ","")&amp;IF(AND(B984&lt;&gt;"CN",N(H984)&lt;=0),"공급가보정 ","")&amp;IF(AND(B984="CN",N(I984)&lt;=0),"중국공급가=원가+마진 ",""))</f>
        <v/>
      </c>
    </row>
    <row r="985" customFormat="false" ht="15" hidden="false" customHeight="true" outlineLevel="0" collapsed="false">
      <c r="A985" s="94" t="s">
        <v>1685</v>
      </c>
      <c r="B985" s="34" t="str">
        <f aca="false">IF(A985="100","HK",IF(A985="200","CN",IF(A985="300","TW","홀세일")))</f>
        <v>CN</v>
      </c>
      <c r="C985" s="94" t="s">
        <v>545</v>
      </c>
      <c r="D985" s="95" t="n">
        <v>162</v>
      </c>
      <c r="E985" s="95" t="n">
        <v>99000</v>
      </c>
      <c r="F985" s="95" t="n">
        <v>22102</v>
      </c>
      <c r="G985" s="34" t="n">
        <v>3.44</v>
      </c>
      <c r="H985" s="34" t="n">
        <v>23.3</v>
      </c>
      <c r="I985" s="34" t="n">
        <v>18.4</v>
      </c>
      <c r="J985" s="95" t="n">
        <f aca="false">IF(N(E985)&gt;0,E985,IF(N(F985)&gt;0,F985*가정!$B$5,0))</f>
        <v>99000</v>
      </c>
      <c r="K985" s="95" t="n">
        <f aca="false">IF(N(F985)&gt;0,F985,IF(N(E985)&gt;0,E985/가정!$B$5,0))</f>
        <v>22102</v>
      </c>
      <c r="L985" s="95" t="n">
        <f aca="false">IF(B985="CN",IF(N(I985)&gt;0,I985*가정!$B$3,K985*(1+가정!$B$6)),IF(N(H985)&gt;0,H985*가정!$B$3,J985*가정!$B$4))</f>
        <v>25075.152</v>
      </c>
      <c r="M985" s="95" t="n">
        <f aca="false">D985*J985</f>
        <v>16038000</v>
      </c>
      <c r="N985" s="95" t="n">
        <f aca="false">D985*K985</f>
        <v>3580524</v>
      </c>
      <c r="O985" s="95" t="n">
        <f aca="false">D985*L985</f>
        <v>4062174.624</v>
      </c>
      <c r="P985" s="34" t="str">
        <f aca="false">TRIM(IF(N(E985)&lt;=0,"택가보정 ","")&amp;IF(N(F985)&lt;=0,"원가보정 ","")&amp;IF(AND(B985&lt;&gt;"CN",N(H985)&lt;=0),"공급가보정 ","")&amp;IF(AND(B985="CN",N(I985)&lt;=0),"중국공급가=원가+마진 ",""))</f>
        <v/>
      </c>
    </row>
    <row r="986" customFormat="false" ht="15" hidden="false" customHeight="true" outlineLevel="0" collapsed="false">
      <c r="A986" s="94" t="s">
        <v>1686</v>
      </c>
      <c r="B986" s="34" t="str">
        <f aca="false">IF(A986="100","HK",IF(A986="200","CN",IF(A986="300","TW","홀세일")))</f>
        <v>TW</v>
      </c>
      <c r="C986" s="94" t="s">
        <v>545</v>
      </c>
      <c r="D986" s="95" t="n">
        <v>240</v>
      </c>
      <c r="E986" s="95" t="n">
        <v>99000</v>
      </c>
      <c r="F986" s="95" t="n">
        <v>22102</v>
      </c>
      <c r="G986" s="34" t="n">
        <v>3.44</v>
      </c>
      <c r="H986" s="34" t="n">
        <v>23.3</v>
      </c>
      <c r="I986" s="34" t="n">
        <v>18.4</v>
      </c>
      <c r="J986" s="95" t="n">
        <f aca="false">IF(N(E986)&gt;0,E986,IF(N(F986)&gt;0,F986*가정!$B$5,0))</f>
        <v>99000</v>
      </c>
      <c r="K986" s="95" t="n">
        <f aca="false">IF(N(F986)&gt;0,F986,IF(N(E986)&gt;0,E986/가정!$B$5,0))</f>
        <v>22102</v>
      </c>
      <c r="L986" s="95" t="n">
        <f aca="false">IF(B986="CN",IF(N(I986)&gt;0,I986*가정!$B$3,K986*(1+가정!$B$6)),IF(N(H986)&gt;0,H986*가정!$B$3,J986*가정!$B$4))</f>
        <v>31752.774</v>
      </c>
      <c r="M986" s="95" t="n">
        <f aca="false">D986*J986</f>
        <v>23760000</v>
      </c>
      <c r="N986" s="95" t="n">
        <f aca="false">D986*K986</f>
        <v>5304480</v>
      </c>
      <c r="O986" s="95" t="n">
        <f aca="false">D986*L986</f>
        <v>7620665.76</v>
      </c>
      <c r="P986" s="34" t="str">
        <f aca="false">TRIM(IF(N(E986)&lt;=0,"택가보정 ","")&amp;IF(N(F986)&lt;=0,"원가보정 ","")&amp;IF(AND(B986&lt;&gt;"CN",N(H986)&lt;=0),"공급가보정 ","")&amp;IF(AND(B986="CN",N(I986)&lt;=0),"중국공급가=원가+마진 ",""))</f>
        <v/>
      </c>
    </row>
    <row r="987" customFormat="false" ht="15" hidden="false" customHeight="true" outlineLevel="0" collapsed="false">
      <c r="A987" s="94" t="s">
        <v>1689</v>
      </c>
      <c r="B987" s="34" t="str">
        <f aca="false">IF(A987="100","HK",IF(A987="200","CN",IF(A987="300","TW","홀세일")))</f>
        <v>홀세일</v>
      </c>
      <c r="C987" s="94" t="s">
        <v>545</v>
      </c>
      <c r="D987" s="95" t="n">
        <v>60</v>
      </c>
      <c r="E987" s="95" t="n">
        <v>99000</v>
      </c>
      <c r="F987" s="95" t="n">
        <v>22102</v>
      </c>
      <c r="G987" s="34" t="n">
        <v>3.44</v>
      </c>
      <c r="H987" s="34" t="n">
        <v>23.3</v>
      </c>
      <c r="I987" s="34" t="n">
        <v>18.4</v>
      </c>
      <c r="J987" s="95" t="n">
        <f aca="false">IF(N(E987)&gt;0,E987,IF(N(F987)&gt;0,F987*가정!$B$5,0))</f>
        <v>99000</v>
      </c>
      <c r="K987" s="95" t="n">
        <f aca="false">IF(N(F987)&gt;0,F987,IF(N(E987)&gt;0,E987/가정!$B$5,0))</f>
        <v>22102</v>
      </c>
      <c r="L987" s="95" t="n">
        <f aca="false">IF(B987="CN",IF(N(I987)&gt;0,I987*가정!$B$3,K987*(1+가정!$B$6)),IF(N(H987)&gt;0,H987*가정!$B$3,J987*가정!$B$4))</f>
        <v>31752.774</v>
      </c>
      <c r="M987" s="95" t="n">
        <f aca="false">D987*J987</f>
        <v>5940000</v>
      </c>
      <c r="N987" s="95" t="n">
        <f aca="false">D987*K987</f>
        <v>1326120</v>
      </c>
      <c r="O987" s="95" t="n">
        <f aca="false">D987*L987</f>
        <v>1905166.44</v>
      </c>
      <c r="P987" s="34" t="str">
        <f aca="false">TRIM(IF(N(E987)&lt;=0,"택가보정 ","")&amp;IF(N(F987)&lt;=0,"원가보정 ","")&amp;IF(AND(B987&lt;&gt;"CN",N(H987)&lt;=0),"공급가보정 ","")&amp;IF(AND(B987="CN",N(I987)&lt;=0),"중국공급가=원가+마진 ",""))</f>
        <v/>
      </c>
    </row>
    <row r="988" customFormat="false" ht="15" hidden="false" customHeight="true" outlineLevel="0" collapsed="false">
      <c r="A988" s="94" t="s">
        <v>1685</v>
      </c>
      <c r="B988" s="34" t="str">
        <f aca="false">IF(A988="100","HK",IF(A988="200","CN",IF(A988="300","TW","홀세일")))</f>
        <v>CN</v>
      </c>
      <c r="C988" s="94" t="s">
        <v>1132</v>
      </c>
      <c r="D988" s="95" t="n">
        <v>412</v>
      </c>
      <c r="E988" s="95" t="n">
        <v>99000</v>
      </c>
      <c r="F988" s="95" t="n">
        <v>22101</v>
      </c>
      <c r="G988" s="34" t="n">
        <v>3.7</v>
      </c>
      <c r="H988" s="34" t="n">
        <v>23.3</v>
      </c>
      <c r="I988" s="34" t="n">
        <v>18</v>
      </c>
      <c r="J988" s="95" t="n">
        <f aca="false">IF(N(E988)&gt;0,E988,IF(N(F988)&gt;0,F988*가정!$B$5,0))</f>
        <v>99000</v>
      </c>
      <c r="K988" s="95" t="n">
        <f aca="false">IF(N(F988)&gt;0,F988,IF(N(E988)&gt;0,E988/가정!$B$5,0))</f>
        <v>22101</v>
      </c>
      <c r="L988" s="95" t="n">
        <f aca="false">IF(B988="CN",IF(N(I988)&gt;0,I988*가정!$B$3,K988*(1+가정!$B$6)),IF(N(H988)&gt;0,H988*가정!$B$3,J988*가정!$B$4))</f>
        <v>24530.04</v>
      </c>
      <c r="M988" s="95" t="n">
        <f aca="false">D988*J988</f>
        <v>40788000</v>
      </c>
      <c r="N988" s="95" t="n">
        <f aca="false">D988*K988</f>
        <v>9105612</v>
      </c>
      <c r="O988" s="95" t="n">
        <f aca="false">D988*L988</f>
        <v>10106376.48</v>
      </c>
      <c r="P988" s="34" t="str">
        <f aca="false">TRIM(IF(N(E988)&lt;=0,"택가보정 ","")&amp;IF(N(F988)&lt;=0,"원가보정 ","")&amp;IF(AND(B988&lt;&gt;"CN",N(H988)&lt;=0),"공급가보정 ","")&amp;IF(AND(B988="CN",N(I988)&lt;=0),"중국공급가=원가+마진 ",""))</f>
        <v/>
      </c>
    </row>
    <row r="989" customFormat="false" ht="15" hidden="false" customHeight="true" outlineLevel="0" collapsed="false">
      <c r="A989" s="94" t="s">
        <v>1692</v>
      </c>
      <c r="B989" s="34" t="str">
        <f aca="false">IF(A989="100","HK",IF(A989="200","CN",IF(A989="300","TW","홀세일")))</f>
        <v>홀세일</v>
      </c>
      <c r="C989" s="94" t="s">
        <v>1132</v>
      </c>
      <c r="D989" s="95" t="n">
        <v>91</v>
      </c>
      <c r="E989" s="95" t="n">
        <v>99000</v>
      </c>
      <c r="F989" s="95" t="n">
        <v>22101</v>
      </c>
      <c r="G989" s="34" t="n">
        <v>3.7</v>
      </c>
      <c r="H989" s="34" t="n">
        <v>23.3</v>
      </c>
      <c r="I989" s="34" t="n">
        <v>18</v>
      </c>
      <c r="J989" s="95" t="n">
        <f aca="false">IF(N(E989)&gt;0,E989,IF(N(F989)&gt;0,F989*가정!$B$5,0))</f>
        <v>99000</v>
      </c>
      <c r="K989" s="95" t="n">
        <f aca="false">IF(N(F989)&gt;0,F989,IF(N(E989)&gt;0,E989/가정!$B$5,0))</f>
        <v>22101</v>
      </c>
      <c r="L989" s="95" t="n">
        <f aca="false">IF(B989="CN",IF(N(I989)&gt;0,I989*가정!$B$3,K989*(1+가정!$B$6)),IF(N(H989)&gt;0,H989*가정!$B$3,J989*가정!$B$4))</f>
        <v>31752.774</v>
      </c>
      <c r="M989" s="95" t="n">
        <f aca="false">D989*J989</f>
        <v>9009000</v>
      </c>
      <c r="N989" s="95" t="n">
        <f aca="false">D989*K989</f>
        <v>2011191</v>
      </c>
      <c r="O989" s="95" t="n">
        <f aca="false">D989*L989</f>
        <v>2889502.434</v>
      </c>
      <c r="P989" s="34" t="str">
        <f aca="false">TRIM(IF(N(E989)&lt;=0,"택가보정 ","")&amp;IF(N(F989)&lt;=0,"원가보정 ","")&amp;IF(AND(B989&lt;&gt;"CN",N(H989)&lt;=0),"공급가보정 ","")&amp;IF(AND(B989="CN",N(I989)&lt;=0),"중국공급가=원가+마진 ",""))</f>
        <v/>
      </c>
    </row>
    <row r="990" customFormat="false" ht="15" hidden="false" customHeight="true" outlineLevel="0" collapsed="false">
      <c r="A990" s="94" t="s">
        <v>1689</v>
      </c>
      <c r="B990" s="34" t="str">
        <f aca="false">IF(A990="100","HK",IF(A990="200","CN",IF(A990="300","TW","홀세일")))</f>
        <v>홀세일</v>
      </c>
      <c r="C990" s="94" t="s">
        <v>1132</v>
      </c>
      <c r="D990" s="95" t="n">
        <v>60</v>
      </c>
      <c r="E990" s="95" t="n">
        <v>99000</v>
      </c>
      <c r="F990" s="95" t="n">
        <v>22101</v>
      </c>
      <c r="G990" s="34" t="n">
        <v>3.7</v>
      </c>
      <c r="H990" s="34" t="n">
        <v>23.3</v>
      </c>
      <c r="I990" s="34" t="n">
        <v>18</v>
      </c>
      <c r="J990" s="95" t="n">
        <f aca="false">IF(N(E990)&gt;0,E990,IF(N(F990)&gt;0,F990*가정!$B$5,0))</f>
        <v>99000</v>
      </c>
      <c r="K990" s="95" t="n">
        <f aca="false">IF(N(F990)&gt;0,F990,IF(N(E990)&gt;0,E990/가정!$B$5,0))</f>
        <v>22101</v>
      </c>
      <c r="L990" s="95" t="n">
        <f aca="false">IF(B990="CN",IF(N(I990)&gt;0,I990*가정!$B$3,K990*(1+가정!$B$6)),IF(N(H990)&gt;0,H990*가정!$B$3,J990*가정!$B$4))</f>
        <v>31752.774</v>
      </c>
      <c r="M990" s="95" t="n">
        <f aca="false">D990*J990</f>
        <v>5940000</v>
      </c>
      <c r="N990" s="95" t="n">
        <f aca="false">D990*K990</f>
        <v>1326060</v>
      </c>
      <c r="O990" s="95" t="n">
        <f aca="false">D990*L990</f>
        <v>1905166.44</v>
      </c>
      <c r="P990" s="34" t="str">
        <f aca="false">TRIM(IF(N(E990)&lt;=0,"택가보정 ","")&amp;IF(N(F990)&lt;=0,"원가보정 ","")&amp;IF(AND(B990&lt;&gt;"CN",N(H990)&lt;=0),"공급가보정 ","")&amp;IF(AND(B990="CN",N(I990)&lt;=0),"중국공급가=원가+마진 ",""))</f>
        <v/>
      </c>
    </row>
    <row r="991" customFormat="false" ht="15" hidden="false" customHeight="true" outlineLevel="0" collapsed="false">
      <c r="A991" s="94" t="s">
        <v>1684</v>
      </c>
      <c r="B991" s="34" t="str">
        <f aca="false">IF(A991="100","HK",IF(A991="200","CN",IF(A991="300","TW","홀세일")))</f>
        <v>HK</v>
      </c>
      <c r="C991" s="94" t="s">
        <v>547</v>
      </c>
      <c r="D991" s="95" t="n">
        <v>280</v>
      </c>
      <c r="E991" s="95" t="n">
        <v>159000</v>
      </c>
      <c r="F991" s="95" t="n">
        <v>30401</v>
      </c>
      <c r="G991" s="34" t="n">
        <v>4.5</v>
      </c>
      <c r="H991" s="34" t="n">
        <v>37.4</v>
      </c>
      <c r="I991" s="34" t="n">
        <v>25.1</v>
      </c>
      <c r="J991" s="95" t="n">
        <f aca="false">IF(N(E991)&gt;0,E991,IF(N(F991)&gt;0,F991*가정!$B$5,0))</f>
        <v>159000</v>
      </c>
      <c r="K991" s="95" t="n">
        <f aca="false">IF(N(F991)&gt;0,F991,IF(N(E991)&gt;0,E991/가정!$B$5,0))</f>
        <v>30401</v>
      </c>
      <c r="L991" s="95" t="n">
        <f aca="false">IF(B991="CN",IF(N(I991)&gt;0,I991*가정!$B$3,K991*(1+가정!$B$6)),IF(N(H991)&gt;0,H991*가정!$B$3,J991*가정!$B$4))</f>
        <v>50967.972</v>
      </c>
      <c r="M991" s="95" t="n">
        <f aca="false">D991*J991</f>
        <v>44520000</v>
      </c>
      <c r="N991" s="95" t="n">
        <f aca="false">D991*K991</f>
        <v>8512280</v>
      </c>
      <c r="O991" s="95" t="n">
        <f aca="false">D991*L991</f>
        <v>14271032.16</v>
      </c>
      <c r="P991" s="34" t="str">
        <f aca="false">TRIM(IF(N(E991)&lt;=0,"택가보정 ","")&amp;IF(N(F991)&lt;=0,"원가보정 ","")&amp;IF(AND(B991&lt;&gt;"CN",N(H991)&lt;=0),"공급가보정 ","")&amp;IF(AND(B991="CN",N(I991)&lt;=0),"중국공급가=원가+마진 ",""))</f>
        <v/>
      </c>
    </row>
    <row r="992" customFormat="false" ht="15" hidden="false" customHeight="true" outlineLevel="0" collapsed="false">
      <c r="A992" s="94" t="s">
        <v>1685</v>
      </c>
      <c r="B992" s="34" t="str">
        <f aca="false">IF(A992="100","HK",IF(A992="200","CN",IF(A992="300","TW","홀세일")))</f>
        <v>CN</v>
      </c>
      <c r="C992" s="94" t="s">
        <v>547</v>
      </c>
      <c r="D992" s="95" t="n">
        <v>753</v>
      </c>
      <c r="E992" s="95" t="n">
        <v>159000</v>
      </c>
      <c r="F992" s="95" t="n">
        <v>30401</v>
      </c>
      <c r="G992" s="34" t="n">
        <v>4.5</v>
      </c>
      <c r="H992" s="34" t="n">
        <v>37.4</v>
      </c>
      <c r="I992" s="34" t="n">
        <v>25.1</v>
      </c>
      <c r="J992" s="95" t="n">
        <f aca="false">IF(N(E992)&gt;0,E992,IF(N(F992)&gt;0,F992*가정!$B$5,0))</f>
        <v>159000</v>
      </c>
      <c r="K992" s="95" t="n">
        <f aca="false">IF(N(F992)&gt;0,F992,IF(N(E992)&gt;0,E992/가정!$B$5,0))</f>
        <v>30401</v>
      </c>
      <c r="L992" s="95" t="n">
        <f aca="false">IF(B992="CN",IF(N(I992)&gt;0,I992*가정!$B$3,K992*(1+가정!$B$6)),IF(N(H992)&gt;0,H992*가정!$B$3,J992*가정!$B$4))</f>
        <v>34205.778</v>
      </c>
      <c r="M992" s="95" t="n">
        <f aca="false">D992*J992</f>
        <v>119727000</v>
      </c>
      <c r="N992" s="95" t="n">
        <f aca="false">D992*K992</f>
        <v>22891953</v>
      </c>
      <c r="O992" s="95" t="n">
        <f aca="false">D992*L992</f>
        <v>25756950.834</v>
      </c>
      <c r="P992" s="34" t="str">
        <f aca="false">TRIM(IF(N(E992)&lt;=0,"택가보정 ","")&amp;IF(N(F992)&lt;=0,"원가보정 ","")&amp;IF(AND(B992&lt;&gt;"CN",N(H992)&lt;=0),"공급가보정 ","")&amp;IF(AND(B992="CN",N(I992)&lt;=0),"중국공급가=원가+마진 ",""))</f>
        <v/>
      </c>
    </row>
    <row r="993" customFormat="false" ht="15" hidden="false" customHeight="true" outlineLevel="0" collapsed="false">
      <c r="A993" s="94" t="s">
        <v>1685</v>
      </c>
      <c r="B993" s="34" t="str">
        <f aca="false">IF(A993="100","HK",IF(A993="200","CN",IF(A993="300","TW","홀세일")))</f>
        <v>CN</v>
      </c>
      <c r="C993" s="94" t="s">
        <v>547</v>
      </c>
      <c r="D993" s="95" t="n">
        <v>753</v>
      </c>
      <c r="E993" s="95" t="n">
        <v>159000</v>
      </c>
      <c r="F993" s="95" t="n">
        <v>30401</v>
      </c>
      <c r="G993" s="34" t="n">
        <v>4.5</v>
      </c>
      <c r="H993" s="34" t="n">
        <v>37.4</v>
      </c>
      <c r="I993" s="34" t="n">
        <v>25.1</v>
      </c>
      <c r="J993" s="95" t="n">
        <f aca="false">IF(N(E993)&gt;0,E993,IF(N(F993)&gt;0,F993*가정!$B$5,0))</f>
        <v>159000</v>
      </c>
      <c r="K993" s="95" t="n">
        <f aca="false">IF(N(F993)&gt;0,F993,IF(N(E993)&gt;0,E993/가정!$B$5,0))</f>
        <v>30401</v>
      </c>
      <c r="L993" s="95" t="n">
        <f aca="false">IF(B993="CN",IF(N(I993)&gt;0,I993*가정!$B$3,K993*(1+가정!$B$6)),IF(N(H993)&gt;0,H993*가정!$B$3,J993*가정!$B$4))</f>
        <v>34205.778</v>
      </c>
      <c r="M993" s="95" t="n">
        <f aca="false">D993*J993</f>
        <v>119727000</v>
      </c>
      <c r="N993" s="95" t="n">
        <f aca="false">D993*K993</f>
        <v>22891953</v>
      </c>
      <c r="O993" s="95" t="n">
        <f aca="false">D993*L993</f>
        <v>25756950.834</v>
      </c>
      <c r="P993" s="34" t="str">
        <f aca="false">TRIM(IF(N(E993)&lt;=0,"택가보정 ","")&amp;IF(N(F993)&lt;=0,"원가보정 ","")&amp;IF(AND(B993&lt;&gt;"CN",N(H993)&lt;=0),"공급가보정 ","")&amp;IF(AND(B993="CN",N(I993)&lt;=0),"중국공급가=원가+마진 ",""))</f>
        <v/>
      </c>
    </row>
    <row r="994" customFormat="false" ht="15" hidden="false" customHeight="true" outlineLevel="0" collapsed="false">
      <c r="A994" s="94" t="s">
        <v>1686</v>
      </c>
      <c r="B994" s="34" t="str">
        <f aca="false">IF(A994="100","HK",IF(A994="200","CN",IF(A994="300","TW","홀세일")))</f>
        <v>TW</v>
      </c>
      <c r="C994" s="94" t="s">
        <v>547</v>
      </c>
      <c r="D994" s="95" t="n">
        <v>420</v>
      </c>
      <c r="E994" s="95" t="n">
        <v>159000</v>
      </c>
      <c r="F994" s="95" t="n">
        <v>30401</v>
      </c>
      <c r="G994" s="34" t="n">
        <v>4.5</v>
      </c>
      <c r="H994" s="34" t="n">
        <v>37.4</v>
      </c>
      <c r="I994" s="34" t="n">
        <v>25.1</v>
      </c>
      <c r="J994" s="95" t="n">
        <f aca="false">IF(N(E994)&gt;0,E994,IF(N(F994)&gt;0,F994*가정!$B$5,0))</f>
        <v>159000</v>
      </c>
      <c r="K994" s="95" t="n">
        <f aca="false">IF(N(F994)&gt;0,F994,IF(N(E994)&gt;0,E994/가정!$B$5,0))</f>
        <v>30401</v>
      </c>
      <c r="L994" s="95" t="n">
        <f aca="false">IF(B994="CN",IF(N(I994)&gt;0,I994*가정!$B$3,K994*(1+가정!$B$6)),IF(N(H994)&gt;0,H994*가정!$B$3,J994*가정!$B$4))</f>
        <v>50967.972</v>
      </c>
      <c r="M994" s="95" t="n">
        <f aca="false">D994*J994</f>
        <v>66780000</v>
      </c>
      <c r="N994" s="95" t="n">
        <f aca="false">D994*K994</f>
        <v>12768420</v>
      </c>
      <c r="O994" s="95" t="n">
        <f aca="false">D994*L994</f>
        <v>21406548.24</v>
      </c>
      <c r="P994" s="34" t="str">
        <f aca="false">TRIM(IF(N(E994)&lt;=0,"택가보정 ","")&amp;IF(N(F994)&lt;=0,"원가보정 ","")&amp;IF(AND(B994&lt;&gt;"CN",N(H994)&lt;=0),"공급가보정 ","")&amp;IF(AND(B994="CN",N(I994)&lt;=0),"중국공급가=원가+마진 ",""))</f>
        <v/>
      </c>
    </row>
    <row r="995" customFormat="false" ht="15" hidden="false" customHeight="true" outlineLevel="0" collapsed="false">
      <c r="A995" s="94" t="s">
        <v>1687</v>
      </c>
      <c r="B995" s="34" t="str">
        <f aca="false">IF(A995="100","HK",IF(A995="200","CN",IF(A995="300","TW","홀세일")))</f>
        <v>홀세일</v>
      </c>
      <c r="C995" s="94" t="s">
        <v>547</v>
      </c>
      <c r="D995" s="95" t="n">
        <v>70</v>
      </c>
      <c r="E995" s="95" t="n">
        <v>159000</v>
      </c>
      <c r="F995" s="95" t="n">
        <v>30401</v>
      </c>
      <c r="G995" s="34" t="n">
        <v>4.5</v>
      </c>
      <c r="H995" s="34" t="n">
        <v>37.4</v>
      </c>
      <c r="I995" s="34" t="n">
        <v>25.1</v>
      </c>
      <c r="J995" s="95" t="n">
        <f aca="false">IF(N(E995)&gt;0,E995,IF(N(F995)&gt;0,F995*가정!$B$5,0))</f>
        <v>159000</v>
      </c>
      <c r="K995" s="95" t="n">
        <f aca="false">IF(N(F995)&gt;0,F995,IF(N(E995)&gt;0,E995/가정!$B$5,0))</f>
        <v>30401</v>
      </c>
      <c r="L995" s="95" t="n">
        <f aca="false">IF(B995="CN",IF(N(I995)&gt;0,I995*가정!$B$3,K995*(1+가정!$B$6)),IF(N(H995)&gt;0,H995*가정!$B$3,J995*가정!$B$4))</f>
        <v>50967.972</v>
      </c>
      <c r="M995" s="95" t="n">
        <f aca="false">D995*J995</f>
        <v>11130000</v>
      </c>
      <c r="N995" s="95" t="n">
        <f aca="false">D995*K995</f>
        <v>2128070</v>
      </c>
      <c r="O995" s="95" t="n">
        <f aca="false">D995*L995</f>
        <v>3567758.04</v>
      </c>
      <c r="P995" s="34" t="str">
        <f aca="false">TRIM(IF(N(E995)&lt;=0,"택가보정 ","")&amp;IF(N(F995)&lt;=0,"원가보정 ","")&amp;IF(AND(B995&lt;&gt;"CN",N(H995)&lt;=0),"공급가보정 ","")&amp;IF(AND(B995="CN",N(I995)&lt;=0),"중국공급가=원가+마진 ",""))</f>
        <v/>
      </c>
    </row>
    <row r="996" customFormat="false" ht="15" hidden="false" customHeight="true" outlineLevel="0" collapsed="false">
      <c r="A996" s="94" t="s">
        <v>1688</v>
      </c>
      <c r="B996" s="34" t="str">
        <f aca="false">IF(A996="100","HK",IF(A996="200","CN",IF(A996="300","TW","홀세일")))</f>
        <v>홀세일</v>
      </c>
      <c r="C996" s="94" t="s">
        <v>547</v>
      </c>
      <c r="D996" s="95" t="n">
        <v>25</v>
      </c>
      <c r="E996" s="95" t="n">
        <v>159000</v>
      </c>
      <c r="F996" s="95" t="n">
        <v>30401</v>
      </c>
      <c r="G996" s="34" t="n">
        <v>4.5</v>
      </c>
      <c r="H996" s="34" t="n">
        <v>37.4</v>
      </c>
      <c r="I996" s="34" t="n">
        <v>25.1</v>
      </c>
      <c r="J996" s="95" t="n">
        <f aca="false">IF(N(E996)&gt;0,E996,IF(N(F996)&gt;0,F996*가정!$B$5,0))</f>
        <v>159000</v>
      </c>
      <c r="K996" s="95" t="n">
        <f aca="false">IF(N(F996)&gt;0,F996,IF(N(E996)&gt;0,E996/가정!$B$5,0))</f>
        <v>30401</v>
      </c>
      <c r="L996" s="95" t="n">
        <f aca="false">IF(B996="CN",IF(N(I996)&gt;0,I996*가정!$B$3,K996*(1+가정!$B$6)),IF(N(H996)&gt;0,H996*가정!$B$3,J996*가정!$B$4))</f>
        <v>50967.972</v>
      </c>
      <c r="M996" s="95" t="n">
        <f aca="false">D996*J996</f>
        <v>3975000</v>
      </c>
      <c r="N996" s="95" t="n">
        <f aca="false">D996*K996</f>
        <v>760025</v>
      </c>
      <c r="O996" s="95" t="n">
        <f aca="false">D996*L996</f>
        <v>1274199.3</v>
      </c>
      <c r="P996" s="34" t="str">
        <f aca="false">TRIM(IF(N(E996)&lt;=0,"택가보정 ","")&amp;IF(N(F996)&lt;=0,"원가보정 ","")&amp;IF(AND(B996&lt;&gt;"CN",N(H996)&lt;=0),"공급가보정 ","")&amp;IF(AND(B996="CN",N(I996)&lt;=0),"중국공급가=원가+마진 ",""))</f>
        <v/>
      </c>
    </row>
    <row r="997" customFormat="false" ht="15" hidden="false" customHeight="true" outlineLevel="0" collapsed="false">
      <c r="A997" s="94" t="s">
        <v>1692</v>
      </c>
      <c r="B997" s="34" t="str">
        <f aca="false">IF(A997="100","HK",IF(A997="200","CN",IF(A997="300","TW","홀세일")))</f>
        <v>홀세일</v>
      </c>
      <c r="C997" s="94" t="s">
        <v>547</v>
      </c>
      <c r="D997" s="95" t="n">
        <v>111</v>
      </c>
      <c r="E997" s="95" t="n">
        <v>159000</v>
      </c>
      <c r="F997" s="95" t="n">
        <v>30401</v>
      </c>
      <c r="G997" s="34" t="n">
        <v>4.5</v>
      </c>
      <c r="H997" s="34" t="n">
        <v>37.4</v>
      </c>
      <c r="I997" s="34" t="n">
        <v>25.1</v>
      </c>
      <c r="J997" s="95" t="n">
        <f aca="false">IF(N(E997)&gt;0,E997,IF(N(F997)&gt;0,F997*가정!$B$5,0))</f>
        <v>159000</v>
      </c>
      <c r="K997" s="95" t="n">
        <f aca="false">IF(N(F997)&gt;0,F997,IF(N(E997)&gt;0,E997/가정!$B$5,0))</f>
        <v>30401</v>
      </c>
      <c r="L997" s="95" t="n">
        <f aca="false">IF(B997="CN",IF(N(I997)&gt;0,I997*가정!$B$3,K997*(1+가정!$B$6)),IF(N(H997)&gt;0,H997*가정!$B$3,J997*가정!$B$4))</f>
        <v>50967.972</v>
      </c>
      <c r="M997" s="95" t="n">
        <f aca="false">D997*J997</f>
        <v>17649000</v>
      </c>
      <c r="N997" s="95" t="n">
        <f aca="false">D997*K997</f>
        <v>3374511</v>
      </c>
      <c r="O997" s="95" t="n">
        <f aca="false">D997*L997</f>
        <v>5657444.892</v>
      </c>
      <c r="P997" s="34" t="str">
        <f aca="false">TRIM(IF(N(E997)&lt;=0,"택가보정 ","")&amp;IF(N(F997)&lt;=0,"원가보정 ","")&amp;IF(AND(B997&lt;&gt;"CN",N(H997)&lt;=0),"공급가보정 ","")&amp;IF(AND(B997="CN",N(I997)&lt;=0),"중국공급가=원가+마진 ",""))</f>
        <v/>
      </c>
    </row>
    <row r="998" customFormat="false" ht="15" hidden="false" customHeight="true" outlineLevel="0" collapsed="false">
      <c r="A998" s="94" t="s">
        <v>1684</v>
      </c>
      <c r="B998" s="34" t="str">
        <f aca="false">IF(A998="100","HK",IF(A998="200","CN",IF(A998="300","TW","홀세일")))</f>
        <v>HK</v>
      </c>
      <c r="C998" s="94" t="s">
        <v>549</v>
      </c>
      <c r="D998" s="95" t="n">
        <v>240</v>
      </c>
      <c r="E998" s="95" t="n">
        <v>159000</v>
      </c>
      <c r="F998" s="95" t="n">
        <v>33000</v>
      </c>
      <c r="G998" s="34" t="n">
        <v>3.95</v>
      </c>
      <c r="H998" s="34" t="n">
        <v>37.4</v>
      </c>
      <c r="I998" s="34" t="n">
        <v>0</v>
      </c>
      <c r="J998" s="95" t="n">
        <f aca="false">IF(N(E998)&gt;0,E998,IF(N(F998)&gt;0,F998*가정!$B$5,0))</f>
        <v>159000</v>
      </c>
      <c r="K998" s="95" t="n">
        <f aca="false">IF(N(F998)&gt;0,F998,IF(N(E998)&gt;0,E998/가정!$B$5,0))</f>
        <v>33000</v>
      </c>
      <c r="L998" s="95" t="n">
        <f aca="false">IF(B998="CN",IF(N(I998)&gt;0,I998*가정!$B$3,K998*(1+가정!$B$6)),IF(N(H998)&gt;0,H998*가정!$B$3,J998*가정!$B$4))</f>
        <v>50967.972</v>
      </c>
      <c r="M998" s="95" t="n">
        <f aca="false">D998*J998</f>
        <v>38160000</v>
      </c>
      <c r="N998" s="95" t="n">
        <f aca="false">D998*K998</f>
        <v>7920000</v>
      </c>
      <c r="O998" s="95" t="n">
        <f aca="false">D998*L998</f>
        <v>12232313.28</v>
      </c>
      <c r="P998" s="34" t="str">
        <f aca="false">TRIM(IF(N(E998)&lt;=0,"택가보정 ","")&amp;IF(N(F998)&lt;=0,"원가보정 ","")&amp;IF(AND(B998&lt;&gt;"CN",N(H998)&lt;=0),"공급가보정 ","")&amp;IF(AND(B998="CN",N(I998)&lt;=0),"중국공급가=원가+마진 ",""))</f>
        <v/>
      </c>
    </row>
    <row r="999" customFormat="false" ht="15" hidden="false" customHeight="true" outlineLevel="0" collapsed="false">
      <c r="A999" s="94" t="s">
        <v>1686</v>
      </c>
      <c r="B999" s="34" t="str">
        <f aca="false">IF(A999="100","HK",IF(A999="200","CN",IF(A999="300","TW","홀세일")))</f>
        <v>TW</v>
      </c>
      <c r="C999" s="94" t="s">
        <v>549</v>
      </c>
      <c r="D999" s="95" t="n">
        <v>420</v>
      </c>
      <c r="E999" s="95" t="n">
        <v>159000</v>
      </c>
      <c r="F999" s="95" t="n">
        <v>33000</v>
      </c>
      <c r="G999" s="34" t="n">
        <v>3.95</v>
      </c>
      <c r="H999" s="34" t="n">
        <v>37.4</v>
      </c>
      <c r="I999" s="34" t="n">
        <v>0</v>
      </c>
      <c r="J999" s="95" t="n">
        <f aca="false">IF(N(E999)&gt;0,E999,IF(N(F999)&gt;0,F999*가정!$B$5,0))</f>
        <v>159000</v>
      </c>
      <c r="K999" s="95" t="n">
        <f aca="false">IF(N(F999)&gt;0,F999,IF(N(E999)&gt;0,E999/가정!$B$5,0))</f>
        <v>33000</v>
      </c>
      <c r="L999" s="95" t="n">
        <f aca="false">IF(B999="CN",IF(N(I999)&gt;0,I999*가정!$B$3,K999*(1+가정!$B$6)),IF(N(H999)&gt;0,H999*가정!$B$3,J999*가정!$B$4))</f>
        <v>50967.972</v>
      </c>
      <c r="M999" s="95" t="n">
        <f aca="false">D999*J999</f>
        <v>66780000</v>
      </c>
      <c r="N999" s="95" t="n">
        <f aca="false">D999*K999</f>
        <v>13860000</v>
      </c>
      <c r="O999" s="95" t="n">
        <f aca="false">D999*L999</f>
        <v>21406548.24</v>
      </c>
      <c r="P999" s="34" t="str">
        <f aca="false">TRIM(IF(N(E999)&lt;=0,"택가보정 ","")&amp;IF(N(F999)&lt;=0,"원가보정 ","")&amp;IF(AND(B999&lt;&gt;"CN",N(H999)&lt;=0),"공급가보정 ","")&amp;IF(AND(B999="CN",N(I999)&lt;=0),"중국공급가=원가+마진 ",""))</f>
        <v/>
      </c>
    </row>
    <row r="1000" customFormat="false" ht="15" hidden="false" customHeight="true" outlineLevel="0" collapsed="false">
      <c r="A1000" s="94" t="s">
        <v>1684</v>
      </c>
      <c r="B1000" s="34" t="str">
        <f aca="false">IF(A1000="100","HK",IF(A1000="200","CN",IF(A1000="300","TW","홀세일")))</f>
        <v>HK</v>
      </c>
      <c r="C1000" s="94" t="s">
        <v>971</v>
      </c>
      <c r="D1000" s="95" t="n">
        <v>120</v>
      </c>
      <c r="E1000" s="95" t="n">
        <v>109000</v>
      </c>
      <c r="F1000" s="95" t="n">
        <v>26300</v>
      </c>
      <c r="G1000" s="34" t="n">
        <v>2.72</v>
      </c>
      <c r="H1000" s="34" t="n">
        <v>25.7</v>
      </c>
      <c r="I1000" s="34" t="n">
        <v>0</v>
      </c>
      <c r="J1000" s="95" t="n">
        <f aca="false">IF(N(E1000)&gt;0,E1000,IF(N(F1000)&gt;0,F1000*가정!$B$5,0))</f>
        <v>109000</v>
      </c>
      <c r="K1000" s="95" t="n">
        <f aca="false">IF(N(F1000)&gt;0,F1000,IF(N(E1000)&gt;0,E1000/가정!$B$5,0))</f>
        <v>26300</v>
      </c>
      <c r="L1000" s="95" t="n">
        <f aca="false">IF(B1000="CN",IF(N(I1000)&gt;0,I1000*가정!$B$3,K1000*(1+가정!$B$6)),IF(N(H1000)&gt;0,H1000*가정!$B$3,J1000*가정!$B$4))</f>
        <v>35023.446</v>
      </c>
      <c r="M1000" s="95" t="n">
        <f aca="false">D1000*J1000</f>
        <v>13080000</v>
      </c>
      <c r="N1000" s="95" t="n">
        <f aca="false">D1000*K1000</f>
        <v>3156000</v>
      </c>
      <c r="O1000" s="95" t="n">
        <f aca="false">D1000*L1000</f>
        <v>4202813.52</v>
      </c>
      <c r="P1000" s="34" t="str">
        <f aca="false">TRIM(IF(N(E1000)&lt;=0,"택가보정 ","")&amp;IF(N(F1000)&lt;=0,"원가보정 ","")&amp;IF(AND(B1000&lt;&gt;"CN",N(H1000)&lt;=0),"공급가보정 ","")&amp;IF(AND(B1000="CN",N(I1000)&lt;=0),"중국공급가=원가+마진 ",""))</f>
        <v/>
      </c>
    </row>
    <row r="1001" customFormat="false" ht="15" hidden="false" customHeight="true" outlineLevel="0" collapsed="false">
      <c r="A1001" s="94" t="s">
        <v>1688</v>
      </c>
      <c r="B1001" s="34" t="str">
        <f aca="false">IF(A1001="100","HK",IF(A1001="200","CN",IF(A1001="300","TW","홀세일")))</f>
        <v>홀세일</v>
      </c>
      <c r="C1001" s="94" t="s">
        <v>971</v>
      </c>
      <c r="D1001" s="95" t="n">
        <v>25</v>
      </c>
      <c r="E1001" s="95" t="n">
        <v>109000</v>
      </c>
      <c r="F1001" s="95" t="n">
        <v>26300</v>
      </c>
      <c r="G1001" s="34" t="n">
        <v>2.72</v>
      </c>
      <c r="H1001" s="34" t="n">
        <v>25.7</v>
      </c>
      <c r="I1001" s="34" t="n">
        <v>0</v>
      </c>
      <c r="J1001" s="95" t="n">
        <f aca="false">IF(N(E1001)&gt;0,E1001,IF(N(F1001)&gt;0,F1001*가정!$B$5,0))</f>
        <v>109000</v>
      </c>
      <c r="K1001" s="95" t="n">
        <f aca="false">IF(N(F1001)&gt;0,F1001,IF(N(E1001)&gt;0,E1001/가정!$B$5,0))</f>
        <v>26300</v>
      </c>
      <c r="L1001" s="95" t="n">
        <f aca="false">IF(B1001="CN",IF(N(I1001)&gt;0,I1001*가정!$B$3,K1001*(1+가정!$B$6)),IF(N(H1001)&gt;0,H1001*가정!$B$3,J1001*가정!$B$4))</f>
        <v>35023.446</v>
      </c>
      <c r="M1001" s="95" t="n">
        <f aca="false">D1001*J1001</f>
        <v>2725000</v>
      </c>
      <c r="N1001" s="95" t="n">
        <f aca="false">D1001*K1001</f>
        <v>657500</v>
      </c>
      <c r="O1001" s="95" t="n">
        <f aca="false">D1001*L1001</f>
        <v>875586.15</v>
      </c>
      <c r="P1001" s="34" t="str">
        <f aca="false">TRIM(IF(N(E1001)&lt;=0,"택가보정 ","")&amp;IF(N(F1001)&lt;=0,"원가보정 ","")&amp;IF(AND(B1001&lt;&gt;"CN",N(H1001)&lt;=0),"공급가보정 ","")&amp;IF(AND(B1001="CN",N(I1001)&lt;=0),"중국공급가=원가+마진 ",""))</f>
        <v/>
      </c>
    </row>
    <row r="1002" customFormat="false" ht="15" hidden="false" customHeight="true" outlineLevel="0" collapsed="false">
      <c r="A1002" s="94" t="s">
        <v>1690</v>
      </c>
      <c r="B1002" s="34" t="str">
        <f aca="false">IF(A1002="100","HK",IF(A1002="200","CN",IF(A1002="300","TW","홀세일")))</f>
        <v>홀세일</v>
      </c>
      <c r="C1002" s="94" t="s">
        <v>1711</v>
      </c>
      <c r="D1002" s="95" t="n">
        <v>228</v>
      </c>
      <c r="E1002" s="95" t="n">
        <v>159000</v>
      </c>
      <c r="F1002" s="95" t="n">
        <v>36700</v>
      </c>
      <c r="G1002" s="34" t="n">
        <v>4.04</v>
      </c>
      <c r="H1002" s="34" t="n">
        <v>37.4</v>
      </c>
      <c r="I1002" s="34" t="n">
        <v>0</v>
      </c>
      <c r="J1002" s="95" t="n">
        <f aca="false">IF(N(E1002)&gt;0,E1002,IF(N(F1002)&gt;0,F1002*가정!$B$5,0))</f>
        <v>159000</v>
      </c>
      <c r="K1002" s="95" t="n">
        <f aca="false">IF(N(F1002)&gt;0,F1002,IF(N(E1002)&gt;0,E1002/가정!$B$5,0))</f>
        <v>36700</v>
      </c>
      <c r="L1002" s="95" t="n">
        <f aca="false">IF(B1002="CN",IF(N(I1002)&gt;0,I1002*가정!$B$3,K1002*(1+가정!$B$6)),IF(N(H1002)&gt;0,H1002*가정!$B$3,J1002*가정!$B$4))</f>
        <v>50967.972</v>
      </c>
      <c r="M1002" s="95" t="n">
        <f aca="false">D1002*J1002</f>
        <v>36252000</v>
      </c>
      <c r="N1002" s="95" t="n">
        <f aca="false">D1002*K1002</f>
        <v>8367600</v>
      </c>
      <c r="O1002" s="95" t="n">
        <f aca="false">D1002*L1002</f>
        <v>11620697.616</v>
      </c>
      <c r="P1002" s="34" t="str">
        <f aca="false">TRIM(IF(N(E1002)&lt;=0,"택가보정 ","")&amp;IF(N(F1002)&lt;=0,"원가보정 ","")&amp;IF(AND(B1002&lt;&gt;"CN",N(H1002)&lt;=0),"공급가보정 ","")&amp;IF(AND(B1002="CN",N(I1002)&lt;=0),"중국공급가=원가+마진 ",""))</f>
        <v/>
      </c>
    </row>
    <row r="1003" customFormat="false" ht="15" hidden="false" customHeight="true" outlineLevel="0" collapsed="false">
      <c r="A1003" s="94" t="s">
        <v>1684</v>
      </c>
      <c r="B1003" s="34" t="str">
        <f aca="false">IF(A1003="100","HK",IF(A1003="200","CN",IF(A1003="300","TW","홀세일")))</f>
        <v>HK</v>
      </c>
      <c r="C1003" s="94" t="s">
        <v>973</v>
      </c>
      <c r="D1003" s="95" t="n">
        <v>180</v>
      </c>
      <c r="E1003" s="95" t="n">
        <v>169000</v>
      </c>
      <c r="F1003" s="95" t="n">
        <v>47884</v>
      </c>
      <c r="G1003" s="34" t="n">
        <v>4.36</v>
      </c>
      <c r="H1003" s="34" t="n">
        <v>42.3</v>
      </c>
      <c r="I1003" s="34" t="n">
        <v>0</v>
      </c>
      <c r="J1003" s="95" t="n">
        <f aca="false">IF(N(E1003)&gt;0,E1003,IF(N(F1003)&gt;0,F1003*가정!$B$5,0))</f>
        <v>169000</v>
      </c>
      <c r="K1003" s="95" t="n">
        <f aca="false">IF(N(F1003)&gt;0,F1003,IF(N(E1003)&gt;0,E1003/가정!$B$5,0))</f>
        <v>47884</v>
      </c>
      <c r="L1003" s="95" t="n">
        <f aca="false">IF(B1003="CN",IF(N(I1003)&gt;0,I1003*가정!$B$3,K1003*(1+가정!$B$6)),IF(N(H1003)&gt;0,H1003*가정!$B$3,J1003*가정!$B$4))</f>
        <v>57645.594</v>
      </c>
      <c r="M1003" s="95" t="n">
        <f aca="false">D1003*J1003</f>
        <v>30420000</v>
      </c>
      <c r="N1003" s="95" t="n">
        <f aca="false">D1003*K1003</f>
        <v>8619120</v>
      </c>
      <c r="O1003" s="95" t="n">
        <f aca="false">D1003*L1003</f>
        <v>10376206.92</v>
      </c>
      <c r="P1003" s="34" t="str">
        <f aca="false">TRIM(IF(N(E1003)&lt;=0,"택가보정 ","")&amp;IF(N(F1003)&lt;=0,"원가보정 ","")&amp;IF(AND(B1003&lt;&gt;"CN",N(H1003)&lt;=0),"공급가보정 ","")&amp;IF(AND(B1003="CN",N(I1003)&lt;=0),"중국공급가=원가+마진 ",""))</f>
        <v/>
      </c>
    </row>
    <row r="1004" customFormat="false" ht="15" hidden="false" customHeight="true" outlineLevel="0" collapsed="false">
      <c r="A1004" s="94" t="s">
        <v>1690</v>
      </c>
      <c r="B1004" s="34" t="str">
        <f aca="false">IF(A1004="100","HK",IF(A1004="200","CN",IF(A1004="300","TW","홀세일")))</f>
        <v>홀세일</v>
      </c>
      <c r="C1004" s="94" t="s">
        <v>973</v>
      </c>
      <c r="D1004" s="95" t="n">
        <v>228</v>
      </c>
      <c r="E1004" s="95" t="n">
        <v>169000</v>
      </c>
      <c r="F1004" s="95" t="n">
        <v>47884</v>
      </c>
      <c r="G1004" s="34" t="n">
        <v>4.36</v>
      </c>
      <c r="H1004" s="34" t="n">
        <v>42.3</v>
      </c>
      <c r="I1004" s="34" t="n">
        <v>0</v>
      </c>
      <c r="J1004" s="95" t="n">
        <f aca="false">IF(N(E1004)&gt;0,E1004,IF(N(F1004)&gt;0,F1004*가정!$B$5,0))</f>
        <v>169000</v>
      </c>
      <c r="K1004" s="95" t="n">
        <f aca="false">IF(N(F1004)&gt;0,F1004,IF(N(E1004)&gt;0,E1004/가정!$B$5,0))</f>
        <v>47884</v>
      </c>
      <c r="L1004" s="95" t="n">
        <f aca="false">IF(B1004="CN",IF(N(I1004)&gt;0,I1004*가정!$B$3,K1004*(1+가정!$B$6)),IF(N(H1004)&gt;0,H1004*가정!$B$3,J1004*가정!$B$4))</f>
        <v>57645.594</v>
      </c>
      <c r="M1004" s="95" t="n">
        <f aca="false">D1004*J1004</f>
        <v>38532000</v>
      </c>
      <c r="N1004" s="95" t="n">
        <f aca="false">D1004*K1004</f>
        <v>10917552</v>
      </c>
      <c r="O1004" s="95" t="n">
        <f aca="false">D1004*L1004</f>
        <v>13143195.432</v>
      </c>
      <c r="P1004" s="34" t="str">
        <f aca="false">TRIM(IF(N(E1004)&lt;=0,"택가보정 ","")&amp;IF(N(F1004)&lt;=0,"원가보정 ","")&amp;IF(AND(B1004&lt;&gt;"CN",N(H1004)&lt;=0),"공급가보정 ","")&amp;IF(AND(B1004="CN",N(I1004)&lt;=0),"중국공급가=원가+마진 ",""))</f>
        <v/>
      </c>
    </row>
    <row r="1005" customFormat="false" ht="15" hidden="false" customHeight="true" outlineLevel="0" collapsed="false">
      <c r="A1005" s="94" t="s">
        <v>1684</v>
      </c>
      <c r="B1005" s="34" t="str">
        <f aca="false">IF(A1005="100","HK",IF(A1005="200","CN",IF(A1005="300","TW","홀세일")))</f>
        <v>HK</v>
      </c>
      <c r="C1005" s="94" t="s">
        <v>551</v>
      </c>
      <c r="D1005" s="95" t="n">
        <v>210</v>
      </c>
      <c r="E1005" s="95" t="n">
        <v>149000</v>
      </c>
      <c r="F1005" s="95" t="n">
        <v>32070</v>
      </c>
      <c r="G1005" s="34" t="n">
        <v>3.96</v>
      </c>
      <c r="H1005" s="34" t="n">
        <v>37.3</v>
      </c>
      <c r="I1005" s="34" t="n">
        <v>27</v>
      </c>
      <c r="J1005" s="95" t="n">
        <f aca="false">IF(N(E1005)&gt;0,E1005,IF(N(F1005)&gt;0,F1005*가정!$B$5,0))</f>
        <v>149000</v>
      </c>
      <c r="K1005" s="95" t="n">
        <f aca="false">IF(N(F1005)&gt;0,F1005,IF(N(E1005)&gt;0,E1005/가정!$B$5,0))</f>
        <v>32070</v>
      </c>
      <c r="L1005" s="95" t="n">
        <f aca="false">IF(B1005="CN",IF(N(I1005)&gt;0,I1005*가정!$B$3,K1005*(1+가정!$B$6)),IF(N(H1005)&gt;0,H1005*가정!$B$3,J1005*가정!$B$4))</f>
        <v>50831.694</v>
      </c>
      <c r="M1005" s="95" t="n">
        <f aca="false">D1005*J1005</f>
        <v>31290000</v>
      </c>
      <c r="N1005" s="95" t="n">
        <f aca="false">D1005*K1005</f>
        <v>6734700</v>
      </c>
      <c r="O1005" s="95" t="n">
        <f aca="false">D1005*L1005</f>
        <v>10674655.74</v>
      </c>
      <c r="P1005" s="34" t="str">
        <f aca="false">TRIM(IF(N(E1005)&lt;=0,"택가보정 ","")&amp;IF(N(F1005)&lt;=0,"원가보정 ","")&amp;IF(AND(B1005&lt;&gt;"CN",N(H1005)&lt;=0),"공급가보정 ","")&amp;IF(AND(B1005="CN",N(I1005)&lt;=0),"중국공급가=원가+마진 ",""))</f>
        <v/>
      </c>
    </row>
    <row r="1006" customFormat="false" ht="15" hidden="false" customHeight="true" outlineLevel="0" collapsed="false">
      <c r="A1006" s="94" t="s">
        <v>1685</v>
      </c>
      <c r="B1006" s="34" t="str">
        <f aca="false">IF(A1006="100","HK",IF(A1006="200","CN",IF(A1006="300","TW","홀세일")))</f>
        <v>CN</v>
      </c>
      <c r="C1006" s="94" t="s">
        <v>551</v>
      </c>
      <c r="D1006" s="95" t="n">
        <v>427</v>
      </c>
      <c r="E1006" s="95" t="n">
        <v>149000</v>
      </c>
      <c r="F1006" s="95" t="n">
        <v>32070</v>
      </c>
      <c r="G1006" s="34" t="n">
        <v>3.96</v>
      </c>
      <c r="H1006" s="34" t="n">
        <v>37.3</v>
      </c>
      <c r="I1006" s="34" t="n">
        <v>27</v>
      </c>
      <c r="J1006" s="95" t="n">
        <f aca="false">IF(N(E1006)&gt;0,E1006,IF(N(F1006)&gt;0,F1006*가정!$B$5,0))</f>
        <v>149000</v>
      </c>
      <c r="K1006" s="95" t="n">
        <f aca="false">IF(N(F1006)&gt;0,F1006,IF(N(E1006)&gt;0,E1006/가정!$B$5,0))</f>
        <v>32070</v>
      </c>
      <c r="L1006" s="95" t="n">
        <f aca="false">IF(B1006="CN",IF(N(I1006)&gt;0,I1006*가정!$B$3,K1006*(1+가정!$B$6)),IF(N(H1006)&gt;0,H1006*가정!$B$3,J1006*가정!$B$4))</f>
        <v>36795.06</v>
      </c>
      <c r="M1006" s="95" t="n">
        <f aca="false">D1006*J1006</f>
        <v>63623000</v>
      </c>
      <c r="N1006" s="95" t="n">
        <f aca="false">D1006*K1006</f>
        <v>13693890</v>
      </c>
      <c r="O1006" s="95" t="n">
        <f aca="false">D1006*L1006</f>
        <v>15711490.62</v>
      </c>
      <c r="P1006" s="34" t="str">
        <f aca="false">TRIM(IF(N(E1006)&lt;=0,"택가보정 ","")&amp;IF(N(F1006)&lt;=0,"원가보정 ","")&amp;IF(AND(B1006&lt;&gt;"CN",N(H1006)&lt;=0),"공급가보정 ","")&amp;IF(AND(B1006="CN",N(I1006)&lt;=0),"중국공급가=원가+마진 ",""))</f>
        <v/>
      </c>
    </row>
    <row r="1007" customFormat="false" ht="15" hidden="false" customHeight="true" outlineLevel="0" collapsed="false">
      <c r="A1007" s="94" t="s">
        <v>1686</v>
      </c>
      <c r="B1007" s="34" t="str">
        <f aca="false">IF(A1007="100","HK",IF(A1007="200","CN",IF(A1007="300","TW","홀세일")))</f>
        <v>TW</v>
      </c>
      <c r="C1007" s="94" t="s">
        <v>551</v>
      </c>
      <c r="D1007" s="95" t="n">
        <v>870</v>
      </c>
      <c r="E1007" s="95" t="n">
        <v>149000</v>
      </c>
      <c r="F1007" s="95" t="n">
        <v>32070</v>
      </c>
      <c r="G1007" s="34" t="n">
        <v>3.96</v>
      </c>
      <c r="H1007" s="34" t="n">
        <v>37.3</v>
      </c>
      <c r="I1007" s="34" t="n">
        <v>27</v>
      </c>
      <c r="J1007" s="95" t="n">
        <f aca="false">IF(N(E1007)&gt;0,E1007,IF(N(F1007)&gt;0,F1007*가정!$B$5,0))</f>
        <v>149000</v>
      </c>
      <c r="K1007" s="95" t="n">
        <f aca="false">IF(N(F1007)&gt;0,F1007,IF(N(E1007)&gt;0,E1007/가정!$B$5,0))</f>
        <v>32070</v>
      </c>
      <c r="L1007" s="95" t="n">
        <f aca="false">IF(B1007="CN",IF(N(I1007)&gt;0,I1007*가정!$B$3,K1007*(1+가정!$B$6)),IF(N(H1007)&gt;0,H1007*가정!$B$3,J1007*가정!$B$4))</f>
        <v>50831.694</v>
      </c>
      <c r="M1007" s="95" t="n">
        <f aca="false">D1007*J1007</f>
        <v>129630000</v>
      </c>
      <c r="N1007" s="95" t="n">
        <f aca="false">D1007*K1007</f>
        <v>27900900</v>
      </c>
      <c r="O1007" s="95" t="n">
        <f aca="false">D1007*L1007</f>
        <v>44223573.78</v>
      </c>
      <c r="P1007" s="34" t="str">
        <f aca="false">TRIM(IF(N(E1007)&lt;=0,"택가보정 ","")&amp;IF(N(F1007)&lt;=0,"원가보정 ","")&amp;IF(AND(B1007&lt;&gt;"CN",N(H1007)&lt;=0),"공급가보정 ","")&amp;IF(AND(B1007="CN",N(I1007)&lt;=0),"중국공급가=원가+마진 ",""))</f>
        <v/>
      </c>
    </row>
    <row r="1008" customFormat="false" ht="15" hidden="false" customHeight="true" outlineLevel="0" collapsed="false">
      <c r="A1008" s="94" t="s">
        <v>1688</v>
      </c>
      <c r="B1008" s="34" t="str">
        <f aca="false">IF(A1008="100","HK",IF(A1008="200","CN",IF(A1008="300","TW","홀세일")))</f>
        <v>홀세일</v>
      </c>
      <c r="C1008" s="94" t="s">
        <v>551</v>
      </c>
      <c r="D1008" s="95" t="n">
        <v>50</v>
      </c>
      <c r="E1008" s="95" t="n">
        <v>149000</v>
      </c>
      <c r="F1008" s="95" t="n">
        <v>32070</v>
      </c>
      <c r="G1008" s="34" t="n">
        <v>3.96</v>
      </c>
      <c r="H1008" s="34" t="n">
        <v>37.3</v>
      </c>
      <c r="I1008" s="34" t="n">
        <v>27</v>
      </c>
      <c r="J1008" s="95" t="n">
        <f aca="false">IF(N(E1008)&gt;0,E1008,IF(N(F1008)&gt;0,F1008*가정!$B$5,0))</f>
        <v>149000</v>
      </c>
      <c r="K1008" s="95" t="n">
        <f aca="false">IF(N(F1008)&gt;0,F1008,IF(N(E1008)&gt;0,E1008/가정!$B$5,0))</f>
        <v>32070</v>
      </c>
      <c r="L1008" s="95" t="n">
        <f aca="false">IF(B1008="CN",IF(N(I1008)&gt;0,I1008*가정!$B$3,K1008*(1+가정!$B$6)),IF(N(H1008)&gt;0,H1008*가정!$B$3,J1008*가정!$B$4))</f>
        <v>50831.694</v>
      </c>
      <c r="M1008" s="95" t="n">
        <f aca="false">D1008*J1008</f>
        <v>7450000</v>
      </c>
      <c r="N1008" s="95" t="n">
        <f aca="false">D1008*K1008</f>
        <v>1603500</v>
      </c>
      <c r="O1008" s="95" t="n">
        <f aca="false">D1008*L1008</f>
        <v>2541584.7</v>
      </c>
      <c r="P1008" s="34" t="str">
        <f aca="false">TRIM(IF(N(E1008)&lt;=0,"택가보정 ","")&amp;IF(N(F1008)&lt;=0,"원가보정 ","")&amp;IF(AND(B1008&lt;&gt;"CN",N(H1008)&lt;=0),"공급가보정 ","")&amp;IF(AND(B1008="CN",N(I1008)&lt;=0),"중국공급가=원가+마진 ",""))</f>
        <v/>
      </c>
    </row>
    <row r="1009" customFormat="false" ht="15" hidden="false" customHeight="true" outlineLevel="0" collapsed="false">
      <c r="A1009" s="94" t="s">
        <v>1692</v>
      </c>
      <c r="B1009" s="34" t="str">
        <f aca="false">IF(A1009="100","HK",IF(A1009="200","CN",IF(A1009="300","TW","홀세일")))</f>
        <v>홀세일</v>
      </c>
      <c r="C1009" s="94" t="s">
        <v>551</v>
      </c>
      <c r="D1009" s="95" t="n">
        <v>51</v>
      </c>
      <c r="E1009" s="95" t="n">
        <v>149000</v>
      </c>
      <c r="F1009" s="95" t="n">
        <v>32070</v>
      </c>
      <c r="G1009" s="34" t="n">
        <v>3.96</v>
      </c>
      <c r="H1009" s="34" t="n">
        <v>37.3</v>
      </c>
      <c r="I1009" s="34" t="n">
        <v>27</v>
      </c>
      <c r="J1009" s="95" t="n">
        <f aca="false">IF(N(E1009)&gt;0,E1009,IF(N(F1009)&gt;0,F1009*가정!$B$5,0))</f>
        <v>149000</v>
      </c>
      <c r="K1009" s="95" t="n">
        <f aca="false">IF(N(F1009)&gt;0,F1009,IF(N(E1009)&gt;0,E1009/가정!$B$5,0))</f>
        <v>32070</v>
      </c>
      <c r="L1009" s="95" t="n">
        <f aca="false">IF(B1009="CN",IF(N(I1009)&gt;0,I1009*가정!$B$3,K1009*(1+가정!$B$6)),IF(N(H1009)&gt;0,H1009*가정!$B$3,J1009*가정!$B$4))</f>
        <v>50831.694</v>
      </c>
      <c r="M1009" s="95" t="n">
        <f aca="false">D1009*J1009</f>
        <v>7599000</v>
      </c>
      <c r="N1009" s="95" t="n">
        <f aca="false">D1009*K1009</f>
        <v>1635570</v>
      </c>
      <c r="O1009" s="95" t="n">
        <f aca="false">D1009*L1009</f>
        <v>2592416.394</v>
      </c>
      <c r="P1009" s="34" t="str">
        <f aca="false">TRIM(IF(N(E1009)&lt;=0,"택가보정 ","")&amp;IF(N(F1009)&lt;=0,"원가보정 ","")&amp;IF(AND(B1009&lt;&gt;"CN",N(H1009)&lt;=0),"공급가보정 ","")&amp;IF(AND(B1009="CN",N(I1009)&lt;=0),"중국공급가=원가+마진 ",""))</f>
        <v/>
      </c>
    </row>
    <row r="1010" customFormat="false" ht="15" hidden="false" customHeight="true" outlineLevel="0" collapsed="false">
      <c r="A1010" s="94" t="s">
        <v>1689</v>
      </c>
      <c r="B1010" s="34" t="str">
        <f aca="false">IF(A1010="100","HK",IF(A1010="200","CN",IF(A1010="300","TW","홀세일")))</f>
        <v>홀세일</v>
      </c>
      <c r="C1010" s="94" t="s">
        <v>1712</v>
      </c>
      <c r="D1010" s="95" t="n">
        <v>85</v>
      </c>
      <c r="E1010" s="95" t="n">
        <v>219000</v>
      </c>
      <c r="F1010" s="95" t="n">
        <v>53600</v>
      </c>
      <c r="G1010" s="34" t="n">
        <v>3.5</v>
      </c>
      <c r="H1010" s="34" t="n">
        <v>54.9</v>
      </c>
      <c r="I1010" s="34" t="n">
        <v>0</v>
      </c>
      <c r="J1010" s="95" t="n">
        <f aca="false">IF(N(E1010)&gt;0,E1010,IF(N(F1010)&gt;0,F1010*가정!$B$5,0))</f>
        <v>219000</v>
      </c>
      <c r="K1010" s="95" t="n">
        <f aca="false">IF(N(F1010)&gt;0,F1010,IF(N(E1010)&gt;0,E1010/가정!$B$5,0))</f>
        <v>53600</v>
      </c>
      <c r="L1010" s="95" t="n">
        <f aca="false">IF(B1010="CN",IF(N(I1010)&gt;0,I1010*가정!$B$3,K1010*(1+가정!$B$6)),IF(N(H1010)&gt;0,H1010*가정!$B$3,J1010*가정!$B$4))</f>
        <v>74816.622</v>
      </c>
      <c r="M1010" s="95" t="n">
        <f aca="false">D1010*J1010</f>
        <v>18615000</v>
      </c>
      <c r="N1010" s="95" t="n">
        <f aca="false">D1010*K1010</f>
        <v>4556000</v>
      </c>
      <c r="O1010" s="95" t="n">
        <f aca="false">D1010*L1010</f>
        <v>6359412.87</v>
      </c>
      <c r="P1010" s="34" t="str">
        <f aca="false">TRIM(IF(N(E1010)&lt;=0,"택가보정 ","")&amp;IF(N(F1010)&lt;=0,"원가보정 ","")&amp;IF(AND(B1010&lt;&gt;"CN",N(H1010)&lt;=0),"공급가보정 ","")&amp;IF(AND(B1010="CN",N(I1010)&lt;=0),"중국공급가=원가+마진 ",""))</f>
        <v/>
      </c>
    </row>
    <row r="1011" customFormat="false" ht="15" hidden="false" customHeight="true" outlineLevel="0" collapsed="false">
      <c r="A1011" s="94" t="s">
        <v>1686</v>
      </c>
      <c r="B1011" s="34" t="str">
        <f aca="false">IF(A1011="100","HK",IF(A1011="200","CN",IF(A1011="300","TW","홀세일")))</f>
        <v>TW</v>
      </c>
      <c r="C1011" s="94" t="s">
        <v>553</v>
      </c>
      <c r="D1011" s="95" t="n">
        <v>190</v>
      </c>
      <c r="E1011" s="95" t="n">
        <v>239000</v>
      </c>
      <c r="F1011" s="95" t="n">
        <v>72137</v>
      </c>
      <c r="G1011" s="34" t="n">
        <v>3.5</v>
      </c>
      <c r="H1011" s="34" t="n">
        <v>59.9</v>
      </c>
      <c r="I1011" s="34" t="n">
        <v>0</v>
      </c>
      <c r="J1011" s="95" t="n">
        <f aca="false">IF(N(E1011)&gt;0,E1011,IF(N(F1011)&gt;0,F1011*가정!$B$5,0))</f>
        <v>239000</v>
      </c>
      <c r="K1011" s="95" t="n">
        <f aca="false">IF(N(F1011)&gt;0,F1011,IF(N(E1011)&gt;0,E1011/가정!$B$5,0))</f>
        <v>72137</v>
      </c>
      <c r="L1011" s="95" t="n">
        <f aca="false">IF(B1011="CN",IF(N(I1011)&gt;0,I1011*가정!$B$3,K1011*(1+가정!$B$6)),IF(N(H1011)&gt;0,H1011*가정!$B$3,J1011*가정!$B$4))</f>
        <v>81630.522</v>
      </c>
      <c r="M1011" s="95" t="n">
        <f aca="false">D1011*J1011</f>
        <v>45410000</v>
      </c>
      <c r="N1011" s="95" t="n">
        <f aca="false">D1011*K1011</f>
        <v>13706030</v>
      </c>
      <c r="O1011" s="95" t="n">
        <f aca="false">D1011*L1011</f>
        <v>15509799.18</v>
      </c>
      <c r="P1011" s="34" t="str">
        <f aca="false">TRIM(IF(N(E1011)&lt;=0,"택가보정 ","")&amp;IF(N(F1011)&lt;=0,"원가보정 ","")&amp;IF(AND(B1011&lt;&gt;"CN",N(H1011)&lt;=0),"공급가보정 ","")&amp;IF(AND(B1011="CN",N(I1011)&lt;=0),"중국공급가=원가+마진 ",""))</f>
        <v/>
      </c>
    </row>
    <row r="1012" customFormat="false" ht="15" hidden="false" customHeight="true" outlineLevel="0" collapsed="false">
      <c r="A1012" s="94" t="s">
        <v>1692</v>
      </c>
      <c r="B1012" s="34" t="str">
        <f aca="false">IF(A1012="100","HK",IF(A1012="200","CN",IF(A1012="300","TW","홀세일")))</f>
        <v>홀세일</v>
      </c>
      <c r="C1012" s="94" t="s">
        <v>553</v>
      </c>
      <c r="D1012" s="95" t="n">
        <v>157</v>
      </c>
      <c r="E1012" s="95" t="n">
        <v>239000</v>
      </c>
      <c r="F1012" s="95" t="n">
        <v>72137</v>
      </c>
      <c r="G1012" s="34" t="n">
        <v>3.5</v>
      </c>
      <c r="H1012" s="34" t="n">
        <v>59.9</v>
      </c>
      <c r="I1012" s="34" t="n">
        <v>0</v>
      </c>
      <c r="J1012" s="95" t="n">
        <f aca="false">IF(N(E1012)&gt;0,E1012,IF(N(F1012)&gt;0,F1012*가정!$B$5,0))</f>
        <v>239000</v>
      </c>
      <c r="K1012" s="95" t="n">
        <f aca="false">IF(N(F1012)&gt;0,F1012,IF(N(E1012)&gt;0,E1012/가정!$B$5,0))</f>
        <v>72137</v>
      </c>
      <c r="L1012" s="95" t="n">
        <f aca="false">IF(B1012="CN",IF(N(I1012)&gt;0,I1012*가정!$B$3,K1012*(1+가정!$B$6)),IF(N(H1012)&gt;0,H1012*가정!$B$3,J1012*가정!$B$4))</f>
        <v>81630.522</v>
      </c>
      <c r="M1012" s="95" t="n">
        <f aca="false">D1012*J1012</f>
        <v>37523000</v>
      </c>
      <c r="N1012" s="95" t="n">
        <f aca="false">D1012*K1012</f>
        <v>11325509</v>
      </c>
      <c r="O1012" s="95" t="n">
        <f aca="false">D1012*L1012</f>
        <v>12815991.954</v>
      </c>
      <c r="P1012" s="34" t="str">
        <f aca="false">TRIM(IF(N(E1012)&lt;=0,"택가보정 ","")&amp;IF(N(F1012)&lt;=0,"원가보정 ","")&amp;IF(AND(B1012&lt;&gt;"CN",N(H1012)&lt;=0),"공급가보정 ","")&amp;IF(AND(B1012="CN",N(I1012)&lt;=0),"중국공급가=원가+마진 ",""))</f>
        <v/>
      </c>
    </row>
    <row r="1013" customFormat="false" ht="15" hidden="false" customHeight="true" outlineLevel="0" collapsed="false">
      <c r="A1013" s="94" t="s">
        <v>1689</v>
      </c>
      <c r="B1013" s="34" t="str">
        <f aca="false">IF(A1013="100","HK",IF(A1013="200","CN",IF(A1013="300","TW","홀세일")))</f>
        <v>홀세일</v>
      </c>
      <c r="C1013" s="94" t="s">
        <v>553</v>
      </c>
      <c r="D1013" s="95" t="n">
        <v>45</v>
      </c>
      <c r="E1013" s="95" t="n">
        <v>239000</v>
      </c>
      <c r="F1013" s="95" t="n">
        <v>72137</v>
      </c>
      <c r="G1013" s="34" t="n">
        <v>3.5</v>
      </c>
      <c r="H1013" s="34" t="n">
        <v>59.9</v>
      </c>
      <c r="I1013" s="34" t="n">
        <v>0</v>
      </c>
      <c r="J1013" s="95" t="n">
        <f aca="false">IF(N(E1013)&gt;0,E1013,IF(N(F1013)&gt;0,F1013*가정!$B$5,0))</f>
        <v>239000</v>
      </c>
      <c r="K1013" s="95" t="n">
        <f aca="false">IF(N(F1013)&gt;0,F1013,IF(N(E1013)&gt;0,E1013/가정!$B$5,0))</f>
        <v>72137</v>
      </c>
      <c r="L1013" s="95" t="n">
        <f aca="false">IF(B1013="CN",IF(N(I1013)&gt;0,I1013*가정!$B$3,K1013*(1+가정!$B$6)),IF(N(H1013)&gt;0,H1013*가정!$B$3,J1013*가정!$B$4))</f>
        <v>81630.522</v>
      </c>
      <c r="M1013" s="95" t="n">
        <f aca="false">D1013*J1013</f>
        <v>10755000</v>
      </c>
      <c r="N1013" s="95" t="n">
        <f aca="false">D1013*K1013</f>
        <v>3246165</v>
      </c>
      <c r="O1013" s="95" t="n">
        <f aca="false">D1013*L1013</f>
        <v>3673373.49</v>
      </c>
      <c r="P1013" s="34" t="str">
        <f aca="false">TRIM(IF(N(E1013)&lt;=0,"택가보정 ","")&amp;IF(N(F1013)&lt;=0,"원가보정 ","")&amp;IF(AND(B1013&lt;&gt;"CN",N(H1013)&lt;=0),"공급가보정 ","")&amp;IF(AND(B1013="CN",N(I1013)&lt;=0),"중국공급가=원가+마진 ",""))</f>
        <v/>
      </c>
    </row>
    <row r="1014" customFormat="false" ht="15" hidden="false" customHeight="true" outlineLevel="0" collapsed="false">
      <c r="A1014" s="94" t="s">
        <v>1684</v>
      </c>
      <c r="B1014" s="34" t="str">
        <f aca="false">IF(A1014="100","HK",IF(A1014="200","CN",IF(A1014="300","TW","홀세일")))</f>
        <v>HK</v>
      </c>
      <c r="C1014" s="94" t="s">
        <v>555</v>
      </c>
      <c r="D1014" s="95" t="n">
        <v>340</v>
      </c>
      <c r="E1014" s="95" t="n">
        <v>199000</v>
      </c>
      <c r="F1014" s="95" t="n">
        <v>72245</v>
      </c>
      <c r="G1014" s="34" t="n">
        <v>5.06</v>
      </c>
      <c r="H1014" s="34" t="n">
        <v>49.8</v>
      </c>
      <c r="I1014" s="34" t="n">
        <v>0</v>
      </c>
      <c r="J1014" s="95" t="n">
        <f aca="false">IF(N(E1014)&gt;0,E1014,IF(N(F1014)&gt;0,F1014*가정!$B$5,0))</f>
        <v>199000</v>
      </c>
      <c r="K1014" s="95" t="n">
        <f aca="false">IF(N(F1014)&gt;0,F1014,IF(N(E1014)&gt;0,E1014/가정!$B$5,0))</f>
        <v>72245</v>
      </c>
      <c r="L1014" s="95" t="n">
        <f aca="false">IF(B1014="CN",IF(N(I1014)&gt;0,I1014*가정!$B$3,K1014*(1+가정!$B$6)),IF(N(H1014)&gt;0,H1014*가정!$B$3,J1014*가정!$B$4))</f>
        <v>67866.444</v>
      </c>
      <c r="M1014" s="95" t="n">
        <f aca="false">D1014*J1014</f>
        <v>67660000</v>
      </c>
      <c r="N1014" s="95" t="n">
        <f aca="false">D1014*K1014</f>
        <v>24563300</v>
      </c>
      <c r="O1014" s="95" t="n">
        <f aca="false">D1014*L1014</f>
        <v>23074590.96</v>
      </c>
      <c r="P1014" s="34" t="str">
        <f aca="false">TRIM(IF(N(E1014)&lt;=0,"택가보정 ","")&amp;IF(N(F1014)&lt;=0,"원가보정 ","")&amp;IF(AND(B1014&lt;&gt;"CN",N(H1014)&lt;=0),"공급가보정 ","")&amp;IF(AND(B1014="CN",N(I1014)&lt;=0),"중국공급가=원가+마진 ",""))</f>
        <v/>
      </c>
    </row>
    <row r="1015" customFormat="false" ht="15" hidden="false" customHeight="true" outlineLevel="0" collapsed="false">
      <c r="A1015" s="94" t="s">
        <v>1686</v>
      </c>
      <c r="B1015" s="34" t="str">
        <f aca="false">IF(A1015="100","HK",IF(A1015="200","CN",IF(A1015="300","TW","홀세일")))</f>
        <v>TW</v>
      </c>
      <c r="C1015" s="94" t="s">
        <v>555</v>
      </c>
      <c r="D1015" s="95" t="n">
        <v>505</v>
      </c>
      <c r="E1015" s="95" t="n">
        <v>199000</v>
      </c>
      <c r="F1015" s="95" t="n">
        <v>72245</v>
      </c>
      <c r="G1015" s="34" t="n">
        <v>5.06</v>
      </c>
      <c r="H1015" s="34" t="n">
        <v>49.8</v>
      </c>
      <c r="I1015" s="34" t="n">
        <v>0</v>
      </c>
      <c r="J1015" s="95" t="n">
        <f aca="false">IF(N(E1015)&gt;0,E1015,IF(N(F1015)&gt;0,F1015*가정!$B$5,0))</f>
        <v>199000</v>
      </c>
      <c r="K1015" s="95" t="n">
        <f aca="false">IF(N(F1015)&gt;0,F1015,IF(N(E1015)&gt;0,E1015/가정!$B$5,0))</f>
        <v>72245</v>
      </c>
      <c r="L1015" s="95" t="n">
        <f aca="false">IF(B1015="CN",IF(N(I1015)&gt;0,I1015*가정!$B$3,K1015*(1+가정!$B$6)),IF(N(H1015)&gt;0,H1015*가정!$B$3,J1015*가정!$B$4))</f>
        <v>67866.444</v>
      </c>
      <c r="M1015" s="95" t="n">
        <f aca="false">D1015*J1015</f>
        <v>100495000</v>
      </c>
      <c r="N1015" s="95" t="n">
        <f aca="false">D1015*K1015</f>
        <v>36483725</v>
      </c>
      <c r="O1015" s="95" t="n">
        <f aca="false">D1015*L1015</f>
        <v>34272554.22</v>
      </c>
      <c r="P1015" s="34" t="str">
        <f aca="false">TRIM(IF(N(E1015)&lt;=0,"택가보정 ","")&amp;IF(N(F1015)&lt;=0,"원가보정 ","")&amp;IF(AND(B1015&lt;&gt;"CN",N(H1015)&lt;=0),"공급가보정 ","")&amp;IF(AND(B1015="CN",N(I1015)&lt;=0),"중국공급가=원가+마진 ",""))</f>
        <v/>
      </c>
    </row>
    <row r="1016" customFormat="false" ht="15" hidden="false" customHeight="true" outlineLevel="0" collapsed="false">
      <c r="A1016" s="94" t="s">
        <v>1688</v>
      </c>
      <c r="B1016" s="34" t="str">
        <f aca="false">IF(A1016="100","HK",IF(A1016="200","CN",IF(A1016="300","TW","홀세일")))</f>
        <v>홀세일</v>
      </c>
      <c r="C1016" s="94" t="s">
        <v>555</v>
      </c>
      <c r="D1016" s="95" t="n">
        <v>40</v>
      </c>
      <c r="E1016" s="95" t="n">
        <v>199000</v>
      </c>
      <c r="F1016" s="95" t="n">
        <v>72245</v>
      </c>
      <c r="G1016" s="34" t="n">
        <v>5.06</v>
      </c>
      <c r="H1016" s="34" t="n">
        <v>49.8</v>
      </c>
      <c r="I1016" s="34" t="n">
        <v>0</v>
      </c>
      <c r="J1016" s="95" t="n">
        <f aca="false">IF(N(E1016)&gt;0,E1016,IF(N(F1016)&gt;0,F1016*가정!$B$5,0))</f>
        <v>199000</v>
      </c>
      <c r="K1016" s="95" t="n">
        <f aca="false">IF(N(F1016)&gt;0,F1016,IF(N(E1016)&gt;0,E1016/가정!$B$5,0))</f>
        <v>72245</v>
      </c>
      <c r="L1016" s="95" t="n">
        <f aca="false">IF(B1016="CN",IF(N(I1016)&gt;0,I1016*가정!$B$3,K1016*(1+가정!$B$6)),IF(N(H1016)&gt;0,H1016*가정!$B$3,J1016*가정!$B$4))</f>
        <v>67866.444</v>
      </c>
      <c r="M1016" s="95" t="n">
        <f aca="false">D1016*J1016</f>
        <v>7960000</v>
      </c>
      <c r="N1016" s="95" t="n">
        <f aca="false">D1016*K1016</f>
        <v>2889800</v>
      </c>
      <c r="O1016" s="95" t="n">
        <f aca="false">D1016*L1016</f>
        <v>2714657.76</v>
      </c>
      <c r="P1016" s="34" t="str">
        <f aca="false">TRIM(IF(N(E1016)&lt;=0,"택가보정 ","")&amp;IF(N(F1016)&lt;=0,"원가보정 ","")&amp;IF(AND(B1016&lt;&gt;"CN",N(H1016)&lt;=0),"공급가보정 ","")&amp;IF(AND(B1016="CN",N(I1016)&lt;=0),"중국공급가=원가+마진 ",""))</f>
        <v/>
      </c>
    </row>
    <row r="1017" customFormat="false" ht="15" hidden="false" customHeight="true" outlineLevel="0" collapsed="false">
      <c r="A1017" s="94" t="s">
        <v>1684</v>
      </c>
      <c r="B1017" s="34" t="str">
        <f aca="false">IF(A1017="100","HK",IF(A1017="200","CN",IF(A1017="300","TW","홀세일")))</f>
        <v>HK</v>
      </c>
      <c r="C1017" s="94" t="s">
        <v>557</v>
      </c>
      <c r="D1017" s="95" t="n">
        <v>200</v>
      </c>
      <c r="E1017" s="95" t="n">
        <v>169000</v>
      </c>
      <c r="F1017" s="95" t="n">
        <v>41673</v>
      </c>
      <c r="G1017" s="34" t="n">
        <v>3.54</v>
      </c>
      <c r="H1017" s="34" t="n">
        <v>42.3</v>
      </c>
      <c r="I1017" s="34" t="n">
        <v>35.4</v>
      </c>
      <c r="J1017" s="95" t="n">
        <f aca="false">IF(N(E1017)&gt;0,E1017,IF(N(F1017)&gt;0,F1017*가정!$B$5,0))</f>
        <v>169000</v>
      </c>
      <c r="K1017" s="95" t="n">
        <f aca="false">IF(N(F1017)&gt;0,F1017,IF(N(E1017)&gt;0,E1017/가정!$B$5,0))</f>
        <v>41673</v>
      </c>
      <c r="L1017" s="95" t="n">
        <f aca="false">IF(B1017="CN",IF(N(I1017)&gt;0,I1017*가정!$B$3,K1017*(1+가정!$B$6)),IF(N(H1017)&gt;0,H1017*가정!$B$3,J1017*가정!$B$4))</f>
        <v>57645.594</v>
      </c>
      <c r="M1017" s="95" t="n">
        <f aca="false">D1017*J1017</f>
        <v>33800000</v>
      </c>
      <c r="N1017" s="95" t="n">
        <f aca="false">D1017*K1017</f>
        <v>8334600</v>
      </c>
      <c r="O1017" s="95" t="n">
        <f aca="false">D1017*L1017</f>
        <v>11529118.8</v>
      </c>
      <c r="P1017" s="34" t="str">
        <f aca="false">TRIM(IF(N(E1017)&lt;=0,"택가보정 ","")&amp;IF(N(F1017)&lt;=0,"원가보정 ","")&amp;IF(AND(B1017&lt;&gt;"CN",N(H1017)&lt;=0),"공급가보정 ","")&amp;IF(AND(B1017="CN",N(I1017)&lt;=0),"중국공급가=원가+마진 ",""))</f>
        <v/>
      </c>
    </row>
    <row r="1018" customFormat="false" ht="15" hidden="false" customHeight="true" outlineLevel="0" collapsed="false">
      <c r="A1018" s="94" t="s">
        <v>1685</v>
      </c>
      <c r="B1018" s="34" t="str">
        <f aca="false">IF(A1018="100","HK",IF(A1018="200","CN",IF(A1018="300","TW","홀세일")))</f>
        <v>CN</v>
      </c>
      <c r="C1018" s="94" t="s">
        <v>557</v>
      </c>
      <c r="D1018" s="95" t="n">
        <v>643</v>
      </c>
      <c r="E1018" s="95" t="n">
        <v>169000</v>
      </c>
      <c r="F1018" s="95" t="n">
        <v>41673</v>
      </c>
      <c r="G1018" s="34" t="n">
        <v>3.54</v>
      </c>
      <c r="H1018" s="34" t="n">
        <v>42.3</v>
      </c>
      <c r="I1018" s="34" t="n">
        <v>35.4</v>
      </c>
      <c r="J1018" s="95" t="n">
        <f aca="false">IF(N(E1018)&gt;0,E1018,IF(N(F1018)&gt;0,F1018*가정!$B$5,0))</f>
        <v>169000</v>
      </c>
      <c r="K1018" s="95" t="n">
        <f aca="false">IF(N(F1018)&gt;0,F1018,IF(N(E1018)&gt;0,E1018/가정!$B$5,0))</f>
        <v>41673</v>
      </c>
      <c r="L1018" s="95" t="n">
        <f aca="false">IF(B1018="CN",IF(N(I1018)&gt;0,I1018*가정!$B$3,K1018*(1+가정!$B$6)),IF(N(H1018)&gt;0,H1018*가정!$B$3,J1018*가정!$B$4))</f>
        <v>48242.412</v>
      </c>
      <c r="M1018" s="95" t="n">
        <f aca="false">D1018*J1018</f>
        <v>108667000</v>
      </c>
      <c r="N1018" s="95" t="n">
        <f aca="false">D1018*K1018</f>
        <v>26795739</v>
      </c>
      <c r="O1018" s="95" t="n">
        <f aca="false">D1018*L1018</f>
        <v>31019870.916</v>
      </c>
      <c r="P1018" s="34" t="str">
        <f aca="false">TRIM(IF(N(E1018)&lt;=0,"택가보정 ","")&amp;IF(N(F1018)&lt;=0,"원가보정 ","")&amp;IF(AND(B1018&lt;&gt;"CN",N(H1018)&lt;=0),"공급가보정 ","")&amp;IF(AND(B1018="CN",N(I1018)&lt;=0),"중국공급가=원가+마진 ",""))</f>
        <v/>
      </c>
    </row>
    <row r="1019" customFormat="false" ht="15" hidden="false" customHeight="true" outlineLevel="0" collapsed="false">
      <c r="A1019" s="94" t="s">
        <v>1686</v>
      </c>
      <c r="B1019" s="34" t="str">
        <f aca="false">IF(A1019="100","HK",IF(A1019="200","CN",IF(A1019="300","TW","홀세일")))</f>
        <v>TW</v>
      </c>
      <c r="C1019" s="94" t="s">
        <v>557</v>
      </c>
      <c r="D1019" s="95" t="n">
        <v>450</v>
      </c>
      <c r="E1019" s="95" t="n">
        <v>169000</v>
      </c>
      <c r="F1019" s="95" t="n">
        <v>41673</v>
      </c>
      <c r="G1019" s="34" t="n">
        <v>3.54</v>
      </c>
      <c r="H1019" s="34" t="n">
        <v>42.3</v>
      </c>
      <c r="I1019" s="34" t="n">
        <v>35.4</v>
      </c>
      <c r="J1019" s="95" t="n">
        <f aca="false">IF(N(E1019)&gt;0,E1019,IF(N(F1019)&gt;0,F1019*가정!$B$5,0))</f>
        <v>169000</v>
      </c>
      <c r="K1019" s="95" t="n">
        <f aca="false">IF(N(F1019)&gt;0,F1019,IF(N(E1019)&gt;0,E1019/가정!$B$5,0))</f>
        <v>41673</v>
      </c>
      <c r="L1019" s="95" t="n">
        <f aca="false">IF(B1019="CN",IF(N(I1019)&gt;0,I1019*가정!$B$3,K1019*(1+가정!$B$6)),IF(N(H1019)&gt;0,H1019*가정!$B$3,J1019*가정!$B$4))</f>
        <v>57645.594</v>
      </c>
      <c r="M1019" s="95" t="n">
        <f aca="false">D1019*J1019</f>
        <v>76050000</v>
      </c>
      <c r="N1019" s="95" t="n">
        <f aca="false">D1019*K1019</f>
        <v>18752850</v>
      </c>
      <c r="O1019" s="95" t="n">
        <f aca="false">D1019*L1019</f>
        <v>25940517.3</v>
      </c>
      <c r="P1019" s="34" t="str">
        <f aca="false">TRIM(IF(N(E1019)&lt;=0,"택가보정 ","")&amp;IF(N(F1019)&lt;=0,"원가보정 ","")&amp;IF(AND(B1019&lt;&gt;"CN",N(H1019)&lt;=0),"공급가보정 ","")&amp;IF(AND(B1019="CN",N(I1019)&lt;=0),"중국공급가=원가+마진 ",""))</f>
        <v/>
      </c>
    </row>
    <row r="1020" customFormat="false" ht="15" hidden="false" customHeight="true" outlineLevel="0" collapsed="false">
      <c r="A1020" s="94" t="s">
        <v>1688</v>
      </c>
      <c r="B1020" s="34" t="str">
        <f aca="false">IF(A1020="100","HK",IF(A1020="200","CN",IF(A1020="300","TW","홀세일")))</f>
        <v>홀세일</v>
      </c>
      <c r="C1020" s="94" t="s">
        <v>557</v>
      </c>
      <c r="D1020" s="95" t="n">
        <v>110</v>
      </c>
      <c r="E1020" s="95" t="n">
        <v>169000</v>
      </c>
      <c r="F1020" s="95" t="n">
        <v>41673</v>
      </c>
      <c r="G1020" s="34" t="n">
        <v>3.54</v>
      </c>
      <c r="H1020" s="34" t="n">
        <v>42.3</v>
      </c>
      <c r="I1020" s="34" t="n">
        <v>35.4</v>
      </c>
      <c r="J1020" s="95" t="n">
        <f aca="false">IF(N(E1020)&gt;0,E1020,IF(N(F1020)&gt;0,F1020*가정!$B$5,0))</f>
        <v>169000</v>
      </c>
      <c r="K1020" s="95" t="n">
        <f aca="false">IF(N(F1020)&gt;0,F1020,IF(N(E1020)&gt;0,E1020/가정!$B$5,0))</f>
        <v>41673</v>
      </c>
      <c r="L1020" s="95" t="n">
        <f aca="false">IF(B1020="CN",IF(N(I1020)&gt;0,I1020*가정!$B$3,K1020*(1+가정!$B$6)),IF(N(H1020)&gt;0,H1020*가정!$B$3,J1020*가정!$B$4))</f>
        <v>57645.594</v>
      </c>
      <c r="M1020" s="95" t="n">
        <f aca="false">D1020*J1020</f>
        <v>18590000</v>
      </c>
      <c r="N1020" s="95" t="n">
        <f aca="false">D1020*K1020</f>
        <v>4584030</v>
      </c>
      <c r="O1020" s="95" t="n">
        <f aca="false">D1020*L1020</f>
        <v>6341015.34</v>
      </c>
      <c r="P1020" s="34" t="str">
        <f aca="false">TRIM(IF(N(E1020)&lt;=0,"택가보정 ","")&amp;IF(N(F1020)&lt;=0,"원가보정 ","")&amp;IF(AND(B1020&lt;&gt;"CN",N(H1020)&lt;=0),"공급가보정 ","")&amp;IF(AND(B1020="CN",N(I1020)&lt;=0),"중국공급가=원가+마진 ",""))</f>
        <v/>
      </c>
    </row>
    <row r="1021" customFormat="false" ht="15" hidden="false" customHeight="true" outlineLevel="0" collapsed="false">
      <c r="A1021" s="94" t="s">
        <v>1692</v>
      </c>
      <c r="B1021" s="34" t="str">
        <f aca="false">IF(A1021="100","HK",IF(A1021="200","CN",IF(A1021="300","TW","홀세일")))</f>
        <v>홀세일</v>
      </c>
      <c r="C1021" s="94" t="s">
        <v>557</v>
      </c>
      <c r="D1021" s="95" t="n">
        <v>142</v>
      </c>
      <c r="E1021" s="95" t="n">
        <v>169000</v>
      </c>
      <c r="F1021" s="95" t="n">
        <v>41673</v>
      </c>
      <c r="G1021" s="34" t="n">
        <v>3.54</v>
      </c>
      <c r="H1021" s="34" t="n">
        <v>42.3</v>
      </c>
      <c r="I1021" s="34" t="n">
        <v>35.4</v>
      </c>
      <c r="J1021" s="95" t="n">
        <f aca="false">IF(N(E1021)&gt;0,E1021,IF(N(F1021)&gt;0,F1021*가정!$B$5,0))</f>
        <v>169000</v>
      </c>
      <c r="K1021" s="95" t="n">
        <f aca="false">IF(N(F1021)&gt;0,F1021,IF(N(E1021)&gt;0,E1021/가정!$B$5,0))</f>
        <v>41673</v>
      </c>
      <c r="L1021" s="95" t="n">
        <f aca="false">IF(B1021="CN",IF(N(I1021)&gt;0,I1021*가정!$B$3,K1021*(1+가정!$B$6)),IF(N(H1021)&gt;0,H1021*가정!$B$3,J1021*가정!$B$4))</f>
        <v>57645.594</v>
      </c>
      <c r="M1021" s="95" t="n">
        <f aca="false">D1021*J1021</f>
        <v>23998000</v>
      </c>
      <c r="N1021" s="95" t="n">
        <f aca="false">D1021*K1021</f>
        <v>5917566</v>
      </c>
      <c r="O1021" s="95" t="n">
        <f aca="false">D1021*L1021</f>
        <v>8185674.348</v>
      </c>
      <c r="P1021" s="34" t="str">
        <f aca="false">TRIM(IF(N(E1021)&lt;=0,"택가보정 ","")&amp;IF(N(F1021)&lt;=0,"원가보정 ","")&amp;IF(AND(B1021&lt;&gt;"CN",N(H1021)&lt;=0),"공급가보정 ","")&amp;IF(AND(B1021="CN",N(I1021)&lt;=0),"중국공급가=원가+마진 ",""))</f>
        <v/>
      </c>
    </row>
    <row r="1022" customFormat="false" ht="15" hidden="false" customHeight="true" outlineLevel="0" collapsed="false">
      <c r="A1022" s="94" t="s">
        <v>1684</v>
      </c>
      <c r="B1022" s="34" t="str">
        <f aca="false">IF(A1022="100","HK",IF(A1022="200","CN",IF(A1022="300","TW","홀세일")))</f>
        <v>HK</v>
      </c>
      <c r="C1022" s="94" t="s">
        <v>559</v>
      </c>
      <c r="D1022" s="95" t="n">
        <v>270</v>
      </c>
      <c r="E1022" s="95" t="n">
        <v>189000</v>
      </c>
      <c r="F1022" s="95" t="n">
        <v>46088</v>
      </c>
      <c r="G1022" s="34" t="n">
        <v>3.5</v>
      </c>
      <c r="H1022" s="34" t="n">
        <v>47.3</v>
      </c>
      <c r="I1022" s="34" t="n">
        <v>0</v>
      </c>
      <c r="J1022" s="95" t="n">
        <f aca="false">IF(N(E1022)&gt;0,E1022,IF(N(F1022)&gt;0,F1022*가정!$B$5,0))</f>
        <v>189000</v>
      </c>
      <c r="K1022" s="95" t="n">
        <f aca="false">IF(N(F1022)&gt;0,F1022,IF(N(E1022)&gt;0,E1022/가정!$B$5,0))</f>
        <v>46088</v>
      </c>
      <c r="L1022" s="95" t="n">
        <f aca="false">IF(B1022="CN",IF(N(I1022)&gt;0,I1022*가정!$B$3,K1022*(1+가정!$B$6)),IF(N(H1022)&gt;0,H1022*가정!$B$3,J1022*가정!$B$4))</f>
        <v>64459.494</v>
      </c>
      <c r="M1022" s="95" t="n">
        <f aca="false">D1022*J1022</f>
        <v>51030000</v>
      </c>
      <c r="N1022" s="95" t="n">
        <f aca="false">D1022*K1022</f>
        <v>12443760</v>
      </c>
      <c r="O1022" s="95" t="n">
        <f aca="false">D1022*L1022</f>
        <v>17404063.38</v>
      </c>
      <c r="P1022" s="34" t="str">
        <f aca="false">TRIM(IF(N(E1022)&lt;=0,"택가보정 ","")&amp;IF(N(F1022)&lt;=0,"원가보정 ","")&amp;IF(AND(B1022&lt;&gt;"CN",N(H1022)&lt;=0),"공급가보정 ","")&amp;IF(AND(B1022="CN",N(I1022)&lt;=0),"중국공급가=원가+마진 ",""))</f>
        <v/>
      </c>
    </row>
    <row r="1023" customFormat="false" ht="15" hidden="false" customHeight="true" outlineLevel="0" collapsed="false">
      <c r="A1023" s="94" t="s">
        <v>1686</v>
      </c>
      <c r="B1023" s="34" t="str">
        <f aca="false">IF(A1023="100","HK",IF(A1023="200","CN",IF(A1023="300","TW","홀세일")))</f>
        <v>TW</v>
      </c>
      <c r="C1023" s="94" t="s">
        <v>559</v>
      </c>
      <c r="D1023" s="95" t="n">
        <v>800</v>
      </c>
      <c r="E1023" s="95" t="n">
        <v>189000</v>
      </c>
      <c r="F1023" s="95" t="n">
        <v>46088</v>
      </c>
      <c r="G1023" s="34" t="n">
        <v>3.5</v>
      </c>
      <c r="H1023" s="34" t="n">
        <v>47.3</v>
      </c>
      <c r="I1023" s="34" t="n">
        <v>0</v>
      </c>
      <c r="J1023" s="95" t="n">
        <f aca="false">IF(N(E1023)&gt;0,E1023,IF(N(F1023)&gt;0,F1023*가정!$B$5,0))</f>
        <v>189000</v>
      </c>
      <c r="K1023" s="95" t="n">
        <f aca="false">IF(N(F1023)&gt;0,F1023,IF(N(E1023)&gt;0,E1023/가정!$B$5,0))</f>
        <v>46088</v>
      </c>
      <c r="L1023" s="95" t="n">
        <f aca="false">IF(B1023="CN",IF(N(I1023)&gt;0,I1023*가정!$B$3,K1023*(1+가정!$B$6)),IF(N(H1023)&gt;0,H1023*가정!$B$3,J1023*가정!$B$4))</f>
        <v>64459.494</v>
      </c>
      <c r="M1023" s="95" t="n">
        <f aca="false">D1023*J1023</f>
        <v>151200000</v>
      </c>
      <c r="N1023" s="95" t="n">
        <f aca="false">D1023*K1023</f>
        <v>36870400</v>
      </c>
      <c r="O1023" s="95" t="n">
        <f aca="false">D1023*L1023</f>
        <v>51567595.2</v>
      </c>
      <c r="P1023" s="34" t="str">
        <f aca="false">TRIM(IF(N(E1023)&lt;=0,"택가보정 ","")&amp;IF(N(F1023)&lt;=0,"원가보정 ","")&amp;IF(AND(B1023&lt;&gt;"CN",N(H1023)&lt;=0),"공급가보정 ","")&amp;IF(AND(B1023="CN",N(I1023)&lt;=0),"중국공급가=원가+마진 ",""))</f>
        <v/>
      </c>
    </row>
    <row r="1024" customFormat="false" ht="15" hidden="false" customHeight="true" outlineLevel="0" collapsed="false">
      <c r="A1024" s="94" t="s">
        <v>1688</v>
      </c>
      <c r="B1024" s="34" t="str">
        <f aca="false">IF(A1024="100","HK",IF(A1024="200","CN",IF(A1024="300","TW","홀세일")))</f>
        <v>홀세일</v>
      </c>
      <c r="C1024" s="94" t="s">
        <v>559</v>
      </c>
      <c r="D1024" s="95" t="n">
        <v>25</v>
      </c>
      <c r="E1024" s="95" t="n">
        <v>189000</v>
      </c>
      <c r="F1024" s="95" t="n">
        <v>46088</v>
      </c>
      <c r="G1024" s="34" t="n">
        <v>3.5</v>
      </c>
      <c r="H1024" s="34" t="n">
        <v>47.3</v>
      </c>
      <c r="I1024" s="34" t="n">
        <v>0</v>
      </c>
      <c r="J1024" s="95" t="n">
        <f aca="false">IF(N(E1024)&gt;0,E1024,IF(N(F1024)&gt;0,F1024*가정!$B$5,0))</f>
        <v>189000</v>
      </c>
      <c r="K1024" s="95" t="n">
        <f aca="false">IF(N(F1024)&gt;0,F1024,IF(N(E1024)&gt;0,E1024/가정!$B$5,0))</f>
        <v>46088</v>
      </c>
      <c r="L1024" s="95" t="n">
        <f aca="false">IF(B1024="CN",IF(N(I1024)&gt;0,I1024*가정!$B$3,K1024*(1+가정!$B$6)),IF(N(H1024)&gt;0,H1024*가정!$B$3,J1024*가정!$B$4))</f>
        <v>64459.494</v>
      </c>
      <c r="M1024" s="95" t="n">
        <f aca="false">D1024*J1024</f>
        <v>4725000</v>
      </c>
      <c r="N1024" s="95" t="n">
        <f aca="false">D1024*K1024</f>
        <v>1152200</v>
      </c>
      <c r="O1024" s="95" t="n">
        <f aca="false">D1024*L1024</f>
        <v>1611487.35</v>
      </c>
      <c r="P1024" s="34" t="str">
        <f aca="false">TRIM(IF(N(E1024)&lt;=0,"택가보정 ","")&amp;IF(N(F1024)&lt;=0,"원가보정 ","")&amp;IF(AND(B1024&lt;&gt;"CN",N(H1024)&lt;=0),"공급가보정 ","")&amp;IF(AND(B1024="CN",N(I1024)&lt;=0),"중국공급가=원가+마진 ",""))</f>
        <v/>
      </c>
    </row>
    <row r="1025" customFormat="false" ht="15" hidden="false" customHeight="true" outlineLevel="0" collapsed="false">
      <c r="A1025" s="94" t="s">
        <v>1692</v>
      </c>
      <c r="B1025" s="34" t="str">
        <f aca="false">IF(A1025="100","HK",IF(A1025="200","CN",IF(A1025="300","TW","홀세일")))</f>
        <v>홀세일</v>
      </c>
      <c r="C1025" s="94" t="s">
        <v>559</v>
      </c>
      <c r="D1025" s="95" t="n">
        <v>76</v>
      </c>
      <c r="E1025" s="95" t="n">
        <v>189000</v>
      </c>
      <c r="F1025" s="95" t="n">
        <v>46088</v>
      </c>
      <c r="G1025" s="34" t="n">
        <v>3.5</v>
      </c>
      <c r="H1025" s="34" t="n">
        <v>47.3</v>
      </c>
      <c r="I1025" s="34" t="n">
        <v>0</v>
      </c>
      <c r="J1025" s="95" t="n">
        <f aca="false">IF(N(E1025)&gt;0,E1025,IF(N(F1025)&gt;0,F1025*가정!$B$5,0))</f>
        <v>189000</v>
      </c>
      <c r="K1025" s="95" t="n">
        <f aca="false">IF(N(F1025)&gt;0,F1025,IF(N(E1025)&gt;0,E1025/가정!$B$5,0))</f>
        <v>46088</v>
      </c>
      <c r="L1025" s="95" t="n">
        <f aca="false">IF(B1025="CN",IF(N(I1025)&gt;0,I1025*가정!$B$3,K1025*(1+가정!$B$6)),IF(N(H1025)&gt;0,H1025*가정!$B$3,J1025*가정!$B$4))</f>
        <v>64459.494</v>
      </c>
      <c r="M1025" s="95" t="n">
        <f aca="false">D1025*J1025</f>
        <v>14364000</v>
      </c>
      <c r="N1025" s="95" t="n">
        <f aca="false">D1025*K1025</f>
        <v>3502688</v>
      </c>
      <c r="O1025" s="95" t="n">
        <f aca="false">D1025*L1025</f>
        <v>4898921.544</v>
      </c>
      <c r="P1025" s="34" t="str">
        <f aca="false">TRIM(IF(N(E1025)&lt;=0,"택가보정 ","")&amp;IF(N(F1025)&lt;=0,"원가보정 ","")&amp;IF(AND(B1025&lt;&gt;"CN",N(H1025)&lt;=0),"공급가보정 ","")&amp;IF(AND(B1025="CN",N(I1025)&lt;=0),"중국공급가=원가+마진 ",""))</f>
        <v/>
      </c>
    </row>
    <row r="1026" customFormat="false" ht="15" hidden="false" customHeight="true" outlineLevel="0" collapsed="false">
      <c r="A1026" s="94" t="s">
        <v>1686</v>
      </c>
      <c r="B1026" s="34" t="str">
        <f aca="false">IF(A1026="100","HK",IF(A1026="200","CN",IF(A1026="300","TW","홀세일")))</f>
        <v>TW</v>
      </c>
      <c r="C1026" s="94" t="s">
        <v>1713</v>
      </c>
      <c r="D1026" s="95" t="n">
        <v>560</v>
      </c>
      <c r="E1026" s="95" t="n">
        <v>199000</v>
      </c>
      <c r="F1026" s="95" t="n">
        <v>48300</v>
      </c>
      <c r="G1026" s="34" t="n">
        <v>3.75</v>
      </c>
      <c r="H1026" s="34" t="n">
        <v>51.2</v>
      </c>
      <c r="I1026" s="34" t="n">
        <v>0</v>
      </c>
      <c r="J1026" s="95" t="n">
        <f aca="false">IF(N(E1026)&gt;0,E1026,IF(N(F1026)&gt;0,F1026*가정!$B$5,0))</f>
        <v>199000</v>
      </c>
      <c r="K1026" s="95" t="n">
        <f aca="false">IF(N(F1026)&gt;0,F1026,IF(N(E1026)&gt;0,E1026/가정!$B$5,0))</f>
        <v>48300</v>
      </c>
      <c r="L1026" s="95" t="n">
        <f aca="false">IF(B1026="CN",IF(N(I1026)&gt;0,I1026*가정!$B$3,K1026*(1+가정!$B$6)),IF(N(H1026)&gt;0,H1026*가정!$B$3,J1026*가정!$B$4))</f>
        <v>69774.336</v>
      </c>
      <c r="M1026" s="95" t="n">
        <f aca="false">D1026*J1026</f>
        <v>111440000</v>
      </c>
      <c r="N1026" s="95" t="n">
        <f aca="false">D1026*K1026</f>
        <v>27048000</v>
      </c>
      <c r="O1026" s="95" t="n">
        <f aca="false">D1026*L1026</f>
        <v>39073628.16</v>
      </c>
      <c r="P1026" s="34" t="str">
        <f aca="false">TRIM(IF(N(E1026)&lt;=0,"택가보정 ","")&amp;IF(N(F1026)&lt;=0,"원가보정 ","")&amp;IF(AND(B1026&lt;&gt;"CN",N(H1026)&lt;=0),"공급가보정 ","")&amp;IF(AND(B1026="CN",N(I1026)&lt;=0),"중국공급가=원가+마진 ",""))</f>
        <v/>
      </c>
    </row>
    <row r="1027" customFormat="false" ht="15" hidden="false" customHeight="true" outlineLevel="0" collapsed="false">
      <c r="A1027" s="94" t="s">
        <v>1684</v>
      </c>
      <c r="B1027" s="34" t="str">
        <f aca="false">IF(A1027="100","HK",IF(A1027="200","CN",IF(A1027="300","TW","홀세일")))</f>
        <v>HK</v>
      </c>
      <c r="C1027" s="94" t="s">
        <v>975</v>
      </c>
      <c r="D1027" s="95" t="n">
        <v>420</v>
      </c>
      <c r="E1027" s="95" t="n">
        <v>219000</v>
      </c>
      <c r="F1027" s="95" t="n">
        <v>68435</v>
      </c>
      <c r="G1027" s="34" t="n">
        <v>4.2</v>
      </c>
      <c r="H1027" s="34" t="n">
        <v>54.9</v>
      </c>
      <c r="I1027" s="34" t="n">
        <v>0</v>
      </c>
      <c r="J1027" s="95" t="n">
        <f aca="false">IF(N(E1027)&gt;0,E1027,IF(N(F1027)&gt;0,F1027*가정!$B$5,0))</f>
        <v>219000</v>
      </c>
      <c r="K1027" s="95" t="n">
        <f aca="false">IF(N(F1027)&gt;0,F1027,IF(N(E1027)&gt;0,E1027/가정!$B$5,0))</f>
        <v>68435</v>
      </c>
      <c r="L1027" s="95" t="n">
        <f aca="false">IF(B1027="CN",IF(N(I1027)&gt;0,I1027*가정!$B$3,K1027*(1+가정!$B$6)),IF(N(H1027)&gt;0,H1027*가정!$B$3,J1027*가정!$B$4))</f>
        <v>74816.622</v>
      </c>
      <c r="M1027" s="95" t="n">
        <f aca="false">D1027*J1027</f>
        <v>91980000</v>
      </c>
      <c r="N1027" s="95" t="n">
        <f aca="false">D1027*K1027</f>
        <v>28742700</v>
      </c>
      <c r="O1027" s="95" t="n">
        <f aca="false">D1027*L1027</f>
        <v>31422981.24</v>
      </c>
      <c r="P1027" s="34" t="str">
        <f aca="false">TRIM(IF(N(E1027)&lt;=0,"택가보정 ","")&amp;IF(N(F1027)&lt;=0,"원가보정 ","")&amp;IF(AND(B1027&lt;&gt;"CN",N(H1027)&lt;=0),"공급가보정 ","")&amp;IF(AND(B1027="CN",N(I1027)&lt;=0),"중국공급가=원가+마진 ",""))</f>
        <v/>
      </c>
    </row>
    <row r="1028" customFormat="false" ht="15" hidden="false" customHeight="true" outlineLevel="0" collapsed="false">
      <c r="A1028" s="94" t="s">
        <v>1689</v>
      </c>
      <c r="B1028" s="34" t="str">
        <f aca="false">IF(A1028="100","HK",IF(A1028="200","CN",IF(A1028="300","TW","홀세일")))</f>
        <v>홀세일</v>
      </c>
      <c r="C1028" s="94" t="s">
        <v>975</v>
      </c>
      <c r="D1028" s="95" t="n">
        <v>60</v>
      </c>
      <c r="E1028" s="95" t="n">
        <v>219000</v>
      </c>
      <c r="F1028" s="95" t="n">
        <v>68435</v>
      </c>
      <c r="G1028" s="34" t="n">
        <v>4.2</v>
      </c>
      <c r="H1028" s="34" t="n">
        <v>54.9</v>
      </c>
      <c r="I1028" s="34" t="n">
        <v>0</v>
      </c>
      <c r="J1028" s="95" t="n">
        <f aca="false">IF(N(E1028)&gt;0,E1028,IF(N(F1028)&gt;0,F1028*가정!$B$5,0))</f>
        <v>219000</v>
      </c>
      <c r="K1028" s="95" t="n">
        <f aca="false">IF(N(F1028)&gt;0,F1028,IF(N(E1028)&gt;0,E1028/가정!$B$5,0))</f>
        <v>68435</v>
      </c>
      <c r="L1028" s="95" t="n">
        <f aca="false">IF(B1028="CN",IF(N(I1028)&gt;0,I1028*가정!$B$3,K1028*(1+가정!$B$6)),IF(N(H1028)&gt;0,H1028*가정!$B$3,J1028*가정!$B$4))</f>
        <v>74816.622</v>
      </c>
      <c r="M1028" s="95" t="n">
        <f aca="false">D1028*J1028</f>
        <v>13140000</v>
      </c>
      <c r="N1028" s="95" t="n">
        <f aca="false">D1028*K1028</f>
        <v>4106100</v>
      </c>
      <c r="O1028" s="95" t="n">
        <f aca="false">D1028*L1028</f>
        <v>4488997.32</v>
      </c>
      <c r="P1028" s="34" t="str">
        <f aca="false">TRIM(IF(N(E1028)&lt;=0,"택가보정 ","")&amp;IF(N(F1028)&lt;=0,"원가보정 ","")&amp;IF(AND(B1028&lt;&gt;"CN",N(H1028)&lt;=0),"공급가보정 ","")&amp;IF(AND(B1028="CN",N(I1028)&lt;=0),"중국공급가=원가+마진 ",""))</f>
        <v/>
      </c>
    </row>
    <row r="1029" customFormat="false" ht="15" hidden="false" customHeight="true" outlineLevel="0" collapsed="false">
      <c r="A1029" s="94" t="s">
        <v>1684</v>
      </c>
      <c r="B1029" s="34" t="str">
        <f aca="false">IF(A1029="100","HK",IF(A1029="200","CN",IF(A1029="300","TW","홀세일")))</f>
        <v>HK</v>
      </c>
      <c r="C1029" s="94" t="s">
        <v>977</v>
      </c>
      <c r="D1029" s="95" t="n">
        <v>200</v>
      </c>
      <c r="E1029" s="95" t="n">
        <v>279000</v>
      </c>
      <c r="F1029" s="95" t="n">
        <v>78361</v>
      </c>
      <c r="G1029" s="34" t="n">
        <v>4.82</v>
      </c>
      <c r="H1029" s="34" t="n">
        <v>69.9</v>
      </c>
      <c r="I1029" s="34" t="n">
        <v>66.8</v>
      </c>
      <c r="J1029" s="95" t="n">
        <f aca="false">IF(N(E1029)&gt;0,E1029,IF(N(F1029)&gt;0,F1029*가정!$B$5,0))</f>
        <v>279000</v>
      </c>
      <c r="K1029" s="95" t="n">
        <f aca="false">IF(N(F1029)&gt;0,F1029,IF(N(E1029)&gt;0,E1029/가정!$B$5,0))</f>
        <v>78361</v>
      </c>
      <c r="L1029" s="95" t="n">
        <f aca="false">IF(B1029="CN",IF(N(I1029)&gt;0,I1029*가정!$B$3,K1029*(1+가정!$B$6)),IF(N(H1029)&gt;0,H1029*가정!$B$3,J1029*가정!$B$4))</f>
        <v>95258.322</v>
      </c>
      <c r="M1029" s="95" t="n">
        <f aca="false">D1029*J1029</f>
        <v>55800000</v>
      </c>
      <c r="N1029" s="95" t="n">
        <f aca="false">D1029*K1029</f>
        <v>15672200</v>
      </c>
      <c r="O1029" s="95" t="n">
        <f aca="false">D1029*L1029</f>
        <v>19051664.4</v>
      </c>
      <c r="P1029" s="34" t="str">
        <f aca="false">TRIM(IF(N(E1029)&lt;=0,"택가보정 ","")&amp;IF(N(F1029)&lt;=0,"원가보정 ","")&amp;IF(AND(B1029&lt;&gt;"CN",N(H1029)&lt;=0),"공급가보정 ","")&amp;IF(AND(B1029="CN",N(I1029)&lt;=0),"중국공급가=원가+마진 ",""))</f>
        <v/>
      </c>
    </row>
    <row r="1030" customFormat="false" ht="15" hidden="false" customHeight="true" outlineLevel="0" collapsed="false">
      <c r="A1030" s="94" t="s">
        <v>1689</v>
      </c>
      <c r="B1030" s="34" t="str">
        <f aca="false">IF(A1030="100","HK",IF(A1030="200","CN",IF(A1030="300","TW","홀세일")))</f>
        <v>홀세일</v>
      </c>
      <c r="C1030" s="94" t="s">
        <v>977</v>
      </c>
      <c r="D1030" s="95" t="n">
        <v>110</v>
      </c>
      <c r="E1030" s="95" t="n">
        <v>279000</v>
      </c>
      <c r="F1030" s="95" t="n">
        <v>78361</v>
      </c>
      <c r="G1030" s="34" t="n">
        <v>4.82</v>
      </c>
      <c r="H1030" s="34" t="n">
        <v>69.9</v>
      </c>
      <c r="I1030" s="34" t="n">
        <v>66.8</v>
      </c>
      <c r="J1030" s="95" t="n">
        <f aca="false">IF(N(E1030)&gt;0,E1030,IF(N(F1030)&gt;0,F1030*가정!$B$5,0))</f>
        <v>279000</v>
      </c>
      <c r="K1030" s="95" t="n">
        <f aca="false">IF(N(F1030)&gt;0,F1030,IF(N(E1030)&gt;0,E1030/가정!$B$5,0))</f>
        <v>78361</v>
      </c>
      <c r="L1030" s="95" t="n">
        <f aca="false">IF(B1030="CN",IF(N(I1030)&gt;0,I1030*가정!$B$3,K1030*(1+가정!$B$6)),IF(N(H1030)&gt;0,H1030*가정!$B$3,J1030*가정!$B$4))</f>
        <v>95258.322</v>
      </c>
      <c r="M1030" s="95" t="n">
        <f aca="false">D1030*J1030</f>
        <v>30690000</v>
      </c>
      <c r="N1030" s="95" t="n">
        <f aca="false">D1030*K1030</f>
        <v>8619710</v>
      </c>
      <c r="O1030" s="95" t="n">
        <f aca="false">D1030*L1030</f>
        <v>10478415.42</v>
      </c>
      <c r="P1030" s="34" t="str">
        <f aca="false">TRIM(IF(N(E1030)&lt;=0,"택가보정 ","")&amp;IF(N(F1030)&lt;=0,"원가보정 ","")&amp;IF(AND(B1030&lt;&gt;"CN",N(H1030)&lt;=0),"공급가보정 ","")&amp;IF(AND(B1030="CN",N(I1030)&lt;=0),"중국공급가=원가+마진 ",""))</f>
        <v/>
      </c>
    </row>
    <row r="1031" customFormat="false" ht="15" hidden="false" customHeight="true" outlineLevel="0" collapsed="false">
      <c r="A1031" s="94" t="s">
        <v>1684</v>
      </c>
      <c r="B1031" s="34" t="str">
        <f aca="false">IF(A1031="100","HK",IF(A1031="200","CN",IF(A1031="300","TW","홀세일")))</f>
        <v>HK</v>
      </c>
      <c r="C1031" s="94" t="s">
        <v>561</v>
      </c>
      <c r="D1031" s="95" t="n">
        <v>280</v>
      </c>
      <c r="E1031" s="95" t="n">
        <v>239000</v>
      </c>
      <c r="F1031" s="95" t="n">
        <v>77838</v>
      </c>
      <c r="G1031" s="34" t="n">
        <v>3.79</v>
      </c>
      <c r="H1031" s="34" t="n">
        <v>59.9</v>
      </c>
      <c r="I1031" s="34" t="n">
        <v>0</v>
      </c>
      <c r="J1031" s="95" t="n">
        <f aca="false">IF(N(E1031)&gt;0,E1031,IF(N(F1031)&gt;0,F1031*가정!$B$5,0))</f>
        <v>239000</v>
      </c>
      <c r="K1031" s="95" t="n">
        <f aca="false">IF(N(F1031)&gt;0,F1031,IF(N(E1031)&gt;0,E1031/가정!$B$5,0))</f>
        <v>77838</v>
      </c>
      <c r="L1031" s="95" t="n">
        <f aca="false">IF(B1031="CN",IF(N(I1031)&gt;0,I1031*가정!$B$3,K1031*(1+가정!$B$6)),IF(N(H1031)&gt;0,H1031*가정!$B$3,J1031*가정!$B$4))</f>
        <v>81630.522</v>
      </c>
      <c r="M1031" s="95" t="n">
        <f aca="false">D1031*J1031</f>
        <v>66920000</v>
      </c>
      <c r="N1031" s="95" t="n">
        <f aca="false">D1031*K1031</f>
        <v>21794640</v>
      </c>
      <c r="O1031" s="95" t="n">
        <f aca="false">D1031*L1031</f>
        <v>22856546.16</v>
      </c>
      <c r="P1031" s="34" t="str">
        <f aca="false">TRIM(IF(N(E1031)&lt;=0,"택가보정 ","")&amp;IF(N(F1031)&lt;=0,"원가보정 ","")&amp;IF(AND(B1031&lt;&gt;"CN",N(H1031)&lt;=0),"공급가보정 ","")&amp;IF(AND(B1031="CN",N(I1031)&lt;=0),"중국공급가=원가+마진 ",""))</f>
        <v/>
      </c>
    </row>
    <row r="1032" customFormat="false" ht="15" hidden="false" customHeight="true" outlineLevel="0" collapsed="false">
      <c r="A1032" s="94" t="s">
        <v>1686</v>
      </c>
      <c r="B1032" s="34" t="str">
        <f aca="false">IF(A1032="100","HK",IF(A1032="200","CN",IF(A1032="300","TW","홀세일")))</f>
        <v>TW</v>
      </c>
      <c r="C1032" s="94" t="s">
        <v>561</v>
      </c>
      <c r="D1032" s="95" t="n">
        <v>30</v>
      </c>
      <c r="E1032" s="95" t="n">
        <v>239000</v>
      </c>
      <c r="F1032" s="95" t="n">
        <v>77838</v>
      </c>
      <c r="G1032" s="34" t="n">
        <v>3.79</v>
      </c>
      <c r="H1032" s="34" t="n">
        <v>59.9</v>
      </c>
      <c r="I1032" s="34" t="n">
        <v>0</v>
      </c>
      <c r="J1032" s="95" t="n">
        <f aca="false">IF(N(E1032)&gt;0,E1032,IF(N(F1032)&gt;0,F1032*가정!$B$5,0))</f>
        <v>239000</v>
      </c>
      <c r="K1032" s="95" t="n">
        <f aca="false">IF(N(F1032)&gt;0,F1032,IF(N(E1032)&gt;0,E1032/가정!$B$5,0))</f>
        <v>77838</v>
      </c>
      <c r="L1032" s="95" t="n">
        <f aca="false">IF(B1032="CN",IF(N(I1032)&gt;0,I1032*가정!$B$3,K1032*(1+가정!$B$6)),IF(N(H1032)&gt;0,H1032*가정!$B$3,J1032*가정!$B$4))</f>
        <v>81630.522</v>
      </c>
      <c r="M1032" s="95" t="n">
        <f aca="false">D1032*J1032</f>
        <v>7170000</v>
      </c>
      <c r="N1032" s="95" t="n">
        <f aca="false">D1032*K1032</f>
        <v>2335140</v>
      </c>
      <c r="O1032" s="95" t="n">
        <f aca="false">D1032*L1032</f>
        <v>2448915.66</v>
      </c>
      <c r="P1032" s="34" t="str">
        <f aca="false">TRIM(IF(N(E1032)&lt;=0,"택가보정 ","")&amp;IF(N(F1032)&lt;=0,"원가보정 ","")&amp;IF(AND(B1032&lt;&gt;"CN",N(H1032)&lt;=0),"공급가보정 ","")&amp;IF(AND(B1032="CN",N(I1032)&lt;=0),"중국공급가=원가+마진 ",""))</f>
        <v/>
      </c>
    </row>
    <row r="1033" customFormat="false" ht="15" hidden="false" customHeight="true" outlineLevel="0" collapsed="false">
      <c r="A1033" s="94" t="s">
        <v>1684</v>
      </c>
      <c r="B1033" s="34" t="str">
        <f aca="false">IF(A1033="100","HK",IF(A1033="200","CN",IF(A1033="300","TW","홀세일")))</f>
        <v>HK</v>
      </c>
      <c r="C1033" s="94" t="s">
        <v>1714</v>
      </c>
      <c r="D1033" s="95" t="n">
        <v>200</v>
      </c>
      <c r="E1033" s="95" t="n">
        <v>299000</v>
      </c>
      <c r="F1033" s="95" t="n">
        <v>85900</v>
      </c>
      <c r="G1033" s="34" t="n">
        <v>4.13</v>
      </c>
      <c r="H1033" s="34" t="n">
        <v>74.9</v>
      </c>
      <c r="I1033" s="34" t="n">
        <v>0</v>
      </c>
      <c r="J1033" s="95" t="n">
        <f aca="false">IF(N(E1033)&gt;0,E1033,IF(N(F1033)&gt;0,F1033*가정!$B$5,0))</f>
        <v>299000</v>
      </c>
      <c r="K1033" s="95" t="n">
        <f aca="false">IF(N(F1033)&gt;0,F1033,IF(N(E1033)&gt;0,E1033/가정!$B$5,0))</f>
        <v>85900</v>
      </c>
      <c r="L1033" s="95" t="n">
        <f aca="false">IF(B1033="CN",IF(N(I1033)&gt;0,I1033*가정!$B$3,K1033*(1+가정!$B$6)),IF(N(H1033)&gt;0,H1033*가정!$B$3,J1033*가정!$B$4))</f>
        <v>102072.222</v>
      </c>
      <c r="M1033" s="95" t="n">
        <f aca="false">D1033*J1033</f>
        <v>59800000</v>
      </c>
      <c r="N1033" s="95" t="n">
        <f aca="false">D1033*K1033</f>
        <v>17180000</v>
      </c>
      <c r="O1033" s="95" t="n">
        <f aca="false">D1033*L1033</f>
        <v>20414444.4</v>
      </c>
      <c r="P1033" s="34" t="str">
        <f aca="false">TRIM(IF(N(E1033)&lt;=0,"택가보정 ","")&amp;IF(N(F1033)&lt;=0,"원가보정 ","")&amp;IF(AND(B1033&lt;&gt;"CN",N(H1033)&lt;=0),"공급가보정 ","")&amp;IF(AND(B1033="CN",N(I1033)&lt;=0),"중국공급가=원가+마진 ",""))</f>
        <v/>
      </c>
    </row>
    <row r="1034" customFormat="false" ht="15" hidden="false" customHeight="true" outlineLevel="0" collapsed="false">
      <c r="A1034" s="94" t="s">
        <v>1688</v>
      </c>
      <c r="B1034" s="34" t="str">
        <f aca="false">IF(A1034="100","HK",IF(A1034="200","CN",IF(A1034="300","TW","홀세일")))</f>
        <v>홀세일</v>
      </c>
      <c r="C1034" s="94" t="s">
        <v>1714</v>
      </c>
      <c r="D1034" s="95" t="n">
        <v>25</v>
      </c>
      <c r="E1034" s="95" t="n">
        <v>299000</v>
      </c>
      <c r="F1034" s="95" t="n">
        <v>85900</v>
      </c>
      <c r="G1034" s="34" t="n">
        <v>4.13</v>
      </c>
      <c r="H1034" s="34" t="n">
        <v>74.9</v>
      </c>
      <c r="I1034" s="34" t="n">
        <v>0</v>
      </c>
      <c r="J1034" s="95" t="n">
        <f aca="false">IF(N(E1034)&gt;0,E1034,IF(N(F1034)&gt;0,F1034*가정!$B$5,0))</f>
        <v>299000</v>
      </c>
      <c r="K1034" s="95" t="n">
        <f aca="false">IF(N(F1034)&gt;0,F1034,IF(N(E1034)&gt;0,E1034/가정!$B$5,0))</f>
        <v>85900</v>
      </c>
      <c r="L1034" s="95" t="n">
        <f aca="false">IF(B1034="CN",IF(N(I1034)&gt;0,I1034*가정!$B$3,K1034*(1+가정!$B$6)),IF(N(H1034)&gt;0,H1034*가정!$B$3,J1034*가정!$B$4))</f>
        <v>102072.222</v>
      </c>
      <c r="M1034" s="95" t="n">
        <f aca="false">D1034*J1034</f>
        <v>7475000</v>
      </c>
      <c r="N1034" s="95" t="n">
        <f aca="false">D1034*K1034</f>
        <v>2147500</v>
      </c>
      <c r="O1034" s="95" t="n">
        <f aca="false">D1034*L1034</f>
        <v>2551805.55</v>
      </c>
      <c r="P1034" s="34" t="str">
        <f aca="false">TRIM(IF(N(E1034)&lt;=0,"택가보정 ","")&amp;IF(N(F1034)&lt;=0,"원가보정 ","")&amp;IF(AND(B1034&lt;&gt;"CN",N(H1034)&lt;=0),"공급가보정 ","")&amp;IF(AND(B1034="CN",N(I1034)&lt;=0),"중국공급가=원가+마진 ",""))</f>
        <v/>
      </c>
    </row>
    <row r="1035" customFormat="false" ht="15" hidden="false" customHeight="true" outlineLevel="0" collapsed="false">
      <c r="A1035" s="94" t="s">
        <v>1684</v>
      </c>
      <c r="B1035" s="34" t="str">
        <f aca="false">IF(A1035="100","HK",IF(A1035="200","CN",IF(A1035="300","TW","홀세일")))</f>
        <v>HK</v>
      </c>
      <c r="C1035" s="94" t="s">
        <v>563</v>
      </c>
      <c r="D1035" s="95" t="n">
        <v>310</v>
      </c>
      <c r="E1035" s="95" t="n">
        <v>299000</v>
      </c>
      <c r="F1035" s="95" t="n">
        <v>64245</v>
      </c>
      <c r="G1035" s="34" t="n">
        <v>3.22</v>
      </c>
      <c r="H1035" s="34" t="n">
        <v>74.9</v>
      </c>
      <c r="I1035" s="34" t="n">
        <v>0</v>
      </c>
      <c r="J1035" s="95" t="n">
        <f aca="false">IF(N(E1035)&gt;0,E1035,IF(N(F1035)&gt;0,F1035*가정!$B$5,0))</f>
        <v>299000</v>
      </c>
      <c r="K1035" s="95" t="n">
        <f aca="false">IF(N(F1035)&gt;0,F1035,IF(N(E1035)&gt;0,E1035/가정!$B$5,0))</f>
        <v>64245</v>
      </c>
      <c r="L1035" s="95" t="n">
        <f aca="false">IF(B1035="CN",IF(N(I1035)&gt;0,I1035*가정!$B$3,K1035*(1+가정!$B$6)),IF(N(H1035)&gt;0,H1035*가정!$B$3,J1035*가정!$B$4))</f>
        <v>102072.222</v>
      </c>
      <c r="M1035" s="95" t="n">
        <f aca="false">D1035*J1035</f>
        <v>92690000</v>
      </c>
      <c r="N1035" s="95" t="n">
        <f aca="false">D1035*K1035</f>
        <v>19915950</v>
      </c>
      <c r="O1035" s="95" t="n">
        <f aca="false">D1035*L1035</f>
        <v>31642388.82</v>
      </c>
      <c r="P1035" s="34" t="str">
        <f aca="false">TRIM(IF(N(E1035)&lt;=0,"택가보정 ","")&amp;IF(N(F1035)&lt;=0,"원가보정 ","")&amp;IF(AND(B1035&lt;&gt;"CN",N(H1035)&lt;=0),"공급가보정 ","")&amp;IF(AND(B1035="CN",N(I1035)&lt;=0),"중국공급가=원가+마진 ",""))</f>
        <v/>
      </c>
    </row>
    <row r="1036" customFormat="false" ht="15" hidden="false" customHeight="true" outlineLevel="0" collapsed="false">
      <c r="A1036" s="94" t="s">
        <v>1686</v>
      </c>
      <c r="B1036" s="34" t="str">
        <f aca="false">IF(A1036="100","HK",IF(A1036="200","CN",IF(A1036="300","TW","홀세일")))</f>
        <v>TW</v>
      </c>
      <c r="C1036" s="94" t="s">
        <v>563</v>
      </c>
      <c r="D1036" s="95" t="n">
        <v>585</v>
      </c>
      <c r="E1036" s="95" t="n">
        <v>299000</v>
      </c>
      <c r="F1036" s="95" t="n">
        <v>64245</v>
      </c>
      <c r="G1036" s="34" t="n">
        <v>3.22</v>
      </c>
      <c r="H1036" s="34" t="n">
        <v>74.9</v>
      </c>
      <c r="I1036" s="34" t="n">
        <v>0</v>
      </c>
      <c r="J1036" s="95" t="n">
        <f aca="false">IF(N(E1036)&gt;0,E1036,IF(N(F1036)&gt;0,F1036*가정!$B$5,0))</f>
        <v>299000</v>
      </c>
      <c r="K1036" s="95" t="n">
        <f aca="false">IF(N(F1036)&gt;0,F1036,IF(N(E1036)&gt;0,E1036/가정!$B$5,0))</f>
        <v>64245</v>
      </c>
      <c r="L1036" s="95" t="n">
        <f aca="false">IF(B1036="CN",IF(N(I1036)&gt;0,I1036*가정!$B$3,K1036*(1+가정!$B$6)),IF(N(H1036)&gt;0,H1036*가정!$B$3,J1036*가정!$B$4))</f>
        <v>102072.222</v>
      </c>
      <c r="M1036" s="95" t="n">
        <f aca="false">D1036*J1036</f>
        <v>174915000</v>
      </c>
      <c r="N1036" s="95" t="n">
        <f aca="false">D1036*K1036</f>
        <v>37583325</v>
      </c>
      <c r="O1036" s="95" t="n">
        <f aca="false">D1036*L1036</f>
        <v>59712249.87</v>
      </c>
      <c r="P1036" s="34" t="str">
        <f aca="false">TRIM(IF(N(E1036)&lt;=0,"택가보정 ","")&amp;IF(N(F1036)&lt;=0,"원가보정 ","")&amp;IF(AND(B1036&lt;&gt;"CN",N(H1036)&lt;=0),"공급가보정 ","")&amp;IF(AND(B1036="CN",N(I1036)&lt;=0),"중국공급가=원가+마진 ",""))</f>
        <v/>
      </c>
    </row>
    <row r="1037" customFormat="false" ht="15" hidden="false" customHeight="true" outlineLevel="0" collapsed="false">
      <c r="A1037" s="94" t="s">
        <v>1688</v>
      </c>
      <c r="B1037" s="34" t="str">
        <f aca="false">IF(A1037="100","HK",IF(A1037="200","CN",IF(A1037="300","TW","홀세일")))</f>
        <v>홀세일</v>
      </c>
      <c r="C1037" s="94" t="s">
        <v>563</v>
      </c>
      <c r="D1037" s="95" t="n">
        <v>25</v>
      </c>
      <c r="E1037" s="95" t="n">
        <v>299000</v>
      </c>
      <c r="F1037" s="95" t="n">
        <v>64245</v>
      </c>
      <c r="G1037" s="34" t="n">
        <v>3.22</v>
      </c>
      <c r="H1037" s="34" t="n">
        <v>74.9</v>
      </c>
      <c r="I1037" s="34" t="n">
        <v>0</v>
      </c>
      <c r="J1037" s="95" t="n">
        <f aca="false">IF(N(E1037)&gt;0,E1037,IF(N(F1037)&gt;0,F1037*가정!$B$5,0))</f>
        <v>299000</v>
      </c>
      <c r="K1037" s="95" t="n">
        <f aca="false">IF(N(F1037)&gt;0,F1037,IF(N(E1037)&gt;0,E1037/가정!$B$5,0))</f>
        <v>64245</v>
      </c>
      <c r="L1037" s="95" t="n">
        <f aca="false">IF(B1037="CN",IF(N(I1037)&gt;0,I1037*가정!$B$3,K1037*(1+가정!$B$6)),IF(N(H1037)&gt;0,H1037*가정!$B$3,J1037*가정!$B$4))</f>
        <v>102072.222</v>
      </c>
      <c r="M1037" s="95" t="n">
        <f aca="false">D1037*J1037</f>
        <v>7475000</v>
      </c>
      <c r="N1037" s="95" t="n">
        <f aca="false">D1037*K1037</f>
        <v>1606125</v>
      </c>
      <c r="O1037" s="95" t="n">
        <f aca="false">D1037*L1037</f>
        <v>2551805.55</v>
      </c>
      <c r="P1037" s="34" t="str">
        <f aca="false">TRIM(IF(N(E1037)&lt;=0,"택가보정 ","")&amp;IF(N(F1037)&lt;=0,"원가보정 ","")&amp;IF(AND(B1037&lt;&gt;"CN",N(H1037)&lt;=0),"공급가보정 ","")&amp;IF(AND(B1037="CN",N(I1037)&lt;=0),"중국공급가=원가+마진 ",""))</f>
        <v/>
      </c>
    </row>
    <row r="1038" customFormat="false" ht="15" hidden="false" customHeight="true" outlineLevel="0" collapsed="false">
      <c r="A1038" s="94" t="s">
        <v>1692</v>
      </c>
      <c r="B1038" s="34" t="str">
        <f aca="false">IF(A1038="100","HK",IF(A1038="200","CN",IF(A1038="300","TW","홀세일")))</f>
        <v>홀세일</v>
      </c>
      <c r="C1038" s="94" t="s">
        <v>563</v>
      </c>
      <c r="D1038" s="95" t="n">
        <v>91</v>
      </c>
      <c r="E1038" s="95" t="n">
        <v>299000</v>
      </c>
      <c r="F1038" s="95" t="n">
        <v>64245</v>
      </c>
      <c r="G1038" s="34" t="n">
        <v>3.22</v>
      </c>
      <c r="H1038" s="34" t="n">
        <v>74.9</v>
      </c>
      <c r="I1038" s="34" t="n">
        <v>0</v>
      </c>
      <c r="J1038" s="95" t="n">
        <f aca="false">IF(N(E1038)&gt;0,E1038,IF(N(F1038)&gt;0,F1038*가정!$B$5,0))</f>
        <v>299000</v>
      </c>
      <c r="K1038" s="95" t="n">
        <f aca="false">IF(N(F1038)&gt;0,F1038,IF(N(E1038)&gt;0,E1038/가정!$B$5,0))</f>
        <v>64245</v>
      </c>
      <c r="L1038" s="95" t="n">
        <f aca="false">IF(B1038="CN",IF(N(I1038)&gt;0,I1038*가정!$B$3,K1038*(1+가정!$B$6)),IF(N(H1038)&gt;0,H1038*가정!$B$3,J1038*가정!$B$4))</f>
        <v>102072.222</v>
      </c>
      <c r="M1038" s="95" t="n">
        <f aca="false">D1038*J1038</f>
        <v>27209000</v>
      </c>
      <c r="N1038" s="95" t="n">
        <f aca="false">D1038*K1038</f>
        <v>5846295</v>
      </c>
      <c r="O1038" s="95" t="n">
        <f aca="false">D1038*L1038</f>
        <v>9288572.202</v>
      </c>
      <c r="P1038" s="34" t="str">
        <f aca="false">TRIM(IF(N(E1038)&lt;=0,"택가보정 ","")&amp;IF(N(F1038)&lt;=0,"원가보정 ","")&amp;IF(AND(B1038&lt;&gt;"CN",N(H1038)&lt;=0),"공급가보정 ","")&amp;IF(AND(B1038="CN",N(I1038)&lt;=0),"중국공급가=원가+마진 ",""))</f>
        <v/>
      </c>
    </row>
    <row r="1039" customFormat="false" ht="15" hidden="false" customHeight="true" outlineLevel="0" collapsed="false">
      <c r="A1039" s="94" t="s">
        <v>1684</v>
      </c>
      <c r="B1039" s="34" t="str">
        <f aca="false">IF(A1039="100","HK",IF(A1039="200","CN",IF(A1039="300","TW","홀세일")))</f>
        <v>HK</v>
      </c>
      <c r="C1039" s="94" t="s">
        <v>979</v>
      </c>
      <c r="D1039" s="95" t="n">
        <v>100</v>
      </c>
      <c r="E1039" s="95" t="n">
        <v>329000</v>
      </c>
      <c r="F1039" s="95" t="n">
        <v>99100</v>
      </c>
      <c r="G1039" s="34" t="n">
        <v>3.21</v>
      </c>
      <c r="H1039" s="34" t="n">
        <v>82.4</v>
      </c>
      <c r="I1039" s="34" t="n">
        <v>0</v>
      </c>
      <c r="J1039" s="95" t="n">
        <f aca="false">IF(N(E1039)&gt;0,E1039,IF(N(F1039)&gt;0,F1039*가정!$B$5,0))</f>
        <v>329000</v>
      </c>
      <c r="K1039" s="95" t="n">
        <f aca="false">IF(N(F1039)&gt;0,F1039,IF(N(E1039)&gt;0,E1039/가정!$B$5,0))</f>
        <v>99100</v>
      </c>
      <c r="L1039" s="95" t="n">
        <f aca="false">IF(B1039="CN",IF(N(I1039)&gt;0,I1039*가정!$B$3,K1039*(1+가정!$B$6)),IF(N(H1039)&gt;0,H1039*가정!$B$3,J1039*가정!$B$4))</f>
        <v>112293.072</v>
      </c>
      <c r="M1039" s="95" t="n">
        <f aca="false">D1039*J1039</f>
        <v>32900000</v>
      </c>
      <c r="N1039" s="95" t="n">
        <f aca="false">D1039*K1039</f>
        <v>9910000</v>
      </c>
      <c r="O1039" s="95" t="n">
        <f aca="false">D1039*L1039</f>
        <v>11229307.2</v>
      </c>
      <c r="P1039" s="34" t="str">
        <f aca="false">TRIM(IF(N(E1039)&lt;=0,"택가보정 ","")&amp;IF(N(F1039)&lt;=0,"원가보정 ","")&amp;IF(AND(B1039&lt;&gt;"CN",N(H1039)&lt;=0),"공급가보정 ","")&amp;IF(AND(B1039="CN",N(I1039)&lt;=0),"중국공급가=원가+마진 ",""))</f>
        <v/>
      </c>
    </row>
    <row r="1040" customFormat="false" ht="15" hidden="false" customHeight="true" outlineLevel="0" collapsed="false">
      <c r="A1040" s="94" t="s">
        <v>1686</v>
      </c>
      <c r="B1040" s="34" t="str">
        <f aca="false">IF(A1040="100","HK",IF(A1040="200","CN",IF(A1040="300","TW","홀세일")))</f>
        <v>TW</v>
      </c>
      <c r="C1040" s="94" t="s">
        <v>979</v>
      </c>
      <c r="D1040" s="95" t="n">
        <v>100</v>
      </c>
      <c r="E1040" s="95" t="n">
        <v>329000</v>
      </c>
      <c r="F1040" s="95" t="n">
        <v>99100</v>
      </c>
      <c r="G1040" s="34" t="n">
        <v>3.21</v>
      </c>
      <c r="H1040" s="34" t="n">
        <v>82.4</v>
      </c>
      <c r="I1040" s="34" t="n">
        <v>0</v>
      </c>
      <c r="J1040" s="95" t="n">
        <f aca="false">IF(N(E1040)&gt;0,E1040,IF(N(F1040)&gt;0,F1040*가정!$B$5,0))</f>
        <v>329000</v>
      </c>
      <c r="K1040" s="95" t="n">
        <f aca="false">IF(N(F1040)&gt;0,F1040,IF(N(E1040)&gt;0,E1040/가정!$B$5,0))</f>
        <v>99100</v>
      </c>
      <c r="L1040" s="95" t="n">
        <f aca="false">IF(B1040="CN",IF(N(I1040)&gt;0,I1040*가정!$B$3,K1040*(1+가정!$B$6)),IF(N(H1040)&gt;0,H1040*가정!$B$3,J1040*가정!$B$4))</f>
        <v>112293.072</v>
      </c>
      <c r="M1040" s="95" t="n">
        <f aca="false">D1040*J1040</f>
        <v>32900000</v>
      </c>
      <c r="N1040" s="95" t="n">
        <f aca="false">D1040*K1040</f>
        <v>9910000</v>
      </c>
      <c r="O1040" s="95" t="n">
        <f aca="false">D1040*L1040</f>
        <v>11229307.2</v>
      </c>
      <c r="P1040" s="34" t="str">
        <f aca="false">TRIM(IF(N(E1040)&lt;=0,"택가보정 ","")&amp;IF(N(F1040)&lt;=0,"원가보정 ","")&amp;IF(AND(B1040&lt;&gt;"CN",N(H1040)&lt;=0),"공급가보정 ","")&amp;IF(AND(B1040="CN",N(I1040)&lt;=0),"중국공급가=원가+마진 ",""))</f>
        <v/>
      </c>
    </row>
    <row r="1041" customFormat="false" ht="15" hidden="false" customHeight="true" outlineLevel="0" collapsed="false">
      <c r="A1041" s="94" t="s">
        <v>1687</v>
      </c>
      <c r="B1041" s="34" t="str">
        <f aca="false">IF(A1041="100","HK",IF(A1041="200","CN",IF(A1041="300","TW","홀세일")))</f>
        <v>홀세일</v>
      </c>
      <c r="C1041" s="94" t="s">
        <v>979</v>
      </c>
      <c r="D1041" s="95" t="n">
        <v>35</v>
      </c>
      <c r="E1041" s="95" t="n">
        <v>329000</v>
      </c>
      <c r="F1041" s="95" t="n">
        <v>99100</v>
      </c>
      <c r="G1041" s="34" t="n">
        <v>3.21</v>
      </c>
      <c r="H1041" s="34" t="n">
        <v>82.4</v>
      </c>
      <c r="I1041" s="34" t="n">
        <v>0</v>
      </c>
      <c r="J1041" s="95" t="n">
        <f aca="false">IF(N(E1041)&gt;0,E1041,IF(N(F1041)&gt;0,F1041*가정!$B$5,0))</f>
        <v>329000</v>
      </c>
      <c r="K1041" s="95" t="n">
        <f aca="false">IF(N(F1041)&gt;0,F1041,IF(N(E1041)&gt;0,E1041/가정!$B$5,0))</f>
        <v>99100</v>
      </c>
      <c r="L1041" s="95" t="n">
        <f aca="false">IF(B1041="CN",IF(N(I1041)&gt;0,I1041*가정!$B$3,K1041*(1+가정!$B$6)),IF(N(H1041)&gt;0,H1041*가정!$B$3,J1041*가정!$B$4))</f>
        <v>112293.072</v>
      </c>
      <c r="M1041" s="95" t="n">
        <f aca="false">D1041*J1041</f>
        <v>11515000</v>
      </c>
      <c r="N1041" s="95" t="n">
        <f aca="false">D1041*K1041</f>
        <v>3468500</v>
      </c>
      <c r="O1041" s="95" t="n">
        <f aca="false">D1041*L1041</f>
        <v>3930257.52</v>
      </c>
      <c r="P1041" s="34" t="str">
        <f aca="false">TRIM(IF(N(E1041)&lt;=0,"택가보정 ","")&amp;IF(N(F1041)&lt;=0,"원가보정 ","")&amp;IF(AND(B1041&lt;&gt;"CN",N(H1041)&lt;=0),"공급가보정 ","")&amp;IF(AND(B1041="CN",N(I1041)&lt;=0),"중국공급가=원가+마진 ",""))</f>
        <v/>
      </c>
    </row>
    <row r="1042" customFormat="false" ht="15" hidden="false" customHeight="true" outlineLevel="0" collapsed="false">
      <c r="A1042" s="94" t="s">
        <v>1692</v>
      </c>
      <c r="B1042" s="34" t="str">
        <f aca="false">IF(A1042="100","HK",IF(A1042="200","CN",IF(A1042="300","TW","홀세일")))</f>
        <v>홀세일</v>
      </c>
      <c r="C1042" s="94" t="s">
        <v>979</v>
      </c>
      <c r="D1042" s="95" t="n">
        <v>152</v>
      </c>
      <c r="E1042" s="95" t="n">
        <v>329000</v>
      </c>
      <c r="F1042" s="95" t="n">
        <v>99100</v>
      </c>
      <c r="G1042" s="34" t="n">
        <v>3.21</v>
      </c>
      <c r="H1042" s="34" t="n">
        <v>82.4</v>
      </c>
      <c r="I1042" s="34" t="n">
        <v>0</v>
      </c>
      <c r="J1042" s="95" t="n">
        <f aca="false">IF(N(E1042)&gt;0,E1042,IF(N(F1042)&gt;0,F1042*가정!$B$5,0))</f>
        <v>329000</v>
      </c>
      <c r="K1042" s="95" t="n">
        <f aca="false">IF(N(F1042)&gt;0,F1042,IF(N(E1042)&gt;0,E1042/가정!$B$5,0))</f>
        <v>99100</v>
      </c>
      <c r="L1042" s="95" t="n">
        <f aca="false">IF(B1042="CN",IF(N(I1042)&gt;0,I1042*가정!$B$3,K1042*(1+가정!$B$6)),IF(N(H1042)&gt;0,H1042*가정!$B$3,J1042*가정!$B$4))</f>
        <v>112293.072</v>
      </c>
      <c r="M1042" s="95" t="n">
        <f aca="false">D1042*J1042</f>
        <v>50008000</v>
      </c>
      <c r="N1042" s="95" t="n">
        <f aca="false">D1042*K1042</f>
        <v>15063200</v>
      </c>
      <c r="O1042" s="95" t="n">
        <f aca="false">D1042*L1042</f>
        <v>17068546.944</v>
      </c>
      <c r="P1042" s="34" t="str">
        <f aca="false">TRIM(IF(N(E1042)&lt;=0,"택가보정 ","")&amp;IF(N(F1042)&lt;=0,"원가보정 ","")&amp;IF(AND(B1042&lt;&gt;"CN",N(H1042)&lt;=0),"공급가보정 ","")&amp;IF(AND(B1042="CN",N(I1042)&lt;=0),"중국공급가=원가+마진 ",""))</f>
        <v/>
      </c>
    </row>
    <row r="1043" customFormat="false" ht="15" hidden="false" customHeight="true" outlineLevel="0" collapsed="false">
      <c r="A1043" s="94" t="s">
        <v>1684</v>
      </c>
      <c r="B1043" s="34" t="str">
        <f aca="false">IF(A1043="100","HK",IF(A1043="200","CN",IF(A1043="300","TW","홀세일")))</f>
        <v>HK</v>
      </c>
      <c r="C1043" s="94" t="s">
        <v>1715</v>
      </c>
      <c r="D1043" s="95" t="n">
        <v>140</v>
      </c>
      <c r="E1043" s="95" t="n">
        <v>399000</v>
      </c>
      <c r="F1043" s="95" t="n">
        <v>106500</v>
      </c>
      <c r="G1043" s="34" t="n">
        <v>3.5</v>
      </c>
      <c r="H1043" s="34" t="n">
        <v>99.9</v>
      </c>
      <c r="I1043" s="34" t="n">
        <v>0</v>
      </c>
      <c r="J1043" s="95" t="n">
        <f aca="false">IF(N(E1043)&gt;0,E1043,IF(N(F1043)&gt;0,F1043*가정!$B$5,0))</f>
        <v>399000</v>
      </c>
      <c r="K1043" s="95" t="n">
        <f aca="false">IF(N(F1043)&gt;0,F1043,IF(N(E1043)&gt;0,E1043/가정!$B$5,0))</f>
        <v>106500</v>
      </c>
      <c r="L1043" s="95" t="n">
        <f aca="false">IF(B1043="CN",IF(N(I1043)&gt;0,I1043*가정!$B$3,K1043*(1+가정!$B$6)),IF(N(H1043)&gt;0,H1043*가정!$B$3,J1043*가정!$B$4))</f>
        <v>136141.722</v>
      </c>
      <c r="M1043" s="95" t="n">
        <f aca="false">D1043*J1043</f>
        <v>55860000</v>
      </c>
      <c r="N1043" s="95" t="n">
        <f aca="false">D1043*K1043</f>
        <v>14910000</v>
      </c>
      <c r="O1043" s="95" t="n">
        <f aca="false">D1043*L1043</f>
        <v>19059841.08</v>
      </c>
      <c r="P1043" s="34" t="str">
        <f aca="false">TRIM(IF(N(E1043)&lt;=0,"택가보정 ","")&amp;IF(N(F1043)&lt;=0,"원가보정 ","")&amp;IF(AND(B1043&lt;&gt;"CN",N(H1043)&lt;=0),"공급가보정 ","")&amp;IF(AND(B1043="CN",N(I1043)&lt;=0),"중국공급가=원가+마진 ",""))</f>
        <v/>
      </c>
    </row>
    <row r="1044" customFormat="false" ht="15" hidden="false" customHeight="true" outlineLevel="0" collapsed="false">
      <c r="A1044" s="94" t="s">
        <v>1686</v>
      </c>
      <c r="B1044" s="34" t="str">
        <f aca="false">IF(A1044="100","HK",IF(A1044="200","CN",IF(A1044="300","TW","홀세일")))</f>
        <v>TW</v>
      </c>
      <c r="C1044" s="94" t="s">
        <v>1715</v>
      </c>
      <c r="D1044" s="95" t="n">
        <v>480</v>
      </c>
      <c r="E1044" s="95" t="n">
        <v>399000</v>
      </c>
      <c r="F1044" s="95" t="n">
        <v>106500</v>
      </c>
      <c r="G1044" s="34" t="n">
        <v>3.5</v>
      </c>
      <c r="H1044" s="34" t="n">
        <v>99.9</v>
      </c>
      <c r="I1044" s="34" t="n">
        <v>0</v>
      </c>
      <c r="J1044" s="95" t="n">
        <f aca="false">IF(N(E1044)&gt;0,E1044,IF(N(F1044)&gt;0,F1044*가정!$B$5,0))</f>
        <v>399000</v>
      </c>
      <c r="K1044" s="95" t="n">
        <f aca="false">IF(N(F1044)&gt;0,F1044,IF(N(E1044)&gt;0,E1044/가정!$B$5,0))</f>
        <v>106500</v>
      </c>
      <c r="L1044" s="95" t="n">
        <f aca="false">IF(B1044="CN",IF(N(I1044)&gt;0,I1044*가정!$B$3,K1044*(1+가정!$B$6)),IF(N(H1044)&gt;0,H1044*가정!$B$3,J1044*가정!$B$4))</f>
        <v>136141.722</v>
      </c>
      <c r="M1044" s="95" t="n">
        <f aca="false">D1044*J1044</f>
        <v>191520000</v>
      </c>
      <c r="N1044" s="95" t="n">
        <f aca="false">D1044*K1044</f>
        <v>51120000</v>
      </c>
      <c r="O1044" s="95" t="n">
        <f aca="false">D1044*L1044</f>
        <v>65348026.56</v>
      </c>
      <c r="P1044" s="34" t="str">
        <f aca="false">TRIM(IF(N(E1044)&lt;=0,"택가보정 ","")&amp;IF(N(F1044)&lt;=0,"원가보정 ","")&amp;IF(AND(B1044&lt;&gt;"CN",N(H1044)&lt;=0),"공급가보정 ","")&amp;IF(AND(B1044="CN",N(I1044)&lt;=0),"중국공급가=원가+마진 ",""))</f>
        <v/>
      </c>
    </row>
    <row r="1045" customFormat="false" ht="15" hidden="false" customHeight="true" outlineLevel="0" collapsed="false">
      <c r="A1045" s="94" t="s">
        <v>1686</v>
      </c>
      <c r="B1045" s="34" t="str">
        <f aca="false">IF(A1045="100","HK",IF(A1045="200","CN",IF(A1045="300","TW","홀세일")))</f>
        <v>TW</v>
      </c>
      <c r="C1045" s="94" t="s">
        <v>1715</v>
      </c>
      <c r="D1045" s="95" t="n">
        <v>480</v>
      </c>
      <c r="E1045" s="95" t="n">
        <v>399000</v>
      </c>
      <c r="F1045" s="95" t="n">
        <v>106500</v>
      </c>
      <c r="G1045" s="34" t="n">
        <v>3.5</v>
      </c>
      <c r="H1045" s="34" t="n">
        <v>99.9</v>
      </c>
      <c r="I1045" s="34" t="n">
        <v>0</v>
      </c>
      <c r="J1045" s="95" t="n">
        <f aca="false">IF(N(E1045)&gt;0,E1045,IF(N(F1045)&gt;0,F1045*가정!$B$5,0))</f>
        <v>399000</v>
      </c>
      <c r="K1045" s="95" t="n">
        <f aca="false">IF(N(F1045)&gt;0,F1045,IF(N(E1045)&gt;0,E1045/가정!$B$5,0))</f>
        <v>106500</v>
      </c>
      <c r="L1045" s="95" t="n">
        <f aca="false">IF(B1045="CN",IF(N(I1045)&gt;0,I1045*가정!$B$3,K1045*(1+가정!$B$6)),IF(N(H1045)&gt;0,H1045*가정!$B$3,J1045*가정!$B$4))</f>
        <v>136141.722</v>
      </c>
      <c r="M1045" s="95" t="n">
        <f aca="false">D1045*J1045</f>
        <v>191520000</v>
      </c>
      <c r="N1045" s="95" t="n">
        <f aca="false">D1045*K1045</f>
        <v>51120000</v>
      </c>
      <c r="O1045" s="95" t="n">
        <f aca="false">D1045*L1045</f>
        <v>65348026.56</v>
      </c>
      <c r="P1045" s="34" t="str">
        <f aca="false">TRIM(IF(N(E1045)&lt;=0,"택가보정 ","")&amp;IF(N(F1045)&lt;=0,"원가보정 ","")&amp;IF(AND(B1045&lt;&gt;"CN",N(H1045)&lt;=0),"공급가보정 ","")&amp;IF(AND(B1045="CN",N(I1045)&lt;=0),"중국공급가=원가+마진 ",""))</f>
        <v/>
      </c>
    </row>
    <row r="1046" customFormat="false" ht="15" hidden="false" customHeight="true" outlineLevel="0" collapsed="false">
      <c r="A1046" s="94" t="s">
        <v>1688</v>
      </c>
      <c r="B1046" s="34" t="str">
        <f aca="false">IF(A1046="100","HK",IF(A1046="200","CN",IF(A1046="300","TW","홀세일")))</f>
        <v>홀세일</v>
      </c>
      <c r="C1046" s="94" t="s">
        <v>1715</v>
      </c>
      <c r="D1046" s="95" t="n">
        <v>15</v>
      </c>
      <c r="E1046" s="95" t="n">
        <v>399000</v>
      </c>
      <c r="F1046" s="95" t="n">
        <v>106500</v>
      </c>
      <c r="G1046" s="34" t="n">
        <v>3.5</v>
      </c>
      <c r="H1046" s="34" t="n">
        <v>99.9</v>
      </c>
      <c r="I1046" s="34" t="n">
        <v>0</v>
      </c>
      <c r="J1046" s="95" t="n">
        <f aca="false">IF(N(E1046)&gt;0,E1046,IF(N(F1046)&gt;0,F1046*가정!$B$5,0))</f>
        <v>399000</v>
      </c>
      <c r="K1046" s="95" t="n">
        <f aca="false">IF(N(F1046)&gt;0,F1046,IF(N(E1046)&gt;0,E1046/가정!$B$5,0))</f>
        <v>106500</v>
      </c>
      <c r="L1046" s="95" t="n">
        <f aca="false">IF(B1046="CN",IF(N(I1046)&gt;0,I1046*가정!$B$3,K1046*(1+가정!$B$6)),IF(N(H1046)&gt;0,H1046*가정!$B$3,J1046*가정!$B$4))</f>
        <v>136141.722</v>
      </c>
      <c r="M1046" s="95" t="n">
        <f aca="false">D1046*J1046</f>
        <v>5985000</v>
      </c>
      <c r="N1046" s="95" t="n">
        <f aca="false">D1046*K1046</f>
        <v>1597500</v>
      </c>
      <c r="O1046" s="95" t="n">
        <f aca="false">D1046*L1046</f>
        <v>2042125.83</v>
      </c>
      <c r="P1046" s="34" t="str">
        <f aca="false">TRIM(IF(N(E1046)&lt;=0,"택가보정 ","")&amp;IF(N(F1046)&lt;=0,"원가보정 ","")&amp;IF(AND(B1046&lt;&gt;"CN",N(H1046)&lt;=0),"공급가보정 ","")&amp;IF(AND(B1046="CN",N(I1046)&lt;=0),"중국공급가=원가+마진 ",""))</f>
        <v/>
      </c>
    </row>
    <row r="1047" customFormat="false" ht="15" hidden="false" customHeight="true" outlineLevel="0" collapsed="false">
      <c r="A1047" s="94" t="s">
        <v>1692</v>
      </c>
      <c r="B1047" s="34" t="str">
        <f aca="false">IF(A1047="100","HK",IF(A1047="200","CN",IF(A1047="300","TW","홀세일")))</f>
        <v>홀세일</v>
      </c>
      <c r="C1047" s="94" t="s">
        <v>1715</v>
      </c>
      <c r="D1047" s="95" t="n">
        <v>26</v>
      </c>
      <c r="E1047" s="95" t="n">
        <v>399000</v>
      </c>
      <c r="F1047" s="95" t="n">
        <v>106500</v>
      </c>
      <c r="G1047" s="34" t="n">
        <v>3.5</v>
      </c>
      <c r="H1047" s="34" t="n">
        <v>99.9</v>
      </c>
      <c r="I1047" s="34" t="n">
        <v>0</v>
      </c>
      <c r="J1047" s="95" t="n">
        <f aca="false">IF(N(E1047)&gt;0,E1047,IF(N(F1047)&gt;0,F1047*가정!$B$5,0))</f>
        <v>399000</v>
      </c>
      <c r="K1047" s="95" t="n">
        <f aca="false">IF(N(F1047)&gt;0,F1047,IF(N(E1047)&gt;0,E1047/가정!$B$5,0))</f>
        <v>106500</v>
      </c>
      <c r="L1047" s="95" t="n">
        <f aca="false">IF(B1047="CN",IF(N(I1047)&gt;0,I1047*가정!$B$3,K1047*(1+가정!$B$6)),IF(N(H1047)&gt;0,H1047*가정!$B$3,J1047*가정!$B$4))</f>
        <v>136141.722</v>
      </c>
      <c r="M1047" s="95" t="n">
        <f aca="false">D1047*J1047</f>
        <v>10374000</v>
      </c>
      <c r="N1047" s="95" t="n">
        <f aca="false">D1047*K1047</f>
        <v>2769000</v>
      </c>
      <c r="O1047" s="95" t="n">
        <f aca="false">D1047*L1047</f>
        <v>3539684.772</v>
      </c>
      <c r="P1047" s="34" t="str">
        <f aca="false">TRIM(IF(N(E1047)&lt;=0,"택가보정 ","")&amp;IF(N(F1047)&lt;=0,"원가보정 ","")&amp;IF(AND(B1047&lt;&gt;"CN",N(H1047)&lt;=0),"공급가보정 ","")&amp;IF(AND(B1047="CN",N(I1047)&lt;=0),"중국공급가=원가+마진 ",""))</f>
        <v/>
      </c>
    </row>
    <row r="1048" customFormat="false" ht="15" hidden="false" customHeight="true" outlineLevel="0" collapsed="false">
      <c r="A1048" s="94" t="s">
        <v>1684</v>
      </c>
      <c r="B1048" s="34" t="str">
        <f aca="false">IF(A1048="100","HK",IF(A1048="200","CN",IF(A1048="300","TW","홀세일")))</f>
        <v>HK</v>
      </c>
      <c r="C1048" s="94" t="s">
        <v>565</v>
      </c>
      <c r="D1048" s="95" t="n">
        <v>150</v>
      </c>
      <c r="E1048" s="95" t="n">
        <v>399000</v>
      </c>
      <c r="F1048" s="95" t="n">
        <v>105770</v>
      </c>
      <c r="G1048" s="34" t="n">
        <v>3.85</v>
      </c>
      <c r="H1048" s="34" t="n">
        <v>99.9</v>
      </c>
      <c r="I1048" s="34" t="n">
        <v>0</v>
      </c>
      <c r="J1048" s="95" t="n">
        <f aca="false">IF(N(E1048)&gt;0,E1048,IF(N(F1048)&gt;0,F1048*가정!$B$5,0))</f>
        <v>399000</v>
      </c>
      <c r="K1048" s="95" t="n">
        <f aca="false">IF(N(F1048)&gt;0,F1048,IF(N(E1048)&gt;0,E1048/가정!$B$5,0))</f>
        <v>105770</v>
      </c>
      <c r="L1048" s="95" t="n">
        <f aca="false">IF(B1048="CN",IF(N(I1048)&gt;0,I1048*가정!$B$3,K1048*(1+가정!$B$6)),IF(N(H1048)&gt;0,H1048*가정!$B$3,J1048*가정!$B$4))</f>
        <v>136141.722</v>
      </c>
      <c r="M1048" s="95" t="n">
        <f aca="false">D1048*J1048</f>
        <v>59850000</v>
      </c>
      <c r="N1048" s="95" t="n">
        <f aca="false">D1048*K1048</f>
        <v>15865500</v>
      </c>
      <c r="O1048" s="95" t="n">
        <f aca="false">D1048*L1048</f>
        <v>20421258.3</v>
      </c>
      <c r="P1048" s="34" t="str">
        <f aca="false">TRIM(IF(N(E1048)&lt;=0,"택가보정 ","")&amp;IF(N(F1048)&lt;=0,"원가보정 ","")&amp;IF(AND(B1048&lt;&gt;"CN",N(H1048)&lt;=0),"공급가보정 ","")&amp;IF(AND(B1048="CN",N(I1048)&lt;=0),"중국공급가=원가+마진 ",""))</f>
        <v/>
      </c>
    </row>
    <row r="1049" customFormat="false" ht="15" hidden="false" customHeight="true" outlineLevel="0" collapsed="false">
      <c r="A1049" s="94" t="s">
        <v>1686</v>
      </c>
      <c r="B1049" s="34" t="str">
        <f aca="false">IF(A1049="100","HK",IF(A1049="200","CN",IF(A1049="300","TW","홀세일")))</f>
        <v>TW</v>
      </c>
      <c r="C1049" s="94" t="s">
        <v>565</v>
      </c>
      <c r="D1049" s="95" t="n">
        <v>420</v>
      </c>
      <c r="E1049" s="95" t="n">
        <v>399000</v>
      </c>
      <c r="F1049" s="95" t="n">
        <v>105770</v>
      </c>
      <c r="G1049" s="34" t="n">
        <v>3.85</v>
      </c>
      <c r="H1049" s="34" t="n">
        <v>99.9</v>
      </c>
      <c r="I1049" s="34" t="n">
        <v>0</v>
      </c>
      <c r="J1049" s="95" t="n">
        <f aca="false">IF(N(E1049)&gt;0,E1049,IF(N(F1049)&gt;0,F1049*가정!$B$5,0))</f>
        <v>399000</v>
      </c>
      <c r="K1049" s="95" t="n">
        <f aca="false">IF(N(F1049)&gt;0,F1049,IF(N(E1049)&gt;0,E1049/가정!$B$5,0))</f>
        <v>105770</v>
      </c>
      <c r="L1049" s="95" t="n">
        <f aca="false">IF(B1049="CN",IF(N(I1049)&gt;0,I1049*가정!$B$3,K1049*(1+가정!$B$6)),IF(N(H1049)&gt;0,H1049*가정!$B$3,J1049*가정!$B$4))</f>
        <v>136141.722</v>
      </c>
      <c r="M1049" s="95" t="n">
        <f aca="false">D1049*J1049</f>
        <v>167580000</v>
      </c>
      <c r="N1049" s="95" t="n">
        <f aca="false">D1049*K1049</f>
        <v>44423400</v>
      </c>
      <c r="O1049" s="95" t="n">
        <f aca="false">D1049*L1049</f>
        <v>57179523.24</v>
      </c>
      <c r="P1049" s="34" t="str">
        <f aca="false">TRIM(IF(N(E1049)&lt;=0,"택가보정 ","")&amp;IF(N(F1049)&lt;=0,"원가보정 ","")&amp;IF(AND(B1049&lt;&gt;"CN",N(H1049)&lt;=0),"공급가보정 ","")&amp;IF(AND(B1049="CN",N(I1049)&lt;=0),"중국공급가=원가+마진 ",""))</f>
        <v/>
      </c>
    </row>
    <row r="1050" customFormat="false" ht="15" hidden="false" customHeight="true" outlineLevel="0" collapsed="false">
      <c r="A1050" s="94" t="s">
        <v>1689</v>
      </c>
      <c r="B1050" s="34" t="str">
        <f aca="false">IF(A1050="100","HK",IF(A1050="200","CN",IF(A1050="300","TW","홀세일")))</f>
        <v>홀세일</v>
      </c>
      <c r="C1050" s="94" t="s">
        <v>565</v>
      </c>
      <c r="D1050" s="95" t="n">
        <v>40</v>
      </c>
      <c r="E1050" s="95" t="n">
        <v>399000</v>
      </c>
      <c r="F1050" s="95" t="n">
        <v>105770</v>
      </c>
      <c r="G1050" s="34" t="n">
        <v>3.85</v>
      </c>
      <c r="H1050" s="34" t="n">
        <v>99.9</v>
      </c>
      <c r="I1050" s="34" t="n">
        <v>0</v>
      </c>
      <c r="J1050" s="95" t="n">
        <f aca="false">IF(N(E1050)&gt;0,E1050,IF(N(F1050)&gt;0,F1050*가정!$B$5,0))</f>
        <v>399000</v>
      </c>
      <c r="K1050" s="95" t="n">
        <f aca="false">IF(N(F1050)&gt;0,F1050,IF(N(E1050)&gt;0,E1050/가정!$B$5,0))</f>
        <v>105770</v>
      </c>
      <c r="L1050" s="95" t="n">
        <f aca="false">IF(B1050="CN",IF(N(I1050)&gt;0,I1050*가정!$B$3,K1050*(1+가정!$B$6)),IF(N(H1050)&gt;0,H1050*가정!$B$3,J1050*가정!$B$4))</f>
        <v>136141.722</v>
      </c>
      <c r="M1050" s="95" t="n">
        <f aca="false">D1050*J1050</f>
        <v>15960000</v>
      </c>
      <c r="N1050" s="95" t="n">
        <f aca="false">D1050*K1050</f>
        <v>4230800</v>
      </c>
      <c r="O1050" s="95" t="n">
        <f aca="false">D1050*L1050</f>
        <v>5445668.88</v>
      </c>
      <c r="P1050" s="34" t="str">
        <f aca="false">TRIM(IF(N(E1050)&lt;=0,"택가보정 ","")&amp;IF(N(F1050)&lt;=0,"원가보정 ","")&amp;IF(AND(B1050&lt;&gt;"CN",N(H1050)&lt;=0),"공급가보정 ","")&amp;IF(AND(B1050="CN",N(I1050)&lt;=0),"중국공급가=원가+마진 ",""))</f>
        <v/>
      </c>
    </row>
    <row r="1051" customFormat="false" ht="15" hidden="false" customHeight="true" outlineLevel="0" collapsed="false">
      <c r="A1051" s="94" t="s">
        <v>1684</v>
      </c>
      <c r="B1051" s="34" t="str">
        <f aca="false">IF(A1051="100","HK",IF(A1051="200","CN",IF(A1051="300","TW","홀세일")))</f>
        <v>HK</v>
      </c>
      <c r="C1051" s="94" t="s">
        <v>567</v>
      </c>
      <c r="D1051" s="95" t="n">
        <v>200</v>
      </c>
      <c r="E1051" s="95" t="n">
        <v>359000</v>
      </c>
      <c r="F1051" s="95" t="n">
        <v>104926</v>
      </c>
      <c r="G1051" s="34" t="n">
        <v>3.89</v>
      </c>
      <c r="H1051" s="34" t="n">
        <v>89.9</v>
      </c>
      <c r="I1051" s="34" t="n">
        <v>76.1</v>
      </c>
      <c r="J1051" s="95" t="n">
        <f aca="false">IF(N(E1051)&gt;0,E1051,IF(N(F1051)&gt;0,F1051*가정!$B$5,0))</f>
        <v>359000</v>
      </c>
      <c r="K1051" s="95" t="n">
        <f aca="false">IF(N(F1051)&gt;0,F1051,IF(N(E1051)&gt;0,E1051/가정!$B$5,0))</f>
        <v>104926</v>
      </c>
      <c r="L1051" s="95" t="n">
        <f aca="false">IF(B1051="CN",IF(N(I1051)&gt;0,I1051*가정!$B$3,K1051*(1+가정!$B$6)),IF(N(H1051)&gt;0,H1051*가정!$B$3,J1051*가정!$B$4))</f>
        <v>122513.922</v>
      </c>
      <c r="M1051" s="95" t="n">
        <f aca="false">D1051*J1051</f>
        <v>71800000</v>
      </c>
      <c r="N1051" s="95" t="n">
        <f aca="false">D1051*K1051</f>
        <v>20985200</v>
      </c>
      <c r="O1051" s="95" t="n">
        <f aca="false">D1051*L1051</f>
        <v>24502784.4</v>
      </c>
      <c r="P1051" s="34" t="str">
        <f aca="false">TRIM(IF(N(E1051)&lt;=0,"택가보정 ","")&amp;IF(N(F1051)&lt;=0,"원가보정 ","")&amp;IF(AND(B1051&lt;&gt;"CN",N(H1051)&lt;=0),"공급가보정 ","")&amp;IF(AND(B1051="CN",N(I1051)&lt;=0),"중국공급가=원가+마진 ",""))</f>
        <v/>
      </c>
    </row>
    <row r="1052" customFormat="false" ht="15" hidden="false" customHeight="true" outlineLevel="0" collapsed="false">
      <c r="A1052" s="94" t="s">
        <v>1685</v>
      </c>
      <c r="B1052" s="34" t="str">
        <f aca="false">IF(A1052="100","HK",IF(A1052="200","CN",IF(A1052="300","TW","홀세일")))</f>
        <v>CN</v>
      </c>
      <c r="C1052" s="94" t="s">
        <v>567</v>
      </c>
      <c r="D1052" s="95" t="n">
        <v>263</v>
      </c>
      <c r="E1052" s="95" t="n">
        <v>359000</v>
      </c>
      <c r="F1052" s="95" t="n">
        <v>104926</v>
      </c>
      <c r="G1052" s="34" t="n">
        <v>3.89</v>
      </c>
      <c r="H1052" s="34" t="n">
        <v>89.9</v>
      </c>
      <c r="I1052" s="34" t="n">
        <v>76.1</v>
      </c>
      <c r="J1052" s="95" t="n">
        <f aca="false">IF(N(E1052)&gt;0,E1052,IF(N(F1052)&gt;0,F1052*가정!$B$5,0))</f>
        <v>359000</v>
      </c>
      <c r="K1052" s="95" t="n">
        <f aca="false">IF(N(F1052)&gt;0,F1052,IF(N(E1052)&gt;0,E1052/가정!$B$5,0))</f>
        <v>104926</v>
      </c>
      <c r="L1052" s="95" t="n">
        <f aca="false">IF(B1052="CN",IF(N(I1052)&gt;0,I1052*가정!$B$3,K1052*(1+가정!$B$6)),IF(N(H1052)&gt;0,H1052*가정!$B$3,J1052*가정!$B$4))</f>
        <v>103707.558</v>
      </c>
      <c r="M1052" s="95" t="n">
        <f aca="false">D1052*J1052</f>
        <v>94417000</v>
      </c>
      <c r="N1052" s="95" t="n">
        <f aca="false">D1052*K1052</f>
        <v>27595538</v>
      </c>
      <c r="O1052" s="95" t="n">
        <f aca="false">D1052*L1052</f>
        <v>27275087.754</v>
      </c>
      <c r="P1052" s="34" t="str">
        <f aca="false">TRIM(IF(N(E1052)&lt;=0,"택가보정 ","")&amp;IF(N(F1052)&lt;=0,"원가보정 ","")&amp;IF(AND(B1052&lt;&gt;"CN",N(H1052)&lt;=0),"공급가보정 ","")&amp;IF(AND(B1052="CN",N(I1052)&lt;=0),"중국공급가=원가+마진 ",""))</f>
        <v/>
      </c>
    </row>
    <row r="1053" customFormat="false" ht="15" hidden="false" customHeight="true" outlineLevel="0" collapsed="false">
      <c r="A1053" s="94" t="s">
        <v>1686</v>
      </c>
      <c r="B1053" s="34" t="str">
        <f aca="false">IF(A1053="100","HK",IF(A1053="200","CN",IF(A1053="300","TW","홀세일")))</f>
        <v>TW</v>
      </c>
      <c r="C1053" s="94" t="s">
        <v>567</v>
      </c>
      <c r="D1053" s="95" t="n">
        <v>140</v>
      </c>
      <c r="E1053" s="95" t="n">
        <v>359000</v>
      </c>
      <c r="F1053" s="95" t="n">
        <v>104926</v>
      </c>
      <c r="G1053" s="34" t="n">
        <v>3.89</v>
      </c>
      <c r="H1053" s="34" t="n">
        <v>89.9</v>
      </c>
      <c r="I1053" s="34" t="n">
        <v>76.1</v>
      </c>
      <c r="J1053" s="95" t="n">
        <f aca="false">IF(N(E1053)&gt;0,E1053,IF(N(F1053)&gt;0,F1053*가정!$B$5,0))</f>
        <v>359000</v>
      </c>
      <c r="K1053" s="95" t="n">
        <f aca="false">IF(N(F1053)&gt;0,F1053,IF(N(E1053)&gt;0,E1053/가정!$B$5,0))</f>
        <v>104926</v>
      </c>
      <c r="L1053" s="95" t="n">
        <f aca="false">IF(B1053="CN",IF(N(I1053)&gt;0,I1053*가정!$B$3,K1053*(1+가정!$B$6)),IF(N(H1053)&gt;0,H1053*가정!$B$3,J1053*가정!$B$4))</f>
        <v>122513.922</v>
      </c>
      <c r="M1053" s="95" t="n">
        <f aca="false">D1053*J1053</f>
        <v>50260000</v>
      </c>
      <c r="N1053" s="95" t="n">
        <f aca="false">D1053*K1053</f>
        <v>14689640</v>
      </c>
      <c r="O1053" s="95" t="n">
        <f aca="false">D1053*L1053</f>
        <v>17151949.08</v>
      </c>
      <c r="P1053" s="34" t="str">
        <f aca="false">TRIM(IF(N(E1053)&lt;=0,"택가보정 ","")&amp;IF(N(F1053)&lt;=0,"원가보정 ","")&amp;IF(AND(B1053&lt;&gt;"CN",N(H1053)&lt;=0),"공급가보정 ","")&amp;IF(AND(B1053="CN",N(I1053)&lt;=0),"중국공급가=원가+마진 ",""))</f>
        <v/>
      </c>
    </row>
    <row r="1054" customFormat="false" ht="15" hidden="false" customHeight="true" outlineLevel="0" collapsed="false">
      <c r="A1054" s="94" t="s">
        <v>1684</v>
      </c>
      <c r="B1054" s="34" t="str">
        <f aca="false">IF(A1054="100","HK",IF(A1054="200","CN",IF(A1054="300","TW","홀세일")))</f>
        <v>HK</v>
      </c>
      <c r="C1054" s="94" t="s">
        <v>1134</v>
      </c>
      <c r="D1054" s="95" t="n">
        <v>50</v>
      </c>
      <c r="E1054" s="95" t="n">
        <v>459000</v>
      </c>
      <c r="F1054" s="95" t="n">
        <v>121700</v>
      </c>
      <c r="G1054" s="34" t="n">
        <v>3.24</v>
      </c>
      <c r="H1054" s="34" t="n">
        <v>117.9</v>
      </c>
      <c r="I1054" s="34" t="n">
        <v>99.2</v>
      </c>
      <c r="J1054" s="95" t="n">
        <f aca="false">IF(N(E1054)&gt;0,E1054,IF(N(F1054)&gt;0,F1054*가정!$B$5,0))</f>
        <v>459000</v>
      </c>
      <c r="K1054" s="95" t="n">
        <f aca="false">IF(N(F1054)&gt;0,F1054,IF(N(E1054)&gt;0,E1054/가정!$B$5,0))</f>
        <v>121700</v>
      </c>
      <c r="L1054" s="95" t="n">
        <f aca="false">IF(B1054="CN",IF(N(I1054)&gt;0,I1054*가정!$B$3,K1054*(1+가정!$B$6)),IF(N(H1054)&gt;0,H1054*가정!$B$3,J1054*가정!$B$4))</f>
        <v>160671.762</v>
      </c>
      <c r="M1054" s="95" t="n">
        <f aca="false">D1054*J1054</f>
        <v>22950000</v>
      </c>
      <c r="N1054" s="95" t="n">
        <f aca="false">D1054*K1054</f>
        <v>6085000</v>
      </c>
      <c r="O1054" s="95" t="n">
        <f aca="false">D1054*L1054</f>
        <v>8033588.1</v>
      </c>
      <c r="P1054" s="34" t="str">
        <f aca="false">TRIM(IF(N(E1054)&lt;=0,"택가보정 ","")&amp;IF(N(F1054)&lt;=0,"원가보정 ","")&amp;IF(AND(B1054&lt;&gt;"CN",N(H1054)&lt;=0),"공급가보정 ","")&amp;IF(AND(B1054="CN",N(I1054)&lt;=0),"중국공급가=원가+마진 ",""))</f>
        <v/>
      </c>
    </row>
    <row r="1055" customFormat="false" ht="15" hidden="false" customHeight="true" outlineLevel="0" collapsed="false">
      <c r="A1055" s="94" t="s">
        <v>1685</v>
      </c>
      <c r="B1055" s="34" t="str">
        <f aca="false">IF(A1055="100","HK",IF(A1055="200","CN",IF(A1055="300","TW","홀세일")))</f>
        <v>CN</v>
      </c>
      <c r="C1055" s="94" t="s">
        <v>1134</v>
      </c>
      <c r="D1055" s="95" t="n">
        <v>222</v>
      </c>
      <c r="E1055" s="95" t="n">
        <v>459000</v>
      </c>
      <c r="F1055" s="95" t="n">
        <v>121700</v>
      </c>
      <c r="G1055" s="34" t="n">
        <v>3.24</v>
      </c>
      <c r="H1055" s="34" t="n">
        <v>117.9</v>
      </c>
      <c r="I1055" s="34" t="n">
        <v>99.2</v>
      </c>
      <c r="J1055" s="95" t="n">
        <f aca="false">IF(N(E1055)&gt;0,E1055,IF(N(F1055)&gt;0,F1055*가정!$B$5,0))</f>
        <v>459000</v>
      </c>
      <c r="K1055" s="95" t="n">
        <f aca="false">IF(N(F1055)&gt;0,F1055,IF(N(E1055)&gt;0,E1055/가정!$B$5,0))</f>
        <v>121700</v>
      </c>
      <c r="L1055" s="95" t="n">
        <f aca="false">IF(B1055="CN",IF(N(I1055)&gt;0,I1055*가정!$B$3,K1055*(1+가정!$B$6)),IF(N(H1055)&gt;0,H1055*가정!$B$3,J1055*가정!$B$4))</f>
        <v>135187.776</v>
      </c>
      <c r="M1055" s="95" t="n">
        <f aca="false">D1055*J1055</f>
        <v>101898000</v>
      </c>
      <c r="N1055" s="95" t="n">
        <f aca="false">D1055*K1055</f>
        <v>27017400</v>
      </c>
      <c r="O1055" s="95" t="n">
        <f aca="false">D1055*L1055</f>
        <v>30011686.272</v>
      </c>
      <c r="P1055" s="34" t="str">
        <f aca="false">TRIM(IF(N(E1055)&lt;=0,"택가보정 ","")&amp;IF(N(F1055)&lt;=0,"원가보정 ","")&amp;IF(AND(B1055&lt;&gt;"CN",N(H1055)&lt;=0),"공급가보정 ","")&amp;IF(AND(B1055="CN",N(I1055)&lt;=0),"중국공급가=원가+마진 ",""))</f>
        <v/>
      </c>
    </row>
    <row r="1056" customFormat="false" ht="15" hidden="false" customHeight="true" outlineLevel="0" collapsed="false">
      <c r="A1056" s="94" t="s">
        <v>1684</v>
      </c>
      <c r="B1056" s="34" t="str">
        <f aca="false">IF(A1056="100","HK",IF(A1056="200","CN",IF(A1056="300","TW","홀세일")))</f>
        <v>HK</v>
      </c>
      <c r="C1056" s="94" t="s">
        <v>1716</v>
      </c>
      <c r="D1056" s="95" t="n">
        <v>50</v>
      </c>
      <c r="E1056" s="95" t="n">
        <v>299000</v>
      </c>
      <c r="F1056" s="95"/>
      <c r="G1056" s="34" t="n">
        <v>2.88</v>
      </c>
      <c r="H1056" s="34" t="n">
        <v>76.8</v>
      </c>
      <c r="J1056" s="95" t="n">
        <f aca="false">IF(N(E1056)&gt;0,E1056,IF(N(F1056)&gt;0,F1056*가정!$B$5,0))</f>
        <v>299000</v>
      </c>
      <c r="K1056" s="95" t="n">
        <f aca="false">IF(N(F1056)&gt;0,F1056,IF(N(E1056)&gt;0,E1056/가정!$B$5,0))</f>
        <v>74750</v>
      </c>
      <c r="L1056" s="95" t="n">
        <f aca="false">IF(B1056="CN",IF(N(I1056)&gt;0,I1056*가정!$B$3,K1056*(1+가정!$B$6)),IF(N(H1056)&gt;0,H1056*가정!$B$3,J1056*가정!$B$4))</f>
        <v>104661.504</v>
      </c>
      <c r="M1056" s="95" t="n">
        <f aca="false">D1056*J1056</f>
        <v>14950000</v>
      </c>
      <c r="N1056" s="95" t="n">
        <f aca="false">D1056*K1056</f>
        <v>3737500</v>
      </c>
      <c r="O1056" s="95" t="n">
        <f aca="false">D1056*L1056</f>
        <v>5233075.2</v>
      </c>
      <c r="P1056" s="34" t="str">
        <f aca="false">TRIM(IF(N(E1056)&lt;=0,"택가보정 ","")&amp;IF(N(F1056)&lt;=0,"원가보정 ","")&amp;IF(AND(B1056&lt;&gt;"CN",N(H1056)&lt;=0),"공급가보정 ","")&amp;IF(AND(B1056="CN",N(I1056)&lt;=0),"중국공급가=원가+마진 ",""))</f>
        <v>원가보정</v>
      </c>
    </row>
    <row r="1057" customFormat="false" ht="15" hidden="false" customHeight="true" outlineLevel="0" collapsed="false">
      <c r="A1057" s="94" t="s">
        <v>1686</v>
      </c>
      <c r="B1057" s="34" t="str">
        <f aca="false">IF(A1057="100","HK",IF(A1057="200","CN",IF(A1057="300","TW","홀세일")))</f>
        <v>TW</v>
      </c>
      <c r="C1057" s="94" t="s">
        <v>1716</v>
      </c>
      <c r="D1057" s="95" t="n">
        <v>320</v>
      </c>
      <c r="E1057" s="95" t="n">
        <v>299000</v>
      </c>
      <c r="F1057" s="95"/>
      <c r="G1057" s="34" t="n">
        <v>2.88</v>
      </c>
      <c r="H1057" s="34" t="n">
        <v>76.8</v>
      </c>
      <c r="J1057" s="95" t="n">
        <f aca="false">IF(N(E1057)&gt;0,E1057,IF(N(F1057)&gt;0,F1057*가정!$B$5,0))</f>
        <v>299000</v>
      </c>
      <c r="K1057" s="95" t="n">
        <f aca="false">IF(N(F1057)&gt;0,F1057,IF(N(E1057)&gt;0,E1057/가정!$B$5,0))</f>
        <v>74750</v>
      </c>
      <c r="L1057" s="95" t="n">
        <f aca="false">IF(B1057="CN",IF(N(I1057)&gt;0,I1057*가정!$B$3,K1057*(1+가정!$B$6)),IF(N(H1057)&gt;0,H1057*가정!$B$3,J1057*가정!$B$4))</f>
        <v>104661.504</v>
      </c>
      <c r="M1057" s="95" t="n">
        <f aca="false">D1057*J1057</f>
        <v>95680000</v>
      </c>
      <c r="N1057" s="95" t="n">
        <f aca="false">D1057*K1057</f>
        <v>23920000</v>
      </c>
      <c r="O1057" s="95" t="n">
        <f aca="false">D1057*L1057</f>
        <v>33491681.28</v>
      </c>
      <c r="P1057" s="34" t="str">
        <f aca="false">TRIM(IF(N(E1057)&lt;=0,"택가보정 ","")&amp;IF(N(F1057)&lt;=0,"원가보정 ","")&amp;IF(AND(B1057&lt;&gt;"CN",N(H1057)&lt;=0),"공급가보정 ","")&amp;IF(AND(B1057="CN",N(I1057)&lt;=0),"중국공급가=원가+마진 ",""))</f>
        <v>원가보정</v>
      </c>
    </row>
    <row r="1058" customFormat="false" ht="15" hidden="false" customHeight="true" outlineLevel="0" collapsed="false">
      <c r="A1058" s="94" t="s">
        <v>1684</v>
      </c>
      <c r="B1058" s="34" t="str">
        <f aca="false">IF(A1058="100","HK",IF(A1058="200","CN",IF(A1058="300","TW","홀세일")))</f>
        <v>HK</v>
      </c>
      <c r="C1058" s="94" t="s">
        <v>569</v>
      </c>
      <c r="D1058" s="95" t="n">
        <v>150</v>
      </c>
      <c r="E1058" s="95" t="n">
        <v>439000</v>
      </c>
      <c r="F1058" s="95" t="n">
        <v>115174</v>
      </c>
      <c r="G1058" s="34" t="n">
        <v>3.45</v>
      </c>
      <c r="H1058" s="34" t="n">
        <v>109.9</v>
      </c>
      <c r="I1058" s="34" t="n">
        <v>86.4</v>
      </c>
      <c r="J1058" s="95" t="n">
        <f aca="false">IF(N(E1058)&gt;0,E1058,IF(N(F1058)&gt;0,F1058*가정!$B$5,0))</f>
        <v>439000</v>
      </c>
      <c r="K1058" s="95" t="n">
        <f aca="false">IF(N(F1058)&gt;0,F1058,IF(N(E1058)&gt;0,E1058/가정!$B$5,0))</f>
        <v>115174</v>
      </c>
      <c r="L1058" s="95" t="n">
        <f aca="false">IF(B1058="CN",IF(N(I1058)&gt;0,I1058*가정!$B$3,K1058*(1+가정!$B$6)),IF(N(H1058)&gt;0,H1058*가정!$B$3,J1058*가정!$B$4))</f>
        <v>149769.522</v>
      </c>
      <c r="M1058" s="95" t="n">
        <f aca="false">D1058*J1058</f>
        <v>65850000</v>
      </c>
      <c r="N1058" s="95" t="n">
        <f aca="false">D1058*K1058</f>
        <v>17276100</v>
      </c>
      <c r="O1058" s="95" t="n">
        <f aca="false">D1058*L1058</f>
        <v>22465428.3</v>
      </c>
      <c r="P1058" s="34" t="str">
        <f aca="false">TRIM(IF(N(E1058)&lt;=0,"택가보정 ","")&amp;IF(N(F1058)&lt;=0,"원가보정 ","")&amp;IF(AND(B1058&lt;&gt;"CN",N(H1058)&lt;=0),"공급가보정 ","")&amp;IF(AND(B1058="CN",N(I1058)&lt;=0),"중국공급가=원가+마진 ",""))</f>
        <v/>
      </c>
    </row>
    <row r="1059" customFormat="false" ht="15" hidden="false" customHeight="true" outlineLevel="0" collapsed="false">
      <c r="A1059" s="94" t="s">
        <v>1685</v>
      </c>
      <c r="B1059" s="34" t="str">
        <f aca="false">IF(A1059="100","HK",IF(A1059="200","CN",IF(A1059="300","TW","홀세일")))</f>
        <v>CN</v>
      </c>
      <c r="C1059" s="94" t="s">
        <v>569</v>
      </c>
      <c r="D1059" s="95" t="n">
        <v>462</v>
      </c>
      <c r="E1059" s="95" t="n">
        <v>439000</v>
      </c>
      <c r="F1059" s="95" t="n">
        <v>115174</v>
      </c>
      <c r="G1059" s="34" t="n">
        <v>3.45</v>
      </c>
      <c r="H1059" s="34" t="n">
        <v>109.9</v>
      </c>
      <c r="I1059" s="34" t="n">
        <v>86.4</v>
      </c>
      <c r="J1059" s="95" t="n">
        <f aca="false">IF(N(E1059)&gt;0,E1059,IF(N(F1059)&gt;0,F1059*가정!$B$5,0))</f>
        <v>439000</v>
      </c>
      <c r="K1059" s="95" t="n">
        <f aca="false">IF(N(F1059)&gt;0,F1059,IF(N(E1059)&gt;0,E1059/가정!$B$5,0))</f>
        <v>115174</v>
      </c>
      <c r="L1059" s="95" t="n">
        <f aca="false">IF(B1059="CN",IF(N(I1059)&gt;0,I1059*가정!$B$3,K1059*(1+가정!$B$6)),IF(N(H1059)&gt;0,H1059*가정!$B$3,J1059*가정!$B$4))</f>
        <v>117744.192</v>
      </c>
      <c r="M1059" s="95" t="n">
        <f aca="false">D1059*J1059</f>
        <v>202818000</v>
      </c>
      <c r="N1059" s="95" t="n">
        <f aca="false">D1059*K1059</f>
        <v>53210388</v>
      </c>
      <c r="O1059" s="95" t="n">
        <f aca="false">D1059*L1059</f>
        <v>54397816.704</v>
      </c>
      <c r="P1059" s="34" t="str">
        <f aca="false">TRIM(IF(N(E1059)&lt;=0,"택가보정 ","")&amp;IF(N(F1059)&lt;=0,"원가보정 ","")&amp;IF(AND(B1059&lt;&gt;"CN",N(H1059)&lt;=0),"공급가보정 ","")&amp;IF(AND(B1059="CN",N(I1059)&lt;=0),"중국공급가=원가+마진 ",""))</f>
        <v/>
      </c>
    </row>
    <row r="1060" customFormat="false" ht="15" hidden="false" customHeight="true" outlineLevel="0" collapsed="false">
      <c r="A1060" s="94" t="s">
        <v>1685</v>
      </c>
      <c r="B1060" s="34" t="str">
        <f aca="false">IF(A1060="100","HK",IF(A1060="200","CN",IF(A1060="300","TW","홀세일")))</f>
        <v>CN</v>
      </c>
      <c r="C1060" s="94" t="s">
        <v>569</v>
      </c>
      <c r="D1060" s="95" t="n">
        <v>462</v>
      </c>
      <c r="E1060" s="95" t="n">
        <v>439000</v>
      </c>
      <c r="F1060" s="95" t="n">
        <v>115174</v>
      </c>
      <c r="G1060" s="34" t="n">
        <v>3.45</v>
      </c>
      <c r="H1060" s="34" t="n">
        <v>109.9</v>
      </c>
      <c r="I1060" s="34" t="n">
        <v>86.4</v>
      </c>
      <c r="J1060" s="95" t="n">
        <f aca="false">IF(N(E1060)&gt;0,E1060,IF(N(F1060)&gt;0,F1060*가정!$B$5,0))</f>
        <v>439000</v>
      </c>
      <c r="K1060" s="95" t="n">
        <f aca="false">IF(N(F1060)&gt;0,F1060,IF(N(E1060)&gt;0,E1060/가정!$B$5,0))</f>
        <v>115174</v>
      </c>
      <c r="L1060" s="95" t="n">
        <f aca="false">IF(B1060="CN",IF(N(I1060)&gt;0,I1060*가정!$B$3,K1060*(1+가정!$B$6)),IF(N(H1060)&gt;0,H1060*가정!$B$3,J1060*가정!$B$4))</f>
        <v>117744.192</v>
      </c>
      <c r="M1060" s="95" t="n">
        <f aca="false">D1060*J1060</f>
        <v>202818000</v>
      </c>
      <c r="N1060" s="95" t="n">
        <f aca="false">D1060*K1060</f>
        <v>53210388</v>
      </c>
      <c r="O1060" s="95" t="n">
        <f aca="false">D1060*L1060</f>
        <v>54397816.704</v>
      </c>
      <c r="P1060" s="34" t="str">
        <f aca="false">TRIM(IF(N(E1060)&lt;=0,"택가보정 ","")&amp;IF(N(F1060)&lt;=0,"원가보정 ","")&amp;IF(AND(B1060&lt;&gt;"CN",N(H1060)&lt;=0),"공급가보정 ","")&amp;IF(AND(B1060="CN",N(I1060)&lt;=0),"중국공급가=원가+마진 ",""))</f>
        <v/>
      </c>
    </row>
    <row r="1061" customFormat="false" ht="15" hidden="false" customHeight="true" outlineLevel="0" collapsed="false">
      <c r="A1061" s="94" t="s">
        <v>1686</v>
      </c>
      <c r="B1061" s="34" t="str">
        <f aca="false">IF(A1061="100","HK",IF(A1061="200","CN",IF(A1061="300","TW","홀세일")))</f>
        <v>TW</v>
      </c>
      <c r="C1061" s="94" t="s">
        <v>569</v>
      </c>
      <c r="D1061" s="95" t="n">
        <v>270</v>
      </c>
      <c r="E1061" s="95" t="n">
        <v>439000</v>
      </c>
      <c r="F1061" s="95" t="n">
        <v>115174</v>
      </c>
      <c r="G1061" s="34" t="n">
        <v>3.45</v>
      </c>
      <c r="H1061" s="34" t="n">
        <v>109.9</v>
      </c>
      <c r="I1061" s="34" t="n">
        <v>86.4</v>
      </c>
      <c r="J1061" s="95" t="n">
        <f aca="false">IF(N(E1061)&gt;0,E1061,IF(N(F1061)&gt;0,F1061*가정!$B$5,0))</f>
        <v>439000</v>
      </c>
      <c r="K1061" s="95" t="n">
        <f aca="false">IF(N(F1061)&gt;0,F1061,IF(N(E1061)&gt;0,E1061/가정!$B$5,0))</f>
        <v>115174</v>
      </c>
      <c r="L1061" s="95" t="n">
        <f aca="false">IF(B1061="CN",IF(N(I1061)&gt;0,I1061*가정!$B$3,K1061*(1+가정!$B$6)),IF(N(H1061)&gt;0,H1061*가정!$B$3,J1061*가정!$B$4))</f>
        <v>149769.522</v>
      </c>
      <c r="M1061" s="95" t="n">
        <f aca="false">D1061*J1061</f>
        <v>118530000</v>
      </c>
      <c r="N1061" s="95" t="n">
        <f aca="false">D1061*K1061</f>
        <v>31096980</v>
      </c>
      <c r="O1061" s="95" t="n">
        <f aca="false">D1061*L1061</f>
        <v>40437770.94</v>
      </c>
      <c r="P1061" s="34" t="str">
        <f aca="false">TRIM(IF(N(E1061)&lt;=0,"택가보정 ","")&amp;IF(N(F1061)&lt;=0,"원가보정 ","")&amp;IF(AND(B1061&lt;&gt;"CN",N(H1061)&lt;=0),"공급가보정 ","")&amp;IF(AND(B1061="CN",N(I1061)&lt;=0),"중국공급가=원가+마진 ",""))</f>
        <v/>
      </c>
    </row>
    <row r="1062" customFormat="false" ht="15" hidden="false" customHeight="true" outlineLevel="0" collapsed="false">
      <c r="A1062" s="94" t="s">
        <v>1688</v>
      </c>
      <c r="B1062" s="34" t="str">
        <f aca="false">IF(A1062="100","HK",IF(A1062="200","CN",IF(A1062="300","TW","홀세일")))</f>
        <v>홀세일</v>
      </c>
      <c r="C1062" s="94" t="s">
        <v>569</v>
      </c>
      <c r="D1062" s="95" t="n">
        <v>25</v>
      </c>
      <c r="E1062" s="95" t="n">
        <v>439000</v>
      </c>
      <c r="F1062" s="95" t="n">
        <v>115174</v>
      </c>
      <c r="G1062" s="34" t="n">
        <v>3.45</v>
      </c>
      <c r="H1062" s="34" t="n">
        <v>109.9</v>
      </c>
      <c r="I1062" s="34" t="n">
        <v>86.4</v>
      </c>
      <c r="J1062" s="95" t="n">
        <f aca="false">IF(N(E1062)&gt;0,E1062,IF(N(F1062)&gt;0,F1062*가정!$B$5,0))</f>
        <v>439000</v>
      </c>
      <c r="K1062" s="95" t="n">
        <f aca="false">IF(N(F1062)&gt;0,F1062,IF(N(E1062)&gt;0,E1062/가정!$B$5,0))</f>
        <v>115174</v>
      </c>
      <c r="L1062" s="95" t="n">
        <f aca="false">IF(B1062="CN",IF(N(I1062)&gt;0,I1062*가정!$B$3,K1062*(1+가정!$B$6)),IF(N(H1062)&gt;0,H1062*가정!$B$3,J1062*가정!$B$4))</f>
        <v>149769.522</v>
      </c>
      <c r="M1062" s="95" t="n">
        <f aca="false">D1062*J1062</f>
        <v>10975000</v>
      </c>
      <c r="N1062" s="95" t="n">
        <f aca="false">D1062*K1062</f>
        <v>2879350</v>
      </c>
      <c r="O1062" s="95" t="n">
        <f aca="false">D1062*L1062</f>
        <v>3744238.05</v>
      </c>
      <c r="P1062" s="34" t="str">
        <f aca="false">TRIM(IF(N(E1062)&lt;=0,"택가보정 ","")&amp;IF(N(F1062)&lt;=0,"원가보정 ","")&amp;IF(AND(B1062&lt;&gt;"CN",N(H1062)&lt;=0),"공급가보정 ","")&amp;IF(AND(B1062="CN",N(I1062)&lt;=0),"중국공급가=원가+마진 ",""))</f>
        <v/>
      </c>
    </row>
    <row r="1063" customFormat="false" ht="15" hidden="false" customHeight="true" outlineLevel="0" collapsed="false">
      <c r="A1063" s="94" t="s">
        <v>1692</v>
      </c>
      <c r="B1063" s="34" t="str">
        <f aca="false">IF(A1063="100","HK",IF(A1063="200","CN",IF(A1063="300","TW","홀세일")))</f>
        <v>홀세일</v>
      </c>
      <c r="C1063" s="94" t="s">
        <v>569</v>
      </c>
      <c r="D1063" s="95" t="n">
        <v>142</v>
      </c>
      <c r="E1063" s="95" t="n">
        <v>439000</v>
      </c>
      <c r="F1063" s="95" t="n">
        <v>115174</v>
      </c>
      <c r="G1063" s="34" t="n">
        <v>3.45</v>
      </c>
      <c r="H1063" s="34" t="n">
        <v>109.9</v>
      </c>
      <c r="I1063" s="34" t="n">
        <v>86.4</v>
      </c>
      <c r="J1063" s="95" t="n">
        <f aca="false">IF(N(E1063)&gt;0,E1063,IF(N(F1063)&gt;0,F1063*가정!$B$5,0))</f>
        <v>439000</v>
      </c>
      <c r="K1063" s="95" t="n">
        <f aca="false">IF(N(F1063)&gt;0,F1063,IF(N(E1063)&gt;0,E1063/가정!$B$5,0))</f>
        <v>115174</v>
      </c>
      <c r="L1063" s="95" t="n">
        <f aca="false">IF(B1063="CN",IF(N(I1063)&gt;0,I1063*가정!$B$3,K1063*(1+가정!$B$6)),IF(N(H1063)&gt;0,H1063*가정!$B$3,J1063*가정!$B$4))</f>
        <v>149769.522</v>
      </c>
      <c r="M1063" s="95" t="n">
        <f aca="false">D1063*J1063</f>
        <v>62338000</v>
      </c>
      <c r="N1063" s="95" t="n">
        <f aca="false">D1063*K1063</f>
        <v>16354708</v>
      </c>
      <c r="O1063" s="95" t="n">
        <f aca="false">D1063*L1063</f>
        <v>21267272.124</v>
      </c>
      <c r="P1063" s="34" t="str">
        <f aca="false">TRIM(IF(N(E1063)&lt;=0,"택가보정 ","")&amp;IF(N(F1063)&lt;=0,"원가보정 ","")&amp;IF(AND(B1063&lt;&gt;"CN",N(H1063)&lt;=0),"공급가보정 ","")&amp;IF(AND(B1063="CN",N(I1063)&lt;=0),"중국공급가=원가+마진 ",""))</f>
        <v/>
      </c>
    </row>
    <row r="1064" customFormat="false" ht="15" hidden="false" customHeight="true" outlineLevel="0" collapsed="false">
      <c r="A1064" s="94" t="s">
        <v>1684</v>
      </c>
      <c r="B1064" s="34" t="str">
        <f aca="false">IF(A1064="100","HK",IF(A1064="200","CN",IF(A1064="300","TW","홀세일")))</f>
        <v>HK</v>
      </c>
      <c r="C1064" s="94" t="s">
        <v>981</v>
      </c>
      <c r="D1064" s="95" t="n">
        <v>240</v>
      </c>
      <c r="E1064" s="95" t="n">
        <v>359000</v>
      </c>
      <c r="F1064" s="95" t="n">
        <v>97017</v>
      </c>
      <c r="G1064" s="34" t="n">
        <v>3.32</v>
      </c>
      <c r="H1064" s="34" t="n">
        <v>89.9</v>
      </c>
      <c r="I1064" s="34" t="n">
        <v>0</v>
      </c>
      <c r="J1064" s="95" t="n">
        <f aca="false">IF(N(E1064)&gt;0,E1064,IF(N(F1064)&gt;0,F1064*가정!$B$5,0))</f>
        <v>359000</v>
      </c>
      <c r="K1064" s="95" t="n">
        <f aca="false">IF(N(F1064)&gt;0,F1064,IF(N(E1064)&gt;0,E1064/가정!$B$5,0))</f>
        <v>97017</v>
      </c>
      <c r="L1064" s="95" t="n">
        <f aca="false">IF(B1064="CN",IF(N(I1064)&gt;0,I1064*가정!$B$3,K1064*(1+가정!$B$6)),IF(N(H1064)&gt;0,H1064*가정!$B$3,J1064*가정!$B$4))</f>
        <v>122513.922</v>
      </c>
      <c r="M1064" s="95" t="n">
        <f aca="false">D1064*J1064</f>
        <v>86160000</v>
      </c>
      <c r="N1064" s="95" t="n">
        <f aca="false">D1064*K1064</f>
        <v>23284080</v>
      </c>
      <c r="O1064" s="95" t="n">
        <f aca="false">D1064*L1064</f>
        <v>29403341.28</v>
      </c>
      <c r="P1064" s="34" t="str">
        <f aca="false">TRIM(IF(N(E1064)&lt;=0,"택가보정 ","")&amp;IF(N(F1064)&lt;=0,"원가보정 ","")&amp;IF(AND(B1064&lt;&gt;"CN",N(H1064)&lt;=0),"공급가보정 ","")&amp;IF(AND(B1064="CN",N(I1064)&lt;=0),"중국공급가=원가+마진 ",""))</f>
        <v/>
      </c>
    </row>
    <row r="1065" customFormat="false" ht="15" hidden="false" customHeight="true" outlineLevel="0" collapsed="false">
      <c r="A1065" s="94" t="s">
        <v>1692</v>
      </c>
      <c r="B1065" s="34" t="str">
        <f aca="false">IF(A1065="100","HK",IF(A1065="200","CN",IF(A1065="300","TW","홀세일")))</f>
        <v>홀세일</v>
      </c>
      <c r="C1065" s="94" t="s">
        <v>981</v>
      </c>
      <c r="D1065" s="95" t="n">
        <v>51</v>
      </c>
      <c r="E1065" s="95" t="n">
        <v>359000</v>
      </c>
      <c r="F1065" s="95" t="n">
        <v>97017</v>
      </c>
      <c r="G1065" s="34" t="n">
        <v>3.32</v>
      </c>
      <c r="H1065" s="34" t="n">
        <v>89.9</v>
      </c>
      <c r="I1065" s="34" t="n">
        <v>0</v>
      </c>
      <c r="J1065" s="95" t="n">
        <f aca="false">IF(N(E1065)&gt;0,E1065,IF(N(F1065)&gt;0,F1065*가정!$B$5,0))</f>
        <v>359000</v>
      </c>
      <c r="K1065" s="95" t="n">
        <f aca="false">IF(N(F1065)&gt;0,F1065,IF(N(E1065)&gt;0,E1065/가정!$B$5,0))</f>
        <v>97017</v>
      </c>
      <c r="L1065" s="95" t="n">
        <f aca="false">IF(B1065="CN",IF(N(I1065)&gt;0,I1065*가정!$B$3,K1065*(1+가정!$B$6)),IF(N(H1065)&gt;0,H1065*가정!$B$3,J1065*가정!$B$4))</f>
        <v>122513.922</v>
      </c>
      <c r="M1065" s="95" t="n">
        <f aca="false">D1065*J1065</f>
        <v>18309000</v>
      </c>
      <c r="N1065" s="95" t="n">
        <f aca="false">D1065*K1065</f>
        <v>4947867</v>
      </c>
      <c r="O1065" s="95" t="n">
        <f aca="false">D1065*L1065</f>
        <v>6248210.022</v>
      </c>
      <c r="P1065" s="34" t="str">
        <f aca="false">TRIM(IF(N(E1065)&lt;=0,"택가보정 ","")&amp;IF(N(F1065)&lt;=0,"원가보정 ","")&amp;IF(AND(B1065&lt;&gt;"CN",N(H1065)&lt;=0),"공급가보정 ","")&amp;IF(AND(B1065="CN",N(I1065)&lt;=0),"중국공급가=원가+마진 ",""))</f>
        <v/>
      </c>
    </row>
    <row r="1066" customFormat="false" ht="15.75" hidden="false" customHeight="true" outlineLevel="0" collapsed="false">
      <c r="A1066" s="94" t="s">
        <v>1685</v>
      </c>
      <c r="B1066" s="34" t="str">
        <f aca="false">IF(A1066="100","HK",IF(A1066="200","CN",IF(A1066="300","TW","홀세일")))</f>
        <v>CN</v>
      </c>
      <c r="C1066" s="94" t="s">
        <v>1717</v>
      </c>
      <c r="D1066" s="95" t="n">
        <v>100</v>
      </c>
      <c r="E1066" s="95" t="n">
        <v>399000</v>
      </c>
      <c r="F1066" s="95" t="n">
        <v>99400</v>
      </c>
      <c r="G1066" s="34" t="n">
        <v>3.65</v>
      </c>
      <c r="H1066" s="34" t="n">
        <v>102.5</v>
      </c>
      <c r="I1066" s="34" t="n">
        <v>0</v>
      </c>
      <c r="J1066" s="95" t="n">
        <f aca="false">IF(N(E1066)&gt;0,E1066,IF(N(F1066)&gt;0,F1066*가정!$B$5,0))</f>
        <v>399000</v>
      </c>
      <c r="K1066" s="95" t="n">
        <f aca="false">IF(N(F1066)&gt;0,F1066,IF(N(E1066)&gt;0,E1066/가정!$B$5,0))</f>
        <v>99400</v>
      </c>
      <c r="L1066" s="95" t="n">
        <f aca="false">IF(B1066="CN",IF(N(I1066)&gt;0,I1066*가정!$B$3,K1066*(1+가정!$B$6)),IF(N(H1066)&gt;0,H1066*가정!$B$3,J1066*가정!$B$4))</f>
        <v>104370</v>
      </c>
      <c r="M1066" s="95" t="n">
        <f aca="false">D1066*J1066</f>
        <v>39900000</v>
      </c>
      <c r="N1066" s="95" t="n">
        <f aca="false">D1066*K1066</f>
        <v>9940000</v>
      </c>
      <c r="O1066" s="95" t="n">
        <f aca="false">D1066*L1066</f>
        <v>10437000</v>
      </c>
      <c r="P1066" s="34" t="str">
        <f aca="false">TRIM(IF(N(E1066)&lt;=0,"택가보정 ","")&amp;IF(N(F1066)&lt;=0,"원가보정 ","")&amp;IF(AND(B1066&lt;&gt;"CN",N(H1066)&lt;=0),"공급가보정 ","")&amp;IF(AND(B1066="CN",N(I1066)&lt;=0),"중국공급가=원가+마진 ",""))</f>
        <v>중국공급가=원가+마진</v>
      </c>
    </row>
    <row r="1067" customFormat="false" ht="15" hidden="false" customHeight="true" outlineLevel="0" collapsed="false">
      <c r="A1067" s="94" t="s">
        <v>1687</v>
      </c>
      <c r="B1067" s="34" t="str">
        <f aca="false">IF(A1067="100","HK",IF(A1067="200","CN",IF(A1067="300","TW","홀세일")))</f>
        <v>홀세일</v>
      </c>
      <c r="C1067" s="94" t="s">
        <v>1717</v>
      </c>
      <c r="D1067" s="95" t="n">
        <v>30</v>
      </c>
      <c r="E1067" s="95" t="n">
        <v>399000</v>
      </c>
      <c r="F1067" s="95" t="n">
        <v>99400</v>
      </c>
      <c r="G1067" s="34" t="n">
        <v>3.65</v>
      </c>
      <c r="H1067" s="34" t="n">
        <v>102.5</v>
      </c>
      <c r="I1067" s="34" t="n">
        <v>0</v>
      </c>
      <c r="J1067" s="95" t="n">
        <f aca="false">IF(N(E1067)&gt;0,E1067,IF(N(F1067)&gt;0,F1067*가정!$B$5,0))</f>
        <v>399000</v>
      </c>
      <c r="K1067" s="95" t="n">
        <f aca="false">IF(N(F1067)&gt;0,F1067,IF(N(E1067)&gt;0,E1067/가정!$B$5,0))</f>
        <v>99400</v>
      </c>
      <c r="L1067" s="95" t="n">
        <f aca="false">IF(B1067="CN",IF(N(I1067)&gt;0,I1067*가정!$B$3,K1067*(1+가정!$B$6)),IF(N(H1067)&gt;0,H1067*가정!$B$3,J1067*가정!$B$4))</f>
        <v>139684.95</v>
      </c>
      <c r="M1067" s="95" t="n">
        <f aca="false">D1067*J1067</f>
        <v>11970000</v>
      </c>
      <c r="N1067" s="95" t="n">
        <f aca="false">D1067*K1067</f>
        <v>2982000</v>
      </c>
      <c r="O1067" s="95" t="n">
        <f aca="false">D1067*L1067</f>
        <v>4190548.5</v>
      </c>
      <c r="P1067" s="34" t="str">
        <f aca="false">TRIM(IF(N(E1067)&lt;=0,"택가보정 ","")&amp;IF(N(F1067)&lt;=0,"원가보정 ","")&amp;IF(AND(B1067&lt;&gt;"CN",N(H1067)&lt;=0),"공급가보정 ","")&amp;IF(AND(B1067="CN",N(I1067)&lt;=0),"중국공급가=원가+마진 ",""))</f>
        <v/>
      </c>
    </row>
    <row r="1068" customFormat="false" ht="15" hidden="false" customHeight="true" outlineLevel="0" collapsed="false">
      <c r="A1068" s="94" t="s">
        <v>1686</v>
      </c>
      <c r="B1068" s="34" t="str">
        <f aca="false">IF(A1068="100","HK",IF(A1068="200","CN",IF(A1068="300","TW","홀세일")))</f>
        <v>TW</v>
      </c>
      <c r="C1068" s="94" t="s">
        <v>571</v>
      </c>
      <c r="D1068" s="95" t="n">
        <v>100</v>
      </c>
      <c r="E1068" s="95" t="n">
        <v>249000</v>
      </c>
      <c r="F1068" s="95" t="n">
        <v>62329</v>
      </c>
      <c r="G1068" s="34" t="n">
        <v>3.5</v>
      </c>
      <c r="H1068" s="34" t="n">
        <v>62.4</v>
      </c>
      <c r="I1068" s="34" t="n">
        <v>0</v>
      </c>
      <c r="J1068" s="95" t="n">
        <f aca="false">IF(N(E1068)&gt;0,E1068,IF(N(F1068)&gt;0,F1068*가정!$B$5,0))</f>
        <v>249000</v>
      </c>
      <c r="K1068" s="95" t="n">
        <f aca="false">IF(N(F1068)&gt;0,F1068,IF(N(E1068)&gt;0,E1068/가정!$B$5,0))</f>
        <v>62329</v>
      </c>
      <c r="L1068" s="95" t="n">
        <f aca="false">IF(B1068="CN",IF(N(I1068)&gt;0,I1068*가정!$B$3,K1068*(1+가정!$B$6)),IF(N(H1068)&gt;0,H1068*가정!$B$3,J1068*가정!$B$4))</f>
        <v>85037.472</v>
      </c>
      <c r="M1068" s="95" t="n">
        <f aca="false">D1068*J1068</f>
        <v>24900000</v>
      </c>
      <c r="N1068" s="95" t="n">
        <f aca="false">D1068*K1068</f>
        <v>6232900</v>
      </c>
      <c r="O1068" s="95" t="n">
        <f aca="false">D1068*L1068</f>
        <v>8503747.2</v>
      </c>
      <c r="P1068" s="34" t="str">
        <f aca="false">TRIM(IF(N(E1068)&lt;=0,"택가보정 ","")&amp;IF(N(F1068)&lt;=0,"원가보정 ","")&amp;IF(AND(B1068&lt;&gt;"CN",N(H1068)&lt;=0),"공급가보정 ","")&amp;IF(AND(B1068="CN",N(I1068)&lt;=0),"중국공급가=원가+마진 ",""))</f>
        <v/>
      </c>
    </row>
    <row r="1069" customFormat="false" ht="15" hidden="false" customHeight="true" outlineLevel="0" collapsed="false">
      <c r="A1069" s="94" t="s">
        <v>1684</v>
      </c>
      <c r="B1069" s="34" t="str">
        <f aca="false">IF(A1069="100","HK",IF(A1069="200","CN",IF(A1069="300","TW","홀세일")))</f>
        <v>HK</v>
      </c>
      <c r="C1069" s="94" t="s">
        <v>1718</v>
      </c>
      <c r="D1069" s="95" t="n">
        <v>240</v>
      </c>
      <c r="E1069" s="95" t="n">
        <v>279000</v>
      </c>
      <c r="F1069" s="95" t="n">
        <v>84500</v>
      </c>
      <c r="G1069" s="34" t="n">
        <v>3.07</v>
      </c>
      <c r="H1069" s="34" t="n">
        <v>69.9</v>
      </c>
      <c r="I1069" s="34" t="n">
        <v>0</v>
      </c>
      <c r="J1069" s="95" t="n">
        <f aca="false">IF(N(E1069)&gt;0,E1069,IF(N(F1069)&gt;0,F1069*가정!$B$5,0))</f>
        <v>279000</v>
      </c>
      <c r="K1069" s="95" t="n">
        <f aca="false">IF(N(F1069)&gt;0,F1069,IF(N(E1069)&gt;0,E1069/가정!$B$5,0))</f>
        <v>84500</v>
      </c>
      <c r="L1069" s="95" t="n">
        <f aca="false">IF(B1069="CN",IF(N(I1069)&gt;0,I1069*가정!$B$3,K1069*(1+가정!$B$6)),IF(N(H1069)&gt;0,H1069*가정!$B$3,J1069*가정!$B$4))</f>
        <v>95258.322</v>
      </c>
      <c r="M1069" s="95" t="n">
        <f aca="false">D1069*J1069</f>
        <v>66960000</v>
      </c>
      <c r="N1069" s="95" t="n">
        <f aca="false">D1069*K1069</f>
        <v>20280000</v>
      </c>
      <c r="O1069" s="95" t="n">
        <f aca="false">D1069*L1069</f>
        <v>22861997.28</v>
      </c>
      <c r="P1069" s="34" t="str">
        <f aca="false">TRIM(IF(N(E1069)&lt;=0,"택가보정 ","")&amp;IF(N(F1069)&lt;=0,"원가보정 ","")&amp;IF(AND(B1069&lt;&gt;"CN",N(H1069)&lt;=0),"공급가보정 ","")&amp;IF(AND(B1069="CN",N(I1069)&lt;=0),"중국공급가=원가+마진 ",""))</f>
        <v/>
      </c>
    </row>
    <row r="1070" customFormat="false" ht="15" hidden="false" customHeight="true" outlineLevel="0" collapsed="false">
      <c r="A1070" s="94" t="s">
        <v>1686</v>
      </c>
      <c r="B1070" s="34" t="str">
        <f aca="false">IF(A1070="100","HK",IF(A1070="200","CN",IF(A1070="300","TW","홀세일")))</f>
        <v>TW</v>
      </c>
      <c r="C1070" s="94" t="s">
        <v>1718</v>
      </c>
      <c r="D1070" s="95" t="n">
        <v>70</v>
      </c>
      <c r="E1070" s="95" t="n">
        <v>279000</v>
      </c>
      <c r="F1070" s="95" t="n">
        <v>84500</v>
      </c>
      <c r="G1070" s="34" t="n">
        <v>3.07</v>
      </c>
      <c r="H1070" s="34" t="n">
        <v>69.9</v>
      </c>
      <c r="I1070" s="34" t="n">
        <v>0</v>
      </c>
      <c r="J1070" s="95" t="n">
        <f aca="false">IF(N(E1070)&gt;0,E1070,IF(N(F1070)&gt;0,F1070*가정!$B$5,0))</f>
        <v>279000</v>
      </c>
      <c r="K1070" s="95" t="n">
        <f aca="false">IF(N(F1070)&gt;0,F1070,IF(N(E1070)&gt;0,E1070/가정!$B$5,0))</f>
        <v>84500</v>
      </c>
      <c r="L1070" s="95" t="n">
        <f aca="false">IF(B1070="CN",IF(N(I1070)&gt;0,I1070*가정!$B$3,K1070*(1+가정!$B$6)),IF(N(H1070)&gt;0,H1070*가정!$B$3,J1070*가정!$B$4))</f>
        <v>95258.322</v>
      </c>
      <c r="M1070" s="95" t="n">
        <f aca="false">D1070*J1070</f>
        <v>19530000</v>
      </c>
      <c r="N1070" s="95" t="n">
        <f aca="false">D1070*K1070</f>
        <v>5915000</v>
      </c>
      <c r="O1070" s="95" t="n">
        <f aca="false">D1070*L1070</f>
        <v>6668082.54</v>
      </c>
      <c r="P1070" s="34" t="str">
        <f aca="false">TRIM(IF(N(E1070)&lt;=0,"택가보정 ","")&amp;IF(N(F1070)&lt;=0,"원가보정 ","")&amp;IF(AND(B1070&lt;&gt;"CN",N(H1070)&lt;=0),"공급가보정 ","")&amp;IF(AND(B1070="CN",N(I1070)&lt;=0),"중국공급가=원가+마진 ",""))</f>
        <v/>
      </c>
    </row>
    <row r="1071" customFormat="false" ht="15" hidden="false" customHeight="true" outlineLevel="0" collapsed="false">
      <c r="A1071" s="94" t="s">
        <v>1685</v>
      </c>
      <c r="B1071" s="34" t="str">
        <f aca="false">IF(A1071="100","HK",IF(A1071="200","CN",IF(A1071="300","TW","홀세일")))</f>
        <v>CN</v>
      </c>
      <c r="C1071" s="94" t="s">
        <v>1136</v>
      </c>
      <c r="D1071" s="95" t="n">
        <v>252</v>
      </c>
      <c r="E1071" s="95" t="n">
        <v>259000</v>
      </c>
      <c r="F1071" s="95" t="n">
        <v>55200</v>
      </c>
      <c r="G1071" s="34" t="n">
        <v>3.12</v>
      </c>
      <c r="H1071" s="34" t="n">
        <v>64.9</v>
      </c>
      <c r="I1071" s="34" t="n">
        <v>44</v>
      </c>
      <c r="J1071" s="95" t="n">
        <f aca="false">IF(N(E1071)&gt;0,E1071,IF(N(F1071)&gt;0,F1071*가정!$B$5,0))</f>
        <v>259000</v>
      </c>
      <c r="K1071" s="95" t="n">
        <f aca="false">IF(N(F1071)&gt;0,F1071,IF(N(E1071)&gt;0,E1071/가정!$B$5,0))</f>
        <v>55200</v>
      </c>
      <c r="L1071" s="95" t="n">
        <f aca="false">IF(B1071="CN",IF(N(I1071)&gt;0,I1071*가정!$B$3,K1071*(1+가정!$B$6)),IF(N(H1071)&gt;0,H1071*가정!$B$3,J1071*가정!$B$4))</f>
        <v>59962.32</v>
      </c>
      <c r="M1071" s="95" t="n">
        <f aca="false">D1071*J1071</f>
        <v>65268000</v>
      </c>
      <c r="N1071" s="95" t="n">
        <f aca="false">D1071*K1071</f>
        <v>13910400</v>
      </c>
      <c r="O1071" s="95" t="n">
        <f aca="false">D1071*L1071</f>
        <v>15110504.64</v>
      </c>
      <c r="P1071" s="34" t="str">
        <f aca="false">TRIM(IF(N(E1071)&lt;=0,"택가보정 ","")&amp;IF(N(F1071)&lt;=0,"원가보정 ","")&amp;IF(AND(B1071&lt;&gt;"CN",N(H1071)&lt;=0),"공급가보정 ","")&amp;IF(AND(B1071="CN",N(I1071)&lt;=0),"중국공급가=원가+마진 ",""))</f>
        <v/>
      </c>
    </row>
    <row r="1072" customFormat="false" ht="15" hidden="false" customHeight="true" outlineLevel="0" collapsed="false">
      <c r="A1072" s="94" t="s">
        <v>1689</v>
      </c>
      <c r="B1072" s="34" t="str">
        <f aca="false">IF(A1072="100","HK",IF(A1072="200","CN",IF(A1072="300","TW","홀세일")))</f>
        <v>홀세일</v>
      </c>
      <c r="C1072" s="94" t="s">
        <v>1136</v>
      </c>
      <c r="D1072" s="95" t="n">
        <v>50</v>
      </c>
      <c r="E1072" s="95" t="n">
        <v>259000</v>
      </c>
      <c r="F1072" s="95" t="n">
        <v>55200</v>
      </c>
      <c r="G1072" s="34" t="n">
        <v>3.12</v>
      </c>
      <c r="H1072" s="34" t="n">
        <v>64.9</v>
      </c>
      <c r="I1072" s="34" t="n">
        <v>44</v>
      </c>
      <c r="J1072" s="95" t="n">
        <f aca="false">IF(N(E1072)&gt;0,E1072,IF(N(F1072)&gt;0,F1072*가정!$B$5,0))</f>
        <v>259000</v>
      </c>
      <c r="K1072" s="95" t="n">
        <f aca="false">IF(N(F1072)&gt;0,F1072,IF(N(E1072)&gt;0,E1072/가정!$B$5,0))</f>
        <v>55200</v>
      </c>
      <c r="L1072" s="95" t="n">
        <f aca="false">IF(B1072="CN",IF(N(I1072)&gt;0,I1072*가정!$B$3,K1072*(1+가정!$B$6)),IF(N(H1072)&gt;0,H1072*가정!$B$3,J1072*가정!$B$4))</f>
        <v>88444.422</v>
      </c>
      <c r="M1072" s="95" t="n">
        <f aca="false">D1072*J1072</f>
        <v>12950000</v>
      </c>
      <c r="N1072" s="95" t="n">
        <f aca="false">D1072*K1072</f>
        <v>2760000</v>
      </c>
      <c r="O1072" s="95" t="n">
        <f aca="false">D1072*L1072</f>
        <v>4422221.1</v>
      </c>
      <c r="P1072" s="34" t="str">
        <f aca="false">TRIM(IF(N(E1072)&lt;=0,"택가보정 ","")&amp;IF(N(F1072)&lt;=0,"원가보정 ","")&amp;IF(AND(B1072&lt;&gt;"CN",N(H1072)&lt;=0),"공급가보정 ","")&amp;IF(AND(B1072="CN",N(I1072)&lt;=0),"중국공급가=원가+마진 ",""))</f>
        <v/>
      </c>
    </row>
    <row r="1073" customFormat="false" ht="15" hidden="false" customHeight="true" outlineLevel="0" collapsed="false">
      <c r="A1073" s="94" t="s">
        <v>1684</v>
      </c>
      <c r="B1073" s="34" t="str">
        <f aca="false">IF(A1073="100","HK",IF(A1073="200","CN",IF(A1073="300","TW","홀세일")))</f>
        <v>HK</v>
      </c>
      <c r="C1073" s="94" t="s">
        <v>1719</v>
      </c>
      <c r="D1073" s="95" t="n">
        <v>170</v>
      </c>
      <c r="E1073" s="95" t="n">
        <v>399000</v>
      </c>
      <c r="F1073" s="95" t="n">
        <v>109400</v>
      </c>
      <c r="G1073" s="34" t="n">
        <v>2.71</v>
      </c>
      <c r="H1073" s="34" t="n">
        <v>109.9</v>
      </c>
      <c r="I1073" s="34" t="n">
        <v>0</v>
      </c>
      <c r="J1073" s="95" t="n">
        <f aca="false">IF(N(E1073)&gt;0,E1073,IF(N(F1073)&gt;0,F1073*가정!$B$5,0))</f>
        <v>399000</v>
      </c>
      <c r="K1073" s="95" t="n">
        <f aca="false">IF(N(F1073)&gt;0,F1073,IF(N(E1073)&gt;0,E1073/가정!$B$5,0))</f>
        <v>109400</v>
      </c>
      <c r="L1073" s="95" t="n">
        <f aca="false">IF(B1073="CN",IF(N(I1073)&gt;0,I1073*가정!$B$3,K1073*(1+가정!$B$6)),IF(N(H1073)&gt;0,H1073*가정!$B$3,J1073*가정!$B$4))</f>
        <v>149769.522</v>
      </c>
      <c r="M1073" s="95" t="n">
        <f aca="false">D1073*J1073</f>
        <v>67830000</v>
      </c>
      <c r="N1073" s="95" t="n">
        <f aca="false">D1073*K1073</f>
        <v>18598000</v>
      </c>
      <c r="O1073" s="95" t="n">
        <f aca="false">D1073*L1073</f>
        <v>25460818.74</v>
      </c>
      <c r="P1073" s="34" t="str">
        <f aca="false">TRIM(IF(N(E1073)&lt;=0,"택가보정 ","")&amp;IF(N(F1073)&lt;=0,"원가보정 ","")&amp;IF(AND(B1073&lt;&gt;"CN",N(H1073)&lt;=0),"공급가보정 ","")&amp;IF(AND(B1073="CN",N(I1073)&lt;=0),"중국공급가=원가+마진 ",""))</f>
        <v/>
      </c>
    </row>
    <row r="1074" customFormat="false" ht="15" hidden="false" customHeight="true" outlineLevel="0" collapsed="false">
      <c r="A1074" s="94" t="s">
        <v>1686</v>
      </c>
      <c r="B1074" s="34" t="str">
        <f aca="false">IF(A1074="100","HK",IF(A1074="200","CN",IF(A1074="300","TW","홀세일")))</f>
        <v>TW</v>
      </c>
      <c r="C1074" s="94" t="s">
        <v>1719</v>
      </c>
      <c r="D1074" s="95" t="n">
        <v>330</v>
      </c>
      <c r="E1074" s="95" t="n">
        <v>399000</v>
      </c>
      <c r="F1074" s="95" t="n">
        <v>109400</v>
      </c>
      <c r="G1074" s="34" t="n">
        <v>2.71</v>
      </c>
      <c r="H1074" s="34" t="n">
        <v>109.9</v>
      </c>
      <c r="I1074" s="34" t="n">
        <v>0</v>
      </c>
      <c r="J1074" s="95" t="n">
        <f aca="false">IF(N(E1074)&gt;0,E1074,IF(N(F1074)&gt;0,F1074*가정!$B$5,0))</f>
        <v>399000</v>
      </c>
      <c r="K1074" s="95" t="n">
        <f aca="false">IF(N(F1074)&gt;0,F1074,IF(N(E1074)&gt;0,E1074/가정!$B$5,0))</f>
        <v>109400</v>
      </c>
      <c r="L1074" s="95" t="n">
        <f aca="false">IF(B1074="CN",IF(N(I1074)&gt;0,I1074*가정!$B$3,K1074*(1+가정!$B$6)),IF(N(H1074)&gt;0,H1074*가정!$B$3,J1074*가정!$B$4))</f>
        <v>149769.522</v>
      </c>
      <c r="M1074" s="95" t="n">
        <f aca="false">D1074*J1074</f>
        <v>131670000</v>
      </c>
      <c r="N1074" s="95" t="n">
        <f aca="false">D1074*K1074</f>
        <v>36102000</v>
      </c>
      <c r="O1074" s="95" t="n">
        <f aca="false">D1074*L1074</f>
        <v>49423942.26</v>
      </c>
      <c r="P1074" s="34" t="str">
        <f aca="false">TRIM(IF(N(E1074)&lt;=0,"택가보정 ","")&amp;IF(N(F1074)&lt;=0,"원가보정 ","")&amp;IF(AND(B1074&lt;&gt;"CN",N(H1074)&lt;=0),"공급가보정 ","")&amp;IF(AND(B1074="CN",N(I1074)&lt;=0),"중국공급가=원가+마진 ",""))</f>
        <v/>
      </c>
    </row>
    <row r="1075" customFormat="false" ht="15" hidden="false" customHeight="true" outlineLevel="0" collapsed="false">
      <c r="A1075" s="94" t="s">
        <v>1688</v>
      </c>
      <c r="B1075" s="34" t="str">
        <f aca="false">IF(A1075="100","HK",IF(A1075="200","CN",IF(A1075="300","TW","홀세일")))</f>
        <v>홀세일</v>
      </c>
      <c r="C1075" s="94" t="s">
        <v>1719</v>
      </c>
      <c r="D1075" s="95" t="n">
        <v>45</v>
      </c>
      <c r="E1075" s="95" t="n">
        <v>399000</v>
      </c>
      <c r="F1075" s="95" t="n">
        <v>109400</v>
      </c>
      <c r="G1075" s="34" t="n">
        <v>2.71</v>
      </c>
      <c r="H1075" s="34" t="n">
        <v>109.9</v>
      </c>
      <c r="I1075" s="34" t="n">
        <v>0</v>
      </c>
      <c r="J1075" s="95" t="n">
        <f aca="false">IF(N(E1075)&gt;0,E1075,IF(N(F1075)&gt;0,F1075*가정!$B$5,0))</f>
        <v>399000</v>
      </c>
      <c r="K1075" s="95" t="n">
        <f aca="false">IF(N(F1075)&gt;0,F1075,IF(N(E1075)&gt;0,E1075/가정!$B$5,0))</f>
        <v>109400</v>
      </c>
      <c r="L1075" s="95" t="n">
        <f aca="false">IF(B1075="CN",IF(N(I1075)&gt;0,I1075*가정!$B$3,K1075*(1+가정!$B$6)),IF(N(H1075)&gt;0,H1075*가정!$B$3,J1075*가정!$B$4))</f>
        <v>149769.522</v>
      </c>
      <c r="M1075" s="95" t="n">
        <f aca="false">D1075*J1075</f>
        <v>17955000</v>
      </c>
      <c r="N1075" s="95" t="n">
        <f aca="false">D1075*K1075</f>
        <v>4923000</v>
      </c>
      <c r="O1075" s="95" t="n">
        <f aca="false">D1075*L1075</f>
        <v>6739628.49</v>
      </c>
      <c r="P1075" s="34" t="str">
        <f aca="false">TRIM(IF(N(E1075)&lt;=0,"택가보정 ","")&amp;IF(N(F1075)&lt;=0,"원가보정 ","")&amp;IF(AND(B1075&lt;&gt;"CN",N(H1075)&lt;=0),"공급가보정 ","")&amp;IF(AND(B1075="CN",N(I1075)&lt;=0),"중국공급가=원가+마진 ",""))</f>
        <v/>
      </c>
    </row>
    <row r="1076" customFormat="false" ht="15" hidden="false" customHeight="true" outlineLevel="0" collapsed="false">
      <c r="A1076" s="94" t="s">
        <v>1688</v>
      </c>
      <c r="B1076" s="34" t="str">
        <f aca="false">IF(A1076="100","HK",IF(A1076="200","CN",IF(A1076="300","TW","홀세일")))</f>
        <v>홀세일</v>
      </c>
      <c r="C1076" s="94" t="s">
        <v>1720</v>
      </c>
      <c r="D1076" s="95" t="n">
        <v>50</v>
      </c>
      <c r="E1076" s="95" t="n">
        <v>590000</v>
      </c>
      <c r="F1076" s="95" t="n">
        <v>184100</v>
      </c>
      <c r="G1076" s="34" t="n">
        <v>3.08</v>
      </c>
      <c r="H1076" s="34" t="n">
        <v>147.7</v>
      </c>
      <c r="I1076" s="34" t="n">
        <v>0</v>
      </c>
      <c r="J1076" s="95" t="n">
        <f aca="false">IF(N(E1076)&gt;0,E1076,IF(N(F1076)&gt;0,F1076*가정!$B$5,0))</f>
        <v>590000</v>
      </c>
      <c r="K1076" s="95" t="n">
        <f aca="false">IF(N(F1076)&gt;0,F1076,IF(N(E1076)&gt;0,E1076/가정!$B$5,0))</f>
        <v>184100</v>
      </c>
      <c r="L1076" s="95" t="n">
        <f aca="false">IF(B1076="CN",IF(N(I1076)&gt;0,I1076*가정!$B$3,K1076*(1+가정!$B$6)),IF(N(H1076)&gt;0,H1076*가정!$B$3,J1076*가정!$B$4))</f>
        <v>201282.606</v>
      </c>
      <c r="M1076" s="95" t="n">
        <f aca="false">D1076*J1076</f>
        <v>29500000</v>
      </c>
      <c r="N1076" s="95" t="n">
        <f aca="false">D1076*K1076</f>
        <v>9205000</v>
      </c>
      <c r="O1076" s="95" t="n">
        <f aca="false">D1076*L1076</f>
        <v>10064130.3</v>
      </c>
      <c r="P1076" s="34" t="str">
        <f aca="false">TRIM(IF(N(E1076)&lt;=0,"택가보정 ","")&amp;IF(N(F1076)&lt;=0,"원가보정 ","")&amp;IF(AND(B1076&lt;&gt;"CN",N(H1076)&lt;=0),"공급가보정 ","")&amp;IF(AND(B1076="CN",N(I1076)&lt;=0),"중국공급가=원가+마진 ",""))</f>
        <v/>
      </c>
    </row>
    <row r="1077" customFormat="false" ht="15" hidden="false" customHeight="true" outlineLevel="0" collapsed="false">
      <c r="A1077" s="94" t="s">
        <v>1684</v>
      </c>
      <c r="B1077" s="34" t="str">
        <f aca="false">IF(A1077="100","HK",IF(A1077="200","CN",IF(A1077="300","TW","홀세일")))</f>
        <v>HK</v>
      </c>
      <c r="C1077" s="94" t="s">
        <v>1721</v>
      </c>
      <c r="D1077" s="95" t="n">
        <v>120</v>
      </c>
      <c r="E1077" s="95" t="n">
        <v>690000</v>
      </c>
      <c r="F1077" s="95" t="n">
        <v>164800</v>
      </c>
      <c r="G1077" s="34" t="n">
        <v>2.93</v>
      </c>
      <c r="H1077" s="34" t="n">
        <v>172.7</v>
      </c>
      <c r="I1077" s="34" t="n">
        <v>0</v>
      </c>
      <c r="J1077" s="95" t="n">
        <f aca="false">IF(N(E1077)&gt;0,E1077,IF(N(F1077)&gt;0,F1077*가정!$B$5,0))</f>
        <v>690000</v>
      </c>
      <c r="K1077" s="95" t="n">
        <f aca="false">IF(N(F1077)&gt;0,F1077,IF(N(E1077)&gt;0,E1077/가정!$B$5,0))</f>
        <v>164800</v>
      </c>
      <c r="L1077" s="95" t="n">
        <f aca="false">IF(B1077="CN",IF(N(I1077)&gt;0,I1077*가정!$B$3,K1077*(1+가정!$B$6)),IF(N(H1077)&gt;0,H1077*가정!$B$3,J1077*가정!$B$4))</f>
        <v>235352.106</v>
      </c>
      <c r="M1077" s="95" t="n">
        <f aca="false">D1077*J1077</f>
        <v>82800000</v>
      </c>
      <c r="N1077" s="95" t="n">
        <f aca="false">D1077*K1077</f>
        <v>19776000</v>
      </c>
      <c r="O1077" s="95" t="n">
        <f aca="false">D1077*L1077</f>
        <v>28242252.72</v>
      </c>
      <c r="P1077" s="34" t="str">
        <f aca="false">TRIM(IF(N(E1077)&lt;=0,"택가보정 ","")&amp;IF(N(F1077)&lt;=0,"원가보정 ","")&amp;IF(AND(B1077&lt;&gt;"CN",N(H1077)&lt;=0),"공급가보정 ","")&amp;IF(AND(B1077="CN",N(I1077)&lt;=0),"중국공급가=원가+마진 ",""))</f>
        <v/>
      </c>
    </row>
    <row r="1078" customFormat="false" ht="15" hidden="false" customHeight="true" outlineLevel="0" collapsed="false">
      <c r="A1078" s="94" t="s">
        <v>1686</v>
      </c>
      <c r="B1078" s="34" t="str">
        <f aca="false">IF(A1078="100","HK",IF(A1078="200","CN",IF(A1078="300","TW","홀세일")))</f>
        <v>TW</v>
      </c>
      <c r="C1078" s="94" t="s">
        <v>1721</v>
      </c>
      <c r="D1078" s="95" t="n">
        <v>150</v>
      </c>
      <c r="E1078" s="95" t="n">
        <v>690000</v>
      </c>
      <c r="F1078" s="95" t="n">
        <v>164800</v>
      </c>
      <c r="G1078" s="34" t="n">
        <v>2.93</v>
      </c>
      <c r="H1078" s="34" t="n">
        <v>172.7</v>
      </c>
      <c r="I1078" s="34" t="n">
        <v>0</v>
      </c>
      <c r="J1078" s="95" t="n">
        <f aca="false">IF(N(E1078)&gt;0,E1078,IF(N(F1078)&gt;0,F1078*가정!$B$5,0))</f>
        <v>690000</v>
      </c>
      <c r="K1078" s="95" t="n">
        <f aca="false">IF(N(F1078)&gt;0,F1078,IF(N(E1078)&gt;0,E1078/가정!$B$5,0))</f>
        <v>164800</v>
      </c>
      <c r="L1078" s="95" t="n">
        <f aca="false">IF(B1078="CN",IF(N(I1078)&gt;0,I1078*가정!$B$3,K1078*(1+가정!$B$6)),IF(N(H1078)&gt;0,H1078*가정!$B$3,J1078*가정!$B$4))</f>
        <v>235352.106</v>
      </c>
      <c r="M1078" s="95" t="n">
        <f aca="false">D1078*J1078</f>
        <v>103500000</v>
      </c>
      <c r="N1078" s="95" t="n">
        <f aca="false">D1078*K1078</f>
        <v>24720000</v>
      </c>
      <c r="O1078" s="95" t="n">
        <f aca="false">D1078*L1078</f>
        <v>35302815.9</v>
      </c>
      <c r="P1078" s="34" t="str">
        <f aca="false">TRIM(IF(N(E1078)&lt;=0,"택가보정 ","")&amp;IF(N(F1078)&lt;=0,"원가보정 ","")&amp;IF(AND(B1078&lt;&gt;"CN",N(H1078)&lt;=0),"공급가보정 ","")&amp;IF(AND(B1078="CN",N(I1078)&lt;=0),"중국공급가=원가+마진 ",""))</f>
        <v/>
      </c>
    </row>
    <row r="1079" customFormat="false" ht="15" hidden="false" customHeight="true" outlineLevel="0" collapsed="false">
      <c r="A1079" s="94" t="s">
        <v>1688</v>
      </c>
      <c r="B1079" s="34" t="str">
        <f aca="false">IF(A1079="100","HK",IF(A1079="200","CN",IF(A1079="300","TW","홀세일")))</f>
        <v>홀세일</v>
      </c>
      <c r="C1079" s="94" t="s">
        <v>1721</v>
      </c>
      <c r="D1079" s="95" t="n">
        <v>25</v>
      </c>
      <c r="E1079" s="95" t="n">
        <v>690000</v>
      </c>
      <c r="F1079" s="95" t="n">
        <v>164800</v>
      </c>
      <c r="G1079" s="34" t="n">
        <v>2.93</v>
      </c>
      <c r="H1079" s="34" t="n">
        <v>172.7</v>
      </c>
      <c r="I1079" s="34" t="n">
        <v>0</v>
      </c>
      <c r="J1079" s="95" t="n">
        <f aca="false">IF(N(E1079)&gt;0,E1079,IF(N(F1079)&gt;0,F1079*가정!$B$5,0))</f>
        <v>690000</v>
      </c>
      <c r="K1079" s="95" t="n">
        <f aca="false">IF(N(F1079)&gt;0,F1079,IF(N(E1079)&gt;0,E1079/가정!$B$5,0))</f>
        <v>164800</v>
      </c>
      <c r="L1079" s="95" t="n">
        <f aca="false">IF(B1079="CN",IF(N(I1079)&gt;0,I1079*가정!$B$3,K1079*(1+가정!$B$6)),IF(N(H1079)&gt;0,H1079*가정!$B$3,J1079*가정!$B$4))</f>
        <v>235352.106</v>
      </c>
      <c r="M1079" s="95" t="n">
        <f aca="false">D1079*J1079</f>
        <v>17250000</v>
      </c>
      <c r="N1079" s="95" t="n">
        <f aca="false">D1079*K1079</f>
        <v>4120000</v>
      </c>
      <c r="O1079" s="95" t="n">
        <f aca="false">D1079*L1079</f>
        <v>5883802.65</v>
      </c>
      <c r="P1079" s="34" t="str">
        <f aca="false">TRIM(IF(N(E1079)&lt;=0,"택가보정 ","")&amp;IF(N(F1079)&lt;=0,"원가보정 ","")&amp;IF(AND(B1079&lt;&gt;"CN",N(H1079)&lt;=0),"공급가보정 ","")&amp;IF(AND(B1079="CN",N(I1079)&lt;=0),"중국공급가=원가+마진 ",""))</f>
        <v/>
      </c>
    </row>
    <row r="1080" customFormat="false" ht="15" hidden="false" customHeight="true" outlineLevel="0" collapsed="false">
      <c r="A1080" s="94" t="s">
        <v>1686</v>
      </c>
      <c r="B1080" s="34" t="str">
        <f aca="false">IF(A1080="100","HK",IF(A1080="200","CN",IF(A1080="300","TW","홀세일")))</f>
        <v>TW</v>
      </c>
      <c r="C1080" s="94" t="s">
        <v>1722</v>
      </c>
      <c r="D1080" s="95" t="n">
        <v>180</v>
      </c>
      <c r="E1080" s="95" t="n">
        <v>790000</v>
      </c>
      <c r="F1080" s="95" t="n">
        <v>255200</v>
      </c>
      <c r="G1080" s="34" t="n">
        <v>3.69</v>
      </c>
      <c r="H1080" s="34" t="n">
        <v>222.8</v>
      </c>
      <c r="I1080" s="34" t="n">
        <v>0</v>
      </c>
      <c r="J1080" s="95" t="n">
        <f aca="false">IF(N(E1080)&gt;0,E1080,IF(N(F1080)&gt;0,F1080*가정!$B$5,0))</f>
        <v>790000</v>
      </c>
      <c r="K1080" s="95" t="n">
        <f aca="false">IF(N(F1080)&gt;0,F1080,IF(N(E1080)&gt;0,E1080/가정!$B$5,0))</f>
        <v>255200</v>
      </c>
      <c r="L1080" s="95" t="n">
        <f aca="false">IF(B1080="CN",IF(N(I1080)&gt;0,I1080*가정!$B$3,K1080*(1+가정!$B$6)),IF(N(H1080)&gt;0,H1080*가정!$B$3,J1080*가정!$B$4))</f>
        <v>303627.384</v>
      </c>
      <c r="M1080" s="95" t="n">
        <f aca="false">D1080*J1080</f>
        <v>142200000</v>
      </c>
      <c r="N1080" s="95" t="n">
        <f aca="false">D1080*K1080</f>
        <v>45936000</v>
      </c>
      <c r="O1080" s="95" t="n">
        <f aca="false">D1080*L1080</f>
        <v>54652929.12</v>
      </c>
      <c r="P1080" s="34" t="str">
        <f aca="false">TRIM(IF(N(E1080)&lt;=0,"택가보정 ","")&amp;IF(N(F1080)&lt;=0,"원가보정 ","")&amp;IF(AND(B1080&lt;&gt;"CN",N(H1080)&lt;=0),"공급가보정 ","")&amp;IF(AND(B1080="CN",N(I1080)&lt;=0),"중국공급가=원가+마진 ",""))</f>
        <v/>
      </c>
    </row>
    <row r="1081" customFormat="false" ht="15" hidden="false" customHeight="true" outlineLevel="0" collapsed="false">
      <c r="A1081" s="94" t="s">
        <v>1688</v>
      </c>
      <c r="B1081" s="34" t="str">
        <f aca="false">IF(A1081="100","HK",IF(A1081="200","CN",IF(A1081="300","TW","홀세일")))</f>
        <v>홀세일</v>
      </c>
      <c r="C1081" s="94" t="s">
        <v>1722</v>
      </c>
      <c r="D1081" s="95" t="n">
        <v>25</v>
      </c>
      <c r="E1081" s="95" t="n">
        <v>790000</v>
      </c>
      <c r="F1081" s="95" t="n">
        <v>255200</v>
      </c>
      <c r="G1081" s="34" t="n">
        <v>3.69</v>
      </c>
      <c r="H1081" s="34" t="n">
        <v>222.8</v>
      </c>
      <c r="I1081" s="34" t="n">
        <v>0</v>
      </c>
      <c r="J1081" s="95" t="n">
        <f aca="false">IF(N(E1081)&gt;0,E1081,IF(N(F1081)&gt;0,F1081*가정!$B$5,0))</f>
        <v>790000</v>
      </c>
      <c r="K1081" s="95" t="n">
        <f aca="false">IF(N(F1081)&gt;0,F1081,IF(N(E1081)&gt;0,E1081/가정!$B$5,0))</f>
        <v>255200</v>
      </c>
      <c r="L1081" s="95" t="n">
        <f aca="false">IF(B1081="CN",IF(N(I1081)&gt;0,I1081*가정!$B$3,K1081*(1+가정!$B$6)),IF(N(H1081)&gt;0,H1081*가정!$B$3,J1081*가정!$B$4))</f>
        <v>303627.384</v>
      </c>
      <c r="M1081" s="95" t="n">
        <f aca="false">D1081*J1081</f>
        <v>19750000</v>
      </c>
      <c r="N1081" s="95" t="n">
        <f aca="false">D1081*K1081</f>
        <v>6380000</v>
      </c>
      <c r="O1081" s="95" t="n">
        <f aca="false">D1081*L1081</f>
        <v>7590684.6</v>
      </c>
      <c r="P1081" s="34" t="str">
        <f aca="false">TRIM(IF(N(E1081)&lt;=0,"택가보정 ","")&amp;IF(N(F1081)&lt;=0,"원가보정 ","")&amp;IF(AND(B1081&lt;&gt;"CN",N(H1081)&lt;=0),"공급가보정 ","")&amp;IF(AND(B1081="CN",N(I1081)&lt;=0),"중국공급가=원가+마진 ",""))</f>
        <v/>
      </c>
    </row>
    <row r="1082" customFormat="false" ht="15" hidden="false" customHeight="true" outlineLevel="0" collapsed="false">
      <c r="A1082" s="94" t="s">
        <v>1692</v>
      </c>
      <c r="B1082" s="34" t="str">
        <f aca="false">IF(A1082="100","HK",IF(A1082="200","CN",IF(A1082="300","TW","홀세일")))</f>
        <v>홀세일</v>
      </c>
      <c r="C1082" s="94" t="s">
        <v>1722</v>
      </c>
      <c r="D1082" s="95" t="n">
        <v>26</v>
      </c>
      <c r="E1082" s="95" t="n">
        <v>790000</v>
      </c>
      <c r="F1082" s="95" t="n">
        <v>255200</v>
      </c>
      <c r="G1082" s="34" t="n">
        <v>3.69</v>
      </c>
      <c r="H1082" s="34" t="n">
        <v>222.8</v>
      </c>
      <c r="I1082" s="34" t="n">
        <v>0</v>
      </c>
      <c r="J1082" s="95" t="n">
        <f aca="false">IF(N(E1082)&gt;0,E1082,IF(N(F1082)&gt;0,F1082*가정!$B$5,0))</f>
        <v>790000</v>
      </c>
      <c r="K1082" s="95" t="n">
        <f aca="false">IF(N(F1082)&gt;0,F1082,IF(N(E1082)&gt;0,E1082/가정!$B$5,0))</f>
        <v>255200</v>
      </c>
      <c r="L1082" s="95" t="n">
        <f aca="false">IF(B1082="CN",IF(N(I1082)&gt;0,I1082*가정!$B$3,K1082*(1+가정!$B$6)),IF(N(H1082)&gt;0,H1082*가정!$B$3,J1082*가정!$B$4))</f>
        <v>303627.384</v>
      </c>
      <c r="M1082" s="95" t="n">
        <f aca="false">D1082*J1082</f>
        <v>20540000</v>
      </c>
      <c r="N1082" s="95" t="n">
        <f aca="false">D1082*K1082</f>
        <v>6635200</v>
      </c>
      <c r="O1082" s="95" t="n">
        <f aca="false">D1082*L1082</f>
        <v>7894311.984</v>
      </c>
      <c r="P1082" s="34" t="str">
        <f aca="false">TRIM(IF(N(E1082)&lt;=0,"택가보정 ","")&amp;IF(N(F1082)&lt;=0,"원가보정 ","")&amp;IF(AND(B1082&lt;&gt;"CN",N(H1082)&lt;=0),"공급가보정 ","")&amp;IF(AND(B1082="CN",N(I1082)&lt;=0),"중국공급가=원가+마진 ",""))</f>
        <v/>
      </c>
    </row>
    <row r="1083" customFormat="false" ht="15" hidden="false" customHeight="true" outlineLevel="0" collapsed="false">
      <c r="A1083" s="94" t="s">
        <v>1685</v>
      </c>
      <c r="B1083" s="34" t="str">
        <f aca="false">IF(A1083="100","HK",IF(A1083="200","CN",IF(A1083="300","TW","홀세일")))</f>
        <v>CN</v>
      </c>
      <c r="C1083" s="94" t="s">
        <v>1138</v>
      </c>
      <c r="D1083" s="95" t="n">
        <v>418</v>
      </c>
      <c r="E1083" s="95" t="n">
        <v>239000</v>
      </c>
      <c r="F1083" s="95" t="n">
        <v>58569</v>
      </c>
      <c r="G1083" s="34" t="n">
        <v>3.4</v>
      </c>
      <c r="I1083" s="34" t="n">
        <v>44.6</v>
      </c>
      <c r="J1083" s="95" t="n">
        <f aca="false">IF(N(E1083)&gt;0,E1083,IF(N(F1083)&gt;0,F1083*가정!$B$5,0))</f>
        <v>239000</v>
      </c>
      <c r="K1083" s="95" t="n">
        <f aca="false">IF(N(F1083)&gt;0,F1083,IF(N(E1083)&gt;0,E1083/가정!$B$5,0))</f>
        <v>58569</v>
      </c>
      <c r="L1083" s="95" t="n">
        <f aca="false">IF(B1083="CN",IF(N(I1083)&gt;0,I1083*가정!$B$3,K1083*(1+가정!$B$6)),IF(N(H1083)&gt;0,H1083*가정!$B$3,J1083*가정!$B$4))</f>
        <v>60779.988</v>
      </c>
      <c r="M1083" s="95" t="n">
        <f aca="false">D1083*J1083</f>
        <v>99902000</v>
      </c>
      <c r="N1083" s="95" t="n">
        <f aca="false">D1083*K1083</f>
        <v>24481842</v>
      </c>
      <c r="O1083" s="95" t="n">
        <f aca="false">D1083*L1083</f>
        <v>25406034.984</v>
      </c>
      <c r="P1083" s="34" t="str">
        <f aca="false">TRIM(IF(N(E1083)&lt;=0,"택가보정 ","")&amp;IF(N(F1083)&lt;=0,"원가보정 ","")&amp;IF(AND(B1083&lt;&gt;"CN",N(H1083)&lt;=0),"공급가보정 ","")&amp;IF(AND(B1083="CN",N(I1083)&lt;=0),"중국공급가=원가+마진 ",""))</f>
        <v/>
      </c>
    </row>
    <row r="1084" customFormat="false" ht="15" hidden="false" customHeight="true" outlineLevel="0" collapsed="false">
      <c r="A1084" s="94" t="s">
        <v>1684</v>
      </c>
      <c r="B1084" s="34" t="str">
        <f aca="false">IF(A1084="100","HK",IF(A1084="200","CN",IF(A1084="300","TW","홀세일")))</f>
        <v>HK</v>
      </c>
      <c r="C1084" s="94" t="s">
        <v>573</v>
      </c>
      <c r="D1084" s="95" t="n">
        <v>360</v>
      </c>
      <c r="E1084" s="95" t="n">
        <v>189000</v>
      </c>
      <c r="F1084" s="95" t="n">
        <v>44000</v>
      </c>
      <c r="G1084" s="34" t="n">
        <v>3.46</v>
      </c>
      <c r="H1084" s="34" t="n">
        <v>47.3</v>
      </c>
      <c r="I1084" s="34" t="n">
        <v>0</v>
      </c>
      <c r="J1084" s="95" t="n">
        <f aca="false">IF(N(E1084)&gt;0,E1084,IF(N(F1084)&gt;0,F1084*가정!$B$5,0))</f>
        <v>189000</v>
      </c>
      <c r="K1084" s="95" t="n">
        <f aca="false">IF(N(F1084)&gt;0,F1084,IF(N(E1084)&gt;0,E1084/가정!$B$5,0))</f>
        <v>44000</v>
      </c>
      <c r="L1084" s="95" t="n">
        <f aca="false">IF(B1084="CN",IF(N(I1084)&gt;0,I1084*가정!$B$3,K1084*(1+가정!$B$6)),IF(N(H1084)&gt;0,H1084*가정!$B$3,J1084*가정!$B$4))</f>
        <v>64459.494</v>
      </c>
      <c r="M1084" s="95" t="n">
        <f aca="false">D1084*J1084</f>
        <v>68040000</v>
      </c>
      <c r="N1084" s="95" t="n">
        <f aca="false">D1084*K1084</f>
        <v>15840000</v>
      </c>
      <c r="O1084" s="95" t="n">
        <f aca="false">D1084*L1084</f>
        <v>23205417.84</v>
      </c>
      <c r="P1084" s="34" t="str">
        <f aca="false">TRIM(IF(N(E1084)&lt;=0,"택가보정 ","")&amp;IF(N(F1084)&lt;=0,"원가보정 ","")&amp;IF(AND(B1084&lt;&gt;"CN",N(H1084)&lt;=0),"공급가보정 ","")&amp;IF(AND(B1084="CN",N(I1084)&lt;=0),"중국공급가=원가+마진 ",""))</f>
        <v/>
      </c>
    </row>
    <row r="1085" customFormat="false" ht="15" hidden="false" customHeight="true" outlineLevel="0" collapsed="false">
      <c r="A1085" s="94" t="s">
        <v>1686</v>
      </c>
      <c r="B1085" s="34" t="str">
        <f aca="false">IF(A1085="100","HK",IF(A1085="200","CN",IF(A1085="300","TW","홀세일")))</f>
        <v>TW</v>
      </c>
      <c r="C1085" s="94" t="s">
        <v>573</v>
      </c>
      <c r="D1085" s="95" t="n">
        <v>440</v>
      </c>
      <c r="E1085" s="95" t="n">
        <v>189000</v>
      </c>
      <c r="F1085" s="95" t="n">
        <v>44000</v>
      </c>
      <c r="G1085" s="34" t="n">
        <v>3.46</v>
      </c>
      <c r="H1085" s="34" t="n">
        <v>47.3</v>
      </c>
      <c r="I1085" s="34" t="n">
        <v>0</v>
      </c>
      <c r="J1085" s="95" t="n">
        <f aca="false">IF(N(E1085)&gt;0,E1085,IF(N(F1085)&gt;0,F1085*가정!$B$5,0))</f>
        <v>189000</v>
      </c>
      <c r="K1085" s="95" t="n">
        <f aca="false">IF(N(F1085)&gt;0,F1085,IF(N(E1085)&gt;0,E1085/가정!$B$5,0))</f>
        <v>44000</v>
      </c>
      <c r="L1085" s="95" t="n">
        <f aca="false">IF(B1085="CN",IF(N(I1085)&gt;0,I1085*가정!$B$3,K1085*(1+가정!$B$6)),IF(N(H1085)&gt;0,H1085*가정!$B$3,J1085*가정!$B$4))</f>
        <v>64459.494</v>
      </c>
      <c r="M1085" s="95" t="n">
        <f aca="false">D1085*J1085</f>
        <v>83160000</v>
      </c>
      <c r="N1085" s="95" t="n">
        <f aca="false">D1085*K1085</f>
        <v>19360000</v>
      </c>
      <c r="O1085" s="95" t="n">
        <f aca="false">D1085*L1085</f>
        <v>28362177.36</v>
      </c>
      <c r="P1085" s="34" t="str">
        <f aca="false">TRIM(IF(N(E1085)&lt;=0,"택가보정 ","")&amp;IF(N(F1085)&lt;=0,"원가보정 ","")&amp;IF(AND(B1085&lt;&gt;"CN",N(H1085)&lt;=0),"공급가보정 ","")&amp;IF(AND(B1085="CN",N(I1085)&lt;=0),"중국공급가=원가+마진 ",""))</f>
        <v/>
      </c>
    </row>
    <row r="1086" customFormat="false" ht="15" hidden="false" customHeight="true" outlineLevel="0" collapsed="false">
      <c r="A1086" s="94" t="s">
        <v>1687</v>
      </c>
      <c r="B1086" s="34" t="str">
        <f aca="false">IF(A1086="100","HK",IF(A1086="200","CN",IF(A1086="300","TW","홀세일")))</f>
        <v>홀세일</v>
      </c>
      <c r="C1086" s="94" t="s">
        <v>573</v>
      </c>
      <c r="D1086" s="95" t="n">
        <v>135</v>
      </c>
      <c r="E1086" s="95" t="n">
        <v>189000</v>
      </c>
      <c r="F1086" s="95" t="n">
        <v>44000</v>
      </c>
      <c r="G1086" s="34" t="n">
        <v>3.46</v>
      </c>
      <c r="H1086" s="34" t="n">
        <v>47.3</v>
      </c>
      <c r="I1086" s="34" t="n">
        <v>0</v>
      </c>
      <c r="J1086" s="95" t="n">
        <f aca="false">IF(N(E1086)&gt;0,E1086,IF(N(F1086)&gt;0,F1086*가정!$B$5,0))</f>
        <v>189000</v>
      </c>
      <c r="K1086" s="95" t="n">
        <f aca="false">IF(N(F1086)&gt;0,F1086,IF(N(E1086)&gt;0,E1086/가정!$B$5,0))</f>
        <v>44000</v>
      </c>
      <c r="L1086" s="95" t="n">
        <f aca="false">IF(B1086="CN",IF(N(I1086)&gt;0,I1086*가정!$B$3,K1086*(1+가정!$B$6)),IF(N(H1086)&gt;0,H1086*가정!$B$3,J1086*가정!$B$4))</f>
        <v>64459.494</v>
      </c>
      <c r="M1086" s="95" t="n">
        <f aca="false">D1086*J1086</f>
        <v>25515000</v>
      </c>
      <c r="N1086" s="95" t="n">
        <f aca="false">D1086*K1086</f>
        <v>5940000</v>
      </c>
      <c r="O1086" s="95" t="n">
        <f aca="false">D1086*L1086</f>
        <v>8702031.69</v>
      </c>
      <c r="P1086" s="34" t="str">
        <f aca="false">TRIM(IF(N(E1086)&lt;=0,"택가보정 ","")&amp;IF(N(F1086)&lt;=0,"원가보정 ","")&amp;IF(AND(B1086&lt;&gt;"CN",N(H1086)&lt;=0),"공급가보정 ","")&amp;IF(AND(B1086="CN",N(I1086)&lt;=0),"중국공급가=원가+마진 ",""))</f>
        <v/>
      </c>
    </row>
    <row r="1087" customFormat="false" ht="15" hidden="false" customHeight="true" outlineLevel="0" collapsed="false">
      <c r="A1087" s="94" t="s">
        <v>1688</v>
      </c>
      <c r="B1087" s="34" t="str">
        <f aca="false">IF(A1087="100","HK",IF(A1087="200","CN",IF(A1087="300","TW","홀세일")))</f>
        <v>홀세일</v>
      </c>
      <c r="C1087" s="94" t="s">
        <v>573</v>
      </c>
      <c r="D1087" s="95" t="n">
        <v>15</v>
      </c>
      <c r="E1087" s="95" t="n">
        <v>189000</v>
      </c>
      <c r="F1087" s="95" t="n">
        <v>44000</v>
      </c>
      <c r="G1087" s="34" t="n">
        <v>3.46</v>
      </c>
      <c r="H1087" s="34" t="n">
        <v>47.3</v>
      </c>
      <c r="I1087" s="34" t="n">
        <v>0</v>
      </c>
      <c r="J1087" s="95" t="n">
        <f aca="false">IF(N(E1087)&gt;0,E1087,IF(N(F1087)&gt;0,F1087*가정!$B$5,0))</f>
        <v>189000</v>
      </c>
      <c r="K1087" s="95" t="n">
        <f aca="false">IF(N(F1087)&gt;0,F1087,IF(N(E1087)&gt;0,E1087/가정!$B$5,0))</f>
        <v>44000</v>
      </c>
      <c r="L1087" s="95" t="n">
        <f aca="false">IF(B1087="CN",IF(N(I1087)&gt;0,I1087*가정!$B$3,K1087*(1+가정!$B$6)),IF(N(H1087)&gt;0,H1087*가정!$B$3,J1087*가정!$B$4))</f>
        <v>64459.494</v>
      </c>
      <c r="M1087" s="95" t="n">
        <f aca="false">D1087*J1087</f>
        <v>2835000</v>
      </c>
      <c r="N1087" s="95" t="n">
        <f aca="false">D1087*K1087</f>
        <v>660000</v>
      </c>
      <c r="O1087" s="95" t="n">
        <f aca="false">D1087*L1087</f>
        <v>966892.41</v>
      </c>
      <c r="P1087" s="34" t="str">
        <f aca="false">TRIM(IF(N(E1087)&lt;=0,"택가보정 ","")&amp;IF(N(F1087)&lt;=0,"원가보정 ","")&amp;IF(AND(B1087&lt;&gt;"CN",N(H1087)&lt;=0),"공급가보정 ","")&amp;IF(AND(B1087="CN",N(I1087)&lt;=0),"중국공급가=원가+마진 ",""))</f>
        <v/>
      </c>
    </row>
    <row r="1088" customFormat="false" ht="15" hidden="false" customHeight="true" outlineLevel="0" collapsed="false">
      <c r="A1088" s="94" t="s">
        <v>1692</v>
      </c>
      <c r="B1088" s="34" t="str">
        <f aca="false">IF(A1088="100","HK",IF(A1088="200","CN",IF(A1088="300","TW","홀세일")))</f>
        <v>홀세일</v>
      </c>
      <c r="C1088" s="94" t="s">
        <v>573</v>
      </c>
      <c r="D1088" s="95" t="n">
        <v>71</v>
      </c>
      <c r="E1088" s="95" t="n">
        <v>189000</v>
      </c>
      <c r="F1088" s="95" t="n">
        <v>44000</v>
      </c>
      <c r="G1088" s="34" t="n">
        <v>3.46</v>
      </c>
      <c r="H1088" s="34" t="n">
        <v>47.3</v>
      </c>
      <c r="I1088" s="34" t="n">
        <v>0</v>
      </c>
      <c r="J1088" s="95" t="n">
        <f aca="false">IF(N(E1088)&gt;0,E1088,IF(N(F1088)&gt;0,F1088*가정!$B$5,0))</f>
        <v>189000</v>
      </c>
      <c r="K1088" s="95" t="n">
        <f aca="false">IF(N(F1088)&gt;0,F1088,IF(N(E1088)&gt;0,E1088/가정!$B$5,0))</f>
        <v>44000</v>
      </c>
      <c r="L1088" s="95" t="n">
        <f aca="false">IF(B1088="CN",IF(N(I1088)&gt;0,I1088*가정!$B$3,K1088*(1+가정!$B$6)),IF(N(H1088)&gt;0,H1088*가정!$B$3,J1088*가정!$B$4))</f>
        <v>64459.494</v>
      </c>
      <c r="M1088" s="95" t="n">
        <f aca="false">D1088*J1088</f>
        <v>13419000</v>
      </c>
      <c r="N1088" s="95" t="n">
        <f aca="false">D1088*K1088</f>
        <v>3124000</v>
      </c>
      <c r="O1088" s="95" t="n">
        <f aca="false">D1088*L1088</f>
        <v>4576624.074</v>
      </c>
      <c r="P1088" s="34" t="str">
        <f aca="false">TRIM(IF(N(E1088)&lt;=0,"택가보정 ","")&amp;IF(N(F1088)&lt;=0,"원가보정 ","")&amp;IF(AND(B1088&lt;&gt;"CN",N(H1088)&lt;=0),"공급가보정 ","")&amp;IF(AND(B1088="CN",N(I1088)&lt;=0),"중국공급가=원가+마진 ",""))</f>
        <v/>
      </c>
    </row>
    <row r="1089" customFormat="false" ht="15" hidden="false" customHeight="true" outlineLevel="0" collapsed="false">
      <c r="A1089" s="94" t="s">
        <v>1684</v>
      </c>
      <c r="B1089" s="34" t="str">
        <f aca="false">IF(A1089="100","HK",IF(A1089="200","CN",IF(A1089="300","TW","홀세일")))</f>
        <v>HK</v>
      </c>
      <c r="C1089" s="94" t="s">
        <v>575</v>
      </c>
      <c r="D1089" s="95" t="n">
        <v>110</v>
      </c>
      <c r="E1089" s="95" t="n">
        <v>179000</v>
      </c>
      <c r="F1089" s="95" t="n">
        <v>39500</v>
      </c>
      <c r="G1089" s="34" t="n">
        <v>3.51</v>
      </c>
      <c r="H1089" s="34" t="n">
        <v>44.8</v>
      </c>
      <c r="I1089" s="34" t="n">
        <v>0</v>
      </c>
      <c r="J1089" s="95" t="n">
        <f aca="false">IF(N(E1089)&gt;0,E1089,IF(N(F1089)&gt;0,F1089*가정!$B$5,0))</f>
        <v>179000</v>
      </c>
      <c r="K1089" s="95" t="n">
        <f aca="false">IF(N(F1089)&gt;0,F1089,IF(N(E1089)&gt;0,E1089/가정!$B$5,0))</f>
        <v>39500</v>
      </c>
      <c r="L1089" s="95" t="n">
        <f aca="false">IF(B1089="CN",IF(N(I1089)&gt;0,I1089*가정!$B$3,K1089*(1+가정!$B$6)),IF(N(H1089)&gt;0,H1089*가정!$B$3,J1089*가정!$B$4))</f>
        <v>61052.544</v>
      </c>
      <c r="M1089" s="95" t="n">
        <f aca="false">D1089*J1089</f>
        <v>19690000</v>
      </c>
      <c r="N1089" s="95" t="n">
        <f aca="false">D1089*K1089</f>
        <v>4345000</v>
      </c>
      <c r="O1089" s="95" t="n">
        <f aca="false">D1089*L1089</f>
        <v>6715779.84</v>
      </c>
      <c r="P1089" s="34" t="str">
        <f aca="false">TRIM(IF(N(E1089)&lt;=0,"택가보정 ","")&amp;IF(N(F1089)&lt;=0,"원가보정 ","")&amp;IF(AND(B1089&lt;&gt;"CN",N(H1089)&lt;=0),"공급가보정 ","")&amp;IF(AND(B1089="CN",N(I1089)&lt;=0),"중국공급가=원가+마진 ",""))</f>
        <v/>
      </c>
    </row>
    <row r="1090" customFormat="false" ht="15" hidden="false" customHeight="true" outlineLevel="0" collapsed="false">
      <c r="A1090" s="94" t="s">
        <v>1686</v>
      </c>
      <c r="B1090" s="34" t="str">
        <f aca="false">IF(A1090="100","HK",IF(A1090="200","CN",IF(A1090="300","TW","홀세일")))</f>
        <v>TW</v>
      </c>
      <c r="C1090" s="94" t="s">
        <v>575</v>
      </c>
      <c r="D1090" s="95" t="n">
        <v>540</v>
      </c>
      <c r="E1090" s="95" t="n">
        <v>179000</v>
      </c>
      <c r="F1090" s="95" t="n">
        <v>39500</v>
      </c>
      <c r="G1090" s="34" t="n">
        <v>3.51</v>
      </c>
      <c r="H1090" s="34" t="n">
        <v>44.8</v>
      </c>
      <c r="I1090" s="34" t="n">
        <v>0</v>
      </c>
      <c r="J1090" s="95" t="n">
        <f aca="false">IF(N(E1090)&gt;0,E1090,IF(N(F1090)&gt;0,F1090*가정!$B$5,0))</f>
        <v>179000</v>
      </c>
      <c r="K1090" s="95" t="n">
        <f aca="false">IF(N(F1090)&gt;0,F1090,IF(N(E1090)&gt;0,E1090/가정!$B$5,0))</f>
        <v>39500</v>
      </c>
      <c r="L1090" s="95" t="n">
        <f aca="false">IF(B1090="CN",IF(N(I1090)&gt;0,I1090*가정!$B$3,K1090*(1+가정!$B$6)),IF(N(H1090)&gt;0,H1090*가정!$B$3,J1090*가정!$B$4))</f>
        <v>61052.544</v>
      </c>
      <c r="M1090" s="95" t="n">
        <f aca="false">D1090*J1090</f>
        <v>96660000</v>
      </c>
      <c r="N1090" s="95" t="n">
        <f aca="false">D1090*K1090</f>
        <v>21330000</v>
      </c>
      <c r="O1090" s="95" t="n">
        <f aca="false">D1090*L1090</f>
        <v>32968373.76</v>
      </c>
      <c r="P1090" s="34" t="str">
        <f aca="false">TRIM(IF(N(E1090)&lt;=0,"택가보정 ","")&amp;IF(N(F1090)&lt;=0,"원가보정 ","")&amp;IF(AND(B1090&lt;&gt;"CN",N(H1090)&lt;=0),"공급가보정 ","")&amp;IF(AND(B1090="CN",N(I1090)&lt;=0),"중국공급가=원가+마진 ",""))</f>
        <v/>
      </c>
    </row>
    <row r="1091" customFormat="false" ht="15" hidden="false" customHeight="true" outlineLevel="0" collapsed="false">
      <c r="A1091" s="94" t="s">
        <v>1687</v>
      </c>
      <c r="B1091" s="34" t="str">
        <f aca="false">IF(A1091="100","HK",IF(A1091="200","CN",IF(A1091="300","TW","홀세일")))</f>
        <v>홀세일</v>
      </c>
      <c r="C1091" s="94" t="s">
        <v>575</v>
      </c>
      <c r="D1091" s="95" t="n">
        <v>140</v>
      </c>
      <c r="E1091" s="95" t="n">
        <v>179000</v>
      </c>
      <c r="F1091" s="95" t="n">
        <v>39500</v>
      </c>
      <c r="G1091" s="34" t="n">
        <v>3.51</v>
      </c>
      <c r="H1091" s="34" t="n">
        <v>44.8</v>
      </c>
      <c r="I1091" s="34" t="n">
        <v>0</v>
      </c>
      <c r="J1091" s="95" t="n">
        <f aca="false">IF(N(E1091)&gt;0,E1091,IF(N(F1091)&gt;0,F1091*가정!$B$5,0))</f>
        <v>179000</v>
      </c>
      <c r="K1091" s="95" t="n">
        <f aca="false">IF(N(F1091)&gt;0,F1091,IF(N(E1091)&gt;0,E1091/가정!$B$5,0))</f>
        <v>39500</v>
      </c>
      <c r="L1091" s="95" t="n">
        <f aca="false">IF(B1091="CN",IF(N(I1091)&gt;0,I1091*가정!$B$3,K1091*(1+가정!$B$6)),IF(N(H1091)&gt;0,H1091*가정!$B$3,J1091*가정!$B$4))</f>
        <v>61052.544</v>
      </c>
      <c r="M1091" s="95" t="n">
        <f aca="false">D1091*J1091</f>
        <v>25060000</v>
      </c>
      <c r="N1091" s="95" t="n">
        <f aca="false">D1091*K1091</f>
        <v>5530000</v>
      </c>
      <c r="O1091" s="95" t="n">
        <f aca="false">D1091*L1091</f>
        <v>8547356.16</v>
      </c>
      <c r="P1091" s="34" t="str">
        <f aca="false">TRIM(IF(N(E1091)&lt;=0,"택가보정 ","")&amp;IF(N(F1091)&lt;=0,"원가보정 ","")&amp;IF(AND(B1091&lt;&gt;"CN",N(H1091)&lt;=0),"공급가보정 ","")&amp;IF(AND(B1091="CN",N(I1091)&lt;=0),"중국공급가=원가+마진 ",""))</f>
        <v/>
      </c>
    </row>
    <row r="1092" customFormat="false" ht="15" hidden="false" customHeight="true" outlineLevel="0" collapsed="false">
      <c r="A1092" s="94" t="s">
        <v>1688</v>
      </c>
      <c r="B1092" s="34" t="str">
        <f aca="false">IF(A1092="100","HK",IF(A1092="200","CN",IF(A1092="300","TW","홀세일")))</f>
        <v>홀세일</v>
      </c>
      <c r="C1092" s="94" t="s">
        <v>575</v>
      </c>
      <c r="D1092" s="95" t="n">
        <v>40</v>
      </c>
      <c r="E1092" s="95" t="n">
        <v>179000</v>
      </c>
      <c r="F1092" s="95" t="n">
        <v>39500</v>
      </c>
      <c r="G1092" s="34" t="n">
        <v>3.51</v>
      </c>
      <c r="H1092" s="34" t="n">
        <v>44.8</v>
      </c>
      <c r="I1092" s="34" t="n">
        <v>0</v>
      </c>
      <c r="J1092" s="95" t="n">
        <f aca="false">IF(N(E1092)&gt;0,E1092,IF(N(F1092)&gt;0,F1092*가정!$B$5,0))</f>
        <v>179000</v>
      </c>
      <c r="K1092" s="95" t="n">
        <f aca="false">IF(N(F1092)&gt;0,F1092,IF(N(E1092)&gt;0,E1092/가정!$B$5,0))</f>
        <v>39500</v>
      </c>
      <c r="L1092" s="95" t="n">
        <f aca="false">IF(B1092="CN",IF(N(I1092)&gt;0,I1092*가정!$B$3,K1092*(1+가정!$B$6)),IF(N(H1092)&gt;0,H1092*가정!$B$3,J1092*가정!$B$4))</f>
        <v>61052.544</v>
      </c>
      <c r="M1092" s="95" t="n">
        <f aca="false">D1092*J1092</f>
        <v>7160000</v>
      </c>
      <c r="N1092" s="95" t="n">
        <f aca="false">D1092*K1092</f>
        <v>1580000</v>
      </c>
      <c r="O1092" s="95" t="n">
        <f aca="false">D1092*L1092</f>
        <v>2442101.76</v>
      </c>
      <c r="P1092" s="34" t="str">
        <f aca="false">TRIM(IF(N(E1092)&lt;=0,"택가보정 ","")&amp;IF(N(F1092)&lt;=0,"원가보정 ","")&amp;IF(AND(B1092&lt;&gt;"CN",N(H1092)&lt;=0),"공급가보정 ","")&amp;IF(AND(B1092="CN",N(I1092)&lt;=0),"중국공급가=원가+마진 ",""))</f>
        <v/>
      </c>
    </row>
    <row r="1093" customFormat="false" ht="15" hidden="false" customHeight="true" outlineLevel="0" collapsed="false">
      <c r="A1093" s="94" t="s">
        <v>1692</v>
      </c>
      <c r="B1093" s="34" t="str">
        <f aca="false">IF(A1093="100","HK",IF(A1093="200","CN",IF(A1093="300","TW","홀세일")))</f>
        <v>홀세일</v>
      </c>
      <c r="C1093" s="94" t="s">
        <v>575</v>
      </c>
      <c r="D1093" s="95" t="n">
        <v>81</v>
      </c>
      <c r="E1093" s="95" t="n">
        <v>179000</v>
      </c>
      <c r="F1093" s="95" t="n">
        <v>39500</v>
      </c>
      <c r="G1093" s="34" t="n">
        <v>3.51</v>
      </c>
      <c r="H1093" s="34" t="n">
        <v>44.8</v>
      </c>
      <c r="I1093" s="34" t="n">
        <v>0</v>
      </c>
      <c r="J1093" s="95" t="n">
        <f aca="false">IF(N(E1093)&gt;0,E1093,IF(N(F1093)&gt;0,F1093*가정!$B$5,0))</f>
        <v>179000</v>
      </c>
      <c r="K1093" s="95" t="n">
        <f aca="false">IF(N(F1093)&gt;0,F1093,IF(N(E1093)&gt;0,E1093/가정!$B$5,0))</f>
        <v>39500</v>
      </c>
      <c r="L1093" s="95" t="n">
        <f aca="false">IF(B1093="CN",IF(N(I1093)&gt;0,I1093*가정!$B$3,K1093*(1+가정!$B$6)),IF(N(H1093)&gt;0,H1093*가정!$B$3,J1093*가정!$B$4))</f>
        <v>61052.544</v>
      </c>
      <c r="M1093" s="95" t="n">
        <f aca="false">D1093*J1093</f>
        <v>14499000</v>
      </c>
      <c r="N1093" s="95" t="n">
        <f aca="false">D1093*K1093</f>
        <v>3199500</v>
      </c>
      <c r="O1093" s="95" t="n">
        <f aca="false">D1093*L1093</f>
        <v>4945256.064</v>
      </c>
      <c r="P1093" s="34" t="str">
        <f aca="false">TRIM(IF(N(E1093)&lt;=0,"택가보정 ","")&amp;IF(N(F1093)&lt;=0,"원가보정 ","")&amp;IF(AND(B1093&lt;&gt;"CN",N(H1093)&lt;=0),"공급가보정 ","")&amp;IF(AND(B1093="CN",N(I1093)&lt;=0),"중국공급가=원가+마진 ",""))</f>
        <v/>
      </c>
    </row>
    <row r="1094" customFormat="false" ht="15" hidden="false" customHeight="true" outlineLevel="0" collapsed="false">
      <c r="A1094" s="94" t="s">
        <v>1686</v>
      </c>
      <c r="B1094" s="34" t="str">
        <f aca="false">IF(A1094="100","HK",IF(A1094="200","CN",IF(A1094="300","TW","홀세일")))</f>
        <v>TW</v>
      </c>
      <c r="C1094" s="94" t="s">
        <v>577</v>
      </c>
      <c r="D1094" s="95" t="n">
        <v>380</v>
      </c>
      <c r="E1094" s="95" t="n">
        <v>199000</v>
      </c>
      <c r="F1094" s="95" t="n">
        <v>54400</v>
      </c>
      <c r="G1094" s="34" t="n">
        <v>4.06</v>
      </c>
      <c r="H1094" s="34" t="n">
        <v>49.8</v>
      </c>
      <c r="I1094" s="34" t="n">
        <v>0</v>
      </c>
      <c r="J1094" s="95" t="n">
        <f aca="false">IF(N(E1094)&gt;0,E1094,IF(N(F1094)&gt;0,F1094*가정!$B$5,0))</f>
        <v>199000</v>
      </c>
      <c r="K1094" s="95" t="n">
        <f aca="false">IF(N(F1094)&gt;0,F1094,IF(N(E1094)&gt;0,E1094/가정!$B$5,0))</f>
        <v>54400</v>
      </c>
      <c r="L1094" s="95" t="n">
        <f aca="false">IF(B1094="CN",IF(N(I1094)&gt;0,I1094*가정!$B$3,K1094*(1+가정!$B$6)),IF(N(H1094)&gt;0,H1094*가정!$B$3,J1094*가정!$B$4))</f>
        <v>67866.444</v>
      </c>
      <c r="M1094" s="95" t="n">
        <f aca="false">D1094*J1094</f>
        <v>75620000</v>
      </c>
      <c r="N1094" s="95" t="n">
        <f aca="false">D1094*K1094</f>
        <v>20672000</v>
      </c>
      <c r="O1094" s="95" t="n">
        <f aca="false">D1094*L1094</f>
        <v>25789248.72</v>
      </c>
      <c r="P1094" s="34" t="str">
        <f aca="false">TRIM(IF(N(E1094)&lt;=0,"택가보정 ","")&amp;IF(N(F1094)&lt;=0,"원가보정 ","")&amp;IF(AND(B1094&lt;&gt;"CN",N(H1094)&lt;=0),"공급가보정 ","")&amp;IF(AND(B1094="CN",N(I1094)&lt;=0),"중국공급가=원가+마진 ",""))</f>
        <v/>
      </c>
    </row>
    <row r="1095" customFormat="false" ht="15" hidden="false" customHeight="true" outlineLevel="0" collapsed="false">
      <c r="A1095" s="94" t="s">
        <v>1687</v>
      </c>
      <c r="B1095" s="34" t="str">
        <f aca="false">IF(A1095="100","HK",IF(A1095="200","CN",IF(A1095="300","TW","홀세일")))</f>
        <v>홀세일</v>
      </c>
      <c r="C1095" s="94" t="s">
        <v>577</v>
      </c>
      <c r="D1095" s="95" t="n">
        <v>60</v>
      </c>
      <c r="E1095" s="95" t="n">
        <v>199000</v>
      </c>
      <c r="F1095" s="95" t="n">
        <v>54400</v>
      </c>
      <c r="G1095" s="34" t="n">
        <v>4.06</v>
      </c>
      <c r="H1095" s="34" t="n">
        <v>49.8</v>
      </c>
      <c r="I1095" s="34" t="n">
        <v>0</v>
      </c>
      <c r="J1095" s="95" t="n">
        <f aca="false">IF(N(E1095)&gt;0,E1095,IF(N(F1095)&gt;0,F1095*가정!$B$5,0))</f>
        <v>199000</v>
      </c>
      <c r="K1095" s="95" t="n">
        <f aca="false">IF(N(F1095)&gt;0,F1095,IF(N(E1095)&gt;0,E1095/가정!$B$5,0))</f>
        <v>54400</v>
      </c>
      <c r="L1095" s="95" t="n">
        <f aca="false">IF(B1095="CN",IF(N(I1095)&gt;0,I1095*가정!$B$3,K1095*(1+가정!$B$6)),IF(N(H1095)&gt;0,H1095*가정!$B$3,J1095*가정!$B$4))</f>
        <v>67866.444</v>
      </c>
      <c r="M1095" s="95" t="n">
        <f aca="false">D1095*J1095</f>
        <v>11940000</v>
      </c>
      <c r="N1095" s="95" t="n">
        <f aca="false">D1095*K1095</f>
        <v>3264000</v>
      </c>
      <c r="O1095" s="95" t="n">
        <f aca="false">D1095*L1095</f>
        <v>4071986.64</v>
      </c>
      <c r="P1095" s="34" t="str">
        <f aca="false">TRIM(IF(N(E1095)&lt;=0,"택가보정 ","")&amp;IF(N(F1095)&lt;=0,"원가보정 ","")&amp;IF(AND(B1095&lt;&gt;"CN",N(H1095)&lt;=0),"공급가보정 ","")&amp;IF(AND(B1095="CN",N(I1095)&lt;=0),"중국공급가=원가+마진 ",""))</f>
        <v/>
      </c>
    </row>
    <row r="1096" customFormat="false" ht="15" hidden="false" customHeight="true" outlineLevel="0" collapsed="false">
      <c r="A1096" s="94" t="s">
        <v>1688</v>
      </c>
      <c r="B1096" s="34" t="str">
        <f aca="false">IF(A1096="100","HK",IF(A1096="200","CN",IF(A1096="300","TW","홀세일")))</f>
        <v>홀세일</v>
      </c>
      <c r="C1096" s="94" t="s">
        <v>577</v>
      </c>
      <c r="D1096" s="95" t="n">
        <v>15</v>
      </c>
      <c r="E1096" s="95" t="n">
        <v>199000</v>
      </c>
      <c r="F1096" s="95" t="n">
        <v>54400</v>
      </c>
      <c r="G1096" s="34" t="n">
        <v>4.06</v>
      </c>
      <c r="H1096" s="34" t="n">
        <v>49.8</v>
      </c>
      <c r="I1096" s="34" t="n">
        <v>0</v>
      </c>
      <c r="J1096" s="95" t="n">
        <f aca="false">IF(N(E1096)&gt;0,E1096,IF(N(F1096)&gt;0,F1096*가정!$B$5,0))</f>
        <v>199000</v>
      </c>
      <c r="K1096" s="95" t="n">
        <f aca="false">IF(N(F1096)&gt;0,F1096,IF(N(E1096)&gt;0,E1096/가정!$B$5,0))</f>
        <v>54400</v>
      </c>
      <c r="L1096" s="95" t="n">
        <f aca="false">IF(B1096="CN",IF(N(I1096)&gt;0,I1096*가정!$B$3,K1096*(1+가정!$B$6)),IF(N(H1096)&gt;0,H1096*가정!$B$3,J1096*가정!$B$4))</f>
        <v>67866.444</v>
      </c>
      <c r="M1096" s="95" t="n">
        <f aca="false">D1096*J1096</f>
        <v>2985000</v>
      </c>
      <c r="N1096" s="95" t="n">
        <f aca="false">D1096*K1096</f>
        <v>816000</v>
      </c>
      <c r="O1096" s="95" t="n">
        <f aca="false">D1096*L1096</f>
        <v>1017996.66</v>
      </c>
      <c r="P1096" s="34" t="str">
        <f aca="false">TRIM(IF(N(E1096)&lt;=0,"택가보정 ","")&amp;IF(N(F1096)&lt;=0,"원가보정 ","")&amp;IF(AND(B1096&lt;&gt;"CN",N(H1096)&lt;=0),"공급가보정 ","")&amp;IF(AND(B1096="CN",N(I1096)&lt;=0),"중국공급가=원가+마진 ",""))</f>
        <v/>
      </c>
    </row>
    <row r="1097" customFormat="false" ht="15" hidden="false" customHeight="true" outlineLevel="0" collapsed="false">
      <c r="A1097" s="94" t="s">
        <v>1684</v>
      </c>
      <c r="B1097" s="34" t="str">
        <f aca="false">IF(A1097="100","HK",IF(A1097="200","CN",IF(A1097="300","TW","홀세일")))</f>
        <v>HK</v>
      </c>
      <c r="C1097" s="94" t="s">
        <v>1723</v>
      </c>
      <c r="D1097" s="95" t="n">
        <v>65</v>
      </c>
      <c r="E1097" s="95" t="n">
        <v>249000</v>
      </c>
      <c r="F1097" s="95" t="n">
        <v>76132</v>
      </c>
      <c r="G1097" s="34" t="n">
        <v>2.98</v>
      </c>
      <c r="H1097" s="34" t="n">
        <v>64</v>
      </c>
      <c r="J1097" s="95" t="n">
        <f aca="false">IF(N(E1097)&gt;0,E1097,IF(N(F1097)&gt;0,F1097*가정!$B$5,0))</f>
        <v>249000</v>
      </c>
      <c r="K1097" s="95" t="n">
        <f aca="false">IF(N(F1097)&gt;0,F1097,IF(N(E1097)&gt;0,E1097/가정!$B$5,0))</f>
        <v>76132</v>
      </c>
      <c r="L1097" s="95" t="n">
        <f aca="false">IF(B1097="CN",IF(N(I1097)&gt;0,I1097*가정!$B$3,K1097*(1+가정!$B$6)),IF(N(H1097)&gt;0,H1097*가정!$B$3,J1097*가정!$B$4))</f>
        <v>87217.92</v>
      </c>
      <c r="M1097" s="95" t="n">
        <f aca="false">D1097*J1097</f>
        <v>16185000</v>
      </c>
      <c r="N1097" s="95" t="n">
        <f aca="false">D1097*K1097</f>
        <v>4948580</v>
      </c>
      <c r="O1097" s="95" t="n">
        <f aca="false">D1097*L1097</f>
        <v>5669164.8</v>
      </c>
      <c r="P1097" s="34" t="str">
        <f aca="false">TRIM(IF(N(E1097)&lt;=0,"택가보정 ","")&amp;IF(N(F1097)&lt;=0,"원가보정 ","")&amp;IF(AND(B1097&lt;&gt;"CN",N(H1097)&lt;=0),"공급가보정 ","")&amp;IF(AND(B1097="CN",N(I1097)&lt;=0),"중국공급가=원가+마진 ",""))</f>
        <v/>
      </c>
    </row>
    <row r="1098" customFormat="false" ht="15" hidden="false" customHeight="true" outlineLevel="0" collapsed="false">
      <c r="A1098" s="94" t="s">
        <v>1684</v>
      </c>
      <c r="B1098" s="34" t="str">
        <f aca="false">IF(A1098="100","HK",IF(A1098="200","CN",IF(A1098="300","TW","홀세일")))</f>
        <v>HK</v>
      </c>
      <c r="C1098" s="94" t="s">
        <v>983</v>
      </c>
      <c r="D1098" s="95" t="n">
        <v>240</v>
      </c>
      <c r="E1098" s="95" t="n">
        <v>119000</v>
      </c>
      <c r="F1098" s="95" t="n">
        <v>28600</v>
      </c>
      <c r="G1098" s="34" t="n">
        <v>3.82</v>
      </c>
      <c r="H1098" s="34" t="n">
        <v>29.8</v>
      </c>
      <c r="I1098" s="34" t="n">
        <v>0</v>
      </c>
      <c r="J1098" s="95" t="n">
        <f aca="false">IF(N(E1098)&gt;0,E1098,IF(N(F1098)&gt;0,F1098*가정!$B$5,0))</f>
        <v>119000</v>
      </c>
      <c r="K1098" s="95" t="n">
        <f aca="false">IF(N(F1098)&gt;0,F1098,IF(N(E1098)&gt;0,E1098/가정!$B$5,0))</f>
        <v>28600</v>
      </c>
      <c r="L1098" s="95" t="n">
        <f aca="false">IF(B1098="CN",IF(N(I1098)&gt;0,I1098*가정!$B$3,K1098*(1+가정!$B$6)),IF(N(H1098)&gt;0,H1098*가정!$B$3,J1098*가정!$B$4))</f>
        <v>40610.844</v>
      </c>
      <c r="M1098" s="95" t="n">
        <f aca="false">D1098*J1098</f>
        <v>28560000</v>
      </c>
      <c r="N1098" s="95" t="n">
        <f aca="false">D1098*K1098</f>
        <v>6864000</v>
      </c>
      <c r="O1098" s="95" t="n">
        <f aca="false">D1098*L1098</f>
        <v>9746602.56</v>
      </c>
      <c r="P1098" s="34" t="str">
        <f aca="false">TRIM(IF(N(E1098)&lt;=0,"택가보정 ","")&amp;IF(N(F1098)&lt;=0,"원가보정 ","")&amp;IF(AND(B1098&lt;&gt;"CN",N(H1098)&lt;=0),"공급가보정 ","")&amp;IF(AND(B1098="CN",N(I1098)&lt;=0),"중국공급가=원가+마진 ",""))</f>
        <v/>
      </c>
    </row>
    <row r="1099" customFormat="false" ht="15" hidden="false" customHeight="true" outlineLevel="0" collapsed="false">
      <c r="A1099" s="94" t="s">
        <v>1692</v>
      </c>
      <c r="B1099" s="34" t="str">
        <f aca="false">IF(A1099="100","HK",IF(A1099="200","CN",IF(A1099="300","TW","홀세일")))</f>
        <v>홀세일</v>
      </c>
      <c r="C1099" s="94" t="s">
        <v>983</v>
      </c>
      <c r="D1099" s="95" t="n">
        <v>157</v>
      </c>
      <c r="E1099" s="95" t="n">
        <v>119000</v>
      </c>
      <c r="F1099" s="95" t="n">
        <v>28600</v>
      </c>
      <c r="G1099" s="34" t="n">
        <v>3.82</v>
      </c>
      <c r="H1099" s="34" t="n">
        <v>29.8</v>
      </c>
      <c r="I1099" s="34" t="n">
        <v>0</v>
      </c>
      <c r="J1099" s="95" t="n">
        <f aca="false">IF(N(E1099)&gt;0,E1099,IF(N(F1099)&gt;0,F1099*가정!$B$5,0))</f>
        <v>119000</v>
      </c>
      <c r="K1099" s="95" t="n">
        <f aca="false">IF(N(F1099)&gt;0,F1099,IF(N(E1099)&gt;0,E1099/가정!$B$5,0))</f>
        <v>28600</v>
      </c>
      <c r="L1099" s="95" t="n">
        <f aca="false">IF(B1099="CN",IF(N(I1099)&gt;0,I1099*가정!$B$3,K1099*(1+가정!$B$6)),IF(N(H1099)&gt;0,H1099*가정!$B$3,J1099*가정!$B$4))</f>
        <v>40610.844</v>
      </c>
      <c r="M1099" s="95" t="n">
        <f aca="false">D1099*J1099</f>
        <v>18683000</v>
      </c>
      <c r="N1099" s="95" t="n">
        <f aca="false">D1099*K1099</f>
        <v>4490200</v>
      </c>
      <c r="O1099" s="95" t="n">
        <f aca="false">D1099*L1099</f>
        <v>6375902.508</v>
      </c>
      <c r="P1099" s="34" t="str">
        <f aca="false">TRIM(IF(N(E1099)&lt;=0,"택가보정 ","")&amp;IF(N(F1099)&lt;=0,"원가보정 ","")&amp;IF(AND(B1099&lt;&gt;"CN",N(H1099)&lt;=0),"공급가보정 ","")&amp;IF(AND(B1099="CN",N(I1099)&lt;=0),"중국공급가=원가+마진 ",""))</f>
        <v/>
      </c>
    </row>
    <row r="1100" customFormat="false" ht="15" hidden="false" customHeight="true" outlineLevel="0" collapsed="false">
      <c r="A1100" s="94" t="s">
        <v>1688</v>
      </c>
      <c r="B1100" s="34" t="str">
        <f aca="false">IF(A1100="100","HK",IF(A1100="200","CN",IF(A1100="300","TW","홀세일")))</f>
        <v>홀세일</v>
      </c>
      <c r="C1100" s="94" t="s">
        <v>1379</v>
      </c>
      <c r="D1100" s="95" t="n">
        <v>65</v>
      </c>
      <c r="E1100" s="95" t="n">
        <v>109000</v>
      </c>
      <c r="F1100" s="95" t="n">
        <v>26700</v>
      </c>
      <c r="G1100" s="34" t="n">
        <v>3.81</v>
      </c>
      <c r="H1100" s="34" t="n">
        <v>27.3</v>
      </c>
      <c r="I1100" s="34" t="n">
        <v>0</v>
      </c>
      <c r="J1100" s="95" t="n">
        <f aca="false">IF(N(E1100)&gt;0,E1100,IF(N(F1100)&gt;0,F1100*가정!$B$5,0))</f>
        <v>109000</v>
      </c>
      <c r="K1100" s="95" t="n">
        <f aca="false">IF(N(F1100)&gt;0,F1100,IF(N(E1100)&gt;0,E1100/가정!$B$5,0))</f>
        <v>26700</v>
      </c>
      <c r="L1100" s="95" t="n">
        <f aca="false">IF(B1100="CN",IF(N(I1100)&gt;0,I1100*가정!$B$3,K1100*(1+가정!$B$6)),IF(N(H1100)&gt;0,H1100*가정!$B$3,J1100*가정!$B$4))</f>
        <v>37203.894</v>
      </c>
      <c r="M1100" s="95" t="n">
        <f aca="false">D1100*J1100</f>
        <v>7085000</v>
      </c>
      <c r="N1100" s="95" t="n">
        <f aca="false">D1100*K1100</f>
        <v>1735500</v>
      </c>
      <c r="O1100" s="95" t="n">
        <f aca="false">D1100*L1100</f>
        <v>2418253.11</v>
      </c>
      <c r="P1100" s="34" t="str">
        <f aca="false">TRIM(IF(N(E1100)&lt;=0,"택가보정 ","")&amp;IF(N(F1100)&lt;=0,"원가보정 ","")&amp;IF(AND(B1100&lt;&gt;"CN",N(H1100)&lt;=0),"공급가보정 ","")&amp;IF(AND(B1100="CN",N(I1100)&lt;=0),"중국공급가=원가+마진 ",""))</f>
        <v/>
      </c>
    </row>
    <row r="1101" customFormat="false" ht="15" hidden="false" customHeight="true" outlineLevel="0" collapsed="false">
      <c r="A1101" s="94" t="s">
        <v>1692</v>
      </c>
      <c r="B1101" s="34" t="str">
        <f aca="false">IF(A1101="100","HK",IF(A1101="200","CN",IF(A1101="300","TW","홀세일")))</f>
        <v>홀세일</v>
      </c>
      <c r="C1101" s="94" t="s">
        <v>1379</v>
      </c>
      <c r="D1101" s="95" t="n">
        <v>162</v>
      </c>
      <c r="E1101" s="95" t="n">
        <v>109000</v>
      </c>
      <c r="F1101" s="95" t="n">
        <v>26700</v>
      </c>
      <c r="G1101" s="34" t="n">
        <v>3.81</v>
      </c>
      <c r="H1101" s="34" t="n">
        <v>27.3</v>
      </c>
      <c r="I1101" s="34" t="n">
        <v>0</v>
      </c>
      <c r="J1101" s="95" t="n">
        <f aca="false">IF(N(E1101)&gt;0,E1101,IF(N(F1101)&gt;0,F1101*가정!$B$5,0))</f>
        <v>109000</v>
      </c>
      <c r="K1101" s="95" t="n">
        <f aca="false">IF(N(F1101)&gt;0,F1101,IF(N(E1101)&gt;0,E1101/가정!$B$5,0))</f>
        <v>26700</v>
      </c>
      <c r="L1101" s="95" t="n">
        <f aca="false">IF(B1101="CN",IF(N(I1101)&gt;0,I1101*가정!$B$3,K1101*(1+가정!$B$6)),IF(N(H1101)&gt;0,H1101*가정!$B$3,J1101*가정!$B$4))</f>
        <v>37203.894</v>
      </c>
      <c r="M1101" s="95" t="n">
        <f aca="false">D1101*J1101</f>
        <v>17658000</v>
      </c>
      <c r="N1101" s="95" t="n">
        <f aca="false">D1101*K1101</f>
        <v>4325400</v>
      </c>
      <c r="O1101" s="95" t="n">
        <f aca="false">D1101*L1101</f>
        <v>6027030.828</v>
      </c>
      <c r="P1101" s="34" t="str">
        <f aca="false">TRIM(IF(N(E1101)&lt;=0,"택가보정 ","")&amp;IF(N(F1101)&lt;=0,"원가보정 ","")&amp;IF(AND(B1101&lt;&gt;"CN",N(H1101)&lt;=0),"공급가보정 ","")&amp;IF(AND(B1101="CN",N(I1101)&lt;=0),"중국공급가=원가+마진 ",""))</f>
        <v/>
      </c>
    </row>
    <row r="1102" customFormat="false" ht="15" hidden="false" customHeight="true" outlineLevel="0" collapsed="false">
      <c r="A1102" s="94" t="s">
        <v>1684</v>
      </c>
      <c r="B1102" s="34" t="str">
        <f aca="false">IF(A1102="100","HK",IF(A1102="200","CN",IF(A1102="300","TW","홀세일")))</f>
        <v>HK</v>
      </c>
      <c r="C1102" s="94" t="s">
        <v>579</v>
      </c>
      <c r="D1102" s="95" t="n">
        <v>360</v>
      </c>
      <c r="E1102" s="95" t="n">
        <v>149000</v>
      </c>
      <c r="F1102" s="95" t="n">
        <v>32300</v>
      </c>
      <c r="G1102" s="34" t="n">
        <v>3.18</v>
      </c>
      <c r="H1102" s="34" t="n">
        <v>37.3</v>
      </c>
      <c r="I1102" s="34" t="n">
        <v>0</v>
      </c>
      <c r="J1102" s="95" t="n">
        <f aca="false">IF(N(E1102)&gt;0,E1102,IF(N(F1102)&gt;0,F1102*가정!$B$5,0))</f>
        <v>149000</v>
      </c>
      <c r="K1102" s="95" t="n">
        <f aca="false">IF(N(F1102)&gt;0,F1102,IF(N(E1102)&gt;0,E1102/가정!$B$5,0))</f>
        <v>32300</v>
      </c>
      <c r="L1102" s="95" t="n">
        <f aca="false">IF(B1102="CN",IF(N(I1102)&gt;0,I1102*가정!$B$3,K1102*(1+가정!$B$6)),IF(N(H1102)&gt;0,H1102*가정!$B$3,J1102*가정!$B$4))</f>
        <v>50831.694</v>
      </c>
      <c r="M1102" s="95" t="n">
        <f aca="false">D1102*J1102</f>
        <v>53640000</v>
      </c>
      <c r="N1102" s="95" t="n">
        <f aca="false">D1102*K1102</f>
        <v>11628000</v>
      </c>
      <c r="O1102" s="95" t="n">
        <f aca="false">D1102*L1102</f>
        <v>18299409.84</v>
      </c>
      <c r="P1102" s="34" t="str">
        <f aca="false">TRIM(IF(N(E1102)&lt;=0,"택가보정 ","")&amp;IF(N(F1102)&lt;=0,"원가보정 ","")&amp;IF(AND(B1102&lt;&gt;"CN",N(H1102)&lt;=0),"공급가보정 ","")&amp;IF(AND(B1102="CN",N(I1102)&lt;=0),"중국공급가=원가+마진 ",""))</f>
        <v/>
      </c>
    </row>
    <row r="1103" customFormat="false" ht="15" hidden="false" customHeight="true" outlineLevel="0" collapsed="false">
      <c r="A1103" s="94" t="s">
        <v>1686</v>
      </c>
      <c r="B1103" s="34" t="str">
        <f aca="false">IF(A1103="100","HK",IF(A1103="200","CN",IF(A1103="300","TW","홀세일")))</f>
        <v>TW</v>
      </c>
      <c r="C1103" s="94" t="s">
        <v>579</v>
      </c>
      <c r="D1103" s="95" t="n">
        <v>140</v>
      </c>
      <c r="E1103" s="95" t="n">
        <v>149000</v>
      </c>
      <c r="F1103" s="95" t="n">
        <v>32300</v>
      </c>
      <c r="G1103" s="34" t="n">
        <v>3.18</v>
      </c>
      <c r="H1103" s="34" t="n">
        <v>37.3</v>
      </c>
      <c r="I1103" s="34" t="n">
        <v>0</v>
      </c>
      <c r="J1103" s="95" t="n">
        <f aca="false">IF(N(E1103)&gt;0,E1103,IF(N(F1103)&gt;0,F1103*가정!$B$5,0))</f>
        <v>149000</v>
      </c>
      <c r="K1103" s="95" t="n">
        <f aca="false">IF(N(F1103)&gt;0,F1103,IF(N(E1103)&gt;0,E1103/가정!$B$5,0))</f>
        <v>32300</v>
      </c>
      <c r="L1103" s="95" t="n">
        <f aca="false">IF(B1103="CN",IF(N(I1103)&gt;0,I1103*가정!$B$3,K1103*(1+가정!$B$6)),IF(N(H1103)&gt;0,H1103*가정!$B$3,J1103*가정!$B$4))</f>
        <v>50831.694</v>
      </c>
      <c r="M1103" s="95" t="n">
        <f aca="false">D1103*J1103</f>
        <v>20860000</v>
      </c>
      <c r="N1103" s="95" t="n">
        <f aca="false">D1103*K1103</f>
        <v>4522000</v>
      </c>
      <c r="O1103" s="95" t="n">
        <f aca="false">D1103*L1103</f>
        <v>7116437.16</v>
      </c>
      <c r="P1103" s="34" t="str">
        <f aca="false">TRIM(IF(N(E1103)&lt;=0,"택가보정 ","")&amp;IF(N(F1103)&lt;=0,"원가보정 ","")&amp;IF(AND(B1103&lt;&gt;"CN",N(H1103)&lt;=0),"공급가보정 ","")&amp;IF(AND(B1103="CN",N(I1103)&lt;=0),"중국공급가=원가+마진 ",""))</f>
        <v/>
      </c>
    </row>
    <row r="1104" customFormat="false" ht="15" hidden="false" customHeight="true" outlineLevel="0" collapsed="false">
      <c r="A1104" s="94" t="s">
        <v>1692</v>
      </c>
      <c r="B1104" s="34" t="str">
        <f aca="false">IF(A1104="100","HK",IF(A1104="200","CN",IF(A1104="300","TW","홀세일")))</f>
        <v>홀세일</v>
      </c>
      <c r="C1104" s="94" t="s">
        <v>579</v>
      </c>
      <c r="D1104" s="95" t="n">
        <v>157</v>
      </c>
      <c r="E1104" s="95" t="n">
        <v>149000</v>
      </c>
      <c r="F1104" s="95" t="n">
        <v>32300</v>
      </c>
      <c r="G1104" s="34" t="n">
        <v>3.18</v>
      </c>
      <c r="H1104" s="34" t="n">
        <v>37.3</v>
      </c>
      <c r="I1104" s="34" t="n">
        <v>0</v>
      </c>
      <c r="J1104" s="95" t="n">
        <f aca="false">IF(N(E1104)&gt;0,E1104,IF(N(F1104)&gt;0,F1104*가정!$B$5,0))</f>
        <v>149000</v>
      </c>
      <c r="K1104" s="95" t="n">
        <f aca="false">IF(N(F1104)&gt;0,F1104,IF(N(E1104)&gt;0,E1104/가정!$B$5,0))</f>
        <v>32300</v>
      </c>
      <c r="L1104" s="95" t="n">
        <f aca="false">IF(B1104="CN",IF(N(I1104)&gt;0,I1104*가정!$B$3,K1104*(1+가정!$B$6)),IF(N(H1104)&gt;0,H1104*가정!$B$3,J1104*가정!$B$4))</f>
        <v>50831.694</v>
      </c>
      <c r="M1104" s="95" t="n">
        <f aca="false">D1104*J1104</f>
        <v>23393000</v>
      </c>
      <c r="N1104" s="95" t="n">
        <f aca="false">D1104*K1104</f>
        <v>5071100</v>
      </c>
      <c r="O1104" s="95" t="n">
        <f aca="false">D1104*L1104</f>
        <v>7980575.958</v>
      </c>
      <c r="P1104" s="34" t="str">
        <f aca="false">TRIM(IF(N(E1104)&lt;=0,"택가보정 ","")&amp;IF(N(F1104)&lt;=0,"원가보정 ","")&amp;IF(AND(B1104&lt;&gt;"CN",N(H1104)&lt;=0),"공급가보정 ","")&amp;IF(AND(B1104="CN",N(I1104)&lt;=0),"중국공급가=원가+마진 ",""))</f>
        <v/>
      </c>
    </row>
    <row r="1105" customFormat="false" ht="15" hidden="false" customHeight="true" outlineLevel="0" collapsed="false">
      <c r="A1105" s="94" t="s">
        <v>1686</v>
      </c>
      <c r="B1105" s="34" t="str">
        <f aca="false">IF(A1105="100","HK",IF(A1105="200","CN",IF(A1105="300","TW","홀세일")))</f>
        <v>TW</v>
      </c>
      <c r="C1105" s="94" t="s">
        <v>1381</v>
      </c>
      <c r="D1105" s="95" t="n">
        <v>180</v>
      </c>
      <c r="E1105" s="95" t="n">
        <v>199000</v>
      </c>
      <c r="F1105" s="95" t="n">
        <v>62100</v>
      </c>
      <c r="G1105" s="34" t="n">
        <v>3.66</v>
      </c>
      <c r="H1105" s="34" t="n">
        <v>49.8</v>
      </c>
      <c r="I1105" s="34" t="n">
        <v>0</v>
      </c>
      <c r="J1105" s="95" t="n">
        <f aca="false">IF(N(E1105)&gt;0,E1105,IF(N(F1105)&gt;0,F1105*가정!$B$5,0))</f>
        <v>199000</v>
      </c>
      <c r="K1105" s="95" t="n">
        <f aca="false">IF(N(F1105)&gt;0,F1105,IF(N(E1105)&gt;0,E1105/가정!$B$5,0))</f>
        <v>62100</v>
      </c>
      <c r="L1105" s="95" t="n">
        <f aca="false">IF(B1105="CN",IF(N(I1105)&gt;0,I1105*가정!$B$3,K1105*(1+가정!$B$6)),IF(N(H1105)&gt;0,H1105*가정!$B$3,J1105*가정!$B$4))</f>
        <v>67866.444</v>
      </c>
      <c r="M1105" s="95" t="n">
        <f aca="false">D1105*J1105</f>
        <v>35820000</v>
      </c>
      <c r="N1105" s="95" t="n">
        <f aca="false">D1105*K1105</f>
        <v>11178000</v>
      </c>
      <c r="O1105" s="95" t="n">
        <f aca="false">D1105*L1105</f>
        <v>12215959.92</v>
      </c>
      <c r="P1105" s="34" t="str">
        <f aca="false">TRIM(IF(N(E1105)&lt;=0,"택가보정 ","")&amp;IF(N(F1105)&lt;=0,"원가보정 ","")&amp;IF(AND(B1105&lt;&gt;"CN",N(H1105)&lt;=0),"공급가보정 ","")&amp;IF(AND(B1105="CN",N(I1105)&lt;=0),"중국공급가=원가+마진 ",""))</f>
        <v/>
      </c>
    </row>
    <row r="1106" customFormat="false" ht="15" hidden="false" customHeight="true" outlineLevel="0" collapsed="false">
      <c r="A1106" s="94" t="s">
        <v>1688</v>
      </c>
      <c r="B1106" s="34" t="str">
        <f aca="false">IF(A1106="100","HK",IF(A1106="200","CN",IF(A1106="300","TW","홀세일")))</f>
        <v>홀세일</v>
      </c>
      <c r="C1106" s="94" t="s">
        <v>1381</v>
      </c>
      <c r="D1106" s="95" t="n">
        <v>25</v>
      </c>
      <c r="E1106" s="95" t="n">
        <v>199000</v>
      </c>
      <c r="F1106" s="95" t="n">
        <v>62100</v>
      </c>
      <c r="G1106" s="34" t="n">
        <v>3.66</v>
      </c>
      <c r="H1106" s="34" t="n">
        <v>49.8</v>
      </c>
      <c r="I1106" s="34" t="n">
        <v>0</v>
      </c>
      <c r="J1106" s="95" t="n">
        <f aca="false">IF(N(E1106)&gt;0,E1106,IF(N(F1106)&gt;0,F1106*가정!$B$5,0))</f>
        <v>199000</v>
      </c>
      <c r="K1106" s="95" t="n">
        <f aca="false">IF(N(F1106)&gt;0,F1106,IF(N(E1106)&gt;0,E1106/가정!$B$5,0))</f>
        <v>62100</v>
      </c>
      <c r="L1106" s="95" t="n">
        <f aca="false">IF(B1106="CN",IF(N(I1106)&gt;0,I1106*가정!$B$3,K1106*(1+가정!$B$6)),IF(N(H1106)&gt;0,H1106*가정!$B$3,J1106*가정!$B$4))</f>
        <v>67866.444</v>
      </c>
      <c r="M1106" s="95" t="n">
        <f aca="false">D1106*J1106</f>
        <v>4975000</v>
      </c>
      <c r="N1106" s="95" t="n">
        <f aca="false">D1106*K1106</f>
        <v>1552500</v>
      </c>
      <c r="O1106" s="95" t="n">
        <f aca="false">D1106*L1106</f>
        <v>1696661.1</v>
      </c>
      <c r="P1106" s="34" t="str">
        <f aca="false">TRIM(IF(N(E1106)&lt;=0,"택가보정 ","")&amp;IF(N(F1106)&lt;=0,"원가보정 ","")&amp;IF(AND(B1106&lt;&gt;"CN",N(H1106)&lt;=0),"공급가보정 ","")&amp;IF(AND(B1106="CN",N(I1106)&lt;=0),"중국공급가=원가+마진 ",""))</f>
        <v/>
      </c>
    </row>
    <row r="1107" customFormat="false" ht="15" hidden="false" customHeight="true" outlineLevel="0" collapsed="false">
      <c r="A1107" s="94" t="s">
        <v>1684</v>
      </c>
      <c r="B1107" s="34" t="str">
        <f aca="false">IF(A1107="100","HK",IF(A1107="200","CN",IF(A1107="300","TW","홀세일")))</f>
        <v>HK</v>
      </c>
      <c r="C1107" s="94" t="s">
        <v>985</v>
      </c>
      <c r="D1107" s="95" t="n">
        <v>240</v>
      </c>
      <c r="E1107" s="95" t="n">
        <v>189000</v>
      </c>
      <c r="F1107" s="95" t="n">
        <v>53000</v>
      </c>
      <c r="G1107" s="34" t="n">
        <v>4.28</v>
      </c>
      <c r="H1107" s="34" t="n">
        <v>47.3</v>
      </c>
      <c r="I1107" s="34" t="n">
        <v>0</v>
      </c>
      <c r="J1107" s="95" t="n">
        <f aca="false">IF(N(E1107)&gt;0,E1107,IF(N(F1107)&gt;0,F1107*가정!$B$5,0))</f>
        <v>189000</v>
      </c>
      <c r="K1107" s="95" t="n">
        <f aca="false">IF(N(F1107)&gt;0,F1107,IF(N(E1107)&gt;0,E1107/가정!$B$5,0))</f>
        <v>53000</v>
      </c>
      <c r="L1107" s="95" t="n">
        <f aca="false">IF(B1107="CN",IF(N(I1107)&gt;0,I1107*가정!$B$3,K1107*(1+가정!$B$6)),IF(N(H1107)&gt;0,H1107*가정!$B$3,J1107*가정!$B$4))</f>
        <v>64459.494</v>
      </c>
      <c r="M1107" s="95" t="n">
        <f aca="false">D1107*J1107</f>
        <v>45360000</v>
      </c>
      <c r="N1107" s="95" t="n">
        <f aca="false">D1107*K1107</f>
        <v>12720000</v>
      </c>
      <c r="O1107" s="95" t="n">
        <f aca="false">D1107*L1107</f>
        <v>15470278.56</v>
      </c>
      <c r="P1107" s="34" t="str">
        <f aca="false">TRIM(IF(N(E1107)&lt;=0,"택가보정 ","")&amp;IF(N(F1107)&lt;=0,"원가보정 ","")&amp;IF(AND(B1107&lt;&gt;"CN",N(H1107)&lt;=0),"공급가보정 ","")&amp;IF(AND(B1107="CN",N(I1107)&lt;=0),"중국공급가=원가+마진 ",""))</f>
        <v/>
      </c>
    </row>
    <row r="1108" customFormat="false" ht="15" hidden="false" customHeight="true" outlineLevel="0" collapsed="false">
      <c r="A1108" s="94" t="s">
        <v>1688</v>
      </c>
      <c r="B1108" s="34" t="str">
        <f aca="false">IF(A1108="100","HK",IF(A1108="200","CN",IF(A1108="300","TW","홀세일")))</f>
        <v>홀세일</v>
      </c>
      <c r="C1108" s="94" t="s">
        <v>985</v>
      </c>
      <c r="D1108" s="95" t="n">
        <v>85</v>
      </c>
      <c r="E1108" s="95" t="n">
        <v>189000</v>
      </c>
      <c r="F1108" s="95" t="n">
        <v>53000</v>
      </c>
      <c r="G1108" s="34" t="n">
        <v>4.28</v>
      </c>
      <c r="H1108" s="34" t="n">
        <v>47.3</v>
      </c>
      <c r="I1108" s="34" t="n">
        <v>0</v>
      </c>
      <c r="J1108" s="95" t="n">
        <f aca="false">IF(N(E1108)&gt;0,E1108,IF(N(F1108)&gt;0,F1108*가정!$B$5,0))</f>
        <v>189000</v>
      </c>
      <c r="K1108" s="95" t="n">
        <f aca="false">IF(N(F1108)&gt;0,F1108,IF(N(E1108)&gt;0,E1108/가정!$B$5,0))</f>
        <v>53000</v>
      </c>
      <c r="L1108" s="95" t="n">
        <f aca="false">IF(B1108="CN",IF(N(I1108)&gt;0,I1108*가정!$B$3,K1108*(1+가정!$B$6)),IF(N(H1108)&gt;0,H1108*가정!$B$3,J1108*가정!$B$4))</f>
        <v>64459.494</v>
      </c>
      <c r="M1108" s="95" t="n">
        <f aca="false">D1108*J1108</f>
        <v>16065000</v>
      </c>
      <c r="N1108" s="95" t="n">
        <f aca="false">D1108*K1108</f>
        <v>4505000</v>
      </c>
      <c r="O1108" s="95" t="n">
        <f aca="false">D1108*L1108</f>
        <v>5479056.99</v>
      </c>
      <c r="P1108" s="34" t="str">
        <f aca="false">TRIM(IF(N(E1108)&lt;=0,"택가보정 ","")&amp;IF(N(F1108)&lt;=0,"원가보정 ","")&amp;IF(AND(B1108&lt;&gt;"CN",N(H1108)&lt;=0),"공급가보정 ","")&amp;IF(AND(B1108="CN",N(I1108)&lt;=0),"중국공급가=원가+마진 ",""))</f>
        <v/>
      </c>
    </row>
    <row r="1109" customFormat="false" ht="15" hidden="false" customHeight="true" outlineLevel="0" collapsed="false">
      <c r="A1109" s="94" t="s">
        <v>1685</v>
      </c>
      <c r="B1109" s="34" t="str">
        <f aca="false">IF(A1109="100","HK",IF(A1109="200","CN",IF(A1109="300","TW","홀세일")))</f>
        <v>CN</v>
      </c>
      <c r="C1109" s="94" t="s">
        <v>581</v>
      </c>
      <c r="D1109" s="95" t="n">
        <v>207</v>
      </c>
      <c r="E1109" s="95" t="n">
        <v>219000</v>
      </c>
      <c r="F1109" s="95" t="n">
        <v>47201</v>
      </c>
      <c r="G1109" s="34" t="n">
        <v>4.07</v>
      </c>
      <c r="H1109" s="34" t="n">
        <v>54.9</v>
      </c>
      <c r="I1109" s="34" t="n">
        <v>39</v>
      </c>
      <c r="J1109" s="95" t="n">
        <f aca="false">IF(N(E1109)&gt;0,E1109,IF(N(F1109)&gt;0,F1109*가정!$B$5,0))</f>
        <v>219000</v>
      </c>
      <c r="K1109" s="95" t="n">
        <f aca="false">IF(N(F1109)&gt;0,F1109,IF(N(E1109)&gt;0,E1109/가정!$B$5,0))</f>
        <v>47201</v>
      </c>
      <c r="L1109" s="95" t="n">
        <f aca="false">IF(B1109="CN",IF(N(I1109)&gt;0,I1109*가정!$B$3,K1109*(1+가정!$B$6)),IF(N(H1109)&gt;0,H1109*가정!$B$3,J1109*가정!$B$4))</f>
        <v>53148.42</v>
      </c>
      <c r="M1109" s="95" t="n">
        <f aca="false">D1109*J1109</f>
        <v>45333000</v>
      </c>
      <c r="N1109" s="95" t="n">
        <f aca="false">D1109*K1109</f>
        <v>9770607</v>
      </c>
      <c r="O1109" s="95" t="n">
        <f aca="false">D1109*L1109</f>
        <v>11001722.94</v>
      </c>
      <c r="P1109" s="34" t="str">
        <f aca="false">TRIM(IF(N(E1109)&lt;=0,"택가보정 ","")&amp;IF(N(F1109)&lt;=0,"원가보정 ","")&amp;IF(AND(B1109&lt;&gt;"CN",N(H1109)&lt;=0),"공급가보정 ","")&amp;IF(AND(B1109="CN",N(I1109)&lt;=0),"중국공급가=원가+마진 ",""))</f>
        <v/>
      </c>
    </row>
    <row r="1110" customFormat="false" ht="15" hidden="false" customHeight="true" outlineLevel="0" collapsed="false">
      <c r="A1110" s="94" t="s">
        <v>1685</v>
      </c>
      <c r="B1110" s="34" t="str">
        <f aca="false">IF(A1110="100","HK",IF(A1110="200","CN",IF(A1110="300","TW","홀세일")))</f>
        <v>CN</v>
      </c>
      <c r="C1110" s="94" t="s">
        <v>581</v>
      </c>
      <c r="D1110" s="95" t="n">
        <v>207</v>
      </c>
      <c r="E1110" s="95" t="n">
        <v>219000</v>
      </c>
      <c r="F1110" s="95" t="n">
        <v>47201</v>
      </c>
      <c r="G1110" s="34" t="n">
        <v>4.07</v>
      </c>
      <c r="H1110" s="34" t="n">
        <v>54.9</v>
      </c>
      <c r="I1110" s="34" t="n">
        <v>39</v>
      </c>
      <c r="J1110" s="95" t="n">
        <f aca="false">IF(N(E1110)&gt;0,E1110,IF(N(F1110)&gt;0,F1110*가정!$B$5,0))</f>
        <v>219000</v>
      </c>
      <c r="K1110" s="95" t="n">
        <f aca="false">IF(N(F1110)&gt;0,F1110,IF(N(E1110)&gt;0,E1110/가정!$B$5,0))</f>
        <v>47201</v>
      </c>
      <c r="L1110" s="95" t="n">
        <f aca="false">IF(B1110="CN",IF(N(I1110)&gt;0,I1110*가정!$B$3,K1110*(1+가정!$B$6)),IF(N(H1110)&gt;0,H1110*가정!$B$3,J1110*가정!$B$4))</f>
        <v>53148.42</v>
      </c>
      <c r="M1110" s="95" t="n">
        <f aca="false">D1110*J1110</f>
        <v>45333000</v>
      </c>
      <c r="N1110" s="95" t="n">
        <f aca="false">D1110*K1110</f>
        <v>9770607</v>
      </c>
      <c r="O1110" s="95" t="n">
        <f aca="false">D1110*L1110</f>
        <v>11001722.94</v>
      </c>
      <c r="P1110" s="34" t="str">
        <f aca="false">TRIM(IF(N(E1110)&lt;=0,"택가보정 ","")&amp;IF(N(F1110)&lt;=0,"원가보정 ","")&amp;IF(AND(B1110&lt;&gt;"CN",N(H1110)&lt;=0),"공급가보정 ","")&amp;IF(AND(B1110="CN",N(I1110)&lt;=0),"중국공급가=원가+마진 ",""))</f>
        <v/>
      </c>
    </row>
    <row r="1111" customFormat="false" ht="15" hidden="false" customHeight="true" outlineLevel="0" collapsed="false">
      <c r="A1111" s="94" t="s">
        <v>1686</v>
      </c>
      <c r="B1111" s="34" t="str">
        <f aca="false">IF(A1111="100","HK",IF(A1111="200","CN",IF(A1111="300","TW","홀세일")))</f>
        <v>TW</v>
      </c>
      <c r="C1111" s="94" t="s">
        <v>581</v>
      </c>
      <c r="D1111" s="95" t="n">
        <v>100</v>
      </c>
      <c r="E1111" s="95" t="n">
        <v>219000</v>
      </c>
      <c r="F1111" s="95" t="n">
        <v>47201</v>
      </c>
      <c r="G1111" s="34" t="n">
        <v>4.07</v>
      </c>
      <c r="H1111" s="34" t="n">
        <v>54.9</v>
      </c>
      <c r="I1111" s="34" t="n">
        <v>39</v>
      </c>
      <c r="J1111" s="95" t="n">
        <f aca="false">IF(N(E1111)&gt;0,E1111,IF(N(F1111)&gt;0,F1111*가정!$B$5,0))</f>
        <v>219000</v>
      </c>
      <c r="K1111" s="95" t="n">
        <f aca="false">IF(N(F1111)&gt;0,F1111,IF(N(E1111)&gt;0,E1111/가정!$B$5,0))</f>
        <v>47201</v>
      </c>
      <c r="L1111" s="95" t="n">
        <f aca="false">IF(B1111="CN",IF(N(I1111)&gt;0,I1111*가정!$B$3,K1111*(1+가정!$B$6)),IF(N(H1111)&gt;0,H1111*가정!$B$3,J1111*가정!$B$4))</f>
        <v>74816.622</v>
      </c>
      <c r="M1111" s="95" t="n">
        <f aca="false">D1111*J1111</f>
        <v>21900000</v>
      </c>
      <c r="N1111" s="95" t="n">
        <f aca="false">D1111*K1111</f>
        <v>4720100</v>
      </c>
      <c r="O1111" s="95" t="n">
        <f aca="false">D1111*L1111</f>
        <v>7481662.2</v>
      </c>
      <c r="P1111" s="34" t="str">
        <f aca="false">TRIM(IF(N(E1111)&lt;=0,"택가보정 ","")&amp;IF(N(F1111)&lt;=0,"원가보정 ","")&amp;IF(AND(B1111&lt;&gt;"CN",N(H1111)&lt;=0),"공급가보정 ","")&amp;IF(AND(B1111="CN",N(I1111)&lt;=0),"중국공급가=원가+마진 ",""))</f>
        <v/>
      </c>
    </row>
    <row r="1112" customFormat="false" ht="15" hidden="false" customHeight="true" outlineLevel="0" collapsed="false">
      <c r="A1112" s="94" t="s">
        <v>1689</v>
      </c>
      <c r="B1112" s="34" t="str">
        <f aca="false">IF(A1112="100","HK",IF(A1112="200","CN",IF(A1112="300","TW","홀세일")))</f>
        <v>홀세일</v>
      </c>
      <c r="C1112" s="94" t="s">
        <v>581</v>
      </c>
      <c r="D1112" s="95" t="n">
        <v>70</v>
      </c>
      <c r="E1112" s="95" t="n">
        <v>219000</v>
      </c>
      <c r="F1112" s="95" t="n">
        <v>47201</v>
      </c>
      <c r="G1112" s="34" t="n">
        <v>4.07</v>
      </c>
      <c r="H1112" s="34" t="n">
        <v>54.9</v>
      </c>
      <c r="I1112" s="34" t="n">
        <v>39</v>
      </c>
      <c r="J1112" s="95" t="n">
        <f aca="false">IF(N(E1112)&gt;0,E1112,IF(N(F1112)&gt;0,F1112*가정!$B$5,0))</f>
        <v>219000</v>
      </c>
      <c r="K1112" s="95" t="n">
        <f aca="false">IF(N(F1112)&gt;0,F1112,IF(N(E1112)&gt;0,E1112/가정!$B$5,0))</f>
        <v>47201</v>
      </c>
      <c r="L1112" s="95" t="n">
        <f aca="false">IF(B1112="CN",IF(N(I1112)&gt;0,I1112*가정!$B$3,K1112*(1+가정!$B$6)),IF(N(H1112)&gt;0,H1112*가정!$B$3,J1112*가정!$B$4))</f>
        <v>74816.622</v>
      </c>
      <c r="M1112" s="95" t="n">
        <f aca="false">D1112*J1112</f>
        <v>15330000</v>
      </c>
      <c r="N1112" s="95" t="n">
        <f aca="false">D1112*K1112</f>
        <v>3304070</v>
      </c>
      <c r="O1112" s="95" t="n">
        <f aca="false">D1112*L1112</f>
        <v>5237163.54</v>
      </c>
      <c r="P1112" s="34" t="str">
        <f aca="false">TRIM(IF(N(E1112)&lt;=0,"택가보정 ","")&amp;IF(N(F1112)&lt;=0,"원가보정 ","")&amp;IF(AND(B1112&lt;&gt;"CN",N(H1112)&lt;=0),"공급가보정 ","")&amp;IF(AND(B1112="CN",N(I1112)&lt;=0),"중국공급가=원가+마진 ",""))</f>
        <v/>
      </c>
    </row>
    <row r="1113" customFormat="false" ht="15" hidden="false" customHeight="true" outlineLevel="0" collapsed="false">
      <c r="A1113" s="94" t="s">
        <v>1686</v>
      </c>
      <c r="B1113" s="34" t="str">
        <f aca="false">IF(A1113="100","HK",IF(A1113="200","CN",IF(A1113="300","TW","홀세일")))</f>
        <v>TW</v>
      </c>
      <c r="C1113" s="94" t="s">
        <v>583</v>
      </c>
      <c r="D1113" s="95" t="n">
        <v>70</v>
      </c>
      <c r="E1113" s="95" t="n">
        <v>259000</v>
      </c>
      <c r="F1113" s="95" t="n">
        <v>66400</v>
      </c>
      <c r="G1113" s="34" t="n">
        <v>3.4</v>
      </c>
      <c r="H1113" s="34" t="n">
        <v>64.9</v>
      </c>
      <c r="I1113" s="34" t="n">
        <v>0</v>
      </c>
      <c r="J1113" s="95" t="n">
        <f aca="false">IF(N(E1113)&gt;0,E1113,IF(N(F1113)&gt;0,F1113*가정!$B$5,0))</f>
        <v>259000</v>
      </c>
      <c r="K1113" s="95" t="n">
        <f aca="false">IF(N(F1113)&gt;0,F1113,IF(N(E1113)&gt;0,E1113/가정!$B$5,0))</f>
        <v>66400</v>
      </c>
      <c r="L1113" s="95" t="n">
        <f aca="false">IF(B1113="CN",IF(N(I1113)&gt;0,I1113*가정!$B$3,K1113*(1+가정!$B$6)),IF(N(H1113)&gt;0,H1113*가정!$B$3,J1113*가정!$B$4))</f>
        <v>88444.422</v>
      </c>
      <c r="M1113" s="95" t="n">
        <f aca="false">D1113*J1113</f>
        <v>18130000</v>
      </c>
      <c r="N1113" s="95" t="n">
        <f aca="false">D1113*K1113</f>
        <v>4648000</v>
      </c>
      <c r="O1113" s="95" t="n">
        <f aca="false">D1113*L1113</f>
        <v>6191109.54</v>
      </c>
      <c r="P1113" s="34" t="str">
        <f aca="false">TRIM(IF(N(E1113)&lt;=0,"택가보정 ","")&amp;IF(N(F1113)&lt;=0,"원가보정 ","")&amp;IF(AND(B1113&lt;&gt;"CN",N(H1113)&lt;=0),"공급가보정 ","")&amp;IF(AND(B1113="CN",N(I1113)&lt;=0),"중국공급가=원가+마진 ",""))</f>
        <v/>
      </c>
    </row>
    <row r="1114" customFormat="false" ht="15" hidden="false" customHeight="true" outlineLevel="0" collapsed="false">
      <c r="A1114" s="94" t="s">
        <v>1688</v>
      </c>
      <c r="B1114" s="34" t="str">
        <f aca="false">IF(A1114="100","HK",IF(A1114="200","CN",IF(A1114="300","TW","홀세일")))</f>
        <v>홀세일</v>
      </c>
      <c r="C1114" s="94" t="s">
        <v>1383</v>
      </c>
      <c r="D1114" s="95" t="n">
        <v>25</v>
      </c>
      <c r="E1114" s="95" t="n">
        <v>239000</v>
      </c>
      <c r="F1114" s="95" t="n">
        <v>67200</v>
      </c>
      <c r="G1114" s="34" t="n">
        <v>3.56</v>
      </c>
      <c r="H1114" s="34" t="n">
        <v>59.9</v>
      </c>
      <c r="I1114" s="34" t="n">
        <v>0</v>
      </c>
      <c r="J1114" s="95" t="n">
        <f aca="false">IF(N(E1114)&gt;0,E1114,IF(N(F1114)&gt;0,F1114*가정!$B$5,0))</f>
        <v>239000</v>
      </c>
      <c r="K1114" s="95" t="n">
        <f aca="false">IF(N(F1114)&gt;0,F1114,IF(N(E1114)&gt;0,E1114/가정!$B$5,0))</f>
        <v>67200</v>
      </c>
      <c r="L1114" s="95" t="n">
        <f aca="false">IF(B1114="CN",IF(N(I1114)&gt;0,I1114*가정!$B$3,K1114*(1+가정!$B$6)),IF(N(H1114)&gt;0,H1114*가정!$B$3,J1114*가정!$B$4))</f>
        <v>81630.522</v>
      </c>
      <c r="M1114" s="95" t="n">
        <f aca="false">D1114*J1114</f>
        <v>5975000</v>
      </c>
      <c r="N1114" s="95" t="n">
        <f aca="false">D1114*K1114</f>
        <v>1680000</v>
      </c>
      <c r="O1114" s="95" t="n">
        <f aca="false">D1114*L1114</f>
        <v>2040763.05</v>
      </c>
      <c r="P1114" s="34" t="str">
        <f aca="false">TRIM(IF(N(E1114)&lt;=0,"택가보정 ","")&amp;IF(N(F1114)&lt;=0,"원가보정 ","")&amp;IF(AND(B1114&lt;&gt;"CN",N(H1114)&lt;=0),"공급가보정 ","")&amp;IF(AND(B1114="CN",N(I1114)&lt;=0),"중국공급가=원가+마진 ",""))</f>
        <v/>
      </c>
    </row>
    <row r="1115" customFormat="false" ht="15" hidden="false" customHeight="true" outlineLevel="0" collapsed="false">
      <c r="A1115" s="94" t="s">
        <v>1692</v>
      </c>
      <c r="B1115" s="34" t="str">
        <f aca="false">IF(A1115="100","HK",IF(A1115="200","CN",IF(A1115="300","TW","홀세일")))</f>
        <v>홀세일</v>
      </c>
      <c r="C1115" s="94" t="s">
        <v>1383</v>
      </c>
      <c r="D1115" s="95" t="n">
        <v>81</v>
      </c>
      <c r="E1115" s="95" t="n">
        <v>239000</v>
      </c>
      <c r="F1115" s="95" t="n">
        <v>67200</v>
      </c>
      <c r="G1115" s="34" t="n">
        <v>3.56</v>
      </c>
      <c r="H1115" s="34" t="n">
        <v>59.9</v>
      </c>
      <c r="I1115" s="34" t="n">
        <v>0</v>
      </c>
      <c r="J1115" s="95" t="n">
        <f aca="false">IF(N(E1115)&gt;0,E1115,IF(N(F1115)&gt;0,F1115*가정!$B$5,0))</f>
        <v>239000</v>
      </c>
      <c r="K1115" s="95" t="n">
        <f aca="false">IF(N(F1115)&gt;0,F1115,IF(N(E1115)&gt;0,E1115/가정!$B$5,0))</f>
        <v>67200</v>
      </c>
      <c r="L1115" s="95" t="n">
        <f aca="false">IF(B1115="CN",IF(N(I1115)&gt;0,I1115*가정!$B$3,K1115*(1+가정!$B$6)),IF(N(H1115)&gt;0,H1115*가정!$B$3,J1115*가정!$B$4))</f>
        <v>81630.522</v>
      </c>
      <c r="M1115" s="95" t="n">
        <f aca="false">D1115*J1115</f>
        <v>19359000</v>
      </c>
      <c r="N1115" s="95" t="n">
        <f aca="false">D1115*K1115</f>
        <v>5443200</v>
      </c>
      <c r="O1115" s="95" t="n">
        <f aca="false">D1115*L1115</f>
        <v>6612072.282</v>
      </c>
      <c r="P1115" s="34" t="str">
        <f aca="false">TRIM(IF(N(E1115)&lt;=0,"택가보정 ","")&amp;IF(N(F1115)&lt;=0,"원가보정 ","")&amp;IF(AND(B1115&lt;&gt;"CN",N(H1115)&lt;=0),"공급가보정 ","")&amp;IF(AND(B1115="CN",N(I1115)&lt;=0),"중국공급가=원가+마진 ",""))</f>
        <v/>
      </c>
    </row>
    <row r="1116" customFormat="false" ht="15" hidden="false" customHeight="true" outlineLevel="0" collapsed="false">
      <c r="A1116" s="94" t="s">
        <v>1687</v>
      </c>
      <c r="B1116" s="34" t="str">
        <f aca="false">IF(A1116="100","HK",IF(A1116="200","CN",IF(A1116="300","TW","홀세일")))</f>
        <v>홀세일</v>
      </c>
      <c r="C1116" s="94" t="s">
        <v>1385</v>
      </c>
      <c r="D1116" s="95" t="n">
        <v>90</v>
      </c>
      <c r="E1116" s="95" t="n">
        <v>159000</v>
      </c>
      <c r="F1116" s="95" t="n">
        <v>50300</v>
      </c>
      <c r="G1116" s="34" t="n">
        <v>3.94</v>
      </c>
      <c r="H1116" s="34" t="n">
        <v>39.8</v>
      </c>
      <c r="I1116" s="34" t="n">
        <v>0</v>
      </c>
      <c r="J1116" s="95" t="n">
        <f aca="false">IF(N(E1116)&gt;0,E1116,IF(N(F1116)&gt;0,F1116*가정!$B$5,0))</f>
        <v>159000</v>
      </c>
      <c r="K1116" s="95" t="n">
        <f aca="false">IF(N(F1116)&gt;0,F1116,IF(N(E1116)&gt;0,E1116/가정!$B$5,0))</f>
        <v>50300</v>
      </c>
      <c r="L1116" s="95" t="n">
        <f aca="false">IF(B1116="CN",IF(N(I1116)&gt;0,I1116*가정!$B$3,K1116*(1+가정!$B$6)),IF(N(H1116)&gt;0,H1116*가정!$B$3,J1116*가정!$B$4))</f>
        <v>54238.644</v>
      </c>
      <c r="M1116" s="95" t="n">
        <f aca="false">D1116*J1116</f>
        <v>14310000</v>
      </c>
      <c r="N1116" s="95" t="n">
        <f aca="false">D1116*K1116</f>
        <v>4527000</v>
      </c>
      <c r="O1116" s="95" t="n">
        <f aca="false">D1116*L1116</f>
        <v>4881477.96</v>
      </c>
      <c r="P1116" s="34" t="str">
        <f aca="false">TRIM(IF(N(E1116)&lt;=0,"택가보정 ","")&amp;IF(N(F1116)&lt;=0,"원가보정 ","")&amp;IF(AND(B1116&lt;&gt;"CN",N(H1116)&lt;=0),"공급가보정 ","")&amp;IF(AND(B1116="CN",N(I1116)&lt;=0),"중국공급가=원가+마진 ",""))</f>
        <v/>
      </c>
    </row>
    <row r="1117" customFormat="false" ht="15" hidden="false" customHeight="true" outlineLevel="0" collapsed="false">
      <c r="A1117" s="94" t="s">
        <v>1688</v>
      </c>
      <c r="B1117" s="34" t="str">
        <f aca="false">IF(A1117="100","HK",IF(A1117="200","CN",IF(A1117="300","TW","홀세일")))</f>
        <v>홀세일</v>
      </c>
      <c r="C1117" s="94" t="s">
        <v>1385</v>
      </c>
      <c r="D1117" s="95" t="n">
        <v>50</v>
      </c>
      <c r="E1117" s="95" t="n">
        <v>159000</v>
      </c>
      <c r="F1117" s="95" t="n">
        <v>50300</v>
      </c>
      <c r="G1117" s="34" t="n">
        <v>3.94</v>
      </c>
      <c r="H1117" s="34" t="n">
        <v>39.8</v>
      </c>
      <c r="I1117" s="34" t="n">
        <v>0</v>
      </c>
      <c r="J1117" s="95" t="n">
        <f aca="false">IF(N(E1117)&gt;0,E1117,IF(N(F1117)&gt;0,F1117*가정!$B$5,0))</f>
        <v>159000</v>
      </c>
      <c r="K1117" s="95" t="n">
        <f aca="false">IF(N(F1117)&gt;0,F1117,IF(N(E1117)&gt;0,E1117/가정!$B$5,0))</f>
        <v>50300</v>
      </c>
      <c r="L1117" s="95" t="n">
        <f aca="false">IF(B1117="CN",IF(N(I1117)&gt;0,I1117*가정!$B$3,K1117*(1+가정!$B$6)),IF(N(H1117)&gt;0,H1117*가정!$B$3,J1117*가정!$B$4))</f>
        <v>54238.644</v>
      </c>
      <c r="M1117" s="95" t="n">
        <f aca="false">D1117*J1117</f>
        <v>7950000</v>
      </c>
      <c r="N1117" s="95" t="n">
        <f aca="false">D1117*K1117</f>
        <v>2515000</v>
      </c>
      <c r="O1117" s="95" t="n">
        <f aca="false">D1117*L1117</f>
        <v>2711932.2</v>
      </c>
      <c r="P1117" s="34" t="str">
        <f aca="false">TRIM(IF(N(E1117)&lt;=0,"택가보정 ","")&amp;IF(N(F1117)&lt;=0,"원가보정 ","")&amp;IF(AND(B1117&lt;&gt;"CN",N(H1117)&lt;=0),"공급가보정 ","")&amp;IF(AND(B1117="CN",N(I1117)&lt;=0),"중국공급가=원가+마진 ",""))</f>
        <v/>
      </c>
    </row>
    <row r="1118" customFormat="false" ht="15" hidden="false" customHeight="true" outlineLevel="0" collapsed="false">
      <c r="A1118" s="94" t="s">
        <v>1690</v>
      </c>
      <c r="B1118" s="34" t="str">
        <f aca="false">IF(A1118="100","HK",IF(A1118="200","CN",IF(A1118="300","TW","홀세일")))</f>
        <v>홀세일</v>
      </c>
      <c r="C1118" s="94" t="s">
        <v>1724</v>
      </c>
      <c r="D1118" s="95" t="n">
        <v>216</v>
      </c>
      <c r="E1118" s="95" t="n">
        <v>159000</v>
      </c>
      <c r="F1118" s="95" t="n">
        <v>35600</v>
      </c>
      <c r="G1118" s="34" t="n">
        <v>4.06</v>
      </c>
      <c r="H1118" s="34" t="n">
        <v>37.4</v>
      </c>
      <c r="I1118" s="34" t="n">
        <v>0</v>
      </c>
      <c r="J1118" s="95" t="n">
        <f aca="false">IF(N(E1118)&gt;0,E1118,IF(N(F1118)&gt;0,F1118*가정!$B$5,0))</f>
        <v>159000</v>
      </c>
      <c r="K1118" s="95" t="n">
        <f aca="false">IF(N(F1118)&gt;0,F1118,IF(N(E1118)&gt;0,E1118/가정!$B$5,0))</f>
        <v>35600</v>
      </c>
      <c r="L1118" s="95" t="n">
        <f aca="false">IF(B1118="CN",IF(N(I1118)&gt;0,I1118*가정!$B$3,K1118*(1+가정!$B$6)),IF(N(H1118)&gt;0,H1118*가정!$B$3,J1118*가정!$B$4))</f>
        <v>50967.972</v>
      </c>
      <c r="M1118" s="95" t="n">
        <f aca="false">D1118*J1118</f>
        <v>34344000</v>
      </c>
      <c r="N1118" s="95" t="n">
        <f aca="false">D1118*K1118</f>
        <v>7689600</v>
      </c>
      <c r="O1118" s="95" t="n">
        <f aca="false">D1118*L1118</f>
        <v>11009081.952</v>
      </c>
      <c r="P1118" s="34" t="str">
        <f aca="false">TRIM(IF(N(E1118)&lt;=0,"택가보정 ","")&amp;IF(N(F1118)&lt;=0,"원가보정 ","")&amp;IF(AND(B1118&lt;&gt;"CN",N(H1118)&lt;=0),"공급가보정 ","")&amp;IF(AND(B1118="CN",N(I1118)&lt;=0),"중국공급가=원가+마진 ",""))</f>
        <v/>
      </c>
    </row>
    <row r="1119" customFormat="false" ht="15" hidden="false" customHeight="true" outlineLevel="0" collapsed="false">
      <c r="A1119" s="94" t="s">
        <v>1684</v>
      </c>
      <c r="B1119" s="34" t="str">
        <f aca="false">IF(A1119="100","HK",IF(A1119="200","CN",IF(A1119="300","TW","홀세일")))</f>
        <v>HK</v>
      </c>
      <c r="C1119" s="94" t="s">
        <v>585</v>
      </c>
      <c r="D1119" s="95" t="n">
        <v>130</v>
      </c>
      <c r="E1119" s="95" t="n">
        <v>199000</v>
      </c>
      <c r="F1119" s="95" t="n">
        <v>45800</v>
      </c>
      <c r="G1119" s="34" t="n">
        <v>4.13</v>
      </c>
      <c r="H1119" s="34" t="n">
        <v>46.8</v>
      </c>
      <c r="I1119" s="34" t="n">
        <v>0</v>
      </c>
      <c r="J1119" s="95" t="n">
        <f aca="false">IF(N(E1119)&gt;0,E1119,IF(N(F1119)&gt;0,F1119*가정!$B$5,0))</f>
        <v>199000</v>
      </c>
      <c r="K1119" s="95" t="n">
        <f aca="false">IF(N(F1119)&gt;0,F1119,IF(N(E1119)&gt;0,E1119/가정!$B$5,0))</f>
        <v>45800</v>
      </c>
      <c r="L1119" s="95" t="n">
        <f aca="false">IF(B1119="CN",IF(N(I1119)&gt;0,I1119*가정!$B$3,K1119*(1+가정!$B$6)),IF(N(H1119)&gt;0,H1119*가정!$B$3,J1119*가정!$B$4))</f>
        <v>63778.104</v>
      </c>
      <c r="M1119" s="95" t="n">
        <f aca="false">D1119*J1119</f>
        <v>25870000</v>
      </c>
      <c r="N1119" s="95" t="n">
        <f aca="false">D1119*K1119</f>
        <v>5954000</v>
      </c>
      <c r="O1119" s="95" t="n">
        <f aca="false">D1119*L1119</f>
        <v>8291153.52</v>
      </c>
      <c r="P1119" s="34" t="str">
        <f aca="false">TRIM(IF(N(E1119)&lt;=0,"택가보정 ","")&amp;IF(N(F1119)&lt;=0,"원가보정 ","")&amp;IF(AND(B1119&lt;&gt;"CN",N(H1119)&lt;=0),"공급가보정 ","")&amp;IF(AND(B1119="CN",N(I1119)&lt;=0),"중국공급가=원가+마진 ",""))</f>
        <v/>
      </c>
    </row>
    <row r="1120" customFormat="false" ht="15" hidden="false" customHeight="true" outlineLevel="0" collapsed="false">
      <c r="A1120" s="94" t="s">
        <v>1684</v>
      </c>
      <c r="B1120" s="34" t="str">
        <f aca="false">IF(A1120="100","HK",IF(A1120="200","CN",IF(A1120="300","TW","홀세일")))</f>
        <v>HK</v>
      </c>
      <c r="C1120" s="94" t="s">
        <v>585</v>
      </c>
      <c r="D1120" s="95" t="n">
        <v>130</v>
      </c>
      <c r="E1120" s="95" t="n">
        <v>199000</v>
      </c>
      <c r="F1120" s="95" t="n">
        <v>45800</v>
      </c>
      <c r="G1120" s="34" t="n">
        <v>4.13</v>
      </c>
      <c r="H1120" s="34" t="n">
        <v>46.8</v>
      </c>
      <c r="I1120" s="34" t="n">
        <v>0</v>
      </c>
      <c r="J1120" s="95" t="n">
        <f aca="false">IF(N(E1120)&gt;0,E1120,IF(N(F1120)&gt;0,F1120*가정!$B$5,0))</f>
        <v>199000</v>
      </c>
      <c r="K1120" s="95" t="n">
        <f aca="false">IF(N(F1120)&gt;0,F1120,IF(N(E1120)&gt;0,E1120/가정!$B$5,0))</f>
        <v>45800</v>
      </c>
      <c r="L1120" s="95" t="n">
        <f aca="false">IF(B1120="CN",IF(N(I1120)&gt;0,I1120*가정!$B$3,K1120*(1+가정!$B$6)),IF(N(H1120)&gt;0,H1120*가정!$B$3,J1120*가정!$B$4))</f>
        <v>63778.104</v>
      </c>
      <c r="M1120" s="95" t="n">
        <f aca="false">D1120*J1120</f>
        <v>25870000</v>
      </c>
      <c r="N1120" s="95" t="n">
        <f aca="false">D1120*K1120</f>
        <v>5954000</v>
      </c>
      <c r="O1120" s="95" t="n">
        <f aca="false">D1120*L1120</f>
        <v>8291153.52</v>
      </c>
      <c r="P1120" s="34" t="str">
        <f aca="false">TRIM(IF(N(E1120)&lt;=0,"택가보정 ","")&amp;IF(N(F1120)&lt;=0,"원가보정 ","")&amp;IF(AND(B1120&lt;&gt;"CN",N(H1120)&lt;=0),"공급가보정 ","")&amp;IF(AND(B1120="CN",N(I1120)&lt;=0),"중국공급가=원가+마진 ",""))</f>
        <v/>
      </c>
    </row>
    <row r="1121" customFormat="false" ht="15" hidden="false" customHeight="true" outlineLevel="0" collapsed="false">
      <c r="A1121" s="94" t="s">
        <v>1686</v>
      </c>
      <c r="B1121" s="34" t="str">
        <f aca="false">IF(A1121="100","HK",IF(A1121="200","CN",IF(A1121="300","TW","홀세일")))</f>
        <v>TW</v>
      </c>
      <c r="C1121" s="94" t="s">
        <v>585</v>
      </c>
      <c r="D1121" s="95" t="n">
        <v>600</v>
      </c>
      <c r="E1121" s="95" t="n">
        <v>199000</v>
      </c>
      <c r="F1121" s="95" t="n">
        <v>45800</v>
      </c>
      <c r="G1121" s="34" t="n">
        <v>4.13</v>
      </c>
      <c r="H1121" s="34" t="n">
        <v>46.8</v>
      </c>
      <c r="I1121" s="34" t="n">
        <v>0</v>
      </c>
      <c r="J1121" s="95" t="n">
        <f aca="false">IF(N(E1121)&gt;0,E1121,IF(N(F1121)&gt;0,F1121*가정!$B$5,0))</f>
        <v>199000</v>
      </c>
      <c r="K1121" s="95" t="n">
        <f aca="false">IF(N(F1121)&gt;0,F1121,IF(N(E1121)&gt;0,E1121/가정!$B$5,0))</f>
        <v>45800</v>
      </c>
      <c r="L1121" s="95" t="n">
        <f aca="false">IF(B1121="CN",IF(N(I1121)&gt;0,I1121*가정!$B$3,K1121*(1+가정!$B$6)),IF(N(H1121)&gt;0,H1121*가정!$B$3,J1121*가정!$B$4))</f>
        <v>63778.104</v>
      </c>
      <c r="M1121" s="95" t="n">
        <f aca="false">D1121*J1121</f>
        <v>119400000</v>
      </c>
      <c r="N1121" s="95" t="n">
        <f aca="false">D1121*K1121</f>
        <v>27480000</v>
      </c>
      <c r="O1121" s="95" t="n">
        <f aca="false">D1121*L1121</f>
        <v>38266862.4</v>
      </c>
      <c r="P1121" s="34" t="str">
        <f aca="false">TRIM(IF(N(E1121)&lt;=0,"택가보정 ","")&amp;IF(N(F1121)&lt;=0,"원가보정 ","")&amp;IF(AND(B1121&lt;&gt;"CN",N(H1121)&lt;=0),"공급가보정 ","")&amp;IF(AND(B1121="CN",N(I1121)&lt;=0),"중국공급가=원가+마진 ",""))</f>
        <v/>
      </c>
    </row>
    <row r="1122" customFormat="false" ht="15" hidden="false" customHeight="true" outlineLevel="0" collapsed="false">
      <c r="A1122" s="94" t="s">
        <v>1686</v>
      </c>
      <c r="B1122" s="34" t="str">
        <f aca="false">IF(A1122="100","HK",IF(A1122="200","CN",IF(A1122="300","TW","홀세일")))</f>
        <v>TW</v>
      </c>
      <c r="C1122" s="94" t="s">
        <v>585</v>
      </c>
      <c r="D1122" s="95" t="n">
        <v>600</v>
      </c>
      <c r="E1122" s="95" t="n">
        <v>199000</v>
      </c>
      <c r="F1122" s="95" t="n">
        <v>45800</v>
      </c>
      <c r="G1122" s="34" t="n">
        <v>4.13</v>
      </c>
      <c r="H1122" s="34" t="n">
        <v>46.8</v>
      </c>
      <c r="I1122" s="34" t="n">
        <v>0</v>
      </c>
      <c r="J1122" s="95" t="n">
        <f aca="false">IF(N(E1122)&gt;0,E1122,IF(N(F1122)&gt;0,F1122*가정!$B$5,0))</f>
        <v>199000</v>
      </c>
      <c r="K1122" s="95" t="n">
        <f aca="false">IF(N(F1122)&gt;0,F1122,IF(N(E1122)&gt;0,E1122/가정!$B$5,0))</f>
        <v>45800</v>
      </c>
      <c r="L1122" s="95" t="n">
        <f aca="false">IF(B1122="CN",IF(N(I1122)&gt;0,I1122*가정!$B$3,K1122*(1+가정!$B$6)),IF(N(H1122)&gt;0,H1122*가정!$B$3,J1122*가정!$B$4))</f>
        <v>63778.104</v>
      </c>
      <c r="M1122" s="95" t="n">
        <f aca="false">D1122*J1122</f>
        <v>119400000</v>
      </c>
      <c r="N1122" s="95" t="n">
        <f aca="false">D1122*K1122</f>
        <v>27480000</v>
      </c>
      <c r="O1122" s="95" t="n">
        <f aca="false">D1122*L1122</f>
        <v>38266862.4</v>
      </c>
      <c r="P1122" s="34" t="str">
        <f aca="false">TRIM(IF(N(E1122)&lt;=0,"택가보정 ","")&amp;IF(N(F1122)&lt;=0,"원가보정 ","")&amp;IF(AND(B1122&lt;&gt;"CN",N(H1122)&lt;=0),"공급가보정 ","")&amp;IF(AND(B1122="CN",N(I1122)&lt;=0),"중국공급가=원가+마진 ",""))</f>
        <v/>
      </c>
    </row>
    <row r="1123" customFormat="false" ht="15" hidden="false" customHeight="true" outlineLevel="0" collapsed="false">
      <c r="A1123" s="94" t="s">
        <v>1692</v>
      </c>
      <c r="B1123" s="34" t="str">
        <f aca="false">IF(A1123="100","HK",IF(A1123="200","CN",IF(A1123="300","TW","홀세일")))</f>
        <v>홀세일</v>
      </c>
      <c r="C1123" s="94" t="s">
        <v>585</v>
      </c>
      <c r="D1123" s="95" t="n">
        <v>191</v>
      </c>
      <c r="E1123" s="95" t="n">
        <v>199000</v>
      </c>
      <c r="F1123" s="95" t="n">
        <v>45800</v>
      </c>
      <c r="G1123" s="34" t="n">
        <v>4.13</v>
      </c>
      <c r="H1123" s="34" t="n">
        <v>46.8</v>
      </c>
      <c r="I1123" s="34" t="n">
        <v>0</v>
      </c>
      <c r="J1123" s="95" t="n">
        <f aca="false">IF(N(E1123)&gt;0,E1123,IF(N(F1123)&gt;0,F1123*가정!$B$5,0))</f>
        <v>199000</v>
      </c>
      <c r="K1123" s="95" t="n">
        <f aca="false">IF(N(F1123)&gt;0,F1123,IF(N(E1123)&gt;0,E1123/가정!$B$5,0))</f>
        <v>45800</v>
      </c>
      <c r="L1123" s="95" t="n">
        <f aca="false">IF(B1123="CN",IF(N(I1123)&gt;0,I1123*가정!$B$3,K1123*(1+가정!$B$6)),IF(N(H1123)&gt;0,H1123*가정!$B$3,J1123*가정!$B$4))</f>
        <v>63778.104</v>
      </c>
      <c r="M1123" s="95" t="n">
        <f aca="false">D1123*J1123</f>
        <v>38009000</v>
      </c>
      <c r="N1123" s="95" t="n">
        <f aca="false">D1123*K1123</f>
        <v>8747800</v>
      </c>
      <c r="O1123" s="95" t="n">
        <f aca="false">D1123*L1123</f>
        <v>12181617.864</v>
      </c>
      <c r="P1123" s="34" t="str">
        <f aca="false">TRIM(IF(N(E1123)&lt;=0,"택가보정 ","")&amp;IF(N(F1123)&lt;=0,"원가보정 ","")&amp;IF(AND(B1123&lt;&gt;"CN",N(H1123)&lt;=0),"공급가보정 ","")&amp;IF(AND(B1123="CN",N(I1123)&lt;=0),"중국공급가=원가+마진 ",""))</f>
        <v/>
      </c>
    </row>
    <row r="1124" customFormat="false" ht="15" hidden="false" customHeight="true" outlineLevel="0" collapsed="false">
      <c r="A1124" s="94" t="s">
        <v>1689</v>
      </c>
      <c r="B1124" s="34" t="str">
        <f aca="false">IF(A1124="100","HK",IF(A1124="200","CN",IF(A1124="300","TW","홀세일")))</f>
        <v>홀세일</v>
      </c>
      <c r="C1124" s="94" t="s">
        <v>585</v>
      </c>
      <c r="D1124" s="95" t="n">
        <v>90</v>
      </c>
      <c r="E1124" s="95" t="n">
        <v>199000</v>
      </c>
      <c r="F1124" s="95" t="n">
        <v>45800</v>
      </c>
      <c r="G1124" s="34" t="n">
        <v>4.13</v>
      </c>
      <c r="H1124" s="34" t="n">
        <v>46.8</v>
      </c>
      <c r="I1124" s="34" t="n">
        <v>0</v>
      </c>
      <c r="J1124" s="95" t="n">
        <f aca="false">IF(N(E1124)&gt;0,E1124,IF(N(F1124)&gt;0,F1124*가정!$B$5,0))</f>
        <v>199000</v>
      </c>
      <c r="K1124" s="95" t="n">
        <f aca="false">IF(N(F1124)&gt;0,F1124,IF(N(E1124)&gt;0,E1124/가정!$B$5,0))</f>
        <v>45800</v>
      </c>
      <c r="L1124" s="95" t="n">
        <f aca="false">IF(B1124="CN",IF(N(I1124)&gt;0,I1124*가정!$B$3,K1124*(1+가정!$B$6)),IF(N(H1124)&gt;0,H1124*가정!$B$3,J1124*가정!$B$4))</f>
        <v>63778.104</v>
      </c>
      <c r="M1124" s="95" t="n">
        <f aca="false">D1124*J1124</f>
        <v>17910000</v>
      </c>
      <c r="N1124" s="95" t="n">
        <f aca="false">D1124*K1124</f>
        <v>4122000</v>
      </c>
      <c r="O1124" s="95" t="n">
        <f aca="false">D1124*L1124</f>
        <v>5740029.36</v>
      </c>
      <c r="P1124" s="34" t="str">
        <f aca="false">TRIM(IF(N(E1124)&lt;=0,"택가보정 ","")&amp;IF(N(F1124)&lt;=0,"원가보정 ","")&amp;IF(AND(B1124&lt;&gt;"CN",N(H1124)&lt;=0),"공급가보정 ","")&amp;IF(AND(B1124="CN",N(I1124)&lt;=0),"중국공급가=원가+마진 ",""))</f>
        <v/>
      </c>
    </row>
    <row r="1125" customFormat="false" ht="15" hidden="false" customHeight="true" outlineLevel="0" collapsed="false">
      <c r="A1125" s="94" t="s">
        <v>1684</v>
      </c>
      <c r="B1125" s="34" t="str">
        <f aca="false">IF(A1125="100","HK",IF(A1125="200","CN",IF(A1125="300","TW","홀세일")))</f>
        <v>HK</v>
      </c>
      <c r="C1125" s="94" t="s">
        <v>987</v>
      </c>
      <c r="D1125" s="95" t="n">
        <v>285</v>
      </c>
      <c r="E1125" s="95" t="n">
        <v>129000</v>
      </c>
      <c r="F1125" s="95" t="n">
        <v>29400</v>
      </c>
      <c r="G1125" s="34" t="n">
        <v>4</v>
      </c>
      <c r="H1125" s="34" t="n">
        <v>31.3</v>
      </c>
      <c r="I1125" s="34" t="n">
        <v>0</v>
      </c>
      <c r="J1125" s="95" t="n">
        <f aca="false">IF(N(E1125)&gt;0,E1125,IF(N(F1125)&gt;0,F1125*가정!$B$5,0))</f>
        <v>129000</v>
      </c>
      <c r="K1125" s="95" t="n">
        <f aca="false">IF(N(F1125)&gt;0,F1125,IF(N(E1125)&gt;0,E1125/가정!$B$5,0))</f>
        <v>29400</v>
      </c>
      <c r="L1125" s="95" t="n">
        <f aca="false">IF(B1125="CN",IF(N(I1125)&gt;0,I1125*가정!$B$3,K1125*(1+가정!$B$6)),IF(N(H1125)&gt;0,H1125*가정!$B$3,J1125*가정!$B$4))</f>
        <v>42655.014</v>
      </c>
      <c r="M1125" s="95" t="n">
        <f aca="false">D1125*J1125</f>
        <v>36765000</v>
      </c>
      <c r="N1125" s="95" t="n">
        <f aca="false">D1125*K1125</f>
        <v>8379000</v>
      </c>
      <c r="O1125" s="95" t="n">
        <f aca="false">D1125*L1125</f>
        <v>12156678.99</v>
      </c>
      <c r="P1125" s="34" t="str">
        <f aca="false">TRIM(IF(N(E1125)&lt;=0,"택가보정 ","")&amp;IF(N(F1125)&lt;=0,"원가보정 ","")&amp;IF(AND(B1125&lt;&gt;"CN",N(H1125)&lt;=0),"공급가보정 ","")&amp;IF(AND(B1125="CN",N(I1125)&lt;=0),"중국공급가=원가+마진 ",""))</f>
        <v/>
      </c>
    </row>
    <row r="1126" customFormat="false" ht="15" hidden="false" customHeight="true" outlineLevel="0" collapsed="false">
      <c r="A1126" s="94" t="s">
        <v>1688</v>
      </c>
      <c r="B1126" s="34" t="str">
        <f aca="false">IF(A1126="100","HK",IF(A1126="200","CN",IF(A1126="300","TW","홀세일")))</f>
        <v>홀세일</v>
      </c>
      <c r="C1126" s="94" t="s">
        <v>987</v>
      </c>
      <c r="D1126" s="95" t="n">
        <v>40</v>
      </c>
      <c r="E1126" s="95" t="n">
        <v>129000</v>
      </c>
      <c r="F1126" s="95" t="n">
        <v>29400</v>
      </c>
      <c r="G1126" s="34" t="n">
        <v>4</v>
      </c>
      <c r="H1126" s="34" t="n">
        <v>31.3</v>
      </c>
      <c r="I1126" s="34" t="n">
        <v>0</v>
      </c>
      <c r="J1126" s="95" t="n">
        <f aca="false">IF(N(E1126)&gt;0,E1126,IF(N(F1126)&gt;0,F1126*가정!$B$5,0))</f>
        <v>129000</v>
      </c>
      <c r="K1126" s="95" t="n">
        <f aca="false">IF(N(F1126)&gt;0,F1126,IF(N(E1126)&gt;0,E1126/가정!$B$5,0))</f>
        <v>29400</v>
      </c>
      <c r="L1126" s="95" t="n">
        <f aca="false">IF(B1126="CN",IF(N(I1126)&gt;0,I1126*가정!$B$3,K1126*(1+가정!$B$6)),IF(N(H1126)&gt;0,H1126*가정!$B$3,J1126*가정!$B$4))</f>
        <v>42655.014</v>
      </c>
      <c r="M1126" s="95" t="n">
        <f aca="false">D1126*J1126</f>
        <v>5160000</v>
      </c>
      <c r="N1126" s="95" t="n">
        <f aca="false">D1126*K1126</f>
        <v>1176000</v>
      </c>
      <c r="O1126" s="95" t="n">
        <f aca="false">D1126*L1126</f>
        <v>1706200.56</v>
      </c>
      <c r="P1126" s="34" t="str">
        <f aca="false">TRIM(IF(N(E1126)&lt;=0,"택가보정 ","")&amp;IF(N(F1126)&lt;=0,"원가보정 ","")&amp;IF(AND(B1126&lt;&gt;"CN",N(H1126)&lt;=0),"공급가보정 ","")&amp;IF(AND(B1126="CN",N(I1126)&lt;=0),"중국공급가=원가+마진 ",""))</f>
        <v/>
      </c>
    </row>
    <row r="1127" customFormat="false" ht="15" hidden="false" customHeight="true" outlineLevel="0" collapsed="false">
      <c r="A1127" s="94" t="s">
        <v>1686</v>
      </c>
      <c r="B1127" s="34" t="str">
        <f aca="false">IF(A1127="100","HK",IF(A1127="200","CN",IF(A1127="300","TW","홀세일")))</f>
        <v>TW</v>
      </c>
      <c r="C1127" s="94" t="s">
        <v>587</v>
      </c>
      <c r="D1127" s="95" t="n">
        <v>100</v>
      </c>
      <c r="E1127" s="95" t="n">
        <v>159000</v>
      </c>
      <c r="F1127" s="95" t="n">
        <v>39400</v>
      </c>
      <c r="G1127" s="34" t="n">
        <v>3.82</v>
      </c>
      <c r="H1127" s="34" t="n">
        <v>37.4</v>
      </c>
      <c r="I1127" s="34" t="n">
        <v>0</v>
      </c>
      <c r="J1127" s="95" t="n">
        <f aca="false">IF(N(E1127)&gt;0,E1127,IF(N(F1127)&gt;0,F1127*가정!$B$5,0))</f>
        <v>159000</v>
      </c>
      <c r="K1127" s="95" t="n">
        <f aca="false">IF(N(F1127)&gt;0,F1127,IF(N(E1127)&gt;0,E1127/가정!$B$5,0))</f>
        <v>39400</v>
      </c>
      <c r="L1127" s="95" t="n">
        <f aca="false">IF(B1127="CN",IF(N(I1127)&gt;0,I1127*가정!$B$3,K1127*(1+가정!$B$6)),IF(N(H1127)&gt;0,H1127*가정!$B$3,J1127*가정!$B$4))</f>
        <v>50967.972</v>
      </c>
      <c r="M1127" s="95" t="n">
        <f aca="false">D1127*J1127</f>
        <v>15900000</v>
      </c>
      <c r="N1127" s="95" t="n">
        <f aca="false">D1127*K1127</f>
        <v>3940000</v>
      </c>
      <c r="O1127" s="95" t="n">
        <f aca="false">D1127*L1127</f>
        <v>5096797.2</v>
      </c>
      <c r="P1127" s="34" t="str">
        <f aca="false">TRIM(IF(N(E1127)&lt;=0,"택가보정 ","")&amp;IF(N(F1127)&lt;=0,"원가보정 ","")&amp;IF(AND(B1127&lt;&gt;"CN",N(H1127)&lt;=0),"공급가보정 ","")&amp;IF(AND(B1127="CN",N(I1127)&lt;=0),"중국공급가=원가+마진 ",""))</f>
        <v/>
      </c>
    </row>
    <row r="1128" customFormat="false" ht="15" hidden="false" customHeight="true" outlineLevel="0" collapsed="false">
      <c r="A1128" s="94" t="s">
        <v>1689</v>
      </c>
      <c r="B1128" s="34" t="str">
        <f aca="false">IF(A1128="100","HK",IF(A1128="200","CN",IF(A1128="300","TW","홀세일")))</f>
        <v>홀세일</v>
      </c>
      <c r="C1128" s="94" t="s">
        <v>587</v>
      </c>
      <c r="D1128" s="95" t="n">
        <v>70</v>
      </c>
      <c r="E1128" s="95" t="n">
        <v>159000</v>
      </c>
      <c r="F1128" s="95" t="n">
        <v>39400</v>
      </c>
      <c r="G1128" s="34" t="n">
        <v>3.82</v>
      </c>
      <c r="H1128" s="34" t="n">
        <v>37.4</v>
      </c>
      <c r="I1128" s="34" t="n">
        <v>0</v>
      </c>
      <c r="J1128" s="95" t="n">
        <f aca="false">IF(N(E1128)&gt;0,E1128,IF(N(F1128)&gt;0,F1128*가정!$B$5,0))</f>
        <v>159000</v>
      </c>
      <c r="K1128" s="95" t="n">
        <f aca="false">IF(N(F1128)&gt;0,F1128,IF(N(E1128)&gt;0,E1128/가정!$B$5,0))</f>
        <v>39400</v>
      </c>
      <c r="L1128" s="95" t="n">
        <f aca="false">IF(B1128="CN",IF(N(I1128)&gt;0,I1128*가정!$B$3,K1128*(1+가정!$B$6)),IF(N(H1128)&gt;0,H1128*가정!$B$3,J1128*가정!$B$4))</f>
        <v>50967.972</v>
      </c>
      <c r="M1128" s="95" t="n">
        <f aca="false">D1128*J1128</f>
        <v>11130000</v>
      </c>
      <c r="N1128" s="95" t="n">
        <f aca="false">D1128*K1128</f>
        <v>2758000</v>
      </c>
      <c r="O1128" s="95" t="n">
        <f aca="false">D1128*L1128</f>
        <v>3567758.04</v>
      </c>
      <c r="P1128" s="34" t="str">
        <f aca="false">TRIM(IF(N(E1128)&lt;=0,"택가보정 ","")&amp;IF(N(F1128)&lt;=0,"원가보정 ","")&amp;IF(AND(B1128&lt;&gt;"CN",N(H1128)&lt;=0),"공급가보정 ","")&amp;IF(AND(B1128="CN",N(I1128)&lt;=0),"중국공급가=원가+마진 ",""))</f>
        <v/>
      </c>
    </row>
    <row r="1129" customFormat="false" ht="15" hidden="false" customHeight="true" outlineLevel="0" collapsed="false">
      <c r="A1129" s="94" t="s">
        <v>1686</v>
      </c>
      <c r="B1129" s="34" t="str">
        <f aca="false">IF(A1129="100","HK",IF(A1129="200","CN",IF(A1129="300","TW","홀세일")))</f>
        <v>TW</v>
      </c>
      <c r="C1129" s="94" t="s">
        <v>589</v>
      </c>
      <c r="D1129" s="95" t="n">
        <v>60</v>
      </c>
      <c r="E1129" s="95" t="n">
        <v>149000</v>
      </c>
      <c r="F1129" s="95" t="n">
        <v>39100</v>
      </c>
      <c r="G1129" s="34" t="n">
        <v>3.79</v>
      </c>
      <c r="H1129" s="34" t="n">
        <v>35.1</v>
      </c>
      <c r="I1129" s="34" t="n">
        <v>0</v>
      </c>
      <c r="J1129" s="95" t="n">
        <f aca="false">IF(N(E1129)&gt;0,E1129,IF(N(F1129)&gt;0,F1129*가정!$B$5,0))</f>
        <v>149000</v>
      </c>
      <c r="K1129" s="95" t="n">
        <f aca="false">IF(N(F1129)&gt;0,F1129,IF(N(E1129)&gt;0,E1129/가정!$B$5,0))</f>
        <v>39100</v>
      </c>
      <c r="L1129" s="95" t="n">
        <f aca="false">IF(B1129="CN",IF(N(I1129)&gt;0,I1129*가정!$B$3,K1129*(1+가정!$B$6)),IF(N(H1129)&gt;0,H1129*가정!$B$3,J1129*가정!$B$4))</f>
        <v>47833.578</v>
      </c>
      <c r="M1129" s="95" t="n">
        <f aca="false">D1129*J1129</f>
        <v>8940000</v>
      </c>
      <c r="N1129" s="95" t="n">
        <f aca="false">D1129*K1129</f>
        <v>2346000</v>
      </c>
      <c r="O1129" s="95" t="n">
        <f aca="false">D1129*L1129</f>
        <v>2870014.68</v>
      </c>
      <c r="P1129" s="34" t="str">
        <f aca="false">TRIM(IF(N(E1129)&lt;=0,"택가보정 ","")&amp;IF(N(F1129)&lt;=0,"원가보정 ","")&amp;IF(AND(B1129&lt;&gt;"CN",N(H1129)&lt;=0),"공급가보정 ","")&amp;IF(AND(B1129="CN",N(I1129)&lt;=0),"중국공급가=원가+마진 ",""))</f>
        <v/>
      </c>
    </row>
    <row r="1130" customFormat="false" ht="15" hidden="false" customHeight="true" outlineLevel="0" collapsed="false">
      <c r="A1130" s="94" t="s">
        <v>1688</v>
      </c>
      <c r="B1130" s="34" t="str">
        <f aca="false">IF(A1130="100","HK",IF(A1130="200","CN",IF(A1130="300","TW","홀세일")))</f>
        <v>홀세일</v>
      </c>
      <c r="C1130" s="94" t="s">
        <v>589</v>
      </c>
      <c r="D1130" s="95" t="n">
        <v>30</v>
      </c>
      <c r="E1130" s="95" t="n">
        <v>149000</v>
      </c>
      <c r="F1130" s="95" t="n">
        <v>39100</v>
      </c>
      <c r="G1130" s="34" t="n">
        <v>3.79</v>
      </c>
      <c r="H1130" s="34" t="n">
        <v>35.1</v>
      </c>
      <c r="I1130" s="34" t="n">
        <v>0</v>
      </c>
      <c r="J1130" s="95" t="n">
        <f aca="false">IF(N(E1130)&gt;0,E1130,IF(N(F1130)&gt;0,F1130*가정!$B$5,0))</f>
        <v>149000</v>
      </c>
      <c r="K1130" s="95" t="n">
        <f aca="false">IF(N(F1130)&gt;0,F1130,IF(N(E1130)&gt;0,E1130/가정!$B$5,0))</f>
        <v>39100</v>
      </c>
      <c r="L1130" s="95" t="n">
        <f aca="false">IF(B1130="CN",IF(N(I1130)&gt;0,I1130*가정!$B$3,K1130*(1+가정!$B$6)),IF(N(H1130)&gt;0,H1130*가정!$B$3,J1130*가정!$B$4))</f>
        <v>47833.578</v>
      </c>
      <c r="M1130" s="95" t="n">
        <f aca="false">D1130*J1130</f>
        <v>4470000</v>
      </c>
      <c r="N1130" s="95" t="n">
        <f aca="false">D1130*K1130</f>
        <v>1173000</v>
      </c>
      <c r="O1130" s="95" t="n">
        <f aca="false">D1130*L1130</f>
        <v>1435007.34</v>
      </c>
      <c r="P1130" s="34" t="str">
        <f aca="false">TRIM(IF(N(E1130)&lt;=0,"택가보정 ","")&amp;IF(N(F1130)&lt;=0,"원가보정 ","")&amp;IF(AND(B1130&lt;&gt;"CN",N(H1130)&lt;=0),"공급가보정 ","")&amp;IF(AND(B1130="CN",N(I1130)&lt;=0),"중국공급가=원가+마진 ",""))</f>
        <v/>
      </c>
    </row>
    <row r="1131" customFormat="false" ht="15" hidden="false" customHeight="true" outlineLevel="0" collapsed="false">
      <c r="A1131" s="94" t="s">
        <v>1689</v>
      </c>
      <c r="B1131" s="34" t="str">
        <f aca="false">IF(A1131="100","HK",IF(A1131="200","CN",IF(A1131="300","TW","홀세일")))</f>
        <v>홀세일</v>
      </c>
      <c r="C1131" s="94" t="s">
        <v>589</v>
      </c>
      <c r="D1131" s="95" t="n">
        <v>70</v>
      </c>
      <c r="E1131" s="95" t="n">
        <v>149000</v>
      </c>
      <c r="F1131" s="95" t="n">
        <v>39100</v>
      </c>
      <c r="G1131" s="34" t="n">
        <v>3.79</v>
      </c>
      <c r="H1131" s="34" t="n">
        <v>35.1</v>
      </c>
      <c r="I1131" s="34" t="n">
        <v>0</v>
      </c>
      <c r="J1131" s="95" t="n">
        <f aca="false">IF(N(E1131)&gt;0,E1131,IF(N(F1131)&gt;0,F1131*가정!$B$5,0))</f>
        <v>149000</v>
      </c>
      <c r="K1131" s="95" t="n">
        <f aca="false">IF(N(F1131)&gt;0,F1131,IF(N(E1131)&gt;0,E1131/가정!$B$5,0))</f>
        <v>39100</v>
      </c>
      <c r="L1131" s="95" t="n">
        <f aca="false">IF(B1131="CN",IF(N(I1131)&gt;0,I1131*가정!$B$3,K1131*(1+가정!$B$6)),IF(N(H1131)&gt;0,H1131*가정!$B$3,J1131*가정!$B$4))</f>
        <v>47833.578</v>
      </c>
      <c r="M1131" s="95" t="n">
        <f aca="false">D1131*J1131</f>
        <v>10430000</v>
      </c>
      <c r="N1131" s="95" t="n">
        <f aca="false">D1131*K1131</f>
        <v>2737000</v>
      </c>
      <c r="O1131" s="95" t="n">
        <f aca="false">D1131*L1131</f>
        <v>3348350.46</v>
      </c>
      <c r="P1131" s="34" t="str">
        <f aca="false">TRIM(IF(N(E1131)&lt;=0,"택가보정 ","")&amp;IF(N(F1131)&lt;=0,"원가보정 ","")&amp;IF(AND(B1131&lt;&gt;"CN",N(H1131)&lt;=0),"공급가보정 ","")&amp;IF(AND(B1131="CN",N(I1131)&lt;=0),"중국공급가=원가+마진 ",""))</f>
        <v/>
      </c>
    </row>
    <row r="1132" customFormat="false" ht="15" hidden="false" customHeight="true" outlineLevel="0" collapsed="false">
      <c r="A1132" s="94" t="s">
        <v>1684</v>
      </c>
      <c r="B1132" s="34" t="str">
        <f aca="false">IF(A1132="100","HK",IF(A1132="200","CN",IF(A1132="300","TW","홀세일")))</f>
        <v>HK</v>
      </c>
      <c r="C1132" s="94" t="s">
        <v>591</v>
      </c>
      <c r="D1132" s="95" t="n">
        <v>500</v>
      </c>
      <c r="E1132" s="95" t="n">
        <v>89000</v>
      </c>
      <c r="F1132" s="95" t="n">
        <v>18200</v>
      </c>
      <c r="G1132" s="34" t="n">
        <v>4.33</v>
      </c>
      <c r="H1132" s="34" t="n">
        <v>21</v>
      </c>
      <c r="I1132" s="34" t="n">
        <v>0</v>
      </c>
      <c r="J1132" s="95" t="n">
        <f aca="false">IF(N(E1132)&gt;0,E1132,IF(N(F1132)&gt;0,F1132*가정!$B$5,0))</f>
        <v>89000</v>
      </c>
      <c r="K1132" s="95" t="n">
        <f aca="false">IF(N(F1132)&gt;0,F1132,IF(N(E1132)&gt;0,E1132/가정!$B$5,0))</f>
        <v>18200</v>
      </c>
      <c r="L1132" s="95" t="n">
        <f aca="false">IF(B1132="CN",IF(N(I1132)&gt;0,I1132*가정!$B$3,K1132*(1+가정!$B$6)),IF(N(H1132)&gt;0,H1132*가정!$B$3,J1132*가정!$B$4))</f>
        <v>28618.38</v>
      </c>
      <c r="M1132" s="95" t="n">
        <f aca="false">D1132*J1132</f>
        <v>44500000</v>
      </c>
      <c r="N1132" s="95" t="n">
        <f aca="false">D1132*K1132</f>
        <v>9100000</v>
      </c>
      <c r="O1132" s="95" t="n">
        <f aca="false">D1132*L1132</f>
        <v>14309190</v>
      </c>
      <c r="P1132" s="34" t="str">
        <f aca="false">TRIM(IF(N(E1132)&lt;=0,"택가보정 ","")&amp;IF(N(F1132)&lt;=0,"원가보정 ","")&amp;IF(AND(B1132&lt;&gt;"CN",N(H1132)&lt;=0),"공급가보정 ","")&amp;IF(AND(B1132="CN",N(I1132)&lt;=0),"중국공급가=원가+마진 ",""))</f>
        <v/>
      </c>
    </row>
    <row r="1133" customFormat="false" ht="15" hidden="false" customHeight="true" outlineLevel="0" collapsed="false">
      <c r="A1133" s="94" t="s">
        <v>1686</v>
      </c>
      <c r="B1133" s="34" t="str">
        <f aca="false">IF(A1133="100","HK",IF(A1133="200","CN",IF(A1133="300","TW","홀세일")))</f>
        <v>TW</v>
      </c>
      <c r="C1133" s="94" t="s">
        <v>591</v>
      </c>
      <c r="D1133" s="95" t="n">
        <v>850</v>
      </c>
      <c r="E1133" s="95" t="n">
        <v>89000</v>
      </c>
      <c r="F1133" s="95" t="n">
        <v>18200</v>
      </c>
      <c r="G1133" s="34" t="n">
        <v>4.33</v>
      </c>
      <c r="H1133" s="34" t="n">
        <v>21</v>
      </c>
      <c r="I1133" s="34" t="n">
        <v>0</v>
      </c>
      <c r="J1133" s="95" t="n">
        <f aca="false">IF(N(E1133)&gt;0,E1133,IF(N(F1133)&gt;0,F1133*가정!$B$5,0))</f>
        <v>89000</v>
      </c>
      <c r="K1133" s="95" t="n">
        <f aca="false">IF(N(F1133)&gt;0,F1133,IF(N(E1133)&gt;0,E1133/가정!$B$5,0))</f>
        <v>18200</v>
      </c>
      <c r="L1133" s="95" t="n">
        <f aca="false">IF(B1133="CN",IF(N(I1133)&gt;0,I1133*가정!$B$3,K1133*(1+가정!$B$6)),IF(N(H1133)&gt;0,H1133*가정!$B$3,J1133*가정!$B$4))</f>
        <v>28618.38</v>
      </c>
      <c r="M1133" s="95" t="n">
        <f aca="false">D1133*J1133</f>
        <v>75650000</v>
      </c>
      <c r="N1133" s="95" t="n">
        <f aca="false">D1133*K1133</f>
        <v>15470000</v>
      </c>
      <c r="O1133" s="95" t="n">
        <f aca="false">D1133*L1133</f>
        <v>24325623</v>
      </c>
      <c r="P1133" s="34" t="str">
        <f aca="false">TRIM(IF(N(E1133)&lt;=0,"택가보정 ","")&amp;IF(N(F1133)&lt;=0,"원가보정 ","")&amp;IF(AND(B1133&lt;&gt;"CN",N(H1133)&lt;=0),"공급가보정 ","")&amp;IF(AND(B1133="CN",N(I1133)&lt;=0),"중국공급가=원가+마진 ",""))</f>
        <v/>
      </c>
    </row>
    <row r="1134" customFormat="false" ht="15" hidden="false" customHeight="true" outlineLevel="0" collapsed="false">
      <c r="A1134" s="94" t="s">
        <v>1692</v>
      </c>
      <c r="B1134" s="34" t="str">
        <f aca="false">IF(A1134="100","HK",IF(A1134="200","CN",IF(A1134="300","TW","홀세일")))</f>
        <v>홀세일</v>
      </c>
      <c r="C1134" s="94" t="s">
        <v>591</v>
      </c>
      <c r="D1134" s="95" t="n">
        <v>192</v>
      </c>
      <c r="E1134" s="95" t="n">
        <v>89000</v>
      </c>
      <c r="F1134" s="95" t="n">
        <v>18200</v>
      </c>
      <c r="G1134" s="34" t="n">
        <v>4.33</v>
      </c>
      <c r="H1134" s="34" t="n">
        <v>21</v>
      </c>
      <c r="I1134" s="34" t="n">
        <v>0</v>
      </c>
      <c r="J1134" s="95" t="n">
        <f aca="false">IF(N(E1134)&gt;0,E1134,IF(N(F1134)&gt;0,F1134*가정!$B$5,0))</f>
        <v>89000</v>
      </c>
      <c r="K1134" s="95" t="n">
        <f aca="false">IF(N(F1134)&gt;0,F1134,IF(N(E1134)&gt;0,E1134/가정!$B$5,0))</f>
        <v>18200</v>
      </c>
      <c r="L1134" s="95" t="n">
        <f aca="false">IF(B1134="CN",IF(N(I1134)&gt;0,I1134*가정!$B$3,K1134*(1+가정!$B$6)),IF(N(H1134)&gt;0,H1134*가정!$B$3,J1134*가정!$B$4))</f>
        <v>28618.38</v>
      </c>
      <c r="M1134" s="95" t="n">
        <f aca="false">D1134*J1134</f>
        <v>17088000</v>
      </c>
      <c r="N1134" s="95" t="n">
        <f aca="false">D1134*K1134</f>
        <v>3494400</v>
      </c>
      <c r="O1134" s="95" t="n">
        <f aca="false">D1134*L1134</f>
        <v>5494728.96</v>
      </c>
      <c r="P1134" s="34" t="str">
        <f aca="false">TRIM(IF(N(E1134)&lt;=0,"택가보정 ","")&amp;IF(N(F1134)&lt;=0,"원가보정 ","")&amp;IF(AND(B1134&lt;&gt;"CN",N(H1134)&lt;=0),"공급가보정 ","")&amp;IF(AND(B1134="CN",N(I1134)&lt;=0),"중국공급가=원가+마진 ",""))</f>
        <v/>
      </c>
    </row>
    <row r="1135" customFormat="false" ht="15" hidden="false" customHeight="true" outlineLevel="0" collapsed="false">
      <c r="A1135" s="94" t="s">
        <v>1689</v>
      </c>
      <c r="B1135" s="34" t="str">
        <f aca="false">IF(A1135="100","HK",IF(A1135="200","CN",IF(A1135="300","TW","홀세일")))</f>
        <v>홀세일</v>
      </c>
      <c r="C1135" s="94" t="s">
        <v>591</v>
      </c>
      <c r="D1135" s="95" t="n">
        <v>105</v>
      </c>
      <c r="E1135" s="95" t="n">
        <v>89000</v>
      </c>
      <c r="F1135" s="95" t="n">
        <v>18200</v>
      </c>
      <c r="G1135" s="34" t="n">
        <v>4.33</v>
      </c>
      <c r="H1135" s="34" t="n">
        <v>21</v>
      </c>
      <c r="I1135" s="34" t="n">
        <v>0</v>
      </c>
      <c r="J1135" s="95" t="n">
        <f aca="false">IF(N(E1135)&gt;0,E1135,IF(N(F1135)&gt;0,F1135*가정!$B$5,0))</f>
        <v>89000</v>
      </c>
      <c r="K1135" s="95" t="n">
        <f aca="false">IF(N(F1135)&gt;0,F1135,IF(N(E1135)&gt;0,E1135/가정!$B$5,0))</f>
        <v>18200</v>
      </c>
      <c r="L1135" s="95" t="n">
        <f aca="false">IF(B1135="CN",IF(N(I1135)&gt;0,I1135*가정!$B$3,K1135*(1+가정!$B$6)),IF(N(H1135)&gt;0,H1135*가정!$B$3,J1135*가정!$B$4))</f>
        <v>28618.38</v>
      </c>
      <c r="M1135" s="95" t="n">
        <f aca="false">D1135*J1135</f>
        <v>9345000</v>
      </c>
      <c r="N1135" s="95" t="n">
        <f aca="false">D1135*K1135</f>
        <v>1911000</v>
      </c>
      <c r="O1135" s="95" t="n">
        <f aca="false">D1135*L1135</f>
        <v>3004929.9</v>
      </c>
      <c r="P1135" s="34" t="str">
        <f aca="false">TRIM(IF(N(E1135)&lt;=0,"택가보정 ","")&amp;IF(N(F1135)&lt;=0,"원가보정 ","")&amp;IF(AND(B1135&lt;&gt;"CN",N(H1135)&lt;=0),"공급가보정 ","")&amp;IF(AND(B1135="CN",N(I1135)&lt;=0),"중국공급가=원가+마진 ",""))</f>
        <v/>
      </c>
    </row>
    <row r="1136" customFormat="false" ht="15" hidden="false" customHeight="true" outlineLevel="0" collapsed="false">
      <c r="A1136" s="94" t="s">
        <v>1684</v>
      </c>
      <c r="B1136" s="34" t="str">
        <f aca="false">IF(A1136="100","HK",IF(A1136="200","CN",IF(A1136="300","TW","홀세일")))</f>
        <v>HK</v>
      </c>
      <c r="C1136" s="94" t="s">
        <v>989</v>
      </c>
      <c r="D1136" s="95" t="n">
        <v>310</v>
      </c>
      <c r="E1136" s="95" t="n">
        <v>109000</v>
      </c>
      <c r="F1136" s="95" t="n">
        <v>21600</v>
      </c>
      <c r="G1136" s="34" t="n">
        <v>3.54</v>
      </c>
      <c r="H1136" s="34" t="n">
        <v>26.4</v>
      </c>
      <c r="I1136" s="34" t="n">
        <v>0</v>
      </c>
      <c r="J1136" s="95" t="n">
        <f aca="false">IF(N(E1136)&gt;0,E1136,IF(N(F1136)&gt;0,F1136*가정!$B$5,0))</f>
        <v>109000</v>
      </c>
      <c r="K1136" s="95" t="n">
        <f aca="false">IF(N(F1136)&gt;0,F1136,IF(N(E1136)&gt;0,E1136/가정!$B$5,0))</f>
        <v>21600</v>
      </c>
      <c r="L1136" s="95" t="n">
        <f aca="false">IF(B1136="CN",IF(N(I1136)&gt;0,I1136*가정!$B$3,K1136*(1+가정!$B$6)),IF(N(H1136)&gt;0,H1136*가정!$B$3,J1136*가정!$B$4))</f>
        <v>35977.392</v>
      </c>
      <c r="M1136" s="95" t="n">
        <f aca="false">D1136*J1136</f>
        <v>33790000</v>
      </c>
      <c r="N1136" s="95" t="n">
        <f aca="false">D1136*K1136</f>
        <v>6696000</v>
      </c>
      <c r="O1136" s="95" t="n">
        <f aca="false">D1136*L1136</f>
        <v>11152991.52</v>
      </c>
      <c r="P1136" s="34" t="str">
        <f aca="false">TRIM(IF(N(E1136)&lt;=0,"택가보정 ","")&amp;IF(N(F1136)&lt;=0,"원가보정 ","")&amp;IF(AND(B1136&lt;&gt;"CN",N(H1136)&lt;=0),"공급가보정 ","")&amp;IF(AND(B1136="CN",N(I1136)&lt;=0),"중국공급가=원가+마진 ",""))</f>
        <v/>
      </c>
    </row>
    <row r="1137" customFormat="false" ht="15" hidden="false" customHeight="true" outlineLevel="0" collapsed="false">
      <c r="A1137" s="94" t="s">
        <v>1688</v>
      </c>
      <c r="B1137" s="34" t="str">
        <f aca="false">IF(A1137="100","HK",IF(A1137="200","CN",IF(A1137="300","TW","홀세일")))</f>
        <v>홀세일</v>
      </c>
      <c r="C1137" s="94" t="s">
        <v>989</v>
      </c>
      <c r="D1137" s="95" t="n">
        <v>40</v>
      </c>
      <c r="E1137" s="95" t="n">
        <v>109000</v>
      </c>
      <c r="F1137" s="95" t="n">
        <v>21600</v>
      </c>
      <c r="G1137" s="34" t="n">
        <v>3.54</v>
      </c>
      <c r="H1137" s="34" t="n">
        <v>26.4</v>
      </c>
      <c r="I1137" s="34" t="n">
        <v>0</v>
      </c>
      <c r="J1137" s="95" t="n">
        <f aca="false">IF(N(E1137)&gt;0,E1137,IF(N(F1137)&gt;0,F1137*가정!$B$5,0))</f>
        <v>109000</v>
      </c>
      <c r="K1137" s="95" t="n">
        <f aca="false">IF(N(F1137)&gt;0,F1137,IF(N(E1137)&gt;0,E1137/가정!$B$5,0))</f>
        <v>21600</v>
      </c>
      <c r="L1137" s="95" t="n">
        <f aca="false">IF(B1137="CN",IF(N(I1137)&gt;0,I1137*가정!$B$3,K1137*(1+가정!$B$6)),IF(N(H1137)&gt;0,H1137*가정!$B$3,J1137*가정!$B$4))</f>
        <v>35977.392</v>
      </c>
      <c r="M1137" s="95" t="n">
        <f aca="false">D1137*J1137</f>
        <v>4360000</v>
      </c>
      <c r="N1137" s="95" t="n">
        <f aca="false">D1137*K1137</f>
        <v>864000</v>
      </c>
      <c r="O1137" s="95" t="n">
        <f aca="false">D1137*L1137</f>
        <v>1439095.68</v>
      </c>
      <c r="P1137" s="34" t="str">
        <f aca="false">TRIM(IF(N(E1137)&lt;=0,"택가보정 ","")&amp;IF(N(F1137)&lt;=0,"원가보정 ","")&amp;IF(AND(B1137&lt;&gt;"CN",N(H1137)&lt;=0),"공급가보정 ","")&amp;IF(AND(B1137="CN",N(I1137)&lt;=0),"중국공급가=원가+마진 ",""))</f>
        <v/>
      </c>
    </row>
    <row r="1138" customFormat="false" ht="15" hidden="false" customHeight="true" outlineLevel="0" collapsed="false">
      <c r="A1138" s="94" t="s">
        <v>1684</v>
      </c>
      <c r="B1138" s="34" t="str">
        <f aca="false">IF(A1138="100","HK",IF(A1138="200","CN",IF(A1138="300","TW","홀세일")))</f>
        <v>HK</v>
      </c>
      <c r="C1138" s="94" t="s">
        <v>593</v>
      </c>
      <c r="D1138" s="95" t="n">
        <v>100</v>
      </c>
      <c r="E1138" s="95" t="n">
        <v>149000</v>
      </c>
      <c r="F1138" s="95" t="n">
        <v>27300</v>
      </c>
      <c r="G1138" s="34" t="n">
        <v>5.19</v>
      </c>
      <c r="H1138" s="34" t="n">
        <v>35.1</v>
      </c>
      <c r="I1138" s="34" t="n">
        <v>0</v>
      </c>
      <c r="J1138" s="95" t="n">
        <f aca="false">IF(N(E1138)&gt;0,E1138,IF(N(F1138)&gt;0,F1138*가정!$B$5,0))</f>
        <v>149000</v>
      </c>
      <c r="K1138" s="95" t="n">
        <f aca="false">IF(N(F1138)&gt;0,F1138,IF(N(E1138)&gt;0,E1138/가정!$B$5,0))</f>
        <v>27300</v>
      </c>
      <c r="L1138" s="95" t="n">
        <f aca="false">IF(B1138="CN",IF(N(I1138)&gt;0,I1138*가정!$B$3,K1138*(1+가정!$B$6)),IF(N(H1138)&gt;0,H1138*가정!$B$3,J1138*가정!$B$4))</f>
        <v>47833.578</v>
      </c>
      <c r="M1138" s="95" t="n">
        <f aca="false">D1138*J1138</f>
        <v>14900000</v>
      </c>
      <c r="N1138" s="95" t="n">
        <f aca="false">D1138*K1138</f>
        <v>2730000</v>
      </c>
      <c r="O1138" s="95" t="n">
        <f aca="false">D1138*L1138</f>
        <v>4783357.8</v>
      </c>
      <c r="P1138" s="34" t="str">
        <f aca="false">TRIM(IF(N(E1138)&lt;=0,"택가보정 ","")&amp;IF(N(F1138)&lt;=0,"원가보정 ","")&amp;IF(AND(B1138&lt;&gt;"CN",N(H1138)&lt;=0),"공급가보정 ","")&amp;IF(AND(B1138="CN",N(I1138)&lt;=0),"중국공급가=원가+마진 ",""))</f>
        <v/>
      </c>
    </row>
    <row r="1139" customFormat="false" ht="15" hidden="false" customHeight="true" outlineLevel="0" collapsed="false">
      <c r="A1139" s="94" t="s">
        <v>1686</v>
      </c>
      <c r="B1139" s="34" t="str">
        <f aca="false">IF(A1139="100","HK",IF(A1139="200","CN",IF(A1139="300","TW","홀세일")))</f>
        <v>TW</v>
      </c>
      <c r="C1139" s="94" t="s">
        <v>593</v>
      </c>
      <c r="D1139" s="95" t="n">
        <v>300</v>
      </c>
      <c r="E1139" s="95" t="n">
        <v>149000</v>
      </c>
      <c r="F1139" s="95" t="n">
        <v>27300</v>
      </c>
      <c r="G1139" s="34" t="n">
        <v>5.19</v>
      </c>
      <c r="H1139" s="34" t="n">
        <v>35.1</v>
      </c>
      <c r="I1139" s="34" t="n">
        <v>0</v>
      </c>
      <c r="J1139" s="95" t="n">
        <f aca="false">IF(N(E1139)&gt;0,E1139,IF(N(F1139)&gt;0,F1139*가정!$B$5,0))</f>
        <v>149000</v>
      </c>
      <c r="K1139" s="95" t="n">
        <f aca="false">IF(N(F1139)&gt;0,F1139,IF(N(E1139)&gt;0,E1139/가정!$B$5,0))</f>
        <v>27300</v>
      </c>
      <c r="L1139" s="95" t="n">
        <f aca="false">IF(B1139="CN",IF(N(I1139)&gt;0,I1139*가정!$B$3,K1139*(1+가정!$B$6)),IF(N(H1139)&gt;0,H1139*가정!$B$3,J1139*가정!$B$4))</f>
        <v>47833.578</v>
      </c>
      <c r="M1139" s="95" t="n">
        <f aca="false">D1139*J1139</f>
        <v>44700000</v>
      </c>
      <c r="N1139" s="95" t="n">
        <f aca="false">D1139*K1139</f>
        <v>8190000</v>
      </c>
      <c r="O1139" s="95" t="n">
        <f aca="false">D1139*L1139</f>
        <v>14350073.4</v>
      </c>
      <c r="P1139" s="34" t="str">
        <f aca="false">TRIM(IF(N(E1139)&lt;=0,"택가보정 ","")&amp;IF(N(F1139)&lt;=0,"원가보정 ","")&amp;IF(AND(B1139&lt;&gt;"CN",N(H1139)&lt;=0),"공급가보정 ","")&amp;IF(AND(B1139="CN",N(I1139)&lt;=0),"중국공급가=원가+마진 ",""))</f>
        <v/>
      </c>
    </row>
    <row r="1140" customFormat="false" ht="15" hidden="false" customHeight="true" outlineLevel="0" collapsed="false">
      <c r="A1140" s="94" t="s">
        <v>1688</v>
      </c>
      <c r="B1140" s="34" t="str">
        <f aca="false">IF(A1140="100","HK",IF(A1140="200","CN",IF(A1140="300","TW","홀세일")))</f>
        <v>홀세일</v>
      </c>
      <c r="C1140" s="94" t="s">
        <v>593</v>
      </c>
      <c r="D1140" s="95" t="n">
        <v>25</v>
      </c>
      <c r="E1140" s="95" t="n">
        <v>149000</v>
      </c>
      <c r="F1140" s="95" t="n">
        <v>27300</v>
      </c>
      <c r="G1140" s="34" t="n">
        <v>5.19</v>
      </c>
      <c r="H1140" s="34" t="n">
        <v>35.1</v>
      </c>
      <c r="I1140" s="34" t="n">
        <v>0</v>
      </c>
      <c r="J1140" s="95" t="n">
        <f aca="false">IF(N(E1140)&gt;0,E1140,IF(N(F1140)&gt;0,F1140*가정!$B$5,0))</f>
        <v>149000</v>
      </c>
      <c r="K1140" s="95" t="n">
        <f aca="false">IF(N(F1140)&gt;0,F1140,IF(N(E1140)&gt;0,E1140/가정!$B$5,0))</f>
        <v>27300</v>
      </c>
      <c r="L1140" s="95" t="n">
        <f aca="false">IF(B1140="CN",IF(N(I1140)&gt;0,I1140*가정!$B$3,K1140*(1+가정!$B$6)),IF(N(H1140)&gt;0,H1140*가정!$B$3,J1140*가정!$B$4))</f>
        <v>47833.578</v>
      </c>
      <c r="M1140" s="95" t="n">
        <f aca="false">D1140*J1140</f>
        <v>3725000</v>
      </c>
      <c r="N1140" s="95" t="n">
        <f aca="false">D1140*K1140</f>
        <v>682500</v>
      </c>
      <c r="O1140" s="95" t="n">
        <f aca="false">D1140*L1140</f>
        <v>1195839.45</v>
      </c>
      <c r="P1140" s="34" t="str">
        <f aca="false">TRIM(IF(N(E1140)&lt;=0,"택가보정 ","")&amp;IF(N(F1140)&lt;=0,"원가보정 ","")&amp;IF(AND(B1140&lt;&gt;"CN",N(H1140)&lt;=0),"공급가보정 ","")&amp;IF(AND(B1140="CN",N(I1140)&lt;=0),"중국공급가=원가+마진 ",""))</f>
        <v/>
      </c>
    </row>
    <row r="1141" customFormat="false" ht="15" hidden="false" customHeight="true" outlineLevel="0" collapsed="false">
      <c r="A1141" s="94" t="s">
        <v>1688</v>
      </c>
      <c r="B1141" s="34" t="str">
        <f aca="false">IF(A1141="100","HK",IF(A1141="200","CN",IF(A1141="300","TW","홀세일")))</f>
        <v>홀세일</v>
      </c>
      <c r="C1141" s="94" t="s">
        <v>1387</v>
      </c>
      <c r="D1141" s="95" t="n">
        <v>40</v>
      </c>
      <c r="E1141" s="95" t="n">
        <v>129000</v>
      </c>
      <c r="F1141" s="95" t="n">
        <v>29400</v>
      </c>
      <c r="G1141" s="34" t="n">
        <v>4.22</v>
      </c>
      <c r="H1141" s="34" t="n">
        <v>30.4</v>
      </c>
      <c r="I1141" s="34" t="n">
        <v>0</v>
      </c>
      <c r="J1141" s="95" t="n">
        <f aca="false">IF(N(E1141)&gt;0,E1141,IF(N(F1141)&gt;0,F1141*가정!$B$5,0))</f>
        <v>129000</v>
      </c>
      <c r="K1141" s="95" t="n">
        <f aca="false">IF(N(F1141)&gt;0,F1141,IF(N(E1141)&gt;0,E1141/가정!$B$5,0))</f>
        <v>29400</v>
      </c>
      <c r="L1141" s="95" t="n">
        <f aca="false">IF(B1141="CN",IF(N(I1141)&gt;0,I1141*가정!$B$3,K1141*(1+가정!$B$6)),IF(N(H1141)&gt;0,H1141*가정!$B$3,J1141*가정!$B$4))</f>
        <v>41428.512</v>
      </c>
      <c r="M1141" s="95" t="n">
        <f aca="false">D1141*J1141</f>
        <v>5160000</v>
      </c>
      <c r="N1141" s="95" t="n">
        <f aca="false">D1141*K1141</f>
        <v>1176000</v>
      </c>
      <c r="O1141" s="95" t="n">
        <f aca="false">D1141*L1141</f>
        <v>1657140.48</v>
      </c>
      <c r="P1141" s="34" t="str">
        <f aca="false">TRIM(IF(N(E1141)&lt;=0,"택가보정 ","")&amp;IF(N(F1141)&lt;=0,"원가보정 ","")&amp;IF(AND(B1141&lt;&gt;"CN",N(H1141)&lt;=0),"공급가보정 ","")&amp;IF(AND(B1141="CN",N(I1141)&lt;=0),"중국공급가=원가+마진 ",""))</f>
        <v/>
      </c>
    </row>
    <row r="1142" customFormat="false" ht="15" hidden="false" customHeight="true" outlineLevel="0" collapsed="false">
      <c r="A1142" s="94" t="s">
        <v>1690</v>
      </c>
      <c r="B1142" s="34" t="str">
        <f aca="false">IF(A1142="100","HK",IF(A1142="200","CN",IF(A1142="300","TW","홀세일")))</f>
        <v>홀세일</v>
      </c>
      <c r="C1142" s="94" t="s">
        <v>1387</v>
      </c>
      <c r="D1142" s="95" t="n">
        <v>216</v>
      </c>
      <c r="E1142" s="95" t="n">
        <v>129000</v>
      </c>
      <c r="F1142" s="95" t="n">
        <v>29400</v>
      </c>
      <c r="G1142" s="34" t="n">
        <v>4.22</v>
      </c>
      <c r="H1142" s="34" t="n">
        <v>30.4</v>
      </c>
      <c r="I1142" s="34" t="n">
        <v>0</v>
      </c>
      <c r="J1142" s="95" t="n">
        <f aca="false">IF(N(E1142)&gt;0,E1142,IF(N(F1142)&gt;0,F1142*가정!$B$5,0))</f>
        <v>129000</v>
      </c>
      <c r="K1142" s="95" t="n">
        <f aca="false">IF(N(F1142)&gt;0,F1142,IF(N(E1142)&gt;0,E1142/가정!$B$5,0))</f>
        <v>29400</v>
      </c>
      <c r="L1142" s="95" t="n">
        <f aca="false">IF(B1142="CN",IF(N(I1142)&gt;0,I1142*가정!$B$3,K1142*(1+가정!$B$6)),IF(N(H1142)&gt;0,H1142*가정!$B$3,J1142*가정!$B$4))</f>
        <v>41428.512</v>
      </c>
      <c r="M1142" s="95" t="n">
        <f aca="false">D1142*J1142</f>
        <v>27864000</v>
      </c>
      <c r="N1142" s="95" t="n">
        <f aca="false">D1142*K1142</f>
        <v>6350400</v>
      </c>
      <c r="O1142" s="95" t="n">
        <f aca="false">D1142*L1142</f>
        <v>8948558.592</v>
      </c>
      <c r="P1142" s="34" t="str">
        <f aca="false">TRIM(IF(N(E1142)&lt;=0,"택가보정 ","")&amp;IF(N(F1142)&lt;=0,"원가보정 ","")&amp;IF(AND(B1142&lt;&gt;"CN",N(H1142)&lt;=0),"공급가보정 ","")&amp;IF(AND(B1142="CN",N(I1142)&lt;=0),"중국공급가=원가+마진 ",""))</f>
        <v/>
      </c>
    </row>
    <row r="1143" customFormat="false" ht="15" hidden="false" customHeight="true" outlineLevel="0" collapsed="false">
      <c r="A1143" s="94" t="s">
        <v>1685</v>
      </c>
      <c r="B1143" s="34" t="str">
        <f aca="false">IF(A1143="100","HK",IF(A1143="200","CN",IF(A1143="300","TW","홀세일")))</f>
        <v>CN</v>
      </c>
      <c r="C1143" s="94" t="s">
        <v>1140</v>
      </c>
      <c r="D1143" s="95" t="n">
        <v>232</v>
      </c>
      <c r="E1143" s="95" t="n">
        <v>129000</v>
      </c>
      <c r="F1143" s="95" t="n">
        <v>29610</v>
      </c>
      <c r="G1143" s="34" t="n">
        <v>4.75</v>
      </c>
      <c r="H1143" s="34" t="n">
        <v>31.3</v>
      </c>
      <c r="I1143" s="34" t="n">
        <v>19.1</v>
      </c>
      <c r="J1143" s="95" t="n">
        <f aca="false">IF(N(E1143)&gt;0,E1143,IF(N(F1143)&gt;0,F1143*가정!$B$5,0))</f>
        <v>129000</v>
      </c>
      <c r="K1143" s="95" t="n">
        <f aca="false">IF(N(F1143)&gt;0,F1143,IF(N(E1143)&gt;0,E1143/가정!$B$5,0))</f>
        <v>29610</v>
      </c>
      <c r="L1143" s="95" t="n">
        <f aca="false">IF(B1143="CN",IF(N(I1143)&gt;0,I1143*가정!$B$3,K1143*(1+가정!$B$6)),IF(N(H1143)&gt;0,H1143*가정!$B$3,J1143*가정!$B$4))</f>
        <v>26029.098</v>
      </c>
      <c r="M1143" s="95" t="n">
        <f aca="false">D1143*J1143</f>
        <v>29928000</v>
      </c>
      <c r="N1143" s="95" t="n">
        <f aca="false">D1143*K1143</f>
        <v>6869520</v>
      </c>
      <c r="O1143" s="95" t="n">
        <f aca="false">D1143*L1143</f>
        <v>6038750.736</v>
      </c>
      <c r="P1143" s="34" t="str">
        <f aca="false">TRIM(IF(N(E1143)&lt;=0,"택가보정 ","")&amp;IF(N(F1143)&lt;=0,"원가보정 ","")&amp;IF(AND(B1143&lt;&gt;"CN",N(H1143)&lt;=0),"공급가보정 ","")&amp;IF(AND(B1143="CN",N(I1143)&lt;=0),"중국공급가=원가+마진 ",""))</f>
        <v/>
      </c>
    </row>
    <row r="1144" customFormat="false" ht="15" hidden="false" customHeight="true" outlineLevel="0" collapsed="false">
      <c r="A1144" s="94" t="s">
        <v>1687</v>
      </c>
      <c r="B1144" s="34" t="str">
        <f aca="false">IF(A1144="100","HK",IF(A1144="200","CN",IF(A1144="300","TW","홀세일")))</f>
        <v>홀세일</v>
      </c>
      <c r="C1144" s="94" t="s">
        <v>1140</v>
      </c>
      <c r="D1144" s="95" t="n">
        <v>150</v>
      </c>
      <c r="E1144" s="95" t="n">
        <v>129000</v>
      </c>
      <c r="F1144" s="95" t="n">
        <v>29610</v>
      </c>
      <c r="G1144" s="34" t="n">
        <v>4.75</v>
      </c>
      <c r="H1144" s="34" t="n">
        <v>31.3</v>
      </c>
      <c r="I1144" s="34" t="n">
        <v>19.1</v>
      </c>
      <c r="J1144" s="95" t="n">
        <f aca="false">IF(N(E1144)&gt;0,E1144,IF(N(F1144)&gt;0,F1144*가정!$B$5,0))</f>
        <v>129000</v>
      </c>
      <c r="K1144" s="95" t="n">
        <f aca="false">IF(N(F1144)&gt;0,F1144,IF(N(E1144)&gt;0,E1144/가정!$B$5,0))</f>
        <v>29610</v>
      </c>
      <c r="L1144" s="95" t="n">
        <f aca="false">IF(B1144="CN",IF(N(I1144)&gt;0,I1144*가정!$B$3,K1144*(1+가정!$B$6)),IF(N(H1144)&gt;0,H1144*가정!$B$3,J1144*가정!$B$4))</f>
        <v>42655.014</v>
      </c>
      <c r="M1144" s="95" t="n">
        <f aca="false">D1144*J1144</f>
        <v>19350000</v>
      </c>
      <c r="N1144" s="95" t="n">
        <f aca="false">D1144*K1144</f>
        <v>4441500</v>
      </c>
      <c r="O1144" s="95" t="n">
        <f aca="false">D1144*L1144</f>
        <v>6398252.1</v>
      </c>
      <c r="P1144" s="34" t="str">
        <f aca="false">TRIM(IF(N(E1144)&lt;=0,"택가보정 ","")&amp;IF(N(F1144)&lt;=0,"원가보정 ","")&amp;IF(AND(B1144&lt;&gt;"CN",N(H1144)&lt;=0),"공급가보정 ","")&amp;IF(AND(B1144="CN",N(I1144)&lt;=0),"중국공급가=원가+마진 ",""))</f>
        <v/>
      </c>
    </row>
    <row r="1145" customFormat="false" ht="15" hidden="false" customHeight="true" outlineLevel="0" collapsed="false">
      <c r="A1145" s="94" t="s">
        <v>1686</v>
      </c>
      <c r="B1145" s="34" t="str">
        <f aca="false">IF(A1145="100","HK",IF(A1145="200","CN",IF(A1145="300","TW","홀세일")))</f>
        <v>TW</v>
      </c>
      <c r="C1145" s="94" t="s">
        <v>595</v>
      </c>
      <c r="D1145" s="95" t="n">
        <v>1600</v>
      </c>
      <c r="E1145" s="95" t="n">
        <v>89000</v>
      </c>
      <c r="F1145" s="95" t="n">
        <v>27000</v>
      </c>
      <c r="G1145" s="34" t="n">
        <v>3.3</v>
      </c>
      <c r="H1145" s="34" t="n">
        <v>21.6</v>
      </c>
      <c r="J1145" s="95" t="n">
        <f aca="false">IF(N(E1145)&gt;0,E1145,IF(N(F1145)&gt;0,F1145*가정!$B$5,0))</f>
        <v>89000</v>
      </c>
      <c r="K1145" s="95" t="n">
        <f aca="false">IF(N(F1145)&gt;0,F1145,IF(N(E1145)&gt;0,E1145/가정!$B$5,0))</f>
        <v>27000</v>
      </c>
      <c r="L1145" s="95" t="n">
        <f aca="false">IF(B1145="CN",IF(N(I1145)&gt;0,I1145*가정!$B$3,K1145*(1+가정!$B$6)),IF(N(H1145)&gt;0,H1145*가정!$B$3,J1145*가정!$B$4))</f>
        <v>29436.048</v>
      </c>
      <c r="M1145" s="95" t="n">
        <f aca="false">D1145*J1145</f>
        <v>142400000</v>
      </c>
      <c r="N1145" s="95" t="n">
        <f aca="false">D1145*K1145</f>
        <v>43200000</v>
      </c>
      <c r="O1145" s="95" t="n">
        <f aca="false">D1145*L1145</f>
        <v>47097676.8</v>
      </c>
      <c r="P1145" s="34" t="str">
        <f aca="false">TRIM(IF(N(E1145)&lt;=0,"택가보정 ","")&amp;IF(N(F1145)&lt;=0,"원가보정 ","")&amp;IF(AND(B1145&lt;&gt;"CN",N(H1145)&lt;=0),"공급가보정 ","")&amp;IF(AND(B1145="CN",N(I1145)&lt;=0),"중국공급가=원가+마진 ",""))</f>
        <v/>
      </c>
    </row>
    <row r="1146" customFormat="false" ht="15" hidden="false" customHeight="true" outlineLevel="0" collapsed="false">
      <c r="A1146" s="94" t="s">
        <v>1685</v>
      </c>
      <c r="B1146" s="34" t="str">
        <f aca="false">IF(A1146="100","HK",IF(A1146="200","CN",IF(A1146="300","TW","홀세일")))</f>
        <v>CN</v>
      </c>
      <c r="C1146" s="94" t="s">
        <v>1142</v>
      </c>
      <c r="D1146" s="95" t="n">
        <v>212</v>
      </c>
      <c r="E1146" s="95" t="n">
        <v>99000</v>
      </c>
      <c r="F1146" s="95" t="n">
        <v>27100</v>
      </c>
      <c r="G1146" s="34" t="n">
        <v>3.46</v>
      </c>
      <c r="H1146" s="34" t="n">
        <v>25.7</v>
      </c>
      <c r="I1146" s="34" t="n">
        <v>20.8</v>
      </c>
      <c r="J1146" s="95" t="n">
        <f aca="false">IF(N(E1146)&gt;0,E1146,IF(N(F1146)&gt;0,F1146*가정!$B$5,0))</f>
        <v>99000</v>
      </c>
      <c r="K1146" s="95" t="n">
        <f aca="false">IF(N(F1146)&gt;0,F1146,IF(N(E1146)&gt;0,E1146/가정!$B$5,0))</f>
        <v>27100</v>
      </c>
      <c r="L1146" s="95" t="n">
        <f aca="false">IF(B1146="CN",IF(N(I1146)&gt;0,I1146*가정!$B$3,K1146*(1+가정!$B$6)),IF(N(H1146)&gt;0,H1146*가정!$B$3,J1146*가정!$B$4))</f>
        <v>28345.824</v>
      </c>
      <c r="M1146" s="95" t="n">
        <f aca="false">D1146*J1146</f>
        <v>20988000</v>
      </c>
      <c r="N1146" s="95" t="n">
        <f aca="false">D1146*K1146</f>
        <v>5745200</v>
      </c>
      <c r="O1146" s="95" t="n">
        <f aca="false">D1146*L1146</f>
        <v>6009314.688</v>
      </c>
      <c r="P1146" s="34" t="str">
        <f aca="false">TRIM(IF(N(E1146)&lt;=0,"택가보정 ","")&amp;IF(N(F1146)&lt;=0,"원가보정 ","")&amp;IF(AND(B1146&lt;&gt;"CN",N(H1146)&lt;=0),"공급가보정 ","")&amp;IF(AND(B1146="CN",N(I1146)&lt;=0),"중국공급가=원가+마진 ",""))</f>
        <v/>
      </c>
    </row>
    <row r="1147" customFormat="false" ht="15" hidden="false" customHeight="true" outlineLevel="0" collapsed="false">
      <c r="A1147" s="94" t="s">
        <v>1685</v>
      </c>
      <c r="B1147" s="34" t="str">
        <f aca="false">IF(A1147="100","HK",IF(A1147="200","CN",IF(A1147="300","TW","홀세일")))</f>
        <v>CN</v>
      </c>
      <c r="C1147" s="94" t="s">
        <v>1144</v>
      </c>
      <c r="D1147" s="95" t="n">
        <v>162</v>
      </c>
      <c r="E1147" s="95" t="n">
        <v>119000</v>
      </c>
      <c r="F1147" s="95" t="n">
        <v>32000</v>
      </c>
      <c r="G1147" s="34" t="n">
        <v>3.38</v>
      </c>
      <c r="H1147" s="34" t="n">
        <v>34.3</v>
      </c>
      <c r="I1147" s="34" t="n">
        <v>25.5</v>
      </c>
      <c r="J1147" s="95" t="n">
        <f aca="false">IF(N(E1147)&gt;0,E1147,IF(N(F1147)&gt;0,F1147*가정!$B$5,0))</f>
        <v>119000</v>
      </c>
      <c r="K1147" s="95" t="n">
        <f aca="false">IF(N(F1147)&gt;0,F1147,IF(N(E1147)&gt;0,E1147/가정!$B$5,0))</f>
        <v>32000</v>
      </c>
      <c r="L1147" s="95" t="n">
        <f aca="false">IF(B1147="CN",IF(N(I1147)&gt;0,I1147*가정!$B$3,K1147*(1+가정!$B$6)),IF(N(H1147)&gt;0,H1147*가정!$B$3,J1147*가정!$B$4))</f>
        <v>34750.89</v>
      </c>
      <c r="M1147" s="95" t="n">
        <f aca="false">D1147*J1147</f>
        <v>19278000</v>
      </c>
      <c r="N1147" s="95" t="n">
        <f aca="false">D1147*K1147</f>
        <v>5184000</v>
      </c>
      <c r="O1147" s="95" t="n">
        <f aca="false">D1147*L1147</f>
        <v>5629644.18</v>
      </c>
      <c r="P1147" s="34" t="str">
        <f aca="false">TRIM(IF(N(E1147)&lt;=0,"택가보정 ","")&amp;IF(N(F1147)&lt;=0,"원가보정 ","")&amp;IF(AND(B1147&lt;&gt;"CN",N(H1147)&lt;=0),"공급가보정 ","")&amp;IF(AND(B1147="CN",N(I1147)&lt;=0),"중국공급가=원가+마진 ",""))</f>
        <v/>
      </c>
    </row>
    <row r="1148" customFormat="false" ht="15" hidden="false" customHeight="true" outlineLevel="0" collapsed="false">
      <c r="A1148" s="94" t="s">
        <v>1686</v>
      </c>
      <c r="B1148" s="34" t="str">
        <f aca="false">IF(A1148="100","HK",IF(A1148="200","CN",IF(A1148="300","TW","홀세일")))</f>
        <v>TW</v>
      </c>
      <c r="C1148" s="94" t="s">
        <v>1144</v>
      </c>
      <c r="D1148" s="95" t="n">
        <v>220</v>
      </c>
      <c r="E1148" s="95" t="n">
        <v>119000</v>
      </c>
      <c r="F1148" s="95" t="n">
        <v>32000</v>
      </c>
      <c r="G1148" s="34" t="n">
        <v>3.38</v>
      </c>
      <c r="H1148" s="34" t="n">
        <v>34.3</v>
      </c>
      <c r="I1148" s="34" t="n">
        <v>25.5</v>
      </c>
      <c r="J1148" s="95" t="n">
        <f aca="false">IF(N(E1148)&gt;0,E1148,IF(N(F1148)&gt;0,F1148*가정!$B$5,0))</f>
        <v>119000</v>
      </c>
      <c r="K1148" s="95" t="n">
        <f aca="false">IF(N(F1148)&gt;0,F1148,IF(N(E1148)&gt;0,E1148/가정!$B$5,0))</f>
        <v>32000</v>
      </c>
      <c r="L1148" s="95" t="n">
        <f aca="false">IF(B1148="CN",IF(N(I1148)&gt;0,I1148*가정!$B$3,K1148*(1+가정!$B$6)),IF(N(H1148)&gt;0,H1148*가정!$B$3,J1148*가정!$B$4))</f>
        <v>46743.354</v>
      </c>
      <c r="M1148" s="95" t="n">
        <f aca="false">D1148*J1148</f>
        <v>26180000</v>
      </c>
      <c r="N1148" s="95" t="n">
        <f aca="false">D1148*K1148</f>
        <v>7040000</v>
      </c>
      <c r="O1148" s="95" t="n">
        <f aca="false">D1148*L1148</f>
        <v>10283537.88</v>
      </c>
      <c r="P1148" s="34" t="str">
        <f aca="false">TRIM(IF(N(E1148)&lt;=0,"택가보정 ","")&amp;IF(N(F1148)&lt;=0,"원가보정 ","")&amp;IF(AND(B1148&lt;&gt;"CN",N(H1148)&lt;=0),"공급가보정 ","")&amp;IF(AND(B1148="CN",N(I1148)&lt;=0),"중국공급가=원가+마진 ",""))</f>
        <v/>
      </c>
    </row>
    <row r="1149" customFormat="false" ht="15" hidden="false" customHeight="true" outlineLevel="0" collapsed="false">
      <c r="A1149" s="94" t="s">
        <v>1684</v>
      </c>
      <c r="B1149" s="34" t="str">
        <f aca="false">IF(A1149="100","HK",IF(A1149="200","CN",IF(A1149="300","TW","홀세일")))</f>
        <v>HK</v>
      </c>
      <c r="C1149" s="94" t="s">
        <v>1725</v>
      </c>
      <c r="D1149" s="95" t="n">
        <v>260</v>
      </c>
      <c r="E1149" s="95" t="n">
        <v>139000</v>
      </c>
      <c r="F1149" s="95" t="n">
        <v>37000</v>
      </c>
      <c r="G1149" s="34" t="n">
        <v>3.42</v>
      </c>
      <c r="H1149" s="34" t="n">
        <v>40.1</v>
      </c>
      <c r="J1149" s="95" t="n">
        <f aca="false">IF(N(E1149)&gt;0,E1149,IF(N(F1149)&gt;0,F1149*가정!$B$5,0))</f>
        <v>139000</v>
      </c>
      <c r="K1149" s="95" t="n">
        <f aca="false">IF(N(F1149)&gt;0,F1149,IF(N(E1149)&gt;0,E1149/가정!$B$5,0))</f>
        <v>37000</v>
      </c>
      <c r="L1149" s="95" t="n">
        <f aca="false">IF(B1149="CN",IF(N(I1149)&gt;0,I1149*가정!$B$3,K1149*(1+가정!$B$6)),IF(N(H1149)&gt;0,H1149*가정!$B$3,J1149*가정!$B$4))</f>
        <v>54647.478</v>
      </c>
      <c r="M1149" s="95" t="n">
        <f aca="false">D1149*J1149</f>
        <v>36140000</v>
      </c>
      <c r="N1149" s="95" t="n">
        <f aca="false">D1149*K1149</f>
        <v>9620000</v>
      </c>
      <c r="O1149" s="95" t="n">
        <f aca="false">D1149*L1149</f>
        <v>14208344.28</v>
      </c>
      <c r="P1149" s="34" t="str">
        <f aca="false">TRIM(IF(N(E1149)&lt;=0,"택가보정 ","")&amp;IF(N(F1149)&lt;=0,"원가보정 ","")&amp;IF(AND(B1149&lt;&gt;"CN",N(H1149)&lt;=0),"공급가보정 ","")&amp;IF(AND(B1149="CN",N(I1149)&lt;=0),"중국공급가=원가+마진 ",""))</f>
        <v/>
      </c>
    </row>
    <row r="1150" customFormat="false" ht="15" hidden="false" customHeight="true" outlineLevel="0" collapsed="false">
      <c r="A1150" s="94" t="s">
        <v>1686</v>
      </c>
      <c r="B1150" s="34" t="str">
        <f aca="false">IF(A1150="100","HK",IF(A1150="200","CN",IF(A1150="300","TW","홀세일")))</f>
        <v>TW</v>
      </c>
      <c r="C1150" s="94" t="s">
        <v>1725</v>
      </c>
      <c r="D1150" s="95" t="n">
        <v>600</v>
      </c>
      <c r="E1150" s="95" t="n">
        <v>139000</v>
      </c>
      <c r="F1150" s="95" t="n">
        <v>37000</v>
      </c>
      <c r="G1150" s="34" t="n">
        <v>3.42</v>
      </c>
      <c r="H1150" s="34" t="n">
        <v>40.1</v>
      </c>
      <c r="J1150" s="95" t="n">
        <f aca="false">IF(N(E1150)&gt;0,E1150,IF(N(F1150)&gt;0,F1150*가정!$B$5,0))</f>
        <v>139000</v>
      </c>
      <c r="K1150" s="95" t="n">
        <f aca="false">IF(N(F1150)&gt;0,F1150,IF(N(E1150)&gt;0,E1150/가정!$B$5,0))</f>
        <v>37000</v>
      </c>
      <c r="L1150" s="95" t="n">
        <f aca="false">IF(B1150="CN",IF(N(I1150)&gt;0,I1150*가정!$B$3,K1150*(1+가정!$B$6)),IF(N(H1150)&gt;0,H1150*가정!$B$3,J1150*가정!$B$4))</f>
        <v>54647.478</v>
      </c>
      <c r="M1150" s="95" t="n">
        <f aca="false">D1150*J1150</f>
        <v>83400000</v>
      </c>
      <c r="N1150" s="95" t="n">
        <f aca="false">D1150*K1150</f>
        <v>22200000</v>
      </c>
      <c r="O1150" s="95" t="n">
        <f aca="false">D1150*L1150</f>
        <v>32788486.8</v>
      </c>
      <c r="P1150" s="34" t="str">
        <f aca="false">TRIM(IF(N(E1150)&lt;=0,"택가보정 ","")&amp;IF(N(F1150)&lt;=0,"원가보정 ","")&amp;IF(AND(B1150&lt;&gt;"CN",N(H1150)&lt;=0),"공급가보정 ","")&amp;IF(AND(B1150="CN",N(I1150)&lt;=0),"중국공급가=원가+마진 ",""))</f>
        <v/>
      </c>
    </row>
    <row r="1151" customFormat="false" ht="15" hidden="false" customHeight="true" outlineLevel="0" collapsed="false">
      <c r="A1151" s="94" t="s">
        <v>1692</v>
      </c>
      <c r="B1151" s="34" t="str">
        <f aca="false">IF(A1151="100","HK",IF(A1151="200","CN",IF(A1151="300","TW","홀세일")))</f>
        <v>홀세일</v>
      </c>
      <c r="C1151" s="94" t="s">
        <v>1725</v>
      </c>
      <c r="D1151" s="95" t="n">
        <v>523</v>
      </c>
      <c r="E1151" s="95" t="n">
        <v>139000</v>
      </c>
      <c r="F1151" s="95" t="n">
        <v>37000</v>
      </c>
      <c r="G1151" s="34" t="n">
        <v>3.42</v>
      </c>
      <c r="H1151" s="34" t="n">
        <v>40.1</v>
      </c>
      <c r="J1151" s="95" t="n">
        <f aca="false">IF(N(E1151)&gt;0,E1151,IF(N(F1151)&gt;0,F1151*가정!$B$5,0))</f>
        <v>139000</v>
      </c>
      <c r="K1151" s="95" t="n">
        <f aca="false">IF(N(F1151)&gt;0,F1151,IF(N(E1151)&gt;0,E1151/가정!$B$5,0))</f>
        <v>37000</v>
      </c>
      <c r="L1151" s="95" t="n">
        <f aca="false">IF(B1151="CN",IF(N(I1151)&gt;0,I1151*가정!$B$3,K1151*(1+가정!$B$6)),IF(N(H1151)&gt;0,H1151*가정!$B$3,J1151*가정!$B$4))</f>
        <v>54647.478</v>
      </c>
      <c r="M1151" s="95" t="n">
        <f aca="false">D1151*J1151</f>
        <v>72697000</v>
      </c>
      <c r="N1151" s="95" t="n">
        <f aca="false">D1151*K1151</f>
        <v>19351000</v>
      </c>
      <c r="O1151" s="95" t="n">
        <f aca="false">D1151*L1151</f>
        <v>28580630.994</v>
      </c>
      <c r="P1151" s="34" t="str">
        <f aca="false">TRIM(IF(N(E1151)&lt;=0,"택가보정 ","")&amp;IF(N(F1151)&lt;=0,"원가보정 ","")&amp;IF(AND(B1151&lt;&gt;"CN",N(H1151)&lt;=0),"공급가보정 ","")&amp;IF(AND(B1151="CN",N(I1151)&lt;=0),"중국공급가=원가+마진 ",""))</f>
        <v/>
      </c>
    </row>
    <row r="1152" customFormat="false" ht="15" hidden="false" customHeight="true" outlineLevel="0" collapsed="false">
      <c r="A1152" s="94" t="s">
        <v>1685</v>
      </c>
      <c r="B1152" s="34" t="str">
        <f aca="false">IF(A1152="100","HK",IF(A1152="200","CN",IF(A1152="300","TW","홀세일")))</f>
        <v>CN</v>
      </c>
      <c r="C1152" s="94" t="s">
        <v>1146</v>
      </c>
      <c r="D1152" s="95" t="n">
        <v>152</v>
      </c>
      <c r="E1152" s="95" t="n">
        <v>109000</v>
      </c>
      <c r="F1152" s="95" t="n">
        <v>33000</v>
      </c>
      <c r="G1152" s="34" t="n">
        <v>3.45</v>
      </c>
      <c r="H1152" s="34" t="n">
        <v>31.5</v>
      </c>
      <c r="I1152" s="34" t="n">
        <v>22.9</v>
      </c>
      <c r="J1152" s="95" t="n">
        <f aca="false">IF(N(E1152)&gt;0,E1152,IF(N(F1152)&gt;0,F1152*가정!$B$5,0))</f>
        <v>109000</v>
      </c>
      <c r="K1152" s="95" t="n">
        <f aca="false">IF(N(F1152)&gt;0,F1152,IF(N(E1152)&gt;0,E1152/가정!$B$5,0))</f>
        <v>33000</v>
      </c>
      <c r="L1152" s="95" t="n">
        <f aca="false">IF(B1152="CN",IF(N(I1152)&gt;0,I1152*가정!$B$3,K1152*(1+가정!$B$6)),IF(N(H1152)&gt;0,H1152*가정!$B$3,J1152*가정!$B$4))</f>
        <v>31207.662</v>
      </c>
      <c r="M1152" s="95" t="n">
        <f aca="false">D1152*J1152</f>
        <v>16568000</v>
      </c>
      <c r="N1152" s="95" t="n">
        <f aca="false">D1152*K1152</f>
        <v>5016000</v>
      </c>
      <c r="O1152" s="95" t="n">
        <f aca="false">D1152*L1152</f>
        <v>4743564.624</v>
      </c>
      <c r="P1152" s="34" t="str">
        <f aca="false">TRIM(IF(N(E1152)&lt;=0,"택가보정 ","")&amp;IF(N(F1152)&lt;=0,"원가보정 ","")&amp;IF(AND(B1152&lt;&gt;"CN",N(H1152)&lt;=0),"공급가보정 ","")&amp;IF(AND(B1152="CN",N(I1152)&lt;=0),"중국공급가=원가+마진 ",""))</f>
        <v/>
      </c>
    </row>
    <row r="1153" customFormat="false" ht="15" hidden="false" customHeight="true" outlineLevel="0" collapsed="false">
      <c r="A1153" s="94" t="s">
        <v>1688</v>
      </c>
      <c r="B1153" s="34" t="str">
        <f aca="false">IF(A1153="100","HK",IF(A1153="200","CN",IF(A1153="300","TW","홀세일")))</f>
        <v>홀세일</v>
      </c>
      <c r="C1153" s="94" t="s">
        <v>1146</v>
      </c>
      <c r="D1153" s="95" t="n">
        <v>70</v>
      </c>
      <c r="E1153" s="95" t="n">
        <v>109000</v>
      </c>
      <c r="F1153" s="95" t="n">
        <v>33000</v>
      </c>
      <c r="G1153" s="34" t="n">
        <v>3.45</v>
      </c>
      <c r="H1153" s="34" t="n">
        <v>31.5</v>
      </c>
      <c r="I1153" s="34" t="n">
        <v>22.9</v>
      </c>
      <c r="J1153" s="95" t="n">
        <f aca="false">IF(N(E1153)&gt;0,E1153,IF(N(F1153)&gt;0,F1153*가정!$B$5,0))</f>
        <v>109000</v>
      </c>
      <c r="K1153" s="95" t="n">
        <f aca="false">IF(N(F1153)&gt;0,F1153,IF(N(E1153)&gt;0,E1153/가정!$B$5,0))</f>
        <v>33000</v>
      </c>
      <c r="L1153" s="95" t="n">
        <f aca="false">IF(B1153="CN",IF(N(I1153)&gt;0,I1153*가정!$B$3,K1153*(1+가정!$B$6)),IF(N(H1153)&gt;0,H1153*가정!$B$3,J1153*가정!$B$4))</f>
        <v>42927.57</v>
      </c>
      <c r="M1153" s="95" t="n">
        <f aca="false">D1153*J1153</f>
        <v>7630000</v>
      </c>
      <c r="N1153" s="95" t="n">
        <f aca="false">D1153*K1153</f>
        <v>2310000</v>
      </c>
      <c r="O1153" s="95" t="n">
        <f aca="false">D1153*L1153</f>
        <v>3004929.9</v>
      </c>
      <c r="P1153" s="34" t="str">
        <f aca="false">TRIM(IF(N(E1153)&lt;=0,"택가보정 ","")&amp;IF(N(F1153)&lt;=0,"원가보정 ","")&amp;IF(AND(B1153&lt;&gt;"CN",N(H1153)&lt;=0),"공급가보정 ","")&amp;IF(AND(B1153="CN",N(I1153)&lt;=0),"중국공급가=원가+마진 ",""))</f>
        <v/>
      </c>
    </row>
    <row r="1154" customFormat="false" ht="15" hidden="false" customHeight="true" outlineLevel="0" collapsed="false">
      <c r="A1154" s="94" t="s">
        <v>1684</v>
      </c>
      <c r="B1154" s="34" t="str">
        <f aca="false">IF(A1154="100","HK",IF(A1154="200","CN",IF(A1154="300","TW","홀세일")))</f>
        <v>HK</v>
      </c>
      <c r="C1154" s="94" t="s">
        <v>597</v>
      </c>
      <c r="D1154" s="95" t="n">
        <v>180</v>
      </c>
      <c r="E1154" s="95" t="n">
        <v>99000</v>
      </c>
      <c r="F1154" s="95" t="n">
        <v>25000</v>
      </c>
      <c r="G1154" s="34" t="n">
        <v>3.33</v>
      </c>
      <c r="H1154" s="34" t="n">
        <v>25.7</v>
      </c>
      <c r="J1154" s="95" t="n">
        <f aca="false">IF(N(E1154)&gt;0,E1154,IF(N(F1154)&gt;0,F1154*가정!$B$5,0))</f>
        <v>99000</v>
      </c>
      <c r="K1154" s="95" t="n">
        <f aca="false">IF(N(F1154)&gt;0,F1154,IF(N(E1154)&gt;0,E1154/가정!$B$5,0))</f>
        <v>25000</v>
      </c>
      <c r="L1154" s="95" t="n">
        <f aca="false">IF(B1154="CN",IF(N(I1154)&gt;0,I1154*가정!$B$3,K1154*(1+가정!$B$6)),IF(N(H1154)&gt;0,H1154*가정!$B$3,J1154*가정!$B$4))</f>
        <v>35023.446</v>
      </c>
      <c r="M1154" s="95" t="n">
        <f aca="false">D1154*J1154</f>
        <v>17820000</v>
      </c>
      <c r="N1154" s="95" t="n">
        <f aca="false">D1154*K1154</f>
        <v>4500000</v>
      </c>
      <c r="O1154" s="95" t="n">
        <f aca="false">D1154*L1154</f>
        <v>6304220.28</v>
      </c>
      <c r="P1154" s="34" t="str">
        <f aca="false">TRIM(IF(N(E1154)&lt;=0,"택가보정 ","")&amp;IF(N(F1154)&lt;=0,"원가보정 ","")&amp;IF(AND(B1154&lt;&gt;"CN",N(H1154)&lt;=0),"공급가보정 ","")&amp;IF(AND(B1154="CN",N(I1154)&lt;=0),"중국공급가=원가+마진 ",""))</f>
        <v/>
      </c>
    </row>
    <row r="1155" customFormat="false" ht="15" hidden="false" customHeight="true" outlineLevel="0" collapsed="false">
      <c r="A1155" s="94" t="s">
        <v>1686</v>
      </c>
      <c r="B1155" s="34" t="str">
        <f aca="false">IF(A1155="100","HK",IF(A1155="200","CN",IF(A1155="300","TW","홀세일")))</f>
        <v>TW</v>
      </c>
      <c r="C1155" s="94" t="s">
        <v>597</v>
      </c>
      <c r="D1155" s="95" t="n">
        <v>370</v>
      </c>
      <c r="E1155" s="95" t="n">
        <v>99000</v>
      </c>
      <c r="F1155" s="95" t="n">
        <v>25000</v>
      </c>
      <c r="G1155" s="34" t="n">
        <v>3.33</v>
      </c>
      <c r="H1155" s="34" t="n">
        <v>25.7</v>
      </c>
      <c r="J1155" s="95" t="n">
        <f aca="false">IF(N(E1155)&gt;0,E1155,IF(N(F1155)&gt;0,F1155*가정!$B$5,0))</f>
        <v>99000</v>
      </c>
      <c r="K1155" s="95" t="n">
        <f aca="false">IF(N(F1155)&gt;0,F1155,IF(N(E1155)&gt;0,E1155/가정!$B$5,0))</f>
        <v>25000</v>
      </c>
      <c r="L1155" s="95" t="n">
        <f aca="false">IF(B1155="CN",IF(N(I1155)&gt;0,I1155*가정!$B$3,K1155*(1+가정!$B$6)),IF(N(H1155)&gt;0,H1155*가정!$B$3,J1155*가정!$B$4))</f>
        <v>35023.446</v>
      </c>
      <c r="M1155" s="95" t="n">
        <f aca="false">D1155*J1155</f>
        <v>36630000</v>
      </c>
      <c r="N1155" s="95" t="n">
        <f aca="false">D1155*K1155</f>
        <v>9250000</v>
      </c>
      <c r="O1155" s="95" t="n">
        <f aca="false">D1155*L1155</f>
        <v>12958675.02</v>
      </c>
      <c r="P1155" s="34" t="str">
        <f aca="false">TRIM(IF(N(E1155)&lt;=0,"택가보정 ","")&amp;IF(N(F1155)&lt;=0,"원가보정 ","")&amp;IF(AND(B1155&lt;&gt;"CN",N(H1155)&lt;=0),"공급가보정 ","")&amp;IF(AND(B1155="CN",N(I1155)&lt;=0),"중국공급가=원가+마진 ",""))</f>
        <v/>
      </c>
    </row>
    <row r="1156" customFormat="false" ht="15" hidden="false" customHeight="true" outlineLevel="0" collapsed="false">
      <c r="A1156" s="94" t="s">
        <v>1686</v>
      </c>
      <c r="B1156" s="34" t="str">
        <f aca="false">IF(A1156="100","HK",IF(A1156="200","CN",IF(A1156="300","TW","홀세일")))</f>
        <v>TW</v>
      </c>
      <c r="C1156" s="94" t="s">
        <v>1726</v>
      </c>
      <c r="D1156" s="95" t="n">
        <v>150</v>
      </c>
      <c r="E1156" s="95"/>
      <c r="F1156" s="95" t="n">
        <v>32000</v>
      </c>
      <c r="G1156" s="34" t="n">
        <v>0</v>
      </c>
      <c r="J1156" s="95" t="n">
        <f aca="false">IF(N(E1156)&gt;0,E1156,IF(N(F1156)&gt;0,F1156*가정!$B$5,0))</f>
        <v>128000</v>
      </c>
      <c r="K1156" s="95" t="n">
        <f aca="false">IF(N(F1156)&gt;0,F1156,IF(N(E1156)&gt;0,E1156/가정!$B$5,0))</f>
        <v>32000</v>
      </c>
      <c r="L1156" s="95" t="n">
        <f aca="false">IF(B1156="CN",IF(N(I1156)&gt;0,I1156*가정!$B$3,K1156*(1+가정!$B$6)),IF(N(H1156)&gt;0,H1156*가정!$B$3,J1156*가정!$B$4))</f>
        <v>42240</v>
      </c>
      <c r="M1156" s="95" t="n">
        <f aca="false">D1156*J1156</f>
        <v>19200000</v>
      </c>
      <c r="N1156" s="95" t="n">
        <f aca="false">D1156*K1156</f>
        <v>4800000</v>
      </c>
      <c r="O1156" s="95" t="n">
        <f aca="false">D1156*L1156</f>
        <v>6336000</v>
      </c>
      <c r="P1156" s="34" t="str">
        <f aca="false">TRIM(IF(N(E1156)&lt;=0,"택가보정 ","")&amp;IF(N(F1156)&lt;=0,"원가보정 ","")&amp;IF(AND(B1156&lt;&gt;"CN",N(H1156)&lt;=0),"공급가보정 ","")&amp;IF(AND(B1156="CN",N(I1156)&lt;=0),"중국공급가=원가+마진 ",""))</f>
        <v>택가보정 공급가보정</v>
      </c>
    </row>
    <row r="1157" customFormat="false" ht="15" hidden="false" customHeight="true" outlineLevel="0" collapsed="false">
      <c r="A1157" s="94" t="s">
        <v>1684</v>
      </c>
      <c r="B1157" s="34" t="str">
        <f aca="false">IF(A1157="100","HK",IF(A1157="200","CN",IF(A1157="300","TW","홀세일")))</f>
        <v>HK</v>
      </c>
      <c r="C1157" s="94" t="s">
        <v>599</v>
      </c>
      <c r="D1157" s="95" t="n">
        <v>90</v>
      </c>
      <c r="E1157" s="95" t="n">
        <v>159000</v>
      </c>
      <c r="F1157" s="95" t="n">
        <v>31101</v>
      </c>
      <c r="G1157" s="34" t="n">
        <v>4.07</v>
      </c>
      <c r="H1157" s="34" t="n">
        <v>37.4</v>
      </c>
      <c r="I1157" s="34" t="n">
        <v>25.5</v>
      </c>
      <c r="J1157" s="95" t="n">
        <f aca="false">IF(N(E1157)&gt;0,E1157,IF(N(F1157)&gt;0,F1157*가정!$B$5,0))</f>
        <v>159000</v>
      </c>
      <c r="K1157" s="95" t="n">
        <f aca="false">IF(N(F1157)&gt;0,F1157,IF(N(E1157)&gt;0,E1157/가정!$B$5,0))</f>
        <v>31101</v>
      </c>
      <c r="L1157" s="95" t="n">
        <f aca="false">IF(B1157="CN",IF(N(I1157)&gt;0,I1157*가정!$B$3,K1157*(1+가정!$B$6)),IF(N(H1157)&gt;0,H1157*가정!$B$3,J1157*가정!$B$4))</f>
        <v>50967.972</v>
      </c>
      <c r="M1157" s="95" t="n">
        <f aca="false">D1157*J1157</f>
        <v>14310000</v>
      </c>
      <c r="N1157" s="95" t="n">
        <f aca="false">D1157*K1157</f>
        <v>2799090</v>
      </c>
      <c r="O1157" s="95" t="n">
        <f aca="false">D1157*L1157</f>
        <v>4587117.48</v>
      </c>
      <c r="P1157" s="34" t="str">
        <f aca="false">TRIM(IF(N(E1157)&lt;=0,"택가보정 ","")&amp;IF(N(F1157)&lt;=0,"원가보정 ","")&amp;IF(AND(B1157&lt;&gt;"CN",N(H1157)&lt;=0),"공급가보정 ","")&amp;IF(AND(B1157="CN",N(I1157)&lt;=0),"중국공급가=원가+마진 ",""))</f>
        <v/>
      </c>
    </row>
    <row r="1158" customFormat="false" ht="15" hidden="false" customHeight="true" outlineLevel="0" collapsed="false">
      <c r="A1158" s="94" t="s">
        <v>1685</v>
      </c>
      <c r="B1158" s="34" t="str">
        <f aca="false">IF(A1158="100","HK",IF(A1158="200","CN",IF(A1158="300","TW","홀세일")))</f>
        <v>CN</v>
      </c>
      <c r="C1158" s="94" t="s">
        <v>599</v>
      </c>
      <c r="D1158" s="95" t="n">
        <v>563</v>
      </c>
      <c r="E1158" s="95" t="n">
        <v>159000</v>
      </c>
      <c r="F1158" s="95" t="n">
        <v>31101</v>
      </c>
      <c r="G1158" s="34" t="n">
        <v>4.07</v>
      </c>
      <c r="H1158" s="34" t="n">
        <v>37.4</v>
      </c>
      <c r="I1158" s="34" t="n">
        <v>25.5</v>
      </c>
      <c r="J1158" s="95" t="n">
        <f aca="false">IF(N(E1158)&gt;0,E1158,IF(N(F1158)&gt;0,F1158*가정!$B$5,0))</f>
        <v>159000</v>
      </c>
      <c r="K1158" s="95" t="n">
        <f aca="false">IF(N(F1158)&gt;0,F1158,IF(N(E1158)&gt;0,E1158/가정!$B$5,0))</f>
        <v>31101</v>
      </c>
      <c r="L1158" s="95" t="n">
        <f aca="false">IF(B1158="CN",IF(N(I1158)&gt;0,I1158*가정!$B$3,K1158*(1+가정!$B$6)),IF(N(H1158)&gt;0,H1158*가정!$B$3,J1158*가정!$B$4))</f>
        <v>34750.89</v>
      </c>
      <c r="M1158" s="95" t="n">
        <f aca="false">D1158*J1158</f>
        <v>89517000</v>
      </c>
      <c r="N1158" s="95" t="n">
        <f aca="false">D1158*K1158</f>
        <v>17509863</v>
      </c>
      <c r="O1158" s="95" t="n">
        <f aca="false">D1158*L1158</f>
        <v>19564751.07</v>
      </c>
      <c r="P1158" s="34" t="str">
        <f aca="false">TRIM(IF(N(E1158)&lt;=0,"택가보정 ","")&amp;IF(N(F1158)&lt;=0,"원가보정 ","")&amp;IF(AND(B1158&lt;&gt;"CN",N(H1158)&lt;=0),"공급가보정 ","")&amp;IF(AND(B1158="CN",N(I1158)&lt;=0),"중국공급가=원가+마진 ",""))</f>
        <v/>
      </c>
    </row>
    <row r="1159" customFormat="false" ht="15" hidden="false" customHeight="true" outlineLevel="0" collapsed="false">
      <c r="A1159" s="94" t="s">
        <v>1685</v>
      </c>
      <c r="B1159" s="34" t="str">
        <f aca="false">IF(A1159="100","HK",IF(A1159="200","CN",IF(A1159="300","TW","홀세일")))</f>
        <v>CN</v>
      </c>
      <c r="C1159" s="94" t="s">
        <v>599</v>
      </c>
      <c r="D1159" s="95" t="n">
        <v>563</v>
      </c>
      <c r="E1159" s="95" t="n">
        <v>159000</v>
      </c>
      <c r="F1159" s="95" t="n">
        <v>31101</v>
      </c>
      <c r="G1159" s="34" t="n">
        <v>4.07</v>
      </c>
      <c r="H1159" s="34" t="n">
        <v>37.4</v>
      </c>
      <c r="I1159" s="34" t="n">
        <v>25.5</v>
      </c>
      <c r="J1159" s="95" t="n">
        <f aca="false">IF(N(E1159)&gt;0,E1159,IF(N(F1159)&gt;0,F1159*가정!$B$5,0))</f>
        <v>159000</v>
      </c>
      <c r="K1159" s="95" t="n">
        <f aca="false">IF(N(F1159)&gt;0,F1159,IF(N(E1159)&gt;0,E1159/가정!$B$5,0))</f>
        <v>31101</v>
      </c>
      <c r="L1159" s="95" t="n">
        <f aca="false">IF(B1159="CN",IF(N(I1159)&gt;0,I1159*가정!$B$3,K1159*(1+가정!$B$6)),IF(N(H1159)&gt;0,H1159*가정!$B$3,J1159*가정!$B$4))</f>
        <v>34750.89</v>
      </c>
      <c r="M1159" s="95" t="n">
        <f aca="false">D1159*J1159</f>
        <v>89517000</v>
      </c>
      <c r="N1159" s="95" t="n">
        <f aca="false">D1159*K1159</f>
        <v>17509863</v>
      </c>
      <c r="O1159" s="95" t="n">
        <f aca="false">D1159*L1159</f>
        <v>19564751.07</v>
      </c>
      <c r="P1159" s="34" t="str">
        <f aca="false">TRIM(IF(N(E1159)&lt;=0,"택가보정 ","")&amp;IF(N(F1159)&lt;=0,"원가보정 ","")&amp;IF(AND(B1159&lt;&gt;"CN",N(H1159)&lt;=0),"공급가보정 ","")&amp;IF(AND(B1159="CN",N(I1159)&lt;=0),"중국공급가=원가+마진 ",""))</f>
        <v/>
      </c>
    </row>
    <row r="1160" customFormat="false" ht="15" hidden="false" customHeight="true" outlineLevel="0" collapsed="false">
      <c r="A1160" s="94" t="s">
        <v>1686</v>
      </c>
      <c r="B1160" s="34" t="str">
        <f aca="false">IF(A1160="100","HK",IF(A1160="200","CN",IF(A1160="300","TW","홀세일")))</f>
        <v>TW</v>
      </c>
      <c r="C1160" s="94" t="s">
        <v>599</v>
      </c>
      <c r="D1160" s="95" t="n">
        <v>150</v>
      </c>
      <c r="E1160" s="95" t="n">
        <v>159000</v>
      </c>
      <c r="F1160" s="95" t="n">
        <v>31101</v>
      </c>
      <c r="G1160" s="34" t="n">
        <v>4.07</v>
      </c>
      <c r="H1160" s="34" t="n">
        <v>37.4</v>
      </c>
      <c r="I1160" s="34" t="n">
        <v>25.5</v>
      </c>
      <c r="J1160" s="95" t="n">
        <f aca="false">IF(N(E1160)&gt;0,E1160,IF(N(F1160)&gt;0,F1160*가정!$B$5,0))</f>
        <v>159000</v>
      </c>
      <c r="K1160" s="95" t="n">
        <f aca="false">IF(N(F1160)&gt;0,F1160,IF(N(E1160)&gt;0,E1160/가정!$B$5,0))</f>
        <v>31101</v>
      </c>
      <c r="L1160" s="95" t="n">
        <f aca="false">IF(B1160="CN",IF(N(I1160)&gt;0,I1160*가정!$B$3,K1160*(1+가정!$B$6)),IF(N(H1160)&gt;0,H1160*가정!$B$3,J1160*가정!$B$4))</f>
        <v>50967.972</v>
      </c>
      <c r="M1160" s="95" t="n">
        <f aca="false">D1160*J1160</f>
        <v>23850000</v>
      </c>
      <c r="N1160" s="95" t="n">
        <f aca="false">D1160*K1160</f>
        <v>4665150</v>
      </c>
      <c r="O1160" s="95" t="n">
        <f aca="false">D1160*L1160</f>
        <v>7645195.8</v>
      </c>
      <c r="P1160" s="34" t="str">
        <f aca="false">TRIM(IF(N(E1160)&lt;=0,"택가보정 ","")&amp;IF(N(F1160)&lt;=0,"원가보정 ","")&amp;IF(AND(B1160&lt;&gt;"CN",N(H1160)&lt;=0),"공급가보정 ","")&amp;IF(AND(B1160="CN",N(I1160)&lt;=0),"중국공급가=원가+마진 ",""))</f>
        <v/>
      </c>
    </row>
    <row r="1161" customFormat="false" ht="15" hidden="false" customHeight="true" outlineLevel="0" collapsed="false">
      <c r="A1161" s="94" t="s">
        <v>1688</v>
      </c>
      <c r="B1161" s="34" t="str">
        <f aca="false">IF(A1161="100","HK",IF(A1161="200","CN",IF(A1161="300","TW","홀세일")))</f>
        <v>홀세일</v>
      </c>
      <c r="C1161" s="94" t="s">
        <v>599</v>
      </c>
      <c r="D1161" s="95" t="n">
        <v>20</v>
      </c>
      <c r="E1161" s="95" t="n">
        <v>159000</v>
      </c>
      <c r="F1161" s="95" t="n">
        <v>31101</v>
      </c>
      <c r="G1161" s="34" t="n">
        <v>4.07</v>
      </c>
      <c r="H1161" s="34" t="n">
        <v>37.4</v>
      </c>
      <c r="I1161" s="34" t="n">
        <v>25.5</v>
      </c>
      <c r="J1161" s="95" t="n">
        <f aca="false">IF(N(E1161)&gt;0,E1161,IF(N(F1161)&gt;0,F1161*가정!$B$5,0))</f>
        <v>159000</v>
      </c>
      <c r="K1161" s="95" t="n">
        <f aca="false">IF(N(F1161)&gt;0,F1161,IF(N(E1161)&gt;0,E1161/가정!$B$5,0))</f>
        <v>31101</v>
      </c>
      <c r="L1161" s="95" t="n">
        <f aca="false">IF(B1161="CN",IF(N(I1161)&gt;0,I1161*가정!$B$3,K1161*(1+가정!$B$6)),IF(N(H1161)&gt;0,H1161*가정!$B$3,J1161*가정!$B$4))</f>
        <v>50967.972</v>
      </c>
      <c r="M1161" s="95" t="n">
        <f aca="false">D1161*J1161</f>
        <v>3180000</v>
      </c>
      <c r="N1161" s="95" t="n">
        <f aca="false">D1161*K1161</f>
        <v>622020</v>
      </c>
      <c r="O1161" s="95" t="n">
        <f aca="false">D1161*L1161</f>
        <v>1019359.44</v>
      </c>
      <c r="P1161" s="34" t="str">
        <f aca="false">TRIM(IF(N(E1161)&lt;=0,"택가보정 ","")&amp;IF(N(F1161)&lt;=0,"원가보정 ","")&amp;IF(AND(B1161&lt;&gt;"CN",N(H1161)&lt;=0),"공급가보정 ","")&amp;IF(AND(B1161="CN",N(I1161)&lt;=0),"중국공급가=원가+마진 ",""))</f>
        <v/>
      </c>
    </row>
    <row r="1162" customFormat="false" ht="15" hidden="false" customHeight="true" outlineLevel="0" collapsed="false">
      <c r="A1162" s="94" t="s">
        <v>1692</v>
      </c>
      <c r="B1162" s="34" t="str">
        <f aca="false">IF(A1162="100","HK",IF(A1162="200","CN",IF(A1162="300","TW","홀세일")))</f>
        <v>홀세일</v>
      </c>
      <c r="C1162" s="94" t="s">
        <v>599</v>
      </c>
      <c r="D1162" s="95" t="n">
        <v>81</v>
      </c>
      <c r="E1162" s="95" t="n">
        <v>159000</v>
      </c>
      <c r="F1162" s="95" t="n">
        <v>31101</v>
      </c>
      <c r="G1162" s="34" t="n">
        <v>4.07</v>
      </c>
      <c r="H1162" s="34" t="n">
        <v>37.4</v>
      </c>
      <c r="I1162" s="34" t="n">
        <v>25.5</v>
      </c>
      <c r="J1162" s="95" t="n">
        <f aca="false">IF(N(E1162)&gt;0,E1162,IF(N(F1162)&gt;0,F1162*가정!$B$5,0))</f>
        <v>159000</v>
      </c>
      <c r="K1162" s="95" t="n">
        <f aca="false">IF(N(F1162)&gt;0,F1162,IF(N(E1162)&gt;0,E1162/가정!$B$5,0))</f>
        <v>31101</v>
      </c>
      <c r="L1162" s="95" t="n">
        <f aca="false">IF(B1162="CN",IF(N(I1162)&gt;0,I1162*가정!$B$3,K1162*(1+가정!$B$6)),IF(N(H1162)&gt;0,H1162*가정!$B$3,J1162*가정!$B$4))</f>
        <v>50967.972</v>
      </c>
      <c r="M1162" s="95" t="n">
        <f aca="false">D1162*J1162</f>
        <v>12879000</v>
      </c>
      <c r="N1162" s="95" t="n">
        <f aca="false">D1162*K1162</f>
        <v>2519181</v>
      </c>
      <c r="O1162" s="95" t="n">
        <f aca="false">D1162*L1162</f>
        <v>4128405.732</v>
      </c>
      <c r="P1162" s="34" t="str">
        <f aca="false">TRIM(IF(N(E1162)&lt;=0,"택가보정 ","")&amp;IF(N(F1162)&lt;=0,"원가보정 ","")&amp;IF(AND(B1162&lt;&gt;"CN",N(H1162)&lt;=0),"공급가보정 ","")&amp;IF(AND(B1162="CN",N(I1162)&lt;=0),"중국공급가=원가+마진 ",""))</f>
        <v/>
      </c>
    </row>
    <row r="1163" customFormat="false" ht="15" hidden="false" customHeight="true" outlineLevel="0" collapsed="false">
      <c r="A1163" s="94" t="s">
        <v>1686</v>
      </c>
      <c r="B1163" s="34" t="str">
        <f aca="false">IF(A1163="100","HK",IF(A1163="200","CN",IF(A1163="300","TW","홀세일")))</f>
        <v>TW</v>
      </c>
      <c r="C1163" s="94" t="s">
        <v>601</v>
      </c>
      <c r="D1163" s="95" t="n">
        <v>300</v>
      </c>
      <c r="E1163" s="95" t="n">
        <v>159000</v>
      </c>
      <c r="F1163" s="95" t="n">
        <v>29500</v>
      </c>
      <c r="G1163" s="34" t="n">
        <v>4.52</v>
      </c>
      <c r="H1163" s="34" t="n">
        <v>37.4</v>
      </c>
      <c r="I1163" s="34" t="n">
        <v>0</v>
      </c>
      <c r="J1163" s="95" t="n">
        <f aca="false">IF(N(E1163)&gt;0,E1163,IF(N(F1163)&gt;0,F1163*가정!$B$5,0))</f>
        <v>159000</v>
      </c>
      <c r="K1163" s="95" t="n">
        <f aca="false">IF(N(F1163)&gt;0,F1163,IF(N(E1163)&gt;0,E1163/가정!$B$5,0))</f>
        <v>29500</v>
      </c>
      <c r="L1163" s="95" t="n">
        <f aca="false">IF(B1163="CN",IF(N(I1163)&gt;0,I1163*가정!$B$3,K1163*(1+가정!$B$6)),IF(N(H1163)&gt;0,H1163*가정!$B$3,J1163*가정!$B$4))</f>
        <v>50967.972</v>
      </c>
      <c r="M1163" s="95" t="n">
        <f aca="false">D1163*J1163</f>
        <v>47700000</v>
      </c>
      <c r="N1163" s="95" t="n">
        <f aca="false">D1163*K1163</f>
        <v>8850000</v>
      </c>
      <c r="O1163" s="95" t="n">
        <f aca="false">D1163*L1163</f>
        <v>15290391.6</v>
      </c>
      <c r="P1163" s="34" t="str">
        <f aca="false">TRIM(IF(N(E1163)&lt;=0,"택가보정 ","")&amp;IF(N(F1163)&lt;=0,"원가보정 ","")&amp;IF(AND(B1163&lt;&gt;"CN",N(H1163)&lt;=0),"공급가보정 ","")&amp;IF(AND(B1163="CN",N(I1163)&lt;=0),"중국공급가=원가+마진 ",""))</f>
        <v/>
      </c>
    </row>
    <row r="1164" customFormat="false" ht="15" hidden="false" customHeight="true" outlineLevel="0" collapsed="false">
      <c r="A1164" s="94" t="s">
        <v>1690</v>
      </c>
      <c r="B1164" s="34" t="str">
        <f aca="false">IF(A1164="100","HK",IF(A1164="200","CN",IF(A1164="300","TW","홀세일")))</f>
        <v>홀세일</v>
      </c>
      <c r="C1164" s="94" t="s">
        <v>601</v>
      </c>
      <c r="D1164" s="95" t="n">
        <v>228</v>
      </c>
      <c r="E1164" s="95" t="n">
        <v>159000</v>
      </c>
      <c r="F1164" s="95" t="n">
        <v>29500</v>
      </c>
      <c r="G1164" s="34" t="n">
        <v>4.52</v>
      </c>
      <c r="H1164" s="34" t="n">
        <v>37.4</v>
      </c>
      <c r="I1164" s="34" t="n">
        <v>0</v>
      </c>
      <c r="J1164" s="95" t="n">
        <f aca="false">IF(N(E1164)&gt;0,E1164,IF(N(F1164)&gt;0,F1164*가정!$B$5,0))</f>
        <v>159000</v>
      </c>
      <c r="K1164" s="95" t="n">
        <f aca="false">IF(N(F1164)&gt;0,F1164,IF(N(E1164)&gt;0,E1164/가정!$B$5,0))</f>
        <v>29500</v>
      </c>
      <c r="L1164" s="95" t="n">
        <f aca="false">IF(B1164="CN",IF(N(I1164)&gt;0,I1164*가정!$B$3,K1164*(1+가정!$B$6)),IF(N(H1164)&gt;0,H1164*가정!$B$3,J1164*가정!$B$4))</f>
        <v>50967.972</v>
      </c>
      <c r="M1164" s="95" t="n">
        <f aca="false">D1164*J1164</f>
        <v>36252000</v>
      </c>
      <c r="N1164" s="95" t="n">
        <f aca="false">D1164*K1164</f>
        <v>6726000</v>
      </c>
      <c r="O1164" s="95" t="n">
        <f aca="false">D1164*L1164</f>
        <v>11620697.616</v>
      </c>
      <c r="P1164" s="34" t="str">
        <f aca="false">TRIM(IF(N(E1164)&lt;=0,"택가보정 ","")&amp;IF(N(F1164)&lt;=0,"원가보정 ","")&amp;IF(AND(B1164&lt;&gt;"CN",N(H1164)&lt;=0),"공급가보정 ","")&amp;IF(AND(B1164="CN",N(I1164)&lt;=0),"중국공급가=원가+마진 ",""))</f>
        <v/>
      </c>
    </row>
    <row r="1165" customFormat="false" ht="15" hidden="false" customHeight="true" outlineLevel="0" collapsed="false">
      <c r="A1165" s="94" t="s">
        <v>1684</v>
      </c>
      <c r="B1165" s="34" t="str">
        <f aca="false">IF(A1165="100","HK",IF(A1165="200","CN",IF(A1165="300","TW","홀세일")))</f>
        <v>HK</v>
      </c>
      <c r="C1165" s="94" t="s">
        <v>991</v>
      </c>
      <c r="D1165" s="95" t="n">
        <v>90</v>
      </c>
      <c r="E1165" s="95" t="n">
        <v>129000</v>
      </c>
      <c r="F1165" s="95" t="n">
        <v>24403</v>
      </c>
      <c r="G1165" s="34" t="n">
        <v>3.65</v>
      </c>
      <c r="H1165" s="34" t="n">
        <v>30.4</v>
      </c>
      <c r="I1165" s="34" t="n">
        <v>21.5</v>
      </c>
      <c r="J1165" s="95" t="n">
        <f aca="false">IF(N(E1165)&gt;0,E1165,IF(N(F1165)&gt;0,F1165*가정!$B$5,0))</f>
        <v>129000</v>
      </c>
      <c r="K1165" s="95" t="n">
        <f aca="false">IF(N(F1165)&gt;0,F1165,IF(N(E1165)&gt;0,E1165/가정!$B$5,0))</f>
        <v>24403</v>
      </c>
      <c r="L1165" s="95" t="n">
        <f aca="false">IF(B1165="CN",IF(N(I1165)&gt;0,I1165*가정!$B$3,K1165*(1+가정!$B$6)),IF(N(H1165)&gt;0,H1165*가정!$B$3,J1165*가정!$B$4))</f>
        <v>41428.512</v>
      </c>
      <c r="M1165" s="95" t="n">
        <f aca="false">D1165*J1165</f>
        <v>11610000</v>
      </c>
      <c r="N1165" s="95" t="n">
        <f aca="false">D1165*K1165</f>
        <v>2196270</v>
      </c>
      <c r="O1165" s="95" t="n">
        <f aca="false">D1165*L1165</f>
        <v>3728566.08</v>
      </c>
      <c r="P1165" s="34" t="str">
        <f aca="false">TRIM(IF(N(E1165)&lt;=0,"택가보정 ","")&amp;IF(N(F1165)&lt;=0,"원가보정 ","")&amp;IF(AND(B1165&lt;&gt;"CN",N(H1165)&lt;=0),"공급가보정 ","")&amp;IF(AND(B1165="CN",N(I1165)&lt;=0),"중국공급가=원가+마진 ",""))</f>
        <v/>
      </c>
    </row>
    <row r="1166" customFormat="false" ht="15" hidden="false" customHeight="true" outlineLevel="0" collapsed="false">
      <c r="A1166" s="94" t="s">
        <v>1685</v>
      </c>
      <c r="B1166" s="34" t="str">
        <f aca="false">IF(A1166="100","HK",IF(A1166="200","CN",IF(A1166="300","TW","홀세일")))</f>
        <v>CN</v>
      </c>
      <c r="C1166" s="94" t="s">
        <v>991</v>
      </c>
      <c r="D1166" s="95" t="n">
        <v>282</v>
      </c>
      <c r="E1166" s="95" t="n">
        <v>129000</v>
      </c>
      <c r="F1166" s="95" t="n">
        <v>24403</v>
      </c>
      <c r="G1166" s="34" t="n">
        <v>3.65</v>
      </c>
      <c r="H1166" s="34" t="n">
        <v>30.4</v>
      </c>
      <c r="I1166" s="34" t="n">
        <v>21.5</v>
      </c>
      <c r="J1166" s="95" t="n">
        <f aca="false">IF(N(E1166)&gt;0,E1166,IF(N(F1166)&gt;0,F1166*가정!$B$5,0))</f>
        <v>129000</v>
      </c>
      <c r="K1166" s="95" t="n">
        <f aca="false">IF(N(F1166)&gt;0,F1166,IF(N(E1166)&gt;0,E1166/가정!$B$5,0))</f>
        <v>24403</v>
      </c>
      <c r="L1166" s="95" t="n">
        <f aca="false">IF(B1166="CN",IF(N(I1166)&gt;0,I1166*가정!$B$3,K1166*(1+가정!$B$6)),IF(N(H1166)&gt;0,H1166*가정!$B$3,J1166*가정!$B$4))</f>
        <v>29299.77</v>
      </c>
      <c r="M1166" s="95" t="n">
        <f aca="false">D1166*J1166</f>
        <v>36378000</v>
      </c>
      <c r="N1166" s="95" t="n">
        <f aca="false">D1166*K1166</f>
        <v>6881646</v>
      </c>
      <c r="O1166" s="95" t="n">
        <f aca="false">D1166*L1166</f>
        <v>8262535.14</v>
      </c>
      <c r="P1166" s="34" t="str">
        <f aca="false">TRIM(IF(N(E1166)&lt;=0,"택가보정 ","")&amp;IF(N(F1166)&lt;=0,"원가보정 ","")&amp;IF(AND(B1166&lt;&gt;"CN",N(H1166)&lt;=0),"공급가보정 ","")&amp;IF(AND(B1166="CN",N(I1166)&lt;=0),"중국공급가=원가+마진 ",""))</f>
        <v/>
      </c>
    </row>
    <row r="1167" customFormat="false" ht="15" hidden="false" customHeight="true" outlineLevel="0" collapsed="false">
      <c r="A1167" s="94" t="s">
        <v>1685</v>
      </c>
      <c r="B1167" s="34" t="str">
        <f aca="false">IF(A1167="100","HK",IF(A1167="200","CN",IF(A1167="300","TW","홀세일")))</f>
        <v>CN</v>
      </c>
      <c r="C1167" s="94" t="s">
        <v>991</v>
      </c>
      <c r="D1167" s="95" t="n">
        <v>282</v>
      </c>
      <c r="E1167" s="95" t="n">
        <v>129000</v>
      </c>
      <c r="F1167" s="95" t="n">
        <v>24403</v>
      </c>
      <c r="G1167" s="34" t="n">
        <v>3.65</v>
      </c>
      <c r="H1167" s="34" t="n">
        <v>30.4</v>
      </c>
      <c r="I1167" s="34" t="n">
        <v>21.5</v>
      </c>
      <c r="J1167" s="95" t="n">
        <f aca="false">IF(N(E1167)&gt;0,E1167,IF(N(F1167)&gt;0,F1167*가정!$B$5,0))</f>
        <v>129000</v>
      </c>
      <c r="K1167" s="95" t="n">
        <f aca="false">IF(N(F1167)&gt;0,F1167,IF(N(E1167)&gt;0,E1167/가정!$B$5,0))</f>
        <v>24403</v>
      </c>
      <c r="L1167" s="95" t="n">
        <f aca="false">IF(B1167="CN",IF(N(I1167)&gt;0,I1167*가정!$B$3,K1167*(1+가정!$B$6)),IF(N(H1167)&gt;0,H1167*가정!$B$3,J1167*가정!$B$4))</f>
        <v>29299.77</v>
      </c>
      <c r="M1167" s="95" t="n">
        <f aca="false">D1167*J1167</f>
        <v>36378000</v>
      </c>
      <c r="N1167" s="95" t="n">
        <f aca="false">D1167*K1167</f>
        <v>6881646</v>
      </c>
      <c r="O1167" s="95" t="n">
        <f aca="false">D1167*L1167</f>
        <v>8262535.14</v>
      </c>
      <c r="P1167" s="34" t="str">
        <f aca="false">TRIM(IF(N(E1167)&lt;=0,"택가보정 ","")&amp;IF(N(F1167)&lt;=0,"원가보정 ","")&amp;IF(AND(B1167&lt;&gt;"CN",N(H1167)&lt;=0),"공급가보정 ","")&amp;IF(AND(B1167="CN",N(I1167)&lt;=0),"중국공급가=원가+마진 ",""))</f>
        <v/>
      </c>
    </row>
    <row r="1168" customFormat="false" ht="15" hidden="false" customHeight="true" outlineLevel="0" collapsed="false">
      <c r="A1168" s="94" t="s">
        <v>1688</v>
      </c>
      <c r="B1168" s="34" t="str">
        <f aca="false">IF(A1168="100","HK",IF(A1168="200","CN",IF(A1168="300","TW","홀세일")))</f>
        <v>홀세일</v>
      </c>
      <c r="C1168" s="94" t="s">
        <v>991</v>
      </c>
      <c r="D1168" s="95" t="n">
        <v>20</v>
      </c>
      <c r="E1168" s="95" t="n">
        <v>129000</v>
      </c>
      <c r="F1168" s="95" t="n">
        <v>24403</v>
      </c>
      <c r="G1168" s="34" t="n">
        <v>3.65</v>
      </c>
      <c r="H1168" s="34" t="n">
        <v>30.4</v>
      </c>
      <c r="I1168" s="34" t="n">
        <v>21.5</v>
      </c>
      <c r="J1168" s="95" t="n">
        <f aca="false">IF(N(E1168)&gt;0,E1168,IF(N(F1168)&gt;0,F1168*가정!$B$5,0))</f>
        <v>129000</v>
      </c>
      <c r="K1168" s="95" t="n">
        <f aca="false">IF(N(F1168)&gt;0,F1168,IF(N(E1168)&gt;0,E1168/가정!$B$5,0))</f>
        <v>24403</v>
      </c>
      <c r="L1168" s="95" t="n">
        <f aca="false">IF(B1168="CN",IF(N(I1168)&gt;0,I1168*가정!$B$3,K1168*(1+가정!$B$6)),IF(N(H1168)&gt;0,H1168*가정!$B$3,J1168*가정!$B$4))</f>
        <v>41428.512</v>
      </c>
      <c r="M1168" s="95" t="n">
        <f aca="false">D1168*J1168</f>
        <v>2580000</v>
      </c>
      <c r="N1168" s="95" t="n">
        <f aca="false">D1168*K1168</f>
        <v>488060</v>
      </c>
      <c r="O1168" s="95" t="n">
        <f aca="false">D1168*L1168</f>
        <v>828570.24</v>
      </c>
      <c r="P1168" s="34" t="str">
        <f aca="false">TRIM(IF(N(E1168)&lt;=0,"택가보정 ","")&amp;IF(N(F1168)&lt;=0,"원가보정 ","")&amp;IF(AND(B1168&lt;&gt;"CN",N(H1168)&lt;=0),"공급가보정 ","")&amp;IF(AND(B1168="CN",N(I1168)&lt;=0),"중국공급가=원가+마진 ",""))</f>
        <v/>
      </c>
    </row>
    <row r="1169" customFormat="false" ht="15" hidden="false" customHeight="true" outlineLevel="0" collapsed="false">
      <c r="A1169" s="94" t="s">
        <v>1689</v>
      </c>
      <c r="B1169" s="34" t="str">
        <f aca="false">IF(A1169="100","HK",IF(A1169="200","CN",IF(A1169="300","TW","홀세일")))</f>
        <v>홀세일</v>
      </c>
      <c r="C1169" s="94" t="s">
        <v>991</v>
      </c>
      <c r="D1169" s="95" t="n">
        <v>60</v>
      </c>
      <c r="E1169" s="95" t="n">
        <v>129000</v>
      </c>
      <c r="F1169" s="95" t="n">
        <v>24403</v>
      </c>
      <c r="G1169" s="34" t="n">
        <v>3.65</v>
      </c>
      <c r="H1169" s="34" t="n">
        <v>30.4</v>
      </c>
      <c r="I1169" s="34" t="n">
        <v>21.5</v>
      </c>
      <c r="J1169" s="95" t="n">
        <f aca="false">IF(N(E1169)&gt;0,E1169,IF(N(F1169)&gt;0,F1169*가정!$B$5,0))</f>
        <v>129000</v>
      </c>
      <c r="K1169" s="95" t="n">
        <f aca="false">IF(N(F1169)&gt;0,F1169,IF(N(E1169)&gt;0,E1169/가정!$B$5,0))</f>
        <v>24403</v>
      </c>
      <c r="L1169" s="95" t="n">
        <f aca="false">IF(B1169="CN",IF(N(I1169)&gt;0,I1169*가정!$B$3,K1169*(1+가정!$B$6)),IF(N(H1169)&gt;0,H1169*가정!$B$3,J1169*가정!$B$4))</f>
        <v>41428.512</v>
      </c>
      <c r="M1169" s="95" t="n">
        <f aca="false">D1169*J1169</f>
        <v>7740000</v>
      </c>
      <c r="N1169" s="95" t="n">
        <f aca="false">D1169*K1169</f>
        <v>1464180</v>
      </c>
      <c r="O1169" s="95" t="n">
        <f aca="false">D1169*L1169</f>
        <v>2485710.72</v>
      </c>
      <c r="P1169" s="34" t="str">
        <f aca="false">TRIM(IF(N(E1169)&lt;=0,"택가보정 ","")&amp;IF(N(F1169)&lt;=0,"원가보정 ","")&amp;IF(AND(B1169&lt;&gt;"CN",N(H1169)&lt;=0),"공급가보정 ","")&amp;IF(AND(B1169="CN",N(I1169)&lt;=0),"중국공급가=원가+마진 ",""))</f>
        <v/>
      </c>
    </row>
    <row r="1170" customFormat="false" ht="15.75" hidden="false" customHeight="true" outlineLevel="0" collapsed="false">
      <c r="A1170" s="94" t="s">
        <v>1685</v>
      </c>
      <c r="B1170" s="34" t="str">
        <f aca="false">IF(A1170="100","HK",IF(A1170="200","CN",IF(A1170="300","TW","홀세일")))</f>
        <v>CN</v>
      </c>
      <c r="C1170" s="94" t="s">
        <v>1727</v>
      </c>
      <c r="D1170" s="95" t="n">
        <v>130</v>
      </c>
      <c r="E1170" s="95" t="n">
        <v>179000</v>
      </c>
      <c r="F1170" s="95" t="n">
        <v>42300</v>
      </c>
      <c r="G1170" s="34" t="n">
        <v>4.07</v>
      </c>
      <c r="H1170" s="34" t="n">
        <v>43.4</v>
      </c>
      <c r="I1170" s="34" t="n">
        <v>0</v>
      </c>
      <c r="J1170" s="95" t="n">
        <f aca="false">IF(N(E1170)&gt;0,E1170,IF(N(F1170)&gt;0,F1170*가정!$B$5,0))</f>
        <v>179000</v>
      </c>
      <c r="K1170" s="95" t="n">
        <f aca="false">IF(N(F1170)&gt;0,F1170,IF(N(E1170)&gt;0,E1170/가정!$B$5,0))</f>
        <v>42300</v>
      </c>
      <c r="L1170" s="95" t="n">
        <f aca="false">IF(B1170="CN",IF(N(I1170)&gt;0,I1170*가정!$B$3,K1170*(1+가정!$B$6)),IF(N(H1170)&gt;0,H1170*가정!$B$3,J1170*가정!$B$4))</f>
        <v>44415</v>
      </c>
      <c r="M1170" s="95" t="n">
        <f aca="false">D1170*J1170</f>
        <v>23270000</v>
      </c>
      <c r="N1170" s="95" t="n">
        <f aca="false">D1170*K1170</f>
        <v>5499000</v>
      </c>
      <c r="O1170" s="95" t="n">
        <f aca="false">D1170*L1170</f>
        <v>5773950</v>
      </c>
      <c r="P1170" s="34" t="str">
        <f aca="false">TRIM(IF(N(E1170)&lt;=0,"택가보정 ","")&amp;IF(N(F1170)&lt;=0,"원가보정 ","")&amp;IF(AND(B1170&lt;&gt;"CN",N(H1170)&lt;=0),"공급가보정 ","")&amp;IF(AND(B1170="CN",N(I1170)&lt;=0),"중국공급가=원가+마진 ",""))</f>
        <v>중국공급가=원가+마진</v>
      </c>
    </row>
    <row r="1171" customFormat="false" ht="15" hidden="false" customHeight="true" outlineLevel="0" collapsed="false">
      <c r="A1171" s="94" t="s">
        <v>1687</v>
      </c>
      <c r="B1171" s="34" t="str">
        <f aca="false">IF(A1171="100","HK",IF(A1171="200","CN",IF(A1171="300","TW","홀세일")))</f>
        <v>홀세일</v>
      </c>
      <c r="C1171" s="94" t="s">
        <v>1727</v>
      </c>
      <c r="D1171" s="95" t="n">
        <v>7</v>
      </c>
      <c r="E1171" s="95" t="n">
        <v>179000</v>
      </c>
      <c r="F1171" s="95" t="n">
        <v>42300</v>
      </c>
      <c r="G1171" s="34" t="n">
        <v>4.07</v>
      </c>
      <c r="H1171" s="34" t="n">
        <v>43.4</v>
      </c>
      <c r="I1171" s="34" t="n">
        <v>0</v>
      </c>
      <c r="J1171" s="95" t="n">
        <f aca="false">IF(N(E1171)&gt;0,E1171,IF(N(F1171)&gt;0,F1171*가정!$B$5,0))</f>
        <v>179000</v>
      </c>
      <c r="K1171" s="95" t="n">
        <f aca="false">IF(N(F1171)&gt;0,F1171,IF(N(E1171)&gt;0,E1171/가정!$B$5,0))</f>
        <v>42300</v>
      </c>
      <c r="L1171" s="95" t="n">
        <f aca="false">IF(B1171="CN",IF(N(I1171)&gt;0,I1171*가정!$B$3,K1171*(1+가정!$B$6)),IF(N(H1171)&gt;0,H1171*가정!$B$3,J1171*가정!$B$4))</f>
        <v>59144.652</v>
      </c>
      <c r="M1171" s="95" t="n">
        <f aca="false">D1171*J1171</f>
        <v>1253000</v>
      </c>
      <c r="N1171" s="95" t="n">
        <f aca="false">D1171*K1171</f>
        <v>296100</v>
      </c>
      <c r="O1171" s="95" t="n">
        <f aca="false">D1171*L1171</f>
        <v>414012.564</v>
      </c>
      <c r="P1171" s="34" t="str">
        <f aca="false">TRIM(IF(N(E1171)&lt;=0,"택가보정 ","")&amp;IF(N(F1171)&lt;=0,"원가보정 ","")&amp;IF(AND(B1171&lt;&gt;"CN",N(H1171)&lt;=0),"공급가보정 ","")&amp;IF(AND(B1171="CN",N(I1171)&lt;=0),"중국공급가=원가+마진 ",""))</f>
        <v/>
      </c>
    </row>
    <row r="1172" customFormat="false" ht="15" hidden="false" customHeight="true" outlineLevel="0" collapsed="false">
      <c r="A1172" s="94" t="s">
        <v>1684</v>
      </c>
      <c r="B1172" s="34" t="str">
        <f aca="false">IF(A1172="100","HK",IF(A1172="200","CN",IF(A1172="300","TW","홀세일")))</f>
        <v>HK</v>
      </c>
      <c r="C1172" s="94" t="s">
        <v>993</v>
      </c>
      <c r="D1172" s="95" t="n">
        <v>70</v>
      </c>
      <c r="E1172" s="95" t="n">
        <v>169000</v>
      </c>
      <c r="F1172" s="95" t="n">
        <v>28300</v>
      </c>
      <c r="G1172" s="34" t="n">
        <v>3.81</v>
      </c>
      <c r="H1172" s="34" t="n">
        <v>39.8</v>
      </c>
      <c r="I1172" s="34" t="n">
        <v>0</v>
      </c>
      <c r="J1172" s="95" t="n">
        <f aca="false">IF(N(E1172)&gt;0,E1172,IF(N(F1172)&gt;0,F1172*가정!$B$5,0))</f>
        <v>169000</v>
      </c>
      <c r="K1172" s="95" t="n">
        <f aca="false">IF(N(F1172)&gt;0,F1172,IF(N(E1172)&gt;0,E1172/가정!$B$5,0))</f>
        <v>28300</v>
      </c>
      <c r="L1172" s="95" t="n">
        <f aca="false">IF(B1172="CN",IF(N(I1172)&gt;0,I1172*가정!$B$3,K1172*(1+가정!$B$6)),IF(N(H1172)&gt;0,H1172*가정!$B$3,J1172*가정!$B$4))</f>
        <v>54238.644</v>
      </c>
      <c r="M1172" s="95" t="n">
        <f aca="false">D1172*J1172</f>
        <v>11830000</v>
      </c>
      <c r="N1172" s="95" t="n">
        <f aca="false">D1172*K1172</f>
        <v>1981000</v>
      </c>
      <c r="O1172" s="95" t="n">
        <f aca="false">D1172*L1172</f>
        <v>3796705.08</v>
      </c>
      <c r="P1172" s="34" t="str">
        <f aca="false">TRIM(IF(N(E1172)&lt;=0,"택가보정 ","")&amp;IF(N(F1172)&lt;=0,"원가보정 ","")&amp;IF(AND(B1172&lt;&gt;"CN",N(H1172)&lt;=0),"공급가보정 ","")&amp;IF(AND(B1172="CN",N(I1172)&lt;=0),"중국공급가=원가+마진 ",""))</f>
        <v/>
      </c>
    </row>
    <row r="1173" customFormat="false" ht="15" hidden="false" customHeight="true" outlineLevel="0" collapsed="false">
      <c r="A1173" s="94" t="s">
        <v>1692</v>
      </c>
      <c r="B1173" s="34" t="str">
        <f aca="false">IF(A1173="100","HK",IF(A1173="200","CN",IF(A1173="300","TW","홀세일")))</f>
        <v>홀세일</v>
      </c>
      <c r="C1173" s="94" t="s">
        <v>993</v>
      </c>
      <c r="D1173" s="95" t="n">
        <v>81</v>
      </c>
      <c r="E1173" s="95" t="n">
        <v>169000</v>
      </c>
      <c r="F1173" s="95" t="n">
        <v>28300</v>
      </c>
      <c r="G1173" s="34" t="n">
        <v>3.81</v>
      </c>
      <c r="H1173" s="34" t="n">
        <v>39.8</v>
      </c>
      <c r="I1173" s="34" t="n">
        <v>0</v>
      </c>
      <c r="J1173" s="95" t="n">
        <f aca="false">IF(N(E1173)&gt;0,E1173,IF(N(F1173)&gt;0,F1173*가정!$B$5,0))</f>
        <v>169000</v>
      </c>
      <c r="K1173" s="95" t="n">
        <f aca="false">IF(N(F1173)&gt;0,F1173,IF(N(E1173)&gt;0,E1173/가정!$B$5,0))</f>
        <v>28300</v>
      </c>
      <c r="L1173" s="95" t="n">
        <f aca="false">IF(B1173="CN",IF(N(I1173)&gt;0,I1173*가정!$B$3,K1173*(1+가정!$B$6)),IF(N(H1173)&gt;0,H1173*가정!$B$3,J1173*가정!$B$4))</f>
        <v>54238.644</v>
      </c>
      <c r="M1173" s="95" t="n">
        <f aca="false">D1173*J1173</f>
        <v>13689000</v>
      </c>
      <c r="N1173" s="95" t="n">
        <f aca="false">D1173*K1173</f>
        <v>2292300</v>
      </c>
      <c r="O1173" s="95" t="n">
        <f aca="false">D1173*L1173</f>
        <v>4393330.164</v>
      </c>
      <c r="P1173" s="34" t="str">
        <f aca="false">TRIM(IF(N(E1173)&lt;=0,"택가보정 ","")&amp;IF(N(F1173)&lt;=0,"원가보정 ","")&amp;IF(AND(B1173&lt;&gt;"CN",N(H1173)&lt;=0),"공급가보정 ","")&amp;IF(AND(B1173="CN",N(I1173)&lt;=0),"중국공급가=원가+마진 ",""))</f>
        <v/>
      </c>
    </row>
    <row r="1174" customFormat="false" ht="15" hidden="false" customHeight="true" outlineLevel="0" collapsed="false">
      <c r="A1174" s="94" t="s">
        <v>1685</v>
      </c>
      <c r="B1174" s="34" t="str">
        <f aca="false">IF(A1174="100","HK",IF(A1174="200","CN",IF(A1174="300","TW","홀세일")))</f>
        <v>CN</v>
      </c>
      <c r="C1174" s="94" t="s">
        <v>1148</v>
      </c>
      <c r="D1174" s="95" t="n">
        <v>121</v>
      </c>
      <c r="E1174" s="95" t="n">
        <v>169000</v>
      </c>
      <c r="F1174" s="95" t="n">
        <v>32200</v>
      </c>
      <c r="G1174" s="34" t="n">
        <v>4.77</v>
      </c>
      <c r="H1174" s="34" t="n">
        <v>41</v>
      </c>
      <c r="I1174" s="34" t="n">
        <v>24.9</v>
      </c>
      <c r="J1174" s="95" t="n">
        <f aca="false">IF(N(E1174)&gt;0,E1174,IF(N(F1174)&gt;0,F1174*가정!$B$5,0))</f>
        <v>169000</v>
      </c>
      <c r="K1174" s="95" t="n">
        <f aca="false">IF(N(F1174)&gt;0,F1174,IF(N(E1174)&gt;0,E1174/가정!$B$5,0))</f>
        <v>32200</v>
      </c>
      <c r="L1174" s="95" t="n">
        <f aca="false">IF(B1174="CN",IF(N(I1174)&gt;0,I1174*가정!$B$3,K1174*(1+가정!$B$6)),IF(N(H1174)&gt;0,H1174*가정!$B$3,J1174*가정!$B$4))</f>
        <v>33933.222</v>
      </c>
      <c r="M1174" s="95" t="n">
        <f aca="false">D1174*J1174</f>
        <v>20449000</v>
      </c>
      <c r="N1174" s="95" t="n">
        <f aca="false">D1174*K1174</f>
        <v>3896200</v>
      </c>
      <c r="O1174" s="95" t="n">
        <f aca="false">D1174*L1174</f>
        <v>4105919.862</v>
      </c>
      <c r="P1174" s="34" t="str">
        <f aca="false">TRIM(IF(N(E1174)&lt;=0,"택가보정 ","")&amp;IF(N(F1174)&lt;=0,"원가보정 ","")&amp;IF(AND(B1174&lt;&gt;"CN",N(H1174)&lt;=0),"공급가보정 ","")&amp;IF(AND(B1174="CN",N(I1174)&lt;=0),"중국공급가=원가+마진 ",""))</f>
        <v/>
      </c>
    </row>
    <row r="1175" customFormat="false" ht="15" hidden="false" customHeight="true" outlineLevel="0" collapsed="false">
      <c r="A1175" s="94" t="s">
        <v>1688</v>
      </c>
      <c r="B1175" s="34" t="str">
        <f aca="false">IF(A1175="100","HK",IF(A1175="200","CN",IF(A1175="300","TW","홀세일")))</f>
        <v>홀세일</v>
      </c>
      <c r="C1175" s="94" t="s">
        <v>1389</v>
      </c>
      <c r="D1175" s="95" t="n">
        <v>35</v>
      </c>
      <c r="E1175" s="95" t="n">
        <v>99000</v>
      </c>
      <c r="F1175" s="95" t="n">
        <v>23000</v>
      </c>
      <c r="G1175" s="34" t="n">
        <v>4.11</v>
      </c>
      <c r="H1175" s="34" t="n">
        <v>24</v>
      </c>
      <c r="I1175" s="34" t="n">
        <v>0</v>
      </c>
      <c r="J1175" s="95" t="n">
        <f aca="false">IF(N(E1175)&gt;0,E1175,IF(N(F1175)&gt;0,F1175*가정!$B$5,0))</f>
        <v>99000</v>
      </c>
      <c r="K1175" s="95" t="n">
        <f aca="false">IF(N(F1175)&gt;0,F1175,IF(N(E1175)&gt;0,E1175/가정!$B$5,0))</f>
        <v>23000</v>
      </c>
      <c r="L1175" s="95" t="n">
        <f aca="false">IF(B1175="CN",IF(N(I1175)&gt;0,I1175*가정!$B$3,K1175*(1+가정!$B$6)),IF(N(H1175)&gt;0,H1175*가정!$B$3,J1175*가정!$B$4))</f>
        <v>32706.72</v>
      </c>
      <c r="M1175" s="95" t="n">
        <f aca="false">D1175*J1175</f>
        <v>3465000</v>
      </c>
      <c r="N1175" s="95" t="n">
        <f aca="false">D1175*K1175</f>
        <v>805000</v>
      </c>
      <c r="O1175" s="95" t="n">
        <f aca="false">D1175*L1175</f>
        <v>1144735.2</v>
      </c>
      <c r="P1175" s="34" t="str">
        <f aca="false">TRIM(IF(N(E1175)&lt;=0,"택가보정 ","")&amp;IF(N(F1175)&lt;=0,"원가보정 ","")&amp;IF(AND(B1175&lt;&gt;"CN",N(H1175)&lt;=0),"공급가보정 ","")&amp;IF(AND(B1175="CN",N(I1175)&lt;=0),"중국공급가=원가+마진 ",""))</f>
        <v/>
      </c>
    </row>
    <row r="1176" customFormat="false" ht="15" hidden="false" customHeight="true" outlineLevel="0" collapsed="false">
      <c r="A1176" s="94" t="s">
        <v>1684</v>
      </c>
      <c r="B1176" s="34" t="str">
        <f aca="false">IF(A1176="100","HK",IF(A1176="200","CN",IF(A1176="300","TW","홀세일")))</f>
        <v>HK</v>
      </c>
      <c r="C1176" s="94" t="s">
        <v>995</v>
      </c>
      <c r="D1176" s="95" t="n">
        <v>160</v>
      </c>
      <c r="E1176" s="95" t="n">
        <v>169000</v>
      </c>
      <c r="F1176" s="95" t="n">
        <v>41050</v>
      </c>
      <c r="G1176" s="34" t="n">
        <v>4.38</v>
      </c>
      <c r="H1176" s="34" t="n">
        <v>42.3</v>
      </c>
      <c r="I1176" s="34" t="n">
        <v>0</v>
      </c>
      <c r="J1176" s="95" t="n">
        <f aca="false">IF(N(E1176)&gt;0,E1176,IF(N(F1176)&gt;0,F1176*가정!$B$5,0))</f>
        <v>169000</v>
      </c>
      <c r="K1176" s="95" t="n">
        <f aca="false">IF(N(F1176)&gt;0,F1176,IF(N(E1176)&gt;0,E1176/가정!$B$5,0))</f>
        <v>41050</v>
      </c>
      <c r="L1176" s="95" t="n">
        <f aca="false">IF(B1176="CN",IF(N(I1176)&gt;0,I1176*가정!$B$3,K1176*(1+가정!$B$6)),IF(N(H1176)&gt;0,H1176*가정!$B$3,J1176*가정!$B$4))</f>
        <v>57645.594</v>
      </c>
      <c r="M1176" s="95" t="n">
        <f aca="false">D1176*J1176</f>
        <v>27040000</v>
      </c>
      <c r="N1176" s="95" t="n">
        <f aca="false">D1176*K1176</f>
        <v>6568000</v>
      </c>
      <c r="O1176" s="95" t="n">
        <f aca="false">D1176*L1176</f>
        <v>9223295.04</v>
      </c>
      <c r="P1176" s="34" t="str">
        <f aca="false">TRIM(IF(N(E1176)&lt;=0,"택가보정 ","")&amp;IF(N(F1176)&lt;=0,"원가보정 ","")&amp;IF(AND(B1176&lt;&gt;"CN",N(H1176)&lt;=0),"공급가보정 ","")&amp;IF(AND(B1176="CN",N(I1176)&lt;=0),"중국공급가=원가+마진 ",""))</f>
        <v/>
      </c>
    </row>
    <row r="1177" customFormat="false" ht="15" hidden="false" customHeight="true" outlineLevel="0" collapsed="false">
      <c r="A1177" s="94" t="s">
        <v>1684</v>
      </c>
      <c r="B1177" s="34" t="str">
        <f aca="false">IF(A1177="100","HK",IF(A1177="200","CN",IF(A1177="300","TW","홀세일")))</f>
        <v>HK</v>
      </c>
      <c r="C1177" s="94" t="s">
        <v>603</v>
      </c>
      <c r="D1177" s="95" t="n">
        <v>380</v>
      </c>
      <c r="E1177" s="95" t="n">
        <v>149000</v>
      </c>
      <c r="F1177" s="95" t="n">
        <v>29047</v>
      </c>
      <c r="G1177" s="34" t="n">
        <v>3.5</v>
      </c>
      <c r="H1177" s="34" t="n">
        <v>37.3</v>
      </c>
      <c r="I1177" s="34" t="n">
        <v>25.1</v>
      </c>
      <c r="J1177" s="95" t="n">
        <f aca="false">IF(N(E1177)&gt;0,E1177,IF(N(F1177)&gt;0,F1177*가정!$B$5,0))</f>
        <v>149000</v>
      </c>
      <c r="K1177" s="95" t="n">
        <f aca="false">IF(N(F1177)&gt;0,F1177,IF(N(E1177)&gt;0,E1177/가정!$B$5,0))</f>
        <v>29047</v>
      </c>
      <c r="L1177" s="95" t="n">
        <f aca="false">IF(B1177="CN",IF(N(I1177)&gt;0,I1177*가정!$B$3,K1177*(1+가정!$B$6)),IF(N(H1177)&gt;0,H1177*가정!$B$3,J1177*가정!$B$4))</f>
        <v>50831.694</v>
      </c>
      <c r="M1177" s="95" t="n">
        <f aca="false">D1177*J1177</f>
        <v>56620000</v>
      </c>
      <c r="N1177" s="95" t="n">
        <f aca="false">D1177*K1177</f>
        <v>11037860</v>
      </c>
      <c r="O1177" s="95" t="n">
        <f aca="false">D1177*L1177</f>
        <v>19316043.72</v>
      </c>
      <c r="P1177" s="34" t="str">
        <f aca="false">TRIM(IF(N(E1177)&lt;=0,"택가보정 ","")&amp;IF(N(F1177)&lt;=0,"원가보정 ","")&amp;IF(AND(B1177&lt;&gt;"CN",N(H1177)&lt;=0),"공급가보정 ","")&amp;IF(AND(B1177="CN",N(I1177)&lt;=0),"중국공급가=원가+마진 ",""))</f>
        <v/>
      </c>
    </row>
    <row r="1178" customFormat="false" ht="15" hidden="false" customHeight="true" outlineLevel="0" collapsed="false">
      <c r="A1178" s="94" t="s">
        <v>1685</v>
      </c>
      <c r="B1178" s="34" t="str">
        <f aca="false">IF(A1178="100","HK",IF(A1178="200","CN",IF(A1178="300","TW","홀세일")))</f>
        <v>CN</v>
      </c>
      <c r="C1178" s="94" t="s">
        <v>603</v>
      </c>
      <c r="D1178" s="95" t="n">
        <v>613</v>
      </c>
      <c r="E1178" s="95" t="n">
        <v>149000</v>
      </c>
      <c r="F1178" s="95" t="n">
        <v>29047</v>
      </c>
      <c r="G1178" s="34" t="n">
        <v>3.5</v>
      </c>
      <c r="H1178" s="34" t="n">
        <v>37.3</v>
      </c>
      <c r="I1178" s="34" t="n">
        <v>25.1</v>
      </c>
      <c r="J1178" s="95" t="n">
        <f aca="false">IF(N(E1178)&gt;0,E1178,IF(N(F1178)&gt;0,F1178*가정!$B$5,0))</f>
        <v>149000</v>
      </c>
      <c r="K1178" s="95" t="n">
        <f aca="false">IF(N(F1178)&gt;0,F1178,IF(N(E1178)&gt;0,E1178/가정!$B$5,0))</f>
        <v>29047</v>
      </c>
      <c r="L1178" s="95" t="n">
        <f aca="false">IF(B1178="CN",IF(N(I1178)&gt;0,I1178*가정!$B$3,K1178*(1+가정!$B$6)),IF(N(H1178)&gt;0,H1178*가정!$B$3,J1178*가정!$B$4))</f>
        <v>34205.778</v>
      </c>
      <c r="M1178" s="95" t="n">
        <f aca="false">D1178*J1178</f>
        <v>91337000</v>
      </c>
      <c r="N1178" s="95" t="n">
        <f aca="false">D1178*K1178</f>
        <v>17805811</v>
      </c>
      <c r="O1178" s="95" t="n">
        <f aca="false">D1178*L1178</f>
        <v>20968141.914</v>
      </c>
      <c r="P1178" s="34" t="str">
        <f aca="false">TRIM(IF(N(E1178)&lt;=0,"택가보정 ","")&amp;IF(N(F1178)&lt;=0,"원가보정 ","")&amp;IF(AND(B1178&lt;&gt;"CN",N(H1178)&lt;=0),"공급가보정 ","")&amp;IF(AND(B1178="CN",N(I1178)&lt;=0),"중국공급가=원가+마진 ",""))</f>
        <v/>
      </c>
    </row>
    <row r="1179" customFormat="false" ht="15" hidden="false" customHeight="true" outlineLevel="0" collapsed="false">
      <c r="A1179" s="94" t="s">
        <v>1686</v>
      </c>
      <c r="B1179" s="34" t="str">
        <f aca="false">IF(A1179="100","HK",IF(A1179="200","CN",IF(A1179="300","TW","홀세일")))</f>
        <v>TW</v>
      </c>
      <c r="C1179" s="94" t="s">
        <v>603</v>
      </c>
      <c r="D1179" s="95" t="n">
        <v>940</v>
      </c>
      <c r="E1179" s="95" t="n">
        <v>149000</v>
      </c>
      <c r="F1179" s="95" t="n">
        <v>29047</v>
      </c>
      <c r="G1179" s="34" t="n">
        <v>3.5</v>
      </c>
      <c r="H1179" s="34" t="n">
        <v>37.3</v>
      </c>
      <c r="I1179" s="34" t="n">
        <v>25.1</v>
      </c>
      <c r="J1179" s="95" t="n">
        <f aca="false">IF(N(E1179)&gt;0,E1179,IF(N(F1179)&gt;0,F1179*가정!$B$5,0))</f>
        <v>149000</v>
      </c>
      <c r="K1179" s="95" t="n">
        <f aca="false">IF(N(F1179)&gt;0,F1179,IF(N(E1179)&gt;0,E1179/가정!$B$5,0))</f>
        <v>29047</v>
      </c>
      <c r="L1179" s="95" t="n">
        <f aca="false">IF(B1179="CN",IF(N(I1179)&gt;0,I1179*가정!$B$3,K1179*(1+가정!$B$6)),IF(N(H1179)&gt;0,H1179*가정!$B$3,J1179*가정!$B$4))</f>
        <v>50831.694</v>
      </c>
      <c r="M1179" s="95" t="n">
        <f aca="false">D1179*J1179</f>
        <v>140060000</v>
      </c>
      <c r="N1179" s="95" t="n">
        <f aca="false">D1179*K1179</f>
        <v>27304180</v>
      </c>
      <c r="O1179" s="95" t="n">
        <f aca="false">D1179*L1179</f>
        <v>47781792.36</v>
      </c>
      <c r="P1179" s="34" t="str">
        <f aca="false">TRIM(IF(N(E1179)&lt;=0,"택가보정 ","")&amp;IF(N(F1179)&lt;=0,"원가보정 ","")&amp;IF(AND(B1179&lt;&gt;"CN",N(H1179)&lt;=0),"공급가보정 ","")&amp;IF(AND(B1179="CN",N(I1179)&lt;=0),"중국공급가=원가+마진 ",""))</f>
        <v/>
      </c>
    </row>
    <row r="1180" customFormat="false" ht="15" hidden="false" customHeight="true" outlineLevel="0" collapsed="false">
      <c r="A1180" s="94" t="s">
        <v>1688</v>
      </c>
      <c r="B1180" s="34" t="str">
        <f aca="false">IF(A1180="100","HK",IF(A1180="200","CN",IF(A1180="300","TW","홀세일")))</f>
        <v>홀세일</v>
      </c>
      <c r="C1180" s="94" t="s">
        <v>603</v>
      </c>
      <c r="D1180" s="95" t="n">
        <v>30</v>
      </c>
      <c r="E1180" s="95" t="n">
        <v>149000</v>
      </c>
      <c r="F1180" s="95" t="n">
        <v>29047</v>
      </c>
      <c r="G1180" s="34" t="n">
        <v>3.5</v>
      </c>
      <c r="H1180" s="34" t="n">
        <v>37.3</v>
      </c>
      <c r="I1180" s="34" t="n">
        <v>25.1</v>
      </c>
      <c r="J1180" s="95" t="n">
        <f aca="false">IF(N(E1180)&gt;0,E1180,IF(N(F1180)&gt;0,F1180*가정!$B$5,0))</f>
        <v>149000</v>
      </c>
      <c r="K1180" s="95" t="n">
        <f aca="false">IF(N(F1180)&gt;0,F1180,IF(N(E1180)&gt;0,E1180/가정!$B$5,0))</f>
        <v>29047</v>
      </c>
      <c r="L1180" s="95" t="n">
        <f aca="false">IF(B1180="CN",IF(N(I1180)&gt;0,I1180*가정!$B$3,K1180*(1+가정!$B$6)),IF(N(H1180)&gt;0,H1180*가정!$B$3,J1180*가정!$B$4))</f>
        <v>50831.694</v>
      </c>
      <c r="M1180" s="95" t="n">
        <f aca="false">D1180*J1180</f>
        <v>4470000</v>
      </c>
      <c r="N1180" s="95" t="n">
        <f aca="false">D1180*K1180</f>
        <v>871410</v>
      </c>
      <c r="O1180" s="95" t="n">
        <f aca="false">D1180*L1180</f>
        <v>1524950.82</v>
      </c>
      <c r="P1180" s="34" t="str">
        <f aca="false">TRIM(IF(N(E1180)&lt;=0,"택가보정 ","")&amp;IF(N(F1180)&lt;=0,"원가보정 ","")&amp;IF(AND(B1180&lt;&gt;"CN",N(H1180)&lt;=0),"공급가보정 ","")&amp;IF(AND(B1180="CN",N(I1180)&lt;=0),"중국공급가=원가+마진 ",""))</f>
        <v/>
      </c>
    </row>
    <row r="1181" customFormat="false" ht="15" hidden="false" customHeight="true" outlineLevel="0" collapsed="false">
      <c r="A1181" s="94" t="s">
        <v>1692</v>
      </c>
      <c r="B1181" s="34" t="str">
        <f aca="false">IF(A1181="100","HK",IF(A1181="200","CN",IF(A1181="300","TW","홀세일")))</f>
        <v>홀세일</v>
      </c>
      <c r="C1181" s="94" t="s">
        <v>603</v>
      </c>
      <c r="D1181" s="95" t="n">
        <v>51</v>
      </c>
      <c r="E1181" s="95" t="n">
        <v>149000</v>
      </c>
      <c r="F1181" s="95" t="n">
        <v>29047</v>
      </c>
      <c r="G1181" s="34" t="n">
        <v>3.5</v>
      </c>
      <c r="H1181" s="34" t="n">
        <v>37.3</v>
      </c>
      <c r="I1181" s="34" t="n">
        <v>25.1</v>
      </c>
      <c r="J1181" s="95" t="n">
        <f aca="false">IF(N(E1181)&gt;0,E1181,IF(N(F1181)&gt;0,F1181*가정!$B$5,0))</f>
        <v>149000</v>
      </c>
      <c r="K1181" s="95" t="n">
        <f aca="false">IF(N(F1181)&gt;0,F1181,IF(N(E1181)&gt;0,E1181/가정!$B$5,0))</f>
        <v>29047</v>
      </c>
      <c r="L1181" s="95" t="n">
        <f aca="false">IF(B1181="CN",IF(N(I1181)&gt;0,I1181*가정!$B$3,K1181*(1+가정!$B$6)),IF(N(H1181)&gt;0,H1181*가정!$B$3,J1181*가정!$B$4))</f>
        <v>50831.694</v>
      </c>
      <c r="M1181" s="95" t="n">
        <f aca="false">D1181*J1181</f>
        <v>7599000</v>
      </c>
      <c r="N1181" s="95" t="n">
        <f aca="false">D1181*K1181</f>
        <v>1481397</v>
      </c>
      <c r="O1181" s="95" t="n">
        <f aca="false">D1181*L1181</f>
        <v>2592416.394</v>
      </c>
      <c r="P1181" s="34" t="str">
        <f aca="false">TRIM(IF(N(E1181)&lt;=0,"택가보정 ","")&amp;IF(N(F1181)&lt;=0,"원가보정 ","")&amp;IF(AND(B1181&lt;&gt;"CN",N(H1181)&lt;=0),"공급가보정 ","")&amp;IF(AND(B1181="CN",N(I1181)&lt;=0),"중국공급가=원가+마진 ",""))</f>
        <v/>
      </c>
    </row>
    <row r="1182" customFormat="false" ht="15" hidden="false" customHeight="true" outlineLevel="0" collapsed="false">
      <c r="A1182" s="94" t="s">
        <v>1684</v>
      </c>
      <c r="B1182" s="34" t="str">
        <f aca="false">IF(A1182="100","HK",IF(A1182="200","CN",IF(A1182="300","TW","홀세일")))</f>
        <v>HK</v>
      </c>
      <c r="C1182" s="94" t="s">
        <v>997</v>
      </c>
      <c r="D1182" s="95" t="n">
        <v>80</v>
      </c>
      <c r="E1182" s="95" t="n">
        <v>219000</v>
      </c>
      <c r="F1182" s="95" t="n">
        <v>49135</v>
      </c>
      <c r="G1182" s="34" t="n">
        <v>4.4</v>
      </c>
      <c r="H1182" s="34" t="n">
        <v>54.9</v>
      </c>
      <c r="I1182" s="34" t="n">
        <v>0</v>
      </c>
      <c r="J1182" s="95" t="n">
        <f aca="false">IF(N(E1182)&gt;0,E1182,IF(N(F1182)&gt;0,F1182*가정!$B$5,0))</f>
        <v>219000</v>
      </c>
      <c r="K1182" s="95" t="n">
        <f aca="false">IF(N(F1182)&gt;0,F1182,IF(N(E1182)&gt;0,E1182/가정!$B$5,0))</f>
        <v>49135</v>
      </c>
      <c r="L1182" s="95" t="n">
        <f aca="false">IF(B1182="CN",IF(N(I1182)&gt;0,I1182*가정!$B$3,K1182*(1+가정!$B$6)),IF(N(H1182)&gt;0,H1182*가정!$B$3,J1182*가정!$B$4))</f>
        <v>74816.622</v>
      </c>
      <c r="M1182" s="95" t="n">
        <f aca="false">D1182*J1182</f>
        <v>17520000</v>
      </c>
      <c r="N1182" s="95" t="n">
        <f aca="false">D1182*K1182</f>
        <v>3930800</v>
      </c>
      <c r="O1182" s="95" t="n">
        <f aca="false">D1182*L1182</f>
        <v>5985329.76</v>
      </c>
      <c r="P1182" s="34" t="str">
        <f aca="false">TRIM(IF(N(E1182)&lt;=0,"택가보정 ","")&amp;IF(N(F1182)&lt;=0,"원가보정 ","")&amp;IF(AND(B1182&lt;&gt;"CN",N(H1182)&lt;=0),"공급가보정 ","")&amp;IF(AND(B1182="CN",N(I1182)&lt;=0),"중국공급가=원가+마진 ",""))</f>
        <v/>
      </c>
    </row>
    <row r="1183" customFormat="false" ht="15" hidden="false" customHeight="true" outlineLevel="0" collapsed="false">
      <c r="A1183" s="94" t="s">
        <v>1692</v>
      </c>
      <c r="B1183" s="34" t="str">
        <f aca="false">IF(A1183="100","HK",IF(A1183="200","CN",IF(A1183="300","TW","홀세일")))</f>
        <v>홀세일</v>
      </c>
      <c r="C1183" s="94" t="s">
        <v>997</v>
      </c>
      <c r="D1183" s="95" t="n">
        <v>71</v>
      </c>
      <c r="E1183" s="95" t="n">
        <v>219000</v>
      </c>
      <c r="F1183" s="95" t="n">
        <v>49135</v>
      </c>
      <c r="G1183" s="34" t="n">
        <v>4.4</v>
      </c>
      <c r="H1183" s="34" t="n">
        <v>54.9</v>
      </c>
      <c r="I1183" s="34" t="n">
        <v>0</v>
      </c>
      <c r="J1183" s="95" t="n">
        <f aca="false">IF(N(E1183)&gt;0,E1183,IF(N(F1183)&gt;0,F1183*가정!$B$5,0))</f>
        <v>219000</v>
      </c>
      <c r="K1183" s="95" t="n">
        <f aca="false">IF(N(F1183)&gt;0,F1183,IF(N(E1183)&gt;0,E1183/가정!$B$5,0))</f>
        <v>49135</v>
      </c>
      <c r="L1183" s="95" t="n">
        <f aca="false">IF(B1183="CN",IF(N(I1183)&gt;0,I1183*가정!$B$3,K1183*(1+가정!$B$6)),IF(N(H1183)&gt;0,H1183*가정!$B$3,J1183*가정!$B$4))</f>
        <v>74816.622</v>
      </c>
      <c r="M1183" s="95" t="n">
        <f aca="false">D1183*J1183</f>
        <v>15549000</v>
      </c>
      <c r="N1183" s="95" t="n">
        <f aca="false">D1183*K1183</f>
        <v>3488585</v>
      </c>
      <c r="O1183" s="95" t="n">
        <f aca="false">D1183*L1183</f>
        <v>5311980.162</v>
      </c>
      <c r="P1183" s="34" t="str">
        <f aca="false">TRIM(IF(N(E1183)&lt;=0,"택가보정 ","")&amp;IF(N(F1183)&lt;=0,"원가보정 ","")&amp;IF(AND(B1183&lt;&gt;"CN",N(H1183)&lt;=0),"공급가보정 ","")&amp;IF(AND(B1183="CN",N(I1183)&lt;=0),"중국공급가=원가+마진 ",""))</f>
        <v/>
      </c>
    </row>
    <row r="1184" customFormat="false" ht="15" hidden="false" customHeight="true" outlineLevel="0" collapsed="false">
      <c r="A1184" s="94" t="s">
        <v>1684</v>
      </c>
      <c r="B1184" s="34" t="str">
        <f aca="false">IF(A1184="100","HK",IF(A1184="200","CN",IF(A1184="300","TW","홀세일")))</f>
        <v>HK</v>
      </c>
      <c r="C1184" s="94" t="s">
        <v>605</v>
      </c>
      <c r="D1184" s="95" t="n">
        <v>190</v>
      </c>
      <c r="E1184" s="95" t="n">
        <v>239000</v>
      </c>
      <c r="F1184" s="95" t="n">
        <v>53574</v>
      </c>
      <c r="G1184" s="34" t="n">
        <v>4.36</v>
      </c>
      <c r="H1184" s="34" t="n">
        <v>59.9</v>
      </c>
      <c r="I1184" s="34" t="n">
        <v>0</v>
      </c>
      <c r="J1184" s="95" t="n">
        <f aca="false">IF(N(E1184)&gt;0,E1184,IF(N(F1184)&gt;0,F1184*가정!$B$5,0))</f>
        <v>239000</v>
      </c>
      <c r="K1184" s="95" t="n">
        <f aca="false">IF(N(F1184)&gt;0,F1184,IF(N(E1184)&gt;0,E1184/가정!$B$5,0))</f>
        <v>53574</v>
      </c>
      <c r="L1184" s="95" t="n">
        <f aca="false">IF(B1184="CN",IF(N(I1184)&gt;0,I1184*가정!$B$3,K1184*(1+가정!$B$6)),IF(N(H1184)&gt;0,H1184*가정!$B$3,J1184*가정!$B$4))</f>
        <v>81630.522</v>
      </c>
      <c r="M1184" s="95" t="n">
        <f aca="false">D1184*J1184</f>
        <v>45410000</v>
      </c>
      <c r="N1184" s="95" t="n">
        <f aca="false">D1184*K1184</f>
        <v>10179060</v>
      </c>
      <c r="O1184" s="95" t="n">
        <f aca="false">D1184*L1184</f>
        <v>15509799.18</v>
      </c>
      <c r="P1184" s="34" t="str">
        <f aca="false">TRIM(IF(N(E1184)&lt;=0,"택가보정 ","")&amp;IF(N(F1184)&lt;=0,"원가보정 ","")&amp;IF(AND(B1184&lt;&gt;"CN",N(H1184)&lt;=0),"공급가보정 ","")&amp;IF(AND(B1184="CN",N(I1184)&lt;=0),"중국공급가=원가+마진 ",""))</f>
        <v/>
      </c>
    </row>
    <row r="1185" customFormat="false" ht="15" hidden="false" customHeight="true" outlineLevel="0" collapsed="false">
      <c r="A1185" s="94" t="s">
        <v>1686</v>
      </c>
      <c r="B1185" s="34" t="str">
        <f aca="false">IF(A1185="100","HK",IF(A1185="200","CN",IF(A1185="300","TW","홀세일")))</f>
        <v>TW</v>
      </c>
      <c r="C1185" s="94" t="s">
        <v>605</v>
      </c>
      <c r="D1185" s="95" t="n">
        <v>50</v>
      </c>
      <c r="E1185" s="95" t="n">
        <v>239000</v>
      </c>
      <c r="F1185" s="95" t="n">
        <v>53574</v>
      </c>
      <c r="G1185" s="34" t="n">
        <v>4.36</v>
      </c>
      <c r="H1185" s="34" t="n">
        <v>59.9</v>
      </c>
      <c r="I1185" s="34" t="n">
        <v>0</v>
      </c>
      <c r="J1185" s="95" t="n">
        <f aca="false">IF(N(E1185)&gt;0,E1185,IF(N(F1185)&gt;0,F1185*가정!$B$5,0))</f>
        <v>239000</v>
      </c>
      <c r="K1185" s="95" t="n">
        <f aca="false">IF(N(F1185)&gt;0,F1185,IF(N(E1185)&gt;0,E1185/가정!$B$5,0))</f>
        <v>53574</v>
      </c>
      <c r="L1185" s="95" t="n">
        <f aca="false">IF(B1185="CN",IF(N(I1185)&gt;0,I1185*가정!$B$3,K1185*(1+가정!$B$6)),IF(N(H1185)&gt;0,H1185*가정!$B$3,J1185*가정!$B$4))</f>
        <v>81630.522</v>
      </c>
      <c r="M1185" s="95" t="n">
        <f aca="false">D1185*J1185</f>
        <v>11950000</v>
      </c>
      <c r="N1185" s="95" t="n">
        <f aca="false">D1185*K1185</f>
        <v>2678700</v>
      </c>
      <c r="O1185" s="95" t="n">
        <f aca="false">D1185*L1185</f>
        <v>4081526.1</v>
      </c>
      <c r="P1185" s="34" t="str">
        <f aca="false">TRIM(IF(N(E1185)&lt;=0,"택가보정 ","")&amp;IF(N(F1185)&lt;=0,"원가보정 ","")&amp;IF(AND(B1185&lt;&gt;"CN",N(H1185)&lt;=0),"공급가보정 ","")&amp;IF(AND(B1185="CN",N(I1185)&lt;=0),"중국공급가=원가+마진 ",""))</f>
        <v/>
      </c>
    </row>
    <row r="1186" customFormat="false" ht="15" hidden="false" customHeight="true" outlineLevel="0" collapsed="false">
      <c r="A1186" s="94" t="s">
        <v>1688</v>
      </c>
      <c r="B1186" s="34" t="str">
        <f aca="false">IF(A1186="100","HK",IF(A1186="200","CN",IF(A1186="300","TW","홀세일")))</f>
        <v>홀세일</v>
      </c>
      <c r="C1186" s="94" t="s">
        <v>605</v>
      </c>
      <c r="D1186" s="95" t="n">
        <v>20</v>
      </c>
      <c r="E1186" s="95" t="n">
        <v>239000</v>
      </c>
      <c r="F1186" s="95" t="n">
        <v>53574</v>
      </c>
      <c r="G1186" s="34" t="n">
        <v>4.36</v>
      </c>
      <c r="H1186" s="34" t="n">
        <v>59.9</v>
      </c>
      <c r="I1186" s="34" t="n">
        <v>0</v>
      </c>
      <c r="J1186" s="95" t="n">
        <f aca="false">IF(N(E1186)&gt;0,E1186,IF(N(F1186)&gt;0,F1186*가정!$B$5,0))</f>
        <v>239000</v>
      </c>
      <c r="K1186" s="95" t="n">
        <f aca="false">IF(N(F1186)&gt;0,F1186,IF(N(E1186)&gt;0,E1186/가정!$B$5,0))</f>
        <v>53574</v>
      </c>
      <c r="L1186" s="95" t="n">
        <f aca="false">IF(B1186="CN",IF(N(I1186)&gt;0,I1186*가정!$B$3,K1186*(1+가정!$B$6)),IF(N(H1186)&gt;0,H1186*가정!$B$3,J1186*가정!$B$4))</f>
        <v>81630.522</v>
      </c>
      <c r="M1186" s="95" t="n">
        <f aca="false">D1186*J1186</f>
        <v>4780000</v>
      </c>
      <c r="N1186" s="95" t="n">
        <f aca="false">D1186*K1186</f>
        <v>1071480</v>
      </c>
      <c r="O1186" s="95" t="n">
        <f aca="false">D1186*L1186</f>
        <v>1632610.44</v>
      </c>
      <c r="P1186" s="34" t="str">
        <f aca="false">TRIM(IF(N(E1186)&lt;=0,"택가보정 ","")&amp;IF(N(F1186)&lt;=0,"원가보정 ","")&amp;IF(AND(B1186&lt;&gt;"CN",N(H1186)&lt;=0),"공급가보정 ","")&amp;IF(AND(B1186="CN",N(I1186)&lt;=0),"중국공급가=원가+마진 ",""))</f>
        <v/>
      </c>
    </row>
    <row r="1187" customFormat="false" ht="15" hidden="false" customHeight="true" outlineLevel="0" collapsed="false">
      <c r="A1187" s="94" t="s">
        <v>1692</v>
      </c>
      <c r="B1187" s="34" t="str">
        <f aca="false">IF(A1187="100","HK",IF(A1187="200","CN",IF(A1187="300","TW","홀세일")))</f>
        <v>홀세일</v>
      </c>
      <c r="C1187" s="94" t="s">
        <v>605</v>
      </c>
      <c r="D1187" s="95" t="n">
        <v>51</v>
      </c>
      <c r="E1187" s="95" t="n">
        <v>239000</v>
      </c>
      <c r="F1187" s="95" t="n">
        <v>53574</v>
      </c>
      <c r="G1187" s="34" t="n">
        <v>4.36</v>
      </c>
      <c r="H1187" s="34" t="n">
        <v>59.9</v>
      </c>
      <c r="I1187" s="34" t="n">
        <v>0</v>
      </c>
      <c r="J1187" s="95" t="n">
        <f aca="false">IF(N(E1187)&gt;0,E1187,IF(N(F1187)&gt;0,F1187*가정!$B$5,0))</f>
        <v>239000</v>
      </c>
      <c r="K1187" s="95" t="n">
        <f aca="false">IF(N(F1187)&gt;0,F1187,IF(N(E1187)&gt;0,E1187/가정!$B$5,0))</f>
        <v>53574</v>
      </c>
      <c r="L1187" s="95" t="n">
        <f aca="false">IF(B1187="CN",IF(N(I1187)&gt;0,I1187*가정!$B$3,K1187*(1+가정!$B$6)),IF(N(H1187)&gt;0,H1187*가정!$B$3,J1187*가정!$B$4))</f>
        <v>81630.522</v>
      </c>
      <c r="M1187" s="95" t="n">
        <f aca="false">D1187*J1187</f>
        <v>12189000</v>
      </c>
      <c r="N1187" s="95" t="n">
        <f aca="false">D1187*K1187</f>
        <v>2732274</v>
      </c>
      <c r="O1187" s="95" t="n">
        <f aca="false">D1187*L1187</f>
        <v>4163156.622</v>
      </c>
      <c r="P1187" s="34" t="str">
        <f aca="false">TRIM(IF(N(E1187)&lt;=0,"택가보정 ","")&amp;IF(N(F1187)&lt;=0,"원가보정 ","")&amp;IF(AND(B1187&lt;&gt;"CN",N(H1187)&lt;=0),"공급가보정 ","")&amp;IF(AND(B1187="CN",N(I1187)&lt;=0),"중국공급가=원가+마진 ",""))</f>
        <v/>
      </c>
    </row>
    <row r="1188" customFormat="false" ht="15" hidden="false" customHeight="true" outlineLevel="0" collapsed="false">
      <c r="A1188" s="94" t="s">
        <v>1689</v>
      </c>
      <c r="B1188" s="34" t="str">
        <f aca="false">IF(A1188="100","HK",IF(A1188="200","CN",IF(A1188="300","TW","홀세일")))</f>
        <v>홀세일</v>
      </c>
      <c r="C1188" s="94" t="s">
        <v>605</v>
      </c>
      <c r="D1188" s="95" t="n">
        <v>60</v>
      </c>
      <c r="E1188" s="95" t="n">
        <v>239000</v>
      </c>
      <c r="F1188" s="95" t="n">
        <v>53574</v>
      </c>
      <c r="G1188" s="34" t="n">
        <v>4.36</v>
      </c>
      <c r="H1188" s="34" t="n">
        <v>59.9</v>
      </c>
      <c r="I1188" s="34" t="n">
        <v>0</v>
      </c>
      <c r="J1188" s="95" t="n">
        <f aca="false">IF(N(E1188)&gt;0,E1188,IF(N(F1188)&gt;0,F1188*가정!$B$5,0))</f>
        <v>239000</v>
      </c>
      <c r="K1188" s="95" t="n">
        <f aca="false">IF(N(F1188)&gt;0,F1188,IF(N(E1188)&gt;0,E1188/가정!$B$5,0))</f>
        <v>53574</v>
      </c>
      <c r="L1188" s="95" t="n">
        <f aca="false">IF(B1188="CN",IF(N(I1188)&gt;0,I1188*가정!$B$3,K1188*(1+가정!$B$6)),IF(N(H1188)&gt;0,H1188*가정!$B$3,J1188*가정!$B$4))</f>
        <v>81630.522</v>
      </c>
      <c r="M1188" s="95" t="n">
        <f aca="false">D1188*J1188</f>
        <v>14340000</v>
      </c>
      <c r="N1188" s="95" t="n">
        <f aca="false">D1188*K1188</f>
        <v>3214440</v>
      </c>
      <c r="O1188" s="95" t="n">
        <f aca="false">D1188*L1188</f>
        <v>4897831.32</v>
      </c>
      <c r="P1188" s="34" t="str">
        <f aca="false">TRIM(IF(N(E1188)&lt;=0,"택가보정 ","")&amp;IF(N(F1188)&lt;=0,"원가보정 ","")&amp;IF(AND(B1188&lt;&gt;"CN",N(H1188)&lt;=0),"공급가보정 ","")&amp;IF(AND(B1188="CN",N(I1188)&lt;=0),"중국공급가=원가+마진 ",""))</f>
        <v/>
      </c>
    </row>
    <row r="1189" customFormat="false" ht="15" hidden="false" customHeight="true" outlineLevel="0" collapsed="false">
      <c r="A1189" s="94" t="s">
        <v>1684</v>
      </c>
      <c r="B1189" s="34" t="str">
        <f aca="false">IF(A1189="100","HK",IF(A1189="200","CN",IF(A1189="300","TW","홀세일")))</f>
        <v>HK</v>
      </c>
      <c r="C1189" s="94" t="s">
        <v>607</v>
      </c>
      <c r="D1189" s="95" t="n">
        <v>205</v>
      </c>
      <c r="E1189" s="95" t="n">
        <v>199000</v>
      </c>
      <c r="F1189" s="95" t="n">
        <v>59622</v>
      </c>
      <c r="G1189" s="34" t="n">
        <v>3.65</v>
      </c>
      <c r="H1189" s="34" t="n">
        <v>49.8</v>
      </c>
      <c r="I1189" s="34" t="n">
        <v>0</v>
      </c>
      <c r="J1189" s="95" t="n">
        <f aca="false">IF(N(E1189)&gt;0,E1189,IF(N(F1189)&gt;0,F1189*가정!$B$5,0))</f>
        <v>199000</v>
      </c>
      <c r="K1189" s="95" t="n">
        <f aca="false">IF(N(F1189)&gt;0,F1189,IF(N(E1189)&gt;0,E1189/가정!$B$5,0))</f>
        <v>59622</v>
      </c>
      <c r="L1189" s="95" t="n">
        <f aca="false">IF(B1189="CN",IF(N(I1189)&gt;0,I1189*가정!$B$3,K1189*(1+가정!$B$6)),IF(N(H1189)&gt;0,H1189*가정!$B$3,J1189*가정!$B$4))</f>
        <v>67866.444</v>
      </c>
      <c r="M1189" s="95" t="n">
        <f aca="false">D1189*J1189</f>
        <v>40795000</v>
      </c>
      <c r="N1189" s="95" t="n">
        <f aca="false">D1189*K1189</f>
        <v>12222510</v>
      </c>
      <c r="O1189" s="95" t="n">
        <f aca="false">D1189*L1189</f>
        <v>13912621.02</v>
      </c>
      <c r="P1189" s="34" t="str">
        <f aca="false">TRIM(IF(N(E1189)&lt;=0,"택가보정 ","")&amp;IF(N(F1189)&lt;=0,"원가보정 ","")&amp;IF(AND(B1189&lt;&gt;"CN",N(H1189)&lt;=0),"공급가보정 ","")&amp;IF(AND(B1189="CN",N(I1189)&lt;=0),"중국공급가=원가+마진 ",""))</f>
        <v/>
      </c>
    </row>
    <row r="1190" customFormat="false" ht="15" hidden="false" customHeight="true" outlineLevel="0" collapsed="false">
      <c r="A1190" s="94" t="s">
        <v>1686</v>
      </c>
      <c r="B1190" s="34" t="str">
        <f aca="false">IF(A1190="100","HK",IF(A1190="200","CN",IF(A1190="300","TW","홀세일")))</f>
        <v>TW</v>
      </c>
      <c r="C1190" s="94" t="s">
        <v>607</v>
      </c>
      <c r="D1190" s="95" t="n">
        <v>300</v>
      </c>
      <c r="E1190" s="95" t="n">
        <v>199000</v>
      </c>
      <c r="F1190" s="95" t="n">
        <v>59622</v>
      </c>
      <c r="G1190" s="34" t="n">
        <v>3.65</v>
      </c>
      <c r="H1190" s="34" t="n">
        <v>49.8</v>
      </c>
      <c r="I1190" s="34" t="n">
        <v>0</v>
      </c>
      <c r="J1190" s="95" t="n">
        <f aca="false">IF(N(E1190)&gt;0,E1190,IF(N(F1190)&gt;0,F1190*가정!$B$5,0))</f>
        <v>199000</v>
      </c>
      <c r="K1190" s="95" t="n">
        <f aca="false">IF(N(F1190)&gt;0,F1190,IF(N(E1190)&gt;0,E1190/가정!$B$5,0))</f>
        <v>59622</v>
      </c>
      <c r="L1190" s="95" t="n">
        <f aca="false">IF(B1190="CN",IF(N(I1190)&gt;0,I1190*가정!$B$3,K1190*(1+가정!$B$6)),IF(N(H1190)&gt;0,H1190*가정!$B$3,J1190*가정!$B$4))</f>
        <v>67866.444</v>
      </c>
      <c r="M1190" s="95" t="n">
        <f aca="false">D1190*J1190</f>
        <v>59700000</v>
      </c>
      <c r="N1190" s="95" t="n">
        <f aca="false">D1190*K1190</f>
        <v>17886600</v>
      </c>
      <c r="O1190" s="95" t="n">
        <f aca="false">D1190*L1190</f>
        <v>20359933.2</v>
      </c>
      <c r="P1190" s="34" t="str">
        <f aca="false">TRIM(IF(N(E1190)&lt;=0,"택가보정 ","")&amp;IF(N(F1190)&lt;=0,"원가보정 ","")&amp;IF(AND(B1190&lt;&gt;"CN",N(H1190)&lt;=0),"공급가보정 ","")&amp;IF(AND(B1190="CN",N(I1190)&lt;=0),"중국공급가=원가+마진 ",""))</f>
        <v/>
      </c>
    </row>
    <row r="1191" customFormat="false" ht="15" hidden="false" customHeight="true" outlineLevel="0" collapsed="false">
      <c r="A1191" s="94" t="s">
        <v>1684</v>
      </c>
      <c r="B1191" s="34" t="str">
        <f aca="false">IF(A1191="100","HK",IF(A1191="200","CN",IF(A1191="300","TW","홀세일")))</f>
        <v>HK</v>
      </c>
      <c r="C1191" s="94" t="s">
        <v>609</v>
      </c>
      <c r="D1191" s="95" t="n">
        <v>560</v>
      </c>
      <c r="E1191" s="95" t="n">
        <v>169000</v>
      </c>
      <c r="F1191" s="95" t="n">
        <v>37814</v>
      </c>
      <c r="G1191" s="34" t="n">
        <v>3.5</v>
      </c>
      <c r="H1191" s="34" t="n">
        <v>42.3</v>
      </c>
      <c r="I1191" s="34" t="n">
        <v>31.3</v>
      </c>
      <c r="J1191" s="95" t="n">
        <f aca="false">IF(N(E1191)&gt;0,E1191,IF(N(F1191)&gt;0,F1191*가정!$B$5,0))</f>
        <v>169000</v>
      </c>
      <c r="K1191" s="95" t="n">
        <f aca="false">IF(N(F1191)&gt;0,F1191,IF(N(E1191)&gt;0,E1191/가정!$B$5,0))</f>
        <v>37814</v>
      </c>
      <c r="L1191" s="95" t="n">
        <f aca="false">IF(B1191="CN",IF(N(I1191)&gt;0,I1191*가정!$B$3,K1191*(1+가정!$B$6)),IF(N(H1191)&gt;0,H1191*가정!$B$3,J1191*가정!$B$4))</f>
        <v>57645.594</v>
      </c>
      <c r="M1191" s="95" t="n">
        <f aca="false">D1191*J1191</f>
        <v>94640000</v>
      </c>
      <c r="N1191" s="95" t="n">
        <f aca="false">D1191*K1191</f>
        <v>21175840</v>
      </c>
      <c r="O1191" s="95" t="n">
        <f aca="false">D1191*L1191</f>
        <v>32281532.64</v>
      </c>
      <c r="P1191" s="34" t="str">
        <f aca="false">TRIM(IF(N(E1191)&lt;=0,"택가보정 ","")&amp;IF(N(F1191)&lt;=0,"원가보정 ","")&amp;IF(AND(B1191&lt;&gt;"CN",N(H1191)&lt;=0),"공급가보정 ","")&amp;IF(AND(B1191="CN",N(I1191)&lt;=0),"중국공급가=원가+마진 ",""))</f>
        <v/>
      </c>
    </row>
    <row r="1192" customFormat="false" ht="15" hidden="false" customHeight="true" outlineLevel="0" collapsed="false">
      <c r="A1192" s="94" t="s">
        <v>1685</v>
      </c>
      <c r="B1192" s="34" t="str">
        <f aca="false">IF(A1192="100","HK",IF(A1192="200","CN",IF(A1192="300","TW","홀세일")))</f>
        <v>CN</v>
      </c>
      <c r="C1192" s="94" t="s">
        <v>609</v>
      </c>
      <c r="D1192" s="95" t="n">
        <v>673</v>
      </c>
      <c r="E1192" s="95" t="n">
        <v>169000</v>
      </c>
      <c r="F1192" s="95" t="n">
        <v>37814</v>
      </c>
      <c r="G1192" s="34" t="n">
        <v>3.5</v>
      </c>
      <c r="H1192" s="34" t="n">
        <v>42.3</v>
      </c>
      <c r="I1192" s="34" t="n">
        <v>31.3</v>
      </c>
      <c r="J1192" s="95" t="n">
        <f aca="false">IF(N(E1192)&gt;0,E1192,IF(N(F1192)&gt;0,F1192*가정!$B$5,0))</f>
        <v>169000</v>
      </c>
      <c r="K1192" s="95" t="n">
        <f aca="false">IF(N(F1192)&gt;0,F1192,IF(N(E1192)&gt;0,E1192/가정!$B$5,0))</f>
        <v>37814</v>
      </c>
      <c r="L1192" s="95" t="n">
        <f aca="false">IF(B1192="CN",IF(N(I1192)&gt;0,I1192*가정!$B$3,K1192*(1+가정!$B$6)),IF(N(H1192)&gt;0,H1192*가정!$B$3,J1192*가정!$B$4))</f>
        <v>42655.014</v>
      </c>
      <c r="M1192" s="95" t="n">
        <f aca="false">D1192*J1192</f>
        <v>113737000</v>
      </c>
      <c r="N1192" s="95" t="n">
        <f aca="false">D1192*K1192</f>
        <v>25448822</v>
      </c>
      <c r="O1192" s="95" t="n">
        <f aca="false">D1192*L1192</f>
        <v>28706824.422</v>
      </c>
      <c r="P1192" s="34" t="str">
        <f aca="false">TRIM(IF(N(E1192)&lt;=0,"택가보정 ","")&amp;IF(N(F1192)&lt;=0,"원가보정 ","")&amp;IF(AND(B1192&lt;&gt;"CN",N(H1192)&lt;=0),"공급가보정 ","")&amp;IF(AND(B1192="CN",N(I1192)&lt;=0),"중국공급가=원가+마진 ",""))</f>
        <v/>
      </c>
    </row>
    <row r="1193" customFormat="false" ht="15" hidden="false" customHeight="true" outlineLevel="0" collapsed="false">
      <c r="A1193" s="94" t="s">
        <v>1686</v>
      </c>
      <c r="B1193" s="34" t="str">
        <f aca="false">IF(A1193="100","HK",IF(A1193="200","CN",IF(A1193="300","TW","홀세일")))</f>
        <v>TW</v>
      </c>
      <c r="C1193" s="94" t="s">
        <v>609</v>
      </c>
      <c r="D1193" s="95" t="n">
        <v>610</v>
      </c>
      <c r="E1193" s="95" t="n">
        <v>169000</v>
      </c>
      <c r="F1193" s="95" t="n">
        <v>37814</v>
      </c>
      <c r="G1193" s="34" t="n">
        <v>3.5</v>
      </c>
      <c r="H1193" s="34" t="n">
        <v>42.3</v>
      </c>
      <c r="I1193" s="34" t="n">
        <v>31.3</v>
      </c>
      <c r="J1193" s="95" t="n">
        <f aca="false">IF(N(E1193)&gt;0,E1193,IF(N(F1193)&gt;0,F1193*가정!$B$5,0))</f>
        <v>169000</v>
      </c>
      <c r="K1193" s="95" t="n">
        <f aca="false">IF(N(F1193)&gt;0,F1193,IF(N(E1193)&gt;0,E1193/가정!$B$5,0))</f>
        <v>37814</v>
      </c>
      <c r="L1193" s="95" t="n">
        <f aca="false">IF(B1193="CN",IF(N(I1193)&gt;0,I1193*가정!$B$3,K1193*(1+가정!$B$6)),IF(N(H1193)&gt;0,H1193*가정!$B$3,J1193*가정!$B$4))</f>
        <v>57645.594</v>
      </c>
      <c r="M1193" s="95" t="n">
        <f aca="false">D1193*J1193</f>
        <v>103090000</v>
      </c>
      <c r="N1193" s="95" t="n">
        <f aca="false">D1193*K1193</f>
        <v>23066540</v>
      </c>
      <c r="O1193" s="95" t="n">
        <f aca="false">D1193*L1193</f>
        <v>35163812.34</v>
      </c>
      <c r="P1193" s="34" t="str">
        <f aca="false">TRIM(IF(N(E1193)&lt;=0,"택가보정 ","")&amp;IF(N(F1193)&lt;=0,"원가보정 ","")&amp;IF(AND(B1193&lt;&gt;"CN",N(H1193)&lt;=0),"공급가보정 ","")&amp;IF(AND(B1193="CN",N(I1193)&lt;=0),"중국공급가=원가+마진 ",""))</f>
        <v/>
      </c>
    </row>
    <row r="1194" customFormat="false" ht="15" hidden="false" customHeight="true" outlineLevel="0" collapsed="false">
      <c r="A1194" s="94" t="s">
        <v>1688</v>
      </c>
      <c r="B1194" s="34" t="str">
        <f aca="false">IF(A1194="100","HK",IF(A1194="200","CN",IF(A1194="300","TW","홀세일")))</f>
        <v>홀세일</v>
      </c>
      <c r="C1194" s="94" t="s">
        <v>609</v>
      </c>
      <c r="D1194" s="95" t="n">
        <v>50</v>
      </c>
      <c r="E1194" s="95" t="n">
        <v>169000</v>
      </c>
      <c r="F1194" s="95" t="n">
        <v>37814</v>
      </c>
      <c r="G1194" s="34" t="n">
        <v>3.5</v>
      </c>
      <c r="H1194" s="34" t="n">
        <v>42.3</v>
      </c>
      <c r="I1194" s="34" t="n">
        <v>31.3</v>
      </c>
      <c r="J1194" s="95" t="n">
        <f aca="false">IF(N(E1194)&gt;0,E1194,IF(N(F1194)&gt;0,F1194*가정!$B$5,0))</f>
        <v>169000</v>
      </c>
      <c r="K1194" s="95" t="n">
        <f aca="false">IF(N(F1194)&gt;0,F1194,IF(N(E1194)&gt;0,E1194/가정!$B$5,0))</f>
        <v>37814</v>
      </c>
      <c r="L1194" s="95" t="n">
        <f aca="false">IF(B1194="CN",IF(N(I1194)&gt;0,I1194*가정!$B$3,K1194*(1+가정!$B$6)),IF(N(H1194)&gt;0,H1194*가정!$B$3,J1194*가정!$B$4))</f>
        <v>57645.594</v>
      </c>
      <c r="M1194" s="95" t="n">
        <f aca="false">D1194*J1194</f>
        <v>8450000</v>
      </c>
      <c r="N1194" s="95" t="n">
        <f aca="false">D1194*K1194</f>
        <v>1890700</v>
      </c>
      <c r="O1194" s="95" t="n">
        <f aca="false">D1194*L1194</f>
        <v>2882279.7</v>
      </c>
      <c r="P1194" s="34" t="str">
        <f aca="false">TRIM(IF(N(E1194)&lt;=0,"택가보정 ","")&amp;IF(N(F1194)&lt;=0,"원가보정 ","")&amp;IF(AND(B1194&lt;&gt;"CN",N(H1194)&lt;=0),"공급가보정 ","")&amp;IF(AND(B1194="CN",N(I1194)&lt;=0),"중국공급가=원가+마진 ",""))</f>
        <v/>
      </c>
    </row>
    <row r="1195" customFormat="false" ht="15" hidden="false" customHeight="true" outlineLevel="0" collapsed="false">
      <c r="A1195" s="94" t="s">
        <v>1692</v>
      </c>
      <c r="B1195" s="34" t="str">
        <f aca="false">IF(A1195="100","HK",IF(A1195="200","CN",IF(A1195="300","TW","홀세일")))</f>
        <v>홀세일</v>
      </c>
      <c r="C1195" s="94" t="s">
        <v>609</v>
      </c>
      <c r="D1195" s="95" t="n">
        <v>142</v>
      </c>
      <c r="E1195" s="95" t="n">
        <v>169000</v>
      </c>
      <c r="F1195" s="95" t="n">
        <v>37814</v>
      </c>
      <c r="G1195" s="34" t="n">
        <v>3.5</v>
      </c>
      <c r="H1195" s="34" t="n">
        <v>42.3</v>
      </c>
      <c r="I1195" s="34" t="n">
        <v>31.3</v>
      </c>
      <c r="J1195" s="95" t="n">
        <f aca="false">IF(N(E1195)&gt;0,E1195,IF(N(F1195)&gt;0,F1195*가정!$B$5,0))</f>
        <v>169000</v>
      </c>
      <c r="K1195" s="95" t="n">
        <f aca="false">IF(N(F1195)&gt;0,F1195,IF(N(E1195)&gt;0,E1195/가정!$B$5,0))</f>
        <v>37814</v>
      </c>
      <c r="L1195" s="95" t="n">
        <f aca="false">IF(B1195="CN",IF(N(I1195)&gt;0,I1195*가정!$B$3,K1195*(1+가정!$B$6)),IF(N(H1195)&gt;0,H1195*가정!$B$3,J1195*가정!$B$4))</f>
        <v>57645.594</v>
      </c>
      <c r="M1195" s="95" t="n">
        <f aca="false">D1195*J1195</f>
        <v>23998000</v>
      </c>
      <c r="N1195" s="95" t="n">
        <f aca="false">D1195*K1195</f>
        <v>5369588</v>
      </c>
      <c r="O1195" s="95" t="n">
        <f aca="false">D1195*L1195</f>
        <v>8185674.348</v>
      </c>
      <c r="P1195" s="34" t="str">
        <f aca="false">TRIM(IF(N(E1195)&lt;=0,"택가보정 ","")&amp;IF(N(F1195)&lt;=0,"원가보정 ","")&amp;IF(AND(B1195&lt;&gt;"CN",N(H1195)&lt;=0),"공급가보정 ","")&amp;IF(AND(B1195="CN",N(I1195)&lt;=0),"중국공급가=원가+마진 ",""))</f>
        <v/>
      </c>
    </row>
    <row r="1196" customFormat="false" ht="15" hidden="false" customHeight="true" outlineLevel="0" collapsed="false">
      <c r="A1196" s="94" t="s">
        <v>1686</v>
      </c>
      <c r="B1196" s="34" t="str">
        <f aca="false">IF(A1196="100","HK",IF(A1196="200","CN",IF(A1196="300","TW","홀세일")))</f>
        <v>TW</v>
      </c>
      <c r="C1196" s="94" t="s">
        <v>611</v>
      </c>
      <c r="D1196" s="95" t="n">
        <v>350</v>
      </c>
      <c r="E1196" s="95" t="n">
        <v>179000</v>
      </c>
      <c r="F1196" s="95" t="n">
        <v>38702</v>
      </c>
      <c r="G1196" s="34" t="n">
        <v>3.51</v>
      </c>
      <c r="H1196" s="34" t="n">
        <v>44.8</v>
      </c>
      <c r="I1196" s="34" t="n">
        <v>0</v>
      </c>
      <c r="J1196" s="95" t="n">
        <f aca="false">IF(N(E1196)&gt;0,E1196,IF(N(F1196)&gt;0,F1196*가정!$B$5,0))</f>
        <v>179000</v>
      </c>
      <c r="K1196" s="95" t="n">
        <f aca="false">IF(N(F1196)&gt;0,F1196,IF(N(E1196)&gt;0,E1196/가정!$B$5,0))</f>
        <v>38702</v>
      </c>
      <c r="L1196" s="95" t="n">
        <f aca="false">IF(B1196="CN",IF(N(I1196)&gt;0,I1196*가정!$B$3,K1196*(1+가정!$B$6)),IF(N(H1196)&gt;0,H1196*가정!$B$3,J1196*가정!$B$4))</f>
        <v>61052.544</v>
      </c>
      <c r="M1196" s="95" t="n">
        <f aca="false">D1196*J1196</f>
        <v>62650000</v>
      </c>
      <c r="N1196" s="95" t="n">
        <f aca="false">D1196*K1196</f>
        <v>13545700</v>
      </c>
      <c r="O1196" s="95" t="n">
        <f aca="false">D1196*L1196</f>
        <v>21368390.4</v>
      </c>
      <c r="P1196" s="34" t="str">
        <f aca="false">TRIM(IF(N(E1196)&lt;=0,"택가보정 ","")&amp;IF(N(F1196)&lt;=0,"원가보정 ","")&amp;IF(AND(B1196&lt;&gt;"CN",N(H1196)&lt;=0),"공급가보정 ","")&amp;IF(AND(B1196="CN",N(I1196)&lt;=0),"중국공급가=원가+마진 ",""))</f>
        <v/>
      </c>
    </row>
    <row r="1197" customFormat="false" ht="15" hidden="false" customHeight="true" outlineLevel="0" collapsed="false">
      <c r="A1197" s="94" t="s">
        <v>1688</v>
      </c>
      <c r="B1197" s="34" t="str">
        <f aca="false">IF(A1197="100","HK",IF(A1197="200","CN",IF(A1197="300","TW","홀세일")))</f>
        <v>홀세일</v>
      </c>
      <c r="C1197" s="94" t="s">
        <v>611</v>
      </c>
      <c r="D1197" s="95" t="n">
        <v>45</v>
      </c>
      <c r="E1197" s="95" t="n">
        <v>179000</v>
      </c>
      <c r="F1197" s="95" t="n">
        <v>38702</v>
      </c>
      <c r="G1197" s="34" t="n">
        <v>3.51</v>
      </c>
      <c r="H1197" s="34" t="n">
        <v>44.8</v>
      </c>
      <c r="I1197" s="34" t="n">
        <v>0</v>
      </c>
      <c r="J1197" s="95" t="n">
        <f aca="false">IF(N(E1197)&gt;0,E1197,IF(N(F1197)&gt;0,F1197*가정!$B$5,0))</f>
        <v>179000</v>
      </c>
      <c r="K1197" s="95" t="n">
        <f aca="false">IF(N(F1197)&gt;0,F1197,IF(N(E1197)&gt;0,E1197/가정!$B$5,0))</f>
        <v>38702</v>
      </c>
      <c r="L1197" s="95" t="n">
        <f aca="false">IF(B1197="CN",IF(N(I1197)&gt;0,I1197*가정!$B$3,K1197*(1+가정!$B$6)),IF(N(H1197)&gt;0,H1197*가정!$B$3,J1197*가정!$B$4))</f>
        <v>61052.544</v>
      </c>
      <c r="M1197" s="95" t="n">
        <f aca="false">D1197*J1197</f>
        <v>8055000</v>
      </c>
      <c r="N1197" s="95" t="n">
        <f aca="false">D1197*K1197</f>
        <v>1741590</v>
      </c>
      <c r="O1197" s="95" t="n">
        <f aca="false">D1197*L1197</f>
        <v>2747364.48</v>
      </c>
      <c r="P1197" s="34" t="str">
        <f aca="false">TRIM(IF(N(E1197)&lt;=0,"택가보정 ","")&amp;IF(N(F1197)&lt;=0,"원가보정 ","")&amp;IF(AND(B1197&lt;&gt;"CN",N(H1197)&lt;=0),"공급가보정 ","")&amp;IF(AND(B1197="CN",N(I1197)&lt;=0),"중국공급가=원가+마진 ",""))</f>
        <v/>
      </c>
    </row>
    <row r="1198" customFormat="false" ht="15" hidden="false" customHeight="true" outlineLevel="0" collapsed="false">
      <c r="A1198" s="94" t="s">
        <v>1684</v>
      </c>
      <c r="B1198" s="34" t="str">
        <f aca="false">IF(A1198="100","HK",IF(A1198="200","CN",IF(A1198="300","TW","홀세일")))</f>
        <v>HK</v>
      </c>
      <c r="C1198" s="94" t="s">
        <v>1728</v>
      </c>
      <c r="D1198" s="95" t="n">
        <v>85</v>
      </c>
      <c r="E1198" s="95" t="n">
        <v>279000</v>
      </c>
      <c r="F1198" s="95" t="n">
        <v>61900</v>
      </c>
      <c r="G1198" s="34" t="n">
        <v>4.1</v>
      </c>
      <c r="H1198" s="34" t="n">
        <v>71.7</v>
      </c>
      <c r="I1198" s="34" t="n">
        <v>0</v>
      </c>
      <c r="J1198" s="95" t="n">
        <f aca="false">IF(N(E1198)&gt;0,E1198,IF(N(F1198)&gt;0,F1198*가정!$B$5,0))</f>
        <v>279000</v>
      </c>
      <c r="K1198" s="95" t="n">
        <f aca="false">IF(N(F1198)&gt;0,F1198,IF(N(E1198)&gt;0,E1198/가정!$B$5,0))</f>
        <v>61900</v>
      </c>
      <c r="L1198" s="95" t="n">
        <f aca="false">IF(B1198="CN",IF(N(I1198)&gt;0,I1198*가정!$B$3,K1198*(1+가정!$B$6)),IF(N(H1198)&gt;0,H1198*가정!$B$3,J1198*가정!$B$4))</f>
        <v>97711.326</v>
      </c>
      <c r="M1198" s="95" t="n">
        <f aca="false">D1198*J1198</f>
        <v>23715000</v>
      </c>
      <c r="N1198" s="95" t="n">
        <f aca="false">D1198*K1198</f>
        <v>5261500</v>
      </c>
      <c r="O1198" s="95" t="n">
        <f aca="false">D1198*L1198</f>
        <v>8305462.71</v>
      </c>
      <c r="P1198" s="34" t="str">
        <f aca="false">TRIM(IF(N(E1198)&lt;=0,"택가보정 ","")&amp;IF(N(F1198)&lt;=0,"원가보정 ","")&amp;IF(AND(B1198&lt;&gt;"CN",N(H1198)&lt;=0),"공급가보정 ","")&amp;IF(AND(B1198="CN",N(I1198)&lt;=0),"중국공급가=원가+마진 ",""))</f>
        <v/>
      </c>
    </row>
    <row r="1199" customFormat="false" ht="15" hidden="false" customHeight="true" outlineLevel="0" collapsed="false">
      <c r="A1199" s="94" t="s">
        <v>1684</v>
      </c>
      <c r="B1199" s="34" t="str">
        <f aca="false">IF(A1199="100","HK",IF(A1199="200","CN",IF(A1199="300","TW","홀세일")))</f>
        <v>HK</v>
      </c>
      <c r="C1199" s="94" t="s">
        <v>999</v>
      </c>
      <c r="D1199" s="95" t="n">
        <v>160</v>
      </c>
      <c r="E1199" s="95" t="n">
        <v>279000</v>
      </c>
      <c r="F1199" s="95" t="n">
        <v>69034</v>
      </c>
      <c r="G1199" s="34" t="n">
        <v>4.82</v>
      </c>
      <c r="H1199" s="34" t="n">
        <v>69.9</v>
      </c>
      <c r="I1199" s="34" t="n">
        <v>0</v>
      </c>
      <c r="J1199" s="95" t="n">
        <f aca="false">IF(N(E1199)&gt;0,E1199,IF(N(F1199)&gt;0,F1199*가정!$B$5,0))</f>
        <v>279000</v>
      </c>
      <c r="K1199" s="95" t="n">
        <f aca="false">IF(N(F1199)&gt;0,F1199,IF(N(E1199)&gt;0,E1199/가정!$B$5,0))</f>
        <v>69034</v>
      </c>
      <c r="L1199" s="95" t="n">
        <f aca="false">IF(B1199="CN",IF(N(I1199)&gt;0,I1199*가정!$B$3,K1199*(1+가정!$B$6)),IF(N(H1199)&gt;0,H1199*가정!$B$3,J1199*가정!$B$4))</f>
        <v>95258.322</v>
      </c>
      <c r="M1199" s="95" t="n">
        <f aca="false">D1199*J1199</f>
        <v>44640000</v>
      </c>
      <c r="N1199" s="95" t="n">
        <f aca="false">D1199*K1199</f>
        <v>11045440</v>
      </c>
      <c r="O1199" s="95" t="n">
        <f aca="false">D1199*L1199</f>
        <v>15241331.52</v>
      </c>
      <c r="P1199" s="34" t="str">
        <f aca="false">TRIM(IF(N(E1199)&lt;=0,"택가보정 ","")&amp;IF(N(F1199)&lt;=0,"원가보정 ","")&amp;IF(AND(B1199&lt;&gt;"CN",N(H1199)&lt;=0),"공급가보정 ","")&amp;IF(AND(B1199="CN",N(I1199)&lt;=0),"중국공급가=원가+마진 ",""))</f>
        <v/>
      </c>
    </row>
    <row r="1200" customFormat="false" ht="15" hidden="false" customHeight="true" outlineLevel="0" collapsed="false">
      <c r="A1200" s="94" t="s">
        <v>1686</v>
      </c>
      <c r="B1200" s="34" t="str">
        <f aca="false">IF(A1200="100","HK",IF(A1200="200","CN",IF(A1200="300","TW","홀세일")))</f>
        <v>TW</v>
      </c>
      <c r="C1200" s="94" t="s">
        <v>613</v>
      </c>
      <c r="D1200" s="95" t="n">
        <v>455</v>
      </c>
      <c r="E1200" s="95" t="n">
        <v>299000</v>
      </c>
      <c r="F1200" s="95" t="n">
        <v>56115</v>
      </c>
      <c r="G1200" s="34" t="n">
        <v>3.08</v>
      </c>
      <c r="H1200" s="34" t="n">
        <v>74.9</v>
      </c>
      <c r="I1200" s="34" t="n">
        <v>0</v>
      </c>
      <c r="J1200" s="95" t="n">
        <f aca="false">IF(N(E1200)&gt;0,E1200,IF(N(F1200)&gt;0,F1200*가정!$B$5,0))</f>
        <v>299000</v>
      </c>
      <c r="K1200" s="95" t="n">
        <f aca="false">IF(N(F1200)&gt;0,F1200,IF(N(E1200)&gt;0,E1200/가정!$B$5,0))</f>
        <v>56115</v>
      </c>
      <c r="L1200" s="95" t="n">
        <f aca="false">IF(B1200="CN",IF(N(I1200)&gt;0,I1200*가정!$B$3,K1200*(1+가정!$B$6)),IF(N(H1200)&gt;0,H1200*가정!$B$3,J1200*가정!$B$4))</f>
        <v>102072.222</v>
      </c>
      <c r="M1200" s="95" t="n">
        <f aca="false">D1200*J1200</f>
        <v>136045000</v>
      </c>
      <c r="N1200" s="95" t="n">
        <f aca="false">D1200*K1200</f>
        <v>25532325</v>
      </c>
      <c r="O1200" s="95" t="n">
        <f aca="false">D1200*L1200</f>
        <v>46442861.01</v>
      </c>
      <c r="P1200" s="34" t="str">
        <f aca="false">TRIM(IF(N(E1200)&lt;=0,"택가보정 ","")&amp;IF(N(F1200)&lt;=0,"원가보정 ","")&amp;IF(AND(B1200&lt;&gt;"CN",N(H1200)&lt;=0),"공급가보정 ","")&amp;IF(AND(B1200="CN",N(I1200)&lt;=0),"중국공급가=원가+마진 ",""))</f>
        <v/>
      </c>
    </row>
    <row r="1201" customFormat="false" ht="15" hidden="false" customHeight="true" outlineLevel="0" collapsed="false">
      <c r="A1201" s="94" t="s">
        <v>1688</v>
      </c>
      <c r="B1201" s="34" t="str">
        <f aca="false">IF(A1201="100","HK",IF(A1201="200","CN",IF(A1201="300","TW","홀세일")))</f>
        <v>홀세일</v>
      </c>
      <c r="C1201" s="94" t="s">
        <v>613</v>
      </c>
      <c r="D1201" s="95" t="n">
        <v>50</v>
      </c>
      <c r="E1201" s="95" t="n">
        <v>299000</v>
      </c>
      <c r="F1201" s="95" t="n">
        <v>56115</v>
      </c>
      <c r="G1201" s="34" t="n">
        <v>3.08</v>
      </c>
      <c r="H1201" s="34" t="n">
        <v>74.9</v>
      </c>
      <c r="I1201" s="34" t="n">
        <v>0</v>
      </c>
      <c r="J1201" s="95" t="n">
        <f aca="false">IF(N(E1201)&gt;0,E1201,IF(N(F1201)&gt;0,F1201*가정!$B$5,0))</f>
        <v>299000</v>
      </c>
      <c r="K1201" s="95" t="n">
        <f aca="false">IF(N(F1201)&gt;0,F1201,IF(N(E1201)&gt;0,E1201/가정!$B$5,0))</f>
        <v>56115</v>
      </c>
      <c r="L1201" s="95" t="n">
        <f aca="false">IF(B1201="CN",IF(N(I1201)&gt;0,I1201*가정!$B$3,K1201*(1+가정!$B$6)),IF(N(H1201)&gt;0,H1201*가정!$B$3,J1201*가정!$B$4))</f>
        <v>102072.222</v>
      </c>
      <c r="M1201" s="95" t="n">
        <f aca="false">D1201*J1201</f>
        <v>14950000</v>
      </c>
      <c r="N1201" s="95" t="n">
        <f aca="false">D1201*K1201</f>
        <v>2805750</v>
      </c>
      <c r="O1201" s="95" t="n">
        <f aca="false">D1201*L1201</f>
        <v>5103611.1</v>
      </c>
      <c r="P1201" s="34" t="str">
        <f aca="false">TRIM(IF(N(E1201)&lt;=0,"택가보정 ","")&amp;IF(N(F1201)&lt;=0,"원가보정 ","")&amp;IF(AND(B1201&lt;&gt;"CN",N(H1201)&lt;=0),"공급가보정 ","")&amp;IF(AND(B1201="CN",N(I1201)&lt;=0),"중국공급가=원가+마진 ",""))</f>
        <v/>
      </c>
    </row>
    <row r="1202" customFormat="false" ht="15" hidden="false" customHeight="true" outlineLevel="0" collapsed="false">
      <c r="A1202" s="94" t="s">
        <v>1684</v>
      </c>
      <c r="B1202" s="34" t="str">
        <f aca="false">IF(A1202="100","HK",IF(A1202="200","CN",IF(A1202="300","TW","홀세일")))</f>
        <v>HK</v>
      </c>
      <c r="C1202" s="94" t="s">
        <v>615</v>
      </c>
      <c r="D1202" s="95" t="n">
        <v>280</v>
      </c>
      <c r="E1202" s="95" t="n">
        <v>329000</v>
      </c>
      <c r="F1202" s="95" t="n">
        <v>71211</v>
      </c>
      <c r="G1202" s="34" t="n">
        <v>2.82</v>
      </c>
      <c r="H1202" s="34" t="n">
        <v>82.4</v>
      </c>
      <c r="I1202" s="34" t="n">
        <v>59</v>
      </c>
      <c r="J1202" s="95" t="n">
        <f aca="false">IF(N(E1202)&gt;0,E1202,IF(N(F1202)&gt;0,F1202*가정!$B$5,0))</f>
        <v>329000</v>
      </c>
      <c r="K1202" s="95" t="n">
        <f aca="false">IF(N(F1202)&gt;0,F1202,IF(N(E1202)&gt;0,E1202/가정!$B$5,0))</f>
        <v>71211</v>
      </c>
      <c r="L1202" s="95" t="n">
        <f aca="false">IF(B1202="CN",IF(N(I1202)&gt;0,I1202*가정!$B$3,K1202*(1+가정!$B$6)),IF(N(H1202)&gt;0,H1202*가정!$B$3,J1202*가정!$B$4))</f>
        <v>112293.072</v>
      </c>
      <c r="M1202" s="95" t="n">
        <f aca="false">D1202*J1202</f>
        <v>92120000</v>
      </c>
      <c r="N1202" s="95" t="n">
        <f aca="false">D1202*K1202</f>
        <v>19939080</v>
      </c>
      <c r="O1202" s="95" t="n">
        <f aca="false">D1202*L1202</f>
        <v>31442060.16</v>
      </c>
      <c r="P1202" s="34" t="str">
        <f aca="false">TRIM(IF(N(E1202)&lt;=0,"택가보정 ","")&amp;IF(N(F1202)&lt;=0,"원가보정 ","")&amp;IF(AND(B1202&lt;&gt;"CN",N(H1202)&lt;=0),"공급가보정 ","")&amp;IF(AND(B1202="CN",N(I1202)&lt;=0),"중국공급가=원가+마진 ",""))</f>
        <v/>
      </c>
    </row>
    <row r="1203" customFormat="false" ht="15" hidden="false" customHeight="true" outlineLevel="0" collapsed="false">
      <c r="A1203" s="94" t="s">
        <v>1685</v>
      </c>
      <c r="B1203" s="34" t="str">
        <f aca="false">IF(A1203="100","HK",IF(A1203="200","CN",IF(A1203="300","TW","홀세일")))</f>
        <v>CN</v>
      </c>
      <c r="C1203" s="94" t="s">
        <v>615</v>
      </c>
      <c r="D1203" s="95" t="n">
        <v>242</v>
      </c>
      <c r="E1203" s="95" t="n">
        <v>329000</v>
      </c>
      <c r="F1203" s="95" t="n">
        <v>71211</v>
      </c>
      <c r="G1203" s="34" t="n">
        <v>2.82</v>
      </c>
      <c r="H1203" s="34" t="n">
        <v>82.4</v>
      </c>
      <c r="I1203" s="34" t="n">
        <v>59</v>
      </c>
      <c r="J1203" s="95" t="n">
        <f aca="false">IF(N(E1203)&gt;0,E1203,IF(N(F1203)&gt;0,F1203*가정!$B$5,0))</f>
        <v>329000</v>
      </c>
      <c r="K1203" s="95" t="n">
        <f aca="false">IF(N(F1203)&gt;0,F1203,IF(N(E1203)&gt;0,E1203/가정!$B$5,0))</f>
        <v>71211</v>
      </c>
      <c r="L1203" s="95" t="n">
        <f aca="false">IF(B1203="CN",IF(N(I1203)&gt;0,I1203*가정!$B$3,K1203*(1+가정!$B$6)),IF(N(H1203)&gt;0,H1203*가정!$B$3,J1203*가정!$B$4))</f>
        <v>80404.02</v>
      </c>
      <c r="M1203" s="95" t="n">
        <f aca="false">D1203*J1203</f>
        <v>79618000</v>
      </c>
      <c r="N1203" s="95" t="n">
        <f aca="false">D1203*K1203</f>
        <v>17233062</v>
      </c>
      <c r="O1203" s="95" t="n">
        <f aca="false">D1203*L1203</f>
        <v>19457772.84</v>
      </c>
      <c r="P1203" s="34" t="str">
        <f aca="false">TRIM(IF(N(E1203)&lt;=0,"택가보정 ","")&amp;IF(N(F1203)&lt;=0,"원가보정 ","")&amp;IF(AND(B1203&lt;&gt;"CN",N(H1203)&lt;=0),"공급가보정 ","")&amp;IF(AND(B1203="CN",N(I1203)&lt;=0),"중국공급가=원가+마진 ",""))</f>
        <v/>
      </c>
    </row>
    <row r="1204" customFormat="false" ht="15" hidden="false" customHeight="true" outlineLevel="0" collapsed="false">
      <c r="A1204" s="94" t="s">
        <v>1686</v>
      </c>
      <c r="B1204" s="34" t="str">
        <f aca="false">IF(A1204="100","HK",IF(A1204="200","CN",IF(A1204="300","TW","홀세일")))</f>
        <v>TW</v>
      </c>
      <c r="C1204" s="94" t="s">
        <v>615</v>
      </c>
      <c r="D1204" s="95" t="n">
        <v>160</v>
      </c>
      <c r="E1204" s="95" t="n">
        <v>329000</v>
      </c>
      <c r="F1204" s="95" t="n">
        <v>71211</v>
      </c>
      <c r="G1204" s="34" t="n">
        <v>2.82</v>
      </c>
      <c r="H1204" s="34" t="n">
        <v>82.4</v>
      </c>
      <c r="I1204" s="34" t="n">
        <v>59</v>
      </c>
      <c r="J1204" s="95" t="n">
        <f aca="false">IF(N(E1204)&gt;0,E1204,IF(N(F1204)&gt;0,F1204*가정!$B$5,0))</f>
        <v>329000</v>
      </c>
      <c r="K1204" s="95" t="n">
        <f aca="false">IF(N(F1204)&gt;0,F1204,IF(N(E1204)&gt;0,E1204/가정!$B$5,0))</f>
        <v>71211</v>
      </c>
      <c r="L1204" s="95" t="n">
        <f aca="false">IF(B1204="CN",IF(N(I1204)&gt;0,I1204*가정!$B$3,K1204*(1+가정!$B$6)),IF(N(H1204)&gt;0,H1204*가정!$B$3,J1204*가정!$B$4))</f>
        <v>112293.072</v>
      </c>
      <c r="M1204" s="95" t="n">
        <f aca="false">D1204*J1204</f>
        <v>52640000</v>
      </c>
      <c r="N1204" s="95" t="n">
        <f aca="false">D1204*K1204</f>
        <v>11393760</v>
      </c>
      <c r="O1204" s="95" t="n">
        <f aca="false">D1204*L1204</f>
        <v>17966891.52</v>
      </c>
      <c r="P1204" s="34" t="str">
        <f aca="false">TRIM(IF(N(E1204)&lt;=0,"택가보정 ","")&amp;IF(N(F1204)&lt;=0,"원가보정 ","")&amp;IF(AND(B1204&lt;&gt;"CN",N(H1204)&lt;=0),"공급가보정 ","")&amp;IF(AND(B1204="CN",N(I1204)&lt;=0),"중국공급가=원가+마진 ",""))</f>
        <v/>
      </c>
    </row>
    <row r="1205" customFormat="false" ht="15" hidden="false" customHeight="true" outlineLevel="0" collapsed="false">
      <c r="A1205" s="94" t="s">
        <v>1688</v>
      </c>
      <c r="B1205" s="34" t="str">
        <f aca="false">IF(A1205="100","HK",IF(A1205="200","CN",IF(A1205="300","TW","홀세일")))</f>
        <v>홀세일</v>
      </c>
      <c r="C1205" s="94" t="s">
        <v>615</v>
      </c>
      <c r="D1205" s="95" t="n">
        <v>15</v>
      </c>
      <c r="E1205" s="95" t="n">
        <v>329000</v>
      </c>
      <c r="F1205" s="95" t="n">
        <v>71211</v>
      </c>
      <c r="G1205" s="34" t="n">
        <v>2.82</v>
      </c>
      <c r="H1205" s="34" t="n">
        <v>82.4</v>
      </c>
      <c r="I1205" s="34" t="n">
        <v>59</v>
      </c>
      <c r="J1205" s="95" t="n">
        <f aca="false">IF(N(E1205)&gt;0,E1205,IF(N(F1205)&gt;0,F1205*가정!$B$5,0))</f>
        <v>329000</v>
      </c>
      <c r="K1205" s="95" t="n">
        <f aca="false">IF(N(F1205)&gt;0,F1205,IF(N(E1205)&gt;0,E1205/가정!$B$5,0))</f>
        <v>71211</v>
      </c>
      <c r="L1205" s="95" t="n">
        <f aca="false">IF(B1205="CN",IF(N(I1205)&gt;0,I1205*가정!$B$3,K1205*(1+가정!$B$6)),IF(N(H1205)&gt;0,H1205*가정!$B$3,J1205*가정!$B$4))</f>
        <v>112293.072</v>
      </c>
      <c r="M1205" s="95" t="n">
        <f aca="false">D1205*J1205</f>
        <v>4935000</v>
      </c>
      <c r="N1205" s="95" t="n">
        <f aca="false">D1205*K1205</f>
        <v>1068165</v>
      </c>
      <c r="O1205" s="95" t="n">
        <f aca="false">D1205*L1205</f>
        <v>1684396.08</v>
      </c>
      <c r="P1205" s="34" t="str">
        <f aca="false">TRIM(IF(N(E1205)&lt;=0,"택가보정 ","")&amp;IF(N(F1205)&lt;=0,"원가보정 ","")&amp;IF(AND(B1205&lt;&gt;"CN",N(H1205)&lt;=0),"공급가보정 ","")&amp;IF(AND(B1205="CN",N(I1205)&lt;=0),"중국공급가=원가+마진 ",""))</f>
        <v/>
      </c>
    </row>
    <row r="1206" customFormat="false" ht="15" hidden="false" customHeight="true" outlineLevel="0" collapsed="false">
      <c r="A1206" s="94" t="s">
        <v>1684</v>
      </c>
      <c r="B1206" s="34" t="str">
        <f aca="false">IF(A1206="100","HK",IF(A1206="200","CN",IF(A1206="300","TW","홀세일")))</f>
        <v>HK</v>
      </c>
      <c r="C1206" s="94" t="s">
        <v>1729</v>
      </c>
      <c r="D1206" s="95" t="n">
        <v>160</v>
      </c>
      <c r="E1206" s="95"/>
      <c r="F1206" s="95" t="n">
        <v>87600</v>
      </c>
      <c r="G1206" s="34" t="n">
        <v>0</v>
      </c>
      <c r="H1206" s="34" t="n">
        <v>89.9</v>
      </c>
      <c r="J1206" s="95" t="n">
        <f aca="false">IF(N(E1206)&gt;0,E1206,IF(N(F1206)&gt;0,F1206*가정!$B$5,0))</f>
        <v>350400</v>
      </c>
      <c r="K1206" s="95" t="n">
        <f aca="false">IF(N(F1206)&gt;0,F1206,IF(N(E1206)&gt;0,E1206/가정!$B$5,0))</f>
        <v>87600</v>
      </c>
      <c r="L1206" s="95" t="n">
        <f aca="false">IF(B1206="CN",IF(N(I1206)&gt;0,I1206*가정!$B$3,K1206*(1+가정!$B$6)),IF(N(H1206)&gt;0,H1206*가정!$B$3,J1206*가정!$B$4))</f>
        <v>122513.922</v>
      </c>
      <c r="M1206" s="95" t="n">
        <f aca="false">D1206*J1206</f>
        <v>56064000</v>
      </c>
      <c r="N1206" s="95" t="n">
        <f aca="false">D1206*K1206</f>
        <v>14016000</v>
      </c>
      <c r="O1206" s="95" t="n">
        <f aca="false">D1206*L1206</f>
        <v>19602227.52</v>
      </c>
      <c r="P1206" s="34" t="str">
        <f aca="false">TRIM(IF(N(E1206)&lt;=0,"택가보정 ","")&amp;IF(N(F1206)&lt;=0,"원가보정 ","")&amp;IF(AND(B1206&lt;&gt;"CN",N(H1206)&lt;=0),"공급가보정 ","")&amp;IF(AND(B1206="CN",N(I1206)&lt;=0),"중국공급가=원가+마진 ",""))</f>
        <v>택가보정</v>
      </c>
    </row>
    <row r="1207" customFormat="false" ht="15" hidden="false" customHeight="true" outlineLevel="0" collapsed="false">
      <c r="A1207" s="94" t="s">
        <v>1686</v>
      </c>
      <c r="B1207" s="34" t="str">
        <f aca="false">IF(A1207="100","HK",IF(A1207="200","CN",IF(A1207="300","TW","홀세일")))</f>
        <v>TW</v>
      </c>
      <c r="C1207" s="94" t="s">
        <v>1729</v>
      </c>
      <c r="D1207" s="95" t="n">
        <v>50</v>
      </c>
      <c r="E1207" s="95"/>
      <c r="F1207" s="95" t="n">
        <v>87600</v>
      </c>
      <c r="G1207" s="34" t="n">
        <v>0</v>
      </c>
      <c r="H1207" s="34" t="n">
        <v>89.9</v>
      </c>
      <c r="J1207" s="95" t="n">
        <f aca="false">IF(N(E1207)&gt;0,E1207,IF(N(F1207)&gt;0,F1207*가정!$B$5,0))</f>
        <v>350400</v>
      </c>
      <c r="K1207" s="95" t="n">
        <f aca="false">IF(N(F1207)&gt;0,F1207,IF(N(E1207)&gt;0,E1207/가정!$B$5,0))</f>
        <v>87600</v>
      </c>
      <c r="L1207" s="95" t="n">
        <f aca="false">IF(B1207="CN",IF(N(I1207)&gt;0,I1207*가정!$B$3,K1207*(1+가정!$B$6)),IF(N(H1207)&gt;0,H1207*가정!$B$3,J1207*가정!$B$4))</f>
        <v>122513.922</v>
      </c>
      <c r="M1207" s="95" t="n">
        <f aca="false">D1207*J1207</f>
        <v>17520000</v>
      </c>
      <c r="N1207" s="95" t="n">
        <f aca="false">D1207*K1207</f>
        <v>4380000</v>
      </c>
      <c r="O1207" s="95" t="n">
        <f aca="false">D1207*L1207</f>
        <v>6125696.1</v>
      </c>
      <c r="P1207" s="34" t="str">
        <f aca="false">TRIM(IF(N(E1207)&lt;=0,"택가보정 ","")&amp;IF(N(F1207)&lt;=0,"원가보정 ","")&amp;IF(AND(B1207&lt;&gt;"CN",N(H1207)&lt;=0),"공급가보정 ","")&amp;IF(AND(B1207="CN",N(I1207)&lt;=0),"중국공급가=원가+마진 ",""))</f>
        <v>택가보정</v>
      </c>
    </row>
    <row r="1208" customFormat="false" ht="15" hidden="false" customHeight="true" outlineLevel="0" collapsed="false">
      <c r="A1208" s="94" t="s">
        <v>1684</v>
      </c>
      <c r="B1208" s="34" t="str">
        <f aca="false">IF(A1208="100","HK",IF(A1208="200","CN",IF(A1208="300","TW","홀세일")))</f>
        <v>HK</v>
      </c>
      <c r="C1208" s="94" t="s">
        <v>617</v>
      </c>
      <c r="D1208" s="95" t="n">
        <v>300</v>
      </c>
      <c r="E1208" s="95" t="n">
        <v>399000</v>
      </c>
      <c r="F1208" s="95" t="n">
        <v>108051</v>
      </c>
      <c r="G1208" s="34" t="n">
        <v>3.08</v>
      </c>
      <c r="H1208" s="34" t="n">
        <v>99.9</v>
      </c>
      <c r="I1208" s="34" t="n">
        <v>0</v>
      </c>
      <c r="J1208" s="95" t="n">
        <f aca="false">IF(N(E1208)&gt;0,E1208,IF(N(F1208)&gt;0,F1208*가정!$B$5,0))</f>
        <v>399000</v>
      </c>
      <c r="K1208" s="95" t="n">
        <f aca="false">IF(N(F1208)&gt;0,F1208,IF(N(E1208)&gt;0,E1208/가정!$B$5,0))</f>
        <v>108051</v>
      </c>
      <c r="L1208" s="95" t="n">
        <f aca="false">IF(B1208="CN",IF(N(I1208)&gt;0,I1208*가정!$B$3,K1208*(1+가정!$B$6)),IF(N(H1208)&gt;0,H1208*가정!$B$3,J1208*가정!$B$4))</f>
        <v>136141.722</v>
      </c>
      <c r="M1208" s="95" t="n">
        <f aca="false">D1208*J1208</f>
        <v>119700000</v>
      </c>
      <c r="N1208" s="95" t="n">
        <f aca="false">D1208*K1208</f>
        <v>32415300</v>
      </c>
      <c r="O1208" s="95" t="n">
        <f aca="false">D1208*L1208</f>
        <v>40842516.6</v>
      </c>
      <c r="P1208" s="34" t="str">
        <f aca="false">TRIM(IF(N(E1208)&lt;=0,"택가보정 ","")&amp;IF(N(F1208)&lt;=0,"원가보정 ","")&amp;IF(AND(B1208&lt;&gt;"CN",N(H1208)&lt;=0),"공급가보정 ","")&amp;IF(AND(B1208="CN",N(I1208)&lt;=0),"중국공급가=원가+마진 ",""))</f>
        <v/>
      </c>
    </row>
    <row r="1209" customFormat="false" ht="15" hidden="false" customHeight="true" outlineLevel="0" collapsed="false">
      <c r="A1209" s="94" t="s">
        <v>1686</v>
      </c>
      <c r="B1209" s="34" t="str">
        <f aca="false">IF(A1209="100","HK",IF(A1209="200","CN",IF(A1209="300","TW","홀세일")))</f>
        <v>TW</v>
      </c>
      <c r="C1209" s="94" t="s">
        <v>617</v>
      </c>
      <c r="D1209" s="95" t="n">
        <v>250</v>
      </c>
      <c r="E1209" s="95" t="n">
        <v>399000</v>
      </c>
      <c r="F1209" s="95" t="n">
        <v>108051</v>
      </c>
      <c r="G1209" s="34" t="n">
        <v>3.08</v>
      </c>
      <c r="H1209" s="34" t="n">
        <v>99.9</v>
      </c>
      <c r="I1209" s="34" t="n">
        <v>0</v>
      </c>
      <c r="J1209" s="95" t="n">
        <f aca="false">IF(N(E1209)&gt;0,E1209,IF(N(F1209)&gt;0,F1209*가정!$B$5,0))</f>
        <v>399000</v>
      </c>
      <c r="K1209" s="95" t="n">
        <f aca="false">IF(N(F1209)&gt;0,F1209,IF(N(E1209)&gt;0,E1209/가정!$B$5,0))</f>
        <v>108051</v>
      </c>
      <c r="L1209" s="95" t="n">
        <f aca="false">IF(B1209="CN",IF(N(I1209)&gt;0,I1209*가정!$B$3,K1209*(1+가정!$B$6)),IF(N(H1209)&gt;0,H1209*가정!$B$3,J1209*가정!$B$4))</f>
        <v>136141.722</v>
      </c>
      <c r="M1209" s="95" t="n">
        <f aca="false">D1209*J1209</f>
        <v>99750000</v>
      </c>
      <c r="N1209" s="95" t="n">
        <f aca="false">D1209*K1209</f>
        <v>27012750</v>
      </c>
      <c r="O1209" s="95" t="n">
        <f aca="false">D1209*L1209</f>
        <v>34035430.5</v>
      </c>
      <c r="P1209" s="34" t="str">
        <f aca="false">TRIM(IF(N(E1209)&lt;=0,"택가보정 ","")&amp;IF(N(F1209)&lt;=0,"원가보정 ","")&amp;IF(AND(B1209&lt;&gt;"CN",N(H1209)&lt;=0),"공급가보정 ","")&amp;IF(AND(B1209="CN",N(I1209)&lt;=0),"중국공급가=원가+마진 ",""))</f>
        <v/>
      </c>
    </row>
    <row r="1210" customFormat="false" ht="15" hidden="false" customHeight="true" outlineLevel="0" collapsed="false">
      <c r="A1210" s="94" t="s">
        <v>1688</v>
      </c>
      <c r="B1210" s="34" t="str">
        <f aca="false">IF(A1210="100","HK",IF(A1210="200","CN",IF(A1210="300","TW","홀세일")))</f>
        <v>홀세일</v>
      </c>
      <c r="C1210" s="94" t="s">
        <v>617</v>
      </c>
      <c r="D1210" s="95" t="n">
        <v>15</v>
      </c>
      <c r="E1210" s="95" t="n">
        <v>399000</v>
      </c>
      <c r="F1210" s="95" t="n">
        <v>108051</v>
      </c>
      <c r="G1210" s="34" t="n">
        <v>3.08</v>
      </c>
      <c r="H1210" s="34" t="n">
        <v>99.9</v>
      </c>
      <c r="I1210" s="34" t="n">
        <v>0</v>
      </c>
      <c r="J1210" s="95" t="n">
        <f aca="false">IF(N(E1210)&gt;0,E1210,IF(N(F1210)&gt;0,F1210*가정!$B$5,0))</f>
        <v>399000</v>
      </c>
      <c r="K1210" s="95" t="n">
        <f aca="false">IF(N(F1210)&gt;0,F1210,IF(N(E1210)&gt;0,E1210/가정!$B$5,0))</f>
        <v>108051</v>
      </c>
      <c r="L1210" s="95" t="n">
        <f aca="false">IF(B1210="CN",IF(N(I1210)&gt;0,I1210*가정!$B$3,K1210*(1+가정!$B$6)),IF(N(H1210)&gt;0,H1210*가정!$B$3,J1210*가정!$B$4))</f>
        <v>136141.722</v>
      </c>
      <c r="M1210" s="95" t="n">
        <f aca="false">D1210*J1210</f>
        <v>5985000</v>
      </c>
      <c r="N1210" s="95" t="n">
        <f aca="false">D1210*K1210</f>
        <v>1620765</v>
      </c>
      <c r="O1210" s="95" t="n">
        <f aca="false">D1210*L1210</f>
        <v>2042125.83</v>
      </c>
      <c r="P1210" s="34" t="str">
        <f aca="false">TRIM(IF(N(E1210)&lt;=0,"택가보정 ","")&amp;IF(N(F1210)&lt;=0,"원가보정 ","")&amp;IF(AND(B1210&lt;&gt;"CN",N(H1210)&lt;=0),"공급가보정 ","")&amp;IF(AND(B1210="CN",N(I1210)&lt;=0),"중국공급가=원가+마진 ",""))</f>
        <v/>
      </c>
    </row>
    <row r="1211" customFormat="false" ht="15" hidden="false" customHeight="true" outlineLevel="0" collapsed="false">
      <c r="A1211" s="94" t="s">
        <v>1684</v>
      </c>
      <c r="B1211" s="34" t="str">
        <f aca="false">IF(A1211="100","HK",IF(A1211="200","CN",IF(A1211="300","TW","홀세일")))</f>
        <v>HK</v>
      </c>
      <c r="C1211" s="94" t="s">
        <v>1150</v>
      </c>
      <c r="D1211" s="95" t="n">
        <v>240</v>
      </c>
      <c r="E1211" s="95" t="n">
        <v>499000</v>
      </c>
      <c r="F1211" s="95" t="n">
        <v>122077</v>
      </c>
      <c r="G1211" s="34" t="n">
        <v>3.11</v>
      </c>
      <c r="H1211" s="34" t="n">
        <v>124.9</v>
      </c>
      <c r="I1211" s="34" t="n">
        <v>93.6</v>
      </c>
      <c r="J1211" s="95" t="n">
        <f aca="false">IF(N(E1211)&gt;0,E1211,IF(N(F1211)&gt;0,F1211*가정!$B$5,0))</f>
        <v>499000</v>
      </c>
      <c r="K1211" s="95" t="n">
        <f aca="false">IF(N(F1211)&gt;0,F1211,IF(N(E1211)&gt;0,E1211/가정!$B$5,0))</f>
        <v>122077</v>
      </c>
      <c r="L1211" s="95" t="n">
        <f aca="false">IF(B1211="CN",IF(N(I1211)&gt;0,I1211*가정!$B$3,K1211*(1+가정!$B$6)),IF(N(H1211)&gt;0,H1211*가정!$B$3,J1211*가정!$B$4))</f>
        <v>170211.222</v>
      </c>
      <c r="M1211" s="95" t="n">
        <f aca="false">D1211*J1211</f>
        <v>119760000</v>
      </c>
      <c r="N1211" s="95" t="n">
        <f aca="false">D1211*K1211</f>
        <v>29298480</v>
      </c>
      <c r="O1211" s="95" t="n">
        <f aca="false">D1211*L1211</f>
        <v>40850693.28</v>
      </c>
      <c r="P1211" s="34" t="str">
        <f aca="false">TRIM(IF(N(E1211)&lt;=0,"택가보정 ","")&amp;IF(N(F1211)&lt;=0,"원가보정 ","")&amp;IF(AND(B1211&lt;&gt;"CN",N(H1211)&lt;=0),"공급가보정 ","")&amp;IF(AND(B1211="CN",N(I1211)&lt;=0),"중국공급가=원가+마진 ",""))</f>
        <v/>
      </c>
    </row>
    <row r="1212" customFormat="false" ht="15" hidden="false" customHeight="true" outlineLevel="0" collapsed="false">
      <c r="A1212" s="94" t="s">
        <v>1685</v>
      </c>
      <c r="B1212" s="34" t="str">
        <f aca="false">IF(A1212="100","HK",IF(A1212="200","CN",IF(A1212="300","TW","홀세일")))</f>
        <v>CN</v>
      </c>
      <c r="C1212" s="94" t="s">
        <v>1150</v>
      </c>
      <c r="D1212" s="95" t="n">
        <v>422</v>
      </c>
      <c r="E1212" s="95" t="n">
        <v>499000</v>
      </c>
      <c r="F1212" s="95" t="n">
        <v>122077</v>
      </c>
      <c r="G1212" s="34" t="n">
        <v>3.11</v>
      </c>
      <c r="H1212" s="34" t="n">
        <v>124.9</v>
      </c>
      <c r="I1212" s="34" t="n">
        <v>93.6</v>
      </c>
      <c r="J1212" s="95" t="n">
        <f aca="false">IF(N(E1212)&gt;0,E1212,IF(N(F1212)&gt;0,F1212*가정!$B$5,0))</f>
        <v>499000</v>
      </c>
      <c r="K1212" s="95" t="n">
        <f aca="false">IF(N(F1212)&gt;0,F1212,IF(N(E1212)&gt;0,E1212/가정!$B$5,0))</f>
        <v>122077</v>
      </c>
      <c r="L1212" s="95" t="n">
        <f aca="false">IF(B1212="CN",IF(N(I1212)&gt;0,I1212*가정!$B$3,K1212*(1+가정!$B$6)),IF(N(H1212)&gt;0,H1212*가정!$B$3,J1212*가정!$B$4))</f>
        <v>127556.208</v>
      </c>
      <c r="M1212" s="95" t="n">
        <f aca="false">D1212*J1212</f>
        <v>210578000</v>
      </c>
      <c r="N1212" s="95" t="n">
        <f aca="false">D1212*K1212</f>
        <v>51516494</v>
      </c>
      <c r="O1212" s="95" t="n">
        <f aca="false">D1212*L1212</f>
        <v>53828719.776</v>
      </c>
      <c r="P1212" s="34" t="str">
        <f aca="false">TRIM(IF(N(E1212)&lt;=0,"택가보정 ","")&amp;IF(N(F1212)&lt;=0,"원가보정 ","")&amp;IF(AND(B1212&lt;&gt;"CN",N(H1212)&lt;=0),"공급가보정 ","")&amp;IF(AND(B1212="CN",N(I1212)&lt;=0),"중국공급가=원가+마진 ",""))</f>
        <v/>
      </c>
    </row>
    <row r="1213" customFormat="false" ht="15" hidden="false" customHeight="true" outlineLevel="0" collapsed="false">
      <c r="A1213" s="94" t="s">
        <v>1685</v>
      </c>
      <c r="B1213" s="34" t="str">
        <f aca="false">IF(A1213="100","HK",IF(A1213="200","CN",IF(A1213="300","TW","홀세일")))</f>
        <v>CN</v>
      </c>
      <c r="C1213" s="94" t="s">
        <v>1150</v>
      </c>
      <c r="D1213" s="95" t="n">
        <v>422</v>
      </c>
      <c r="E1213" s="95" t="n">
        <v>499000</v>
      </c>
      <c r="F1213" s="95" t="n">
        <v>122077</v>
      </c>
      <c r="G1213" s="34" t="n">
        <v>3.11</v>
      </c>
      <c r="H1213" s="34" t="n">
        <v>124.9</v>
      </c>
      <c r="I1213" s="34" t="n">
        <v>93.6</v>
      </c>
      <c r="J1213" s="95" t="n">
        <f aca="false">IF(N(E1213)&gt;0,E1213,IF(N(F1213)&gt;0,F1213*가정!$B$5,0))</f>
        <v>499000</v>
      </c>
      <c r="K1213" s="95" t="n">
        <f aca="false">IF(N(F1213)&gt;0,F1213,IF(N(E1213)&gt;0,E1213/가정!$B$5,0))</f>
        <v>122077</v>
      </c>
      <c r="L1213" s="95" t="n">
        <f aca="false">IF(B1213="CN",IF(N(I1213)&gt;0,I1213*가정!$B$3,K1213*(1+가정!$B$6)),IF(N(H1213)&gt;0,H1213*가정!$B$3,J1213*가정!$B$4))</f>
        <v>127556.208</v>
      </c>
      <c r="M1213" s="95" t="n">
        <f aca="false">D1213*J1213</f>
        <v>210578000</v>
      </c>
      <c r="N1213" s="95" t="n">
        <f aca="false">D1213*K1213</f>
        <v>51516494</v>
      </c>
      <c r="O1213" s="95" t="n">
        <f aca="false">D1213*L1213</f>
        <v>53828719.776</v>
      </c>
      <c r="P1213" s="34" t="str">
        <f aca="false">TRIM(IF(N(E1213)&lt;=0,"택가보정 ","")&amp;IF(N(F1213)&lt;=0,"원가보정 ","")&amp;IF(AND(B1213&lt;&gt;"CN",N(H1213)&lt;=0),"공급가보정 ","")&amp;IF(AND(B1213="CN",N(I1213)&lt;=0),"중국공급가=원가+마진 ",""))</f>
        <v/>
      </c>
    </row>
    <row r="1214" customFormat="false" ht="15" hidden="false" customHeight="true" outlineLevel="0" collapsed="false">
      <c r="A1214" s="94" t="s">
        <v>1686</v>
      </c>
      <c r="B1214" s="34" t="str">
        <f aca="false">IF(A1214="100","HK",IF(A1214="200","CN",IF(A1214="300","TW","홀세일")))</f>
        <v>TW</v>
      </c>
      <c r="C1214" s="94" t="s">
        <v>1150</v>
      </c>
      <c r="D1214" s="95" t="n">
        <v>200</v>
      </c>
      <c r="E1214" s="95" t="n">
        <v>499000</v>
      </c>
      <c r="F1214" s="95" t="n">
        <v>122077</v>
      </c>
      <c r="G1214" s="34" t="n">
        <v>3.11</v>
      </c>
      <c r="H1214" s="34" t="n">
        <v>124.9</v>
      </c>
      <c r="I1214" s="34" t="n">
        <v>93.6</v>
      </c>
      <c r="J1214" s="95" t="n">
        <f aca="false">IF(N(E1214)&gt;0,E1214,IF(N(F1214)&gt;0,F1214*가정!$B$5,0))</f>
        <v>499000</v>
      </c>
      <c r="K1214" s="95" t="n">
        <f aca="false">IF(N(F1214)&gt;0,F1214,IF(N(E1214)&gt;0,E1214/가정!$B$5,0))</f>
        <v>122077</v>
      </c>
      <c r="L1214" s="95" t="n">
        <f aca="false">IF(B1214="CN",IF(N(I1214)&gt;0,I1214*가정!$B$3,K1214*(1+가정!$B$6)),IF(N(H1214)&gt;0,H1214*가정!$B$3,J1214*가정!$B$4))</f>
        <v>170211.222</v>
      </c>
      <c r="M1214" s="95" t="n">
        <f aca="false">D1214*J1214</f>
        <v>99800000</v>
      </c>
      <c r="N1214" s="95" t="n">
        <f aca="false">D1214*K1214</f>
        <v>24415400</v>
      </c>
      <c r="O1214" s="95" t="n">
        <f aca="false">D1214*L1214</f>
        <v>34042244.4</v>
      </c>
      <c r="P1214" s="34" t="str">
        <f aca="false">TRIM(IF(N(E1214)&lt;=0,"택가보정 ","")&amp;IF(N(F1214)&lt;=0,"원가보정 ","")&amp;IF(AND(B1214&lt;&gt;"CN",N(H1214)&lt;=0),"공급가보정 ","")&amp;IF(AND(B1214="CN",N(I1214)&lt;=0),"중국공급가=원가+마진 ",""))</f>
        <v/>
      </c>
    </row>
    <row r="1215" customFormat="false" ht="15" hidden="false" customHeight="true" outlineLevel="0" collapsed="false">
      <c r="A1215" s="94" t="s">
        <v>1692</v>
      </c>
      <c r="B1215" s="34" t="str">
        <f aca="false">IF(A1215="100","HK",IF(A1215="200","CN",IF(A1215="300","TW","홀세일")))</f>
        <v>홀세일</v>
      </c>
      <c r="C1215" s="94" t="s">
        <v>1150</v>
      </c>
      <c r="D1215" s="95" t="n">
        <v>122</v>
      </c>
      <c r="E1215" s="95" t="n">
        <v>499000</v>
      </c>
      <c r="F1215" s="95" t="n">
        <v>122077</v>
      </c>
      <c r="G1215" s="34" t="n">
        <v>3.11</v>
      </c>
      <c r="H1215" s="34" t="n">
        <v>124.9</v>
      </c>
      <c r="I1215" s="34" t="n">
        <v>93.6</v>
      </c>
      <c r="J1215" s="95" t="n">
        <f aca="false">IF(N(E1215)&gt;0,E1215,IF(N(F1215)&gt;0,F1215*가정!$B$5,0))</f>
        <v>499000</v>
      </c>
      <c r="K1215" s="95" t="n">
        <f aca="false">IF(N(F1215)&gt;0,F1215,IF(N(E1215)&gt;0,E1215/가정!$B$5,0))</f>
        <v>122077</v>
      </c>
      <c r="L1215" s="95" t="n">
        <f aca="false">IF(B1215="CN",IF(N(I1215)&gt;0,I1215*가정!$B$3,K1215*(1+가정!$B$6)),IF(N(H1215)&gt;0,H1215*가정!$B$3,J1215*가정!$B$4))</f>
        <v>170211.222</v>
      </c>
      <c r="M1215" s="95" t="n">
        <f aca="false">D1215*J1215</f>
        <v>60878000</v>
      </c>
      <c r="N1215" s="95" t="n">
        <f aca="false">D1215*K1215</f>
        <v>14893394</v>
      </c>
      <c r="O1215" s="95" t="n">
        <f aca="false">D1215*L1215</f>
        <v>20765769.084</v>
      </c>
      <c r="P1215" s="34" t="str">
        <f aca="false">TRIM(IF(N(E1215)&lt;=0,"택가보정 ","")&amp;IF(N(F1215)&lt;=0,"원가보정 ","")&amp;IF(AND(B1215&lt;&gt;"CN",N(H1215)&lt;=0),"공급가보정 ","")&amp;IF(AND(B1215="CN",N(I1215)&lt;=0),"중국공급가=원가+마진 ",""))</f>
        <v/>
      </c>
    </row>
    <row r="1216" customFormat="false" ht="15" hidden="false" customHeight="true" outlineLevel="0" collapsed="false">
      <c r="A1216" s="94" t="s">
        <v>1684</v>
      </c>
      <c r="B1216" s="34" t="str">
        <f aca="false">IF(A1216="100","HK",IF(A1216="200","CN",IF(A1216="300","TW","홀세일")))</f>
        <v>HK</v>
      </c>
      <c r="C1216" s="94" t="s">
        <v>619</v>
      </c>
      <c r="D1216" s="95" t="n">
        <v>160</v>
      </c>
      <c r="E1216" s="95" t="n">
        <v>359000</v>
      </c>
      <c r="F1216" s="95" t="n">
        <v>84600</v>
      </c>
      <c r="G1216" s="34" t="n">
        <v>3.5</v>
      </c>
      <c r="H1216" s="34" t="n">
        <v>89.9</v>
      </c>
      <c r="I1216" s="34" t="n">
        <v>0</v>
      </c>
      <c r="J1216" s="95" t="n">
        <f aca="false">IF(N(E1216)&gt;0,E1216,IF(N(F1216)&gt;0,F1216*가정!$B$5,0))</f>
        <v>359000</v>
      </c>
      <c r="K1216" s="95" t="n">
        <f aca="false">IF(N(F1216)&gt;0,F1216,IF(N(E1216)&gt;0,E1216/가정!$B$5,0))</f>
        <v>84600</v>
      </c>
      <c r="L1216" s="95" t="n">
        <f aca="false">IF(B1216="CN",IF(N(I1216)&gt;0,I1216*가정!$B$3,K1216*(1+가정!$B$6)),IF(N(H1216)&gt;0,H1216*가정!$B$3,J1216*가정!$B$4))</f>
        <v>122513.922</v>
      </c>
      <c r="M1216" s="95" t="n">
        <f aca="false">D1216*J1216</f>
        <v>57440000</v>
      </c>
      <c r="N1216" s="95" t="n">
        <f aca="false">D1216*K1216</f>
        <v>13536000</v>
      </c>
      <c r="O1216" s="95" t="n">
        <f aca="false">D1216*L1216</f>
        <v>19602227.52</v>
      </c>
      <c r="P1216" s="34" t="str">
        <f aca="false">TRIM(IF(N(E1216)&lt;=0,"택가보정 ","")&amp;IF(N(F1216)&lt;=0,"원가보정 ","")&amp;IF(AND(B1216&lt;&gt;"CN",N(H1216)&lt;=0),"공급가보정 ","")&amp;IF(AND(B1216="CN",N(I1216)&lt;=0),"중국공급가=원가+마진 ",""))</f>
        <v/>
      </c>
    </row>
    <row r="1217" customFormat="false" ht="15" hidden="false" customHeight="true" outlineLevel="0" collapsed="false">
      <c r="A1217" s="94" t="s">
        <v>1686</v>
      </c>
      <c r="B1217" s="34" t="str">
        <f aca="false">IF(A1217="100","HK",IF(A1217="200","CN",IF(A1217="300","TW","홀세일")))</f>
        <v>TW</v>
      </c>
      <c r="C1217" s="94" t="s">
        <v>619</v>
      </c>
      <c r="D1217" s="95" t="n">
        <v>180</v>
      </c>
      <c r="E1217" s="95" t="n">
        <v>359000</v>
      </c>
      <c r="F1217" s="95" t="n">
        <v>84600</v>
      </c>
      <c r="G1217" s="34" t="n">
        <v>3.5</v>
      </c>
      <c r="H1217" s="34" t="n">
        <v>89.9</v>
      </c>
      <c r="I1217" s="34" t="n">
        <v>0</v>
      </c>
      <c r="J1217" s="95" t="n">
        <f aca="false">IF(N(E1217)&gt;0,E1217,IF(N(F1217)&gt;0,F1217*가정!$B$5,0))</f>
        <v>359000</v>
      </c>
      <c r="K1217" s="95" t="n">
        <f aca="false">IF(N(F1217)&gt;0,F1217,IF(N(E1217)&gt;0,E1217/가정!$B$5,0))</f>
        <v>84600</v>
      </c>
      <c r="L1217" s="95" t="n">
        <f aca="false">IF(B1217="CN",IF(N(I1217)&gt;0,I1217*가정!$B$3,K1217*(1+가정!$B$6)),IF(N(H1217)&gt;0,H1217*가정!$B$3,J1217*가정!$B$4))</f>
        <v>122513.922</v>
      </c>
      <c r="M1217" s="95" t="n">
        <f aca="false">D1217*J1217</f>
        <v>64620000</v>
      </c>
      <c r="N1217" s="95" t="n">
        <f aca="false">D1217*K1217</f>
        <v>15228000</v>
      </c>
      <c r="O1217" s="95" t="n">
        <f aca="false">D1217*L1217</f>
        <v>22052505.96</v>
      </c>
      <c r="P1217" s="34" t="str">
        <f aca="false">TRIM(IF(N(E1217)&lt;=0,"택가보정 ","")&amp;IF(N(F1217)&lt;=0,"원가보정 ","")&amp;IF(AND(B1217&lt;&gt;"CN",N(H1217)&lt;=0),"공급가보정 ","")&amp;IF(AND(B1217="CN",N(I1217)&lt;=0),"중국공급가=원가+마진 ",""))</f>
        <v/>
      </c>
    </row>
    <row r="1218" customFormat="false" ht="15" hidden="false" customHeight="true" outlineLevel="0" collapsed="false">
      <c r="A1218" s="94" t="s">
        <v>1686</v>
      </c>
      <c r="B1218" s="34" t="str">
        <f aca="false">IF(A1218="100","HK",IF(A1218="200","CN",IF(A1218="300","TW","홀세일")))</f>
        <v>TW</v>
      </c>
      <c r="C1218" s="94" t="s">
        <v>1730</v>
      </c>
      <c r="D1218" s="95" t="n">
        <v>315</v>
      </c>
      <c r="E1218" s="95"/>
      <c r="F1218" s="95" t="n">
        <v>96500</v>
      </c>
      <c r="G1218" s="34" t="n">
        <v>0</v>
      </c>
      <c r="J1218" s="95" t="n">
        <f aca="false">IF(N(E1218)&gt;0,E1218,IF(N(F1218)&gt;0,F1218*가정!$B$5,0))</f>
        <v>386000</v>
      </c>
      <c r="K1218" s="95" t="n">
        <f aca="false">IF(N(F1218)&gt;0,F1218,IF(N(E1218)&gt;0,E1218/가정!$B$5,0))</f>
        <v>96500</v>
      </c>
      <c r="L1218" s="95" t="n">
        <f aca="false">IF(B1218="CN",IF(N(I1218)&gt;0,I1218*가정!$B$3,K1218*(1+가정!$B$6)),IF(N(H1218)&gt;0,H1218*가정!$B$3,J1218*가정!$B$4))</f>
        <v>127380</v>
      </c>
      <c r="M1218" s="95" t="n">
        <f aca="false">D1218*J1218</f>
        <v>121590000</v>
      </c>
      <c r="N1218" s="95" t="n">
        <f aca="false">D1218*K1218</f>
        <v>30397500</v>
      </c>
      <c r="O1218" s="95" t="n">
        <f aca="false">D1218*L1218</f>
        <v>40124700</v>
      </c>
      <c r="P1218" s="34" t="str">
        <f aca="false">TRIM(IF(N(E1218)&lt;=0,"택가보정 ","")&amp;IF(N(F1218)&lt;=0,"원가보정 ","")&amp;IF(AND(B1218&lt;&gt;"CN",N(H1218)&lt;=0),"공급가보정 ","")&amp;IF(AND(B1218="CN",N(I1218)&lt;=0),"중국공급가=원가+마진 ",""))</f>
        <v>택가보정 공급가보정</v>
      </c>
    </row>
    <row r="1219" customFormat="false" ht="15" hidden="false" customHeight="true" outlineLevel="0" collapsed="false">
      <c r="A1219" s="94" t="s">
        <v>1684</v>
      </c>
      <c r="B1219" s="34" t="str">
        <f aca="false">IF(A1219="100","HK",IF(A1219="200","CN",IF(A1219="300","TW","홀세일")))</f>
        <v>HK</v>
      </c>
      <c r="C1219" s="94" t="s">
        <v>621</v>
      </c>
      <c r="D1219" s="95" t="n">
        <v>50</v>
      </c>
      <c r="E1219" s="95" t="n">
        <v>459000</v>
      </c>
      <c r="F1219" s="95" t="n">
        <v>114611</v>
      </c>
      <c r="G1219" s="34" t="n">
        <v>3.48</v>
      </c>
      <c r="H1219" s="34" t="n">
        <v>117.9</v>
      </c>
      <c r="I1219" s="34" t="n">
        <v>94.7</v>
      </c>
      <c r="J1219" s="95" t="n">
        <f aca="false">IF(N(E1219)&gt;0,E1219,IF(N(F1219)&gt;0,F1219*가정!$B$5,0))</f>
        <v>459000</v>
      </c>
      <c r="K1219" s="95" t="n">
        <f aca="false">IF(N(F1219)&gt;0,F1219,IF(N(E1219)&gt;0,E1219/가정!$B$5,0))</f>
        <v>114611</v>
      </c>
      <c r="L1219" s="95" t="n">
        <f aca="false">IF(B1219="CN",IF(N(I1219)&gt;0,I1219*가정!$B$3,K1219*(1+가정!$B$6)),IF(N(H1219)&gt;0,H1219*가정!$B$3,J1219*가정!$B$4))</f>
        <v>160671.762</v>
      </c>
      <c r="M1219" s="95" t="n">
        <f aca="false">D1219*J1219</f>
        <v>22950000</v>
      </c>
      <c r="N1219" s="95" t="n">
        <f aca="false">D1219*K1219</f>
        <v>5730550</v>
      </c>
      <c r="O1219" s="95" t="n">
        <f aca="false">D1219*L1219</f>
        <v>8033588.1</v>
      </c>
      <c r="P1219" s="34" t="str">
        <f aca="false">TRIM(IF(N(E1219)&lt;=0,"택가보정 ","")&amp;IF(N(F1219)&lt;=0,"원가보정 ","")&amp;IF(AND(B1219&lt;&gt;"CN",N(H1219)&lt;=0),"공급가보정 ","")&amp;IF(AND(B1219="CN",N(I1219)&lt;=0),"중국공급가=원가+마진 ",""))</f>
        <v/>
      </c>
    </row>
    <row r="1220" customFormat="false" ht="15" hidden="false" customHeight="true" outlineLevel="0" collapsed="false">
      <c r="A1220" s="94" t="s">
        <v>1685</v>
      </c>
      <c r="B1220" s="34" t="str">
        <f aca="false">IF(A1220="100","HK",IF(A1220="200","CN",IF(A1220="300","TW","홀세일")))</f>
        <v>CN</v>
      </c>
      <c r="C1220" s="94" t="s">
        <v>621</v>
      </c>
      <c r="D1220" s="95" t="n">
        <v>62</v>
      </c>
      <c r="E1220" s="95" t="n">
        <v>459000</v>
      </c>
      <c r="F1220" s="95" t="n">
        <v>114611</v>
      </c>
      <c r="G1220" s="34" t="n">
        <v>3.48</v>
      </c>
      <c r="H1220" s="34" t="n">
        <v>117.9</v>
      </c>
      <c r="I1220" s="34" t="n">
        <v>94.7</v>
      </c>
      <c r="J1220" s="95" t="n">
        <f aca="false">IF(N(E1220)&gt;0,E1220,IF(N(F1220)&gt;0,F1220*가정!$B$5,0))</f>
        <v>459000</v>
      </c>
      <c r="K1220" s="95" t="n">
        <f aca="false">IF(N(F1220)&gt;0,F1220,IF(N(E1220)&gt;0,E1220/가정!$B$5,0))</f>
        <v>114611</v>
      </c>
      <c r="L1220" s="95" t="n">
        <f aca="false">IF(B1220="CN",IF(N(I1220)&gt;0,I1220*가정!$B$3,K1220*(1+가정!$B$6)),IF(N(H1220)&gt;0,H1220*가정!$B$3,J1220*가정!$B$4))</f>
        <v>129055.266</v>
      </c>
      <c r="M1220" s="95" t="n">
        <f aca="false">D1220*J1220</f>
        <v>28458000</v>
      </c>
      <c r="N1220" s="95" t="n">
        <f aca="false">D1220*K1220</f>
        <v>7105882</v>
      </c>
      <c r="O1220" s="95" t="n">
        <f aca="false">D1220*L1220</f>
        <v>8001426.492</v>
      </c>
      <c r="P1220" s="34" t="str">
        <f aca="false">TRIM(IF(N(E1220)&lt;=0,"택가보정 ","")&amp;IF(N(F1220)&lt;=0,"원가보정 ","")&amp;IF(AND(B1220&lt;&gt;"CN",N(H1220)&lt;=0),"공급가보정 ","")&amp;IF(AND(B1220="CN",N(I1220)&lt;=0),"중국공급가=원가+마진 ",""))</f>
        <v/>
      </c>
    </row>
    <row r="1221" customFormat="false" ht="15" hidden="false" customHeight="true" outlineLevel="0" collapsed="false">
      <c r="A1221" s="94" t="s">
        <v>1686</v>
      </c>
      <c r="B1221" s="34" t="str">
        <f aca="false">IF(A1221="100","HK",IF(A1221="200","CN",IF(A1221="300","TW","홀세일")))</f>
        <v>TW</v>
      </c>
      <c r="C1221" s="94" t="s">
        <v>621</v>
      </c>
      <c r="D1221" s="95" t="n">
        <v>100</v>
      </c>
      <c r="E1221" s="95" t="n">
        <v>459000</v>
      </c>
      <c r="F1221" s="95" t="n">
        <v>114611</v>
      </c>
      <c r="G1221" s="34" t="n">
        <v>3.48</v>
      </c>
      <c r="H1221" s="34" t="n">
        <v>117.9</v>
      </c>
      <c r="I1221" s="34" t="n">
        <v>94.7</v>
      </c>
      <c r="J1221" s="95" t="n">
        <f aca="false">IF(N(E1221)&gt;0,E1221,IF(N(F1221)&gt;0,F1221*가정!$B$5,0))</f>
        <v>459000</v>
      </c>
      <c r="K1221" s="95" t="n">
        <f aca="false">IF(N(F1221)&gt;0,F1221,IF(N(E1221)&gt;0,E1221/가정!$B$5,0))</f>
        <v>114611</v>
      </c>
      <c r="L1221" s="95" t="n">
        <f aca="false">IF(B1221="CN",IF(N(I1221)&gt;0,I1221*가정!$B$3,K1221*(1+가정!$B$6)),IF(N(H1221)&gt;0,H1221*가정!$B$3,J1221*가정!$B$4))</f>
        <v>160671.762</v>
      </c>
      <c r="M1221" s="95" t="n">
        <f aca="false">D1221*J1221</f>
        <v>45900000</v>
      </c>
      <c r="N1221" s="95" t="n">
        <f aca="false">D1221*K1221</f>
        <v>11461100</v>
      </c>
      <c r="O1221" s="95" t="n">
        <f aca="false">D1221*L1221</f>
        <v>16067176.2</v>
      </c>
      <c r="P1221" s="34" t="str">
        <f aca="false">TRIM(IF(N(E1221)&lt;=0,"택가보정 ","")&amp;IF(N(F1221)&lt;=0,"원가보정 ","")&amp;IF(AND(B1221&lt;&gt;"CN",N(H1221)&lt;=0),"공급가보정 ","")&amp;IF(AND(B1221="CN",N(I1221)&lt;=0),"중국공급가=원가+마진 ",""))</f>
        <v/>
      </c>
    </row>
    <row r="1222" customFormat="false" ht="15" hidden="false" customHeight="true" outlineLevel="0" collapsed="false">
      <c r="A1222" s="94" t="s">
        <v>1692</v>
      </c>
      <c r="B1222" s="34" t="str">
        <f aca="false">IF(A1222="100","HK",IF(A1222="200","CN",IF(A1222="300","TW","홀세일")))</f>
        <v>홀세일</v>
      </c>
      <c r="C1222" s="94" t="s">
        <v>621</v>
      </c>
      <c r="D1222" s="95" t="n">
        <v>50</v>
      </c>
      <c r="E1222" s="95" t="n">
        <v>459000</v>
      </c>
      <c r="F1222" s="95" t="n">
        <v>114611</v>
      </c>
      <c r="G1222" s="34" t="n">
        <v>3.48</v>
      </c>
      <c r="H1222" s="34" t="n">
        <v>117.9</v>
      </c>
      <c r="I1222" s="34" t="n">
        <v>94.7</v>
      </c>
      <c r="J1222" s="95" t="n">
        <f aca="false">IF(N(E1222)&gt;0,E1222,IF(N(F1222)&gt;0,F1222*가정!$B$5,0))</f>
        <v>459000</v>
      </c>
      <c r="K1222" s="95" t="n">
        <f aca="false">IF(N(F1222)&gt;0,F1222,IF(N(E1222)&gt;0,E1222/가정!$B$5,0))</f>
        <v>114611</v>
      </c>
      <c r="L1222" s="95" t="n">
        <f aca="false">IF(B1222="CN",IF(N(I1222)&gt;0,I1222*가정!$B$3,K1222*(1+가정!$B$6)),IF(N(H1222)&gt;0,H1222*가정!$B$3,J1222*가정!$B$4))</f>
        <v>160671.762</v>
      </c>
      <c r="M1222" s="95" t="n">
        <f aca="false">D1222*J1222</f>
        <v>22950000</v>
      </c>
      <c r="N1222" s="95" t="n">
        <f aca="false">D1222*K1222</f>
        <v>5730550</v>
      </c>
      <c r="O1222" s="95" t="n">
        <f aca="false">D1222*L1222</f>
        <v>8033588.1</v>
      </c>
      <c r="P1222" s="34" t="str">
        <f aca="false">TRIM(IF(N(E1222)&lt;=0,"택가보정 ","")&amp;IF(N(F1222)&lt;=0,"원가보정 ","")&amp;IF(AND(B1222&lt;&gt;"CN",N(H1222)&lt;=0),"공급가보정 ","")&amp;IF(AND(B1222="CN",N(I1222)&lt;=0),"중국공급가=원가+마진 ",""))</f>
        <v/>
      </c>
    </row>
    <row r="1223" customFormat="false" ht="15" hidden="false" customHeight="true" outlineLevel="0" collapsed="false">
      <c r="A1223" s="94" t="s">
        <v>1684</v>
      </c>
      <c r="B1223" s="34" t="str">
        <f aca="false">IF(A1223="100","HK",IF(A1223="200","CN",IF(A1223="300","TW","홀세일")))</f>
        <v>HK</v>
      </c>
      <c r="C1223" s="94" t="s">
        <v>1152</v>
      </c>
      <c r="D1223" s="95" t="n">
        <v>60</v>
      </c>
      <c r="E1223" s="95" t="n">
        <v>299000</v>
      </c>
      <c r="F1223" s="95" t="n">
        <v>90600</v>
      </c>
      <c r="G1223" s="34" t="n">
        <v>3.13</v>
      </c>
      <c r="H1223" s="34" t="n">
        <v>76.8</v>
      </c>
      <c r="I1223" s="34" t="n">
        <v>69.9</v>
      </c>
      <c r="J1223" s="95" t="n">
        <f aca="false">IF(N(E1223)&gt;0,E1223,IF(N(F1223)&gt;0,F1223*가정!$B$5,0))</f>
        <v>299000</v>
      </c>
      <c r="K1223" s="95" t="n">
        <f aca="false">IF(N(F1223)&gt;0,F1223,IF(N(E1223)&gt;0,E1223/가정!$B$5,0))</f>
        <v>90600</v>
      </c>
      <c r="L1223" s="95" t="n">
        <f aca="false">IF(B1223="CN",IF(N(I1223)&gt;0,I1223*가정!$B$3,K1223*(1+가정!$B$6)),IF(N(H1223)&gt;0,H1223*가정!$B$3,J1223*가정!$B$4))</f>
        <v>104661.504</v>
      </c>
      <c r="M1223" s="95" t="n">
        <f aca="false">D1223*J1223</f>
        <v>17940000</v>
      </c>
      <c r="N1223" s="95" t="n">
        <f aca="false">D1223*K1223</f>
        <v>5436000</v>
      </c>
      <c r="O1223" s="95" t="n">
        <f aca="false">D1223*L1223</f>
        <v>6279690.24</v>
      </c>
      <c r="P1223" s="34" t="str">
        <f aca="false">TRIM(IF(N(E1223)&lt;=0,"택가보정 ","")&amp;IF(N(F1223)&lt;=0,"원가보정 ","")&amp;IF(AND(B1223&lt;&gt;"CN",N(H1223)&lt;=0),"공급가보정 ","")&amp;IF(AND(B1223="CN",N(I1223)&lt;=0),"중국공급가=원가+마진 ",""))</f>
        <v/>
      </c>
    </row>
    <row r="1224" customFormat="false" ht="15" hidden="false" customHeight="true" outlineLevel="0" collapsed="false">
      <c r="A1224" s="94" t="s">
        <v>1685</v>
      </c>
      <c r="B1224" s="34" t="str">
        <f aca="false">IF(A1224="100","HK",IF(A1224="200","CN",IF(A1224="300","TW","홀세일")))</f>
        <v>CN</v>
      </c>
      <c r="C1224" s="94" t="s">
        <v>1152</v>
      </c>
      <c r="D1224" s="95" t="n">
        <v>204</v>
      </c>
      <c r="E1224" s="95" t="n">
        <v>299000</v>
      </c>
      <c r="F1224" s="95" t="n">
        <v>90600</v>
      </c>
      <c r="G1224" s="34" t="n">
        <v>3.13</v>
      </c>
      <c r="H1224" s="34" t="n">
        <v>76.8</v>
      </c>
      <c r="I1224" s="34" t="n">
        <v>69.9</v>
      </c>
      <c r="J1224" s="95" t="n">
        <f aca="false">IF(N(E1224)&gt;0,E1224,IF(N(F1224)&gt;0,F1224*가정!$B$5,0))</f>
        <v>299000</v>
      </c>
      <c r="K1224" s="95" t="n">
        <f aca="false">IF(N(F1224)&gt;0,F1224,IF(N(E1224)&gt;0,E1224/가정!$B$5,0))</f>
        <v>90600</v>
      </c>
      <c r="L1224" s="95" t="n">
        <f aca="false">IF(B1224="CN",IF(N(I1224)&gt;0,I1224*가정!$B$3,K1224*(1+가정!$B$6)),IF(N(H1224)&gt;0,H1224*가정!$B$3,J1224*가정!$B$4))</f>
        <v>95258.322</v>
      </c>
      <c r="M1224" s="95" t="n">
        <f aca="false">D1224*J1224</f>
        <v>60996000</v>
      </c>
      <c r="N1224" s="95" t="n">
        <f aca="false">D1224*K1224</f>
        <v>18482400</v>
      </c>
      <c r="O1224" s="95" t="n">
        <f aca="false">D1224*L1224</f>
        <v>19432697.688</v>
      </c>
      <c r="P1224" s="34" t="str">
        <f aca="false">TRIM(IF(N(E1224)&lt;=0,"택가보정 ","")&amp;IF(N(F1224)&lt;=0,"원가보정 ","")&amp;IF(AND(B1224&lt;&gt;"CN",N(H1224)&lt;=0),"공급가보정 ","")&amp;IF(AND(B1224="CN",N(I1224)&lt;=0),"중국공급가=원가+마진 ",""))</f>
        <v/>
      </c>
    </row>
    <row r="1225" customFormat="false" ht="15" hidden="false" customHeight="true" outlineLevel="0" collapsed="false">
      <c r="A1225" s="94" t="s">
        <v>1686</v>
      </c>
      <c r="B1225" s="34" t="str">
        <f aca="false">IF(A1225="100","HK",IF(A1225="200","CN",IF(A1225="300","TW","홀세일")))</f>
        <v>TW</v>
      </c>
      <c r="C1225" s="94" t="s">
        <v>1152</v>
      </c>
      <c r="D1225" s="95" t="n">
        <v>120</v>
      </c>
      <c r="E1225" s="95" t="n">
        <v>299000</v>
      </c>
      <c r="F1225" s="95" t="n">
        <v>90600</v>
      </c>
      <c r="G1225" s="34" t="n">
        <v>3.13</v>
      </c>
      <c r="H1225" s="34" t="n">
        <v>76.8</v>
      </c>
      <c r="I1225" s="34" t="n">
        <v>69.9</v>
      </c>
      <c r="J1225" s="95" t="n">
        <f aca="false">IF(N(E1225)&gt;0,E1225,IF(N(F1225)&gt;0,F1225*가정!$B$5,0))</f>
        <v>299000</v>
      </c>
      <c r="K1225" s="95" t="n">
        <f aca="false">IF(N(F1225)&gt;0,F1225,IF(N(E1225)&gt;0,E1225/가정!$B$5,0))</f>
        <v>90600</v>
      </c>
      <c r="L1225" s="95" t="n">
        <f aca="false">IF(B1225="CN",IF(N(I1225)&gt;0,I1225*가정!$B$3,K1225*(1+가정!$B$6)),IF(N(H1225)&gt;0,H1225*가정!$B$3,J1225*가정!$B$4))</f>
        <v>104661.504</v>
      </c>
      <c r="M1225" s="95" t="n">
        <f aca="false">D1225*J1225</f>
        <v>35880000</v>
      </c>
      <c r="N1225" s="95" t="n">
        <f aca="false">D1225*K1225</f>
        <v>10872000</v>
      </c>
      <c r="O1225" s="95" t="n">
        <f aca="false">D1225*L1225</f>
        <v>12559380.48</v>
      </c>
      <c r="P1225" s="34" t="str">
        <f aca="false">TRIM(IF(N(E1225)&lt;=0,"택가보정 ","")&amp;IF(N(F1225)&lt;=0,"원가보정 ","")&amp;IF(AND(B1225&lt;&gt;"CN",N(H1225)&lt;=0),"공급가보정 ","")&amp;IF(AND(B1225="CN",N(I1225)&lt;=0),"중국공급가=원가+마진 ",""))</f>
        <v/>
      </c>
    </row>
    <row r="1226" customFormat="false" ht="15" hidden="false" customHeight="true" outlineLevel="0" collapsed="false">
      <c r="A1226" s="94" t="s">
        <v>1684</v>
      </c>
      <c r="B1226" s="34" t="str">
        <f aca="false">IF(A1226="100","HK",IF(A1226="200","CN",IF(A1226="300","TW","홀세일")))</f>
        <v>HK</v>
      </c>
      <c r="C1226" s="94" t="s">
        <v>623</v>
      </c>
      <c r="D1226" s="95" t="n">
        <v>200</v>
      </c>
      <c r="E1226" s="95" t="n">
        <v>439000</v>
      </c>
      <c r="F1226" s="95" t="n">
        <v>103984</v>
      </c>
      <c r="G1226" s="34" t="n">
        <v>3.66</v>
      </c>
      <c r="H1226" s="34" t="n">
        <v>109.9</v>
      </c>
      <c r="I1226" s="34" t="n">
        <v>75.1</v>
      </c>
      <c r="J1226" s="95" t="n">
        <f aca="false">IF(N(E1226)&gt;0,E1226,IF(N(F1226)&gt;0,F1226*가정!$B$5,0))</f>
        <v>439000</v>
      </c>
      <c r="K1226" s="95" t="n">
        <f aca="false">IF(N(F1226)&gt;0,F1226,IF(N(E1226)&gt;0,E1226/가정!$B$5,0))</f>
        <v>103984</v>
      </c>
      <c r="L1226" s="95" t="n">
        <f aca="false">IF(B1226="CN",IF(N(I1226)&gt;0,I1226*가정!$B$3,K1226*(1+가정!$B$6)),IF(N(H1226)&gt;0,H1226*가정!$B$3,J1226*가정!$B$4))</f>
        <v>149769.522</v>
      </c>
      <c r="M1226" s="95" t="n">
        <f aca="false">D1226*J1226</f>
        <v>87800000</v>
      </c>
      <c r="N1226" s="95" t="n">
        <f aca="false">D1226*K1226</f>
        <v>20796800</v>
      </c>
      <c r="O1226" s="95" t="n">
        <f aca="false">D1226*L1226</f>
        <v>29953904.4</v>
      </c>
      <c r="P1226" s="34" t="str">
        <f aca="false">TRIM(IF(N(E1226)&lt;=0,"택가보정 ","")&amp;IF(N(F1226)&lt;=0,"원가보정 ","")&amp;IF(AND(B1226&lt;&gt;"CN",N(H1226)&lt;=0),"공급가보정 ","")&amp;IF(AND(B1226="CN",N(I1226)&lt;=0),"중국공급가=원가+마진 ",""))</f>
        <v/>
      </c>
    </row>
    <row r="1227" customFormat="false" ht="15" hidden="false" customHeight="true" outlineLevel="0" collapsed="false">
      <c r="A1227" s="94" t="s">
        <v>1685</v>
      </c>
      <c r="B1227" s="34" t="str">
        <f aca="false">IF(A1227="100","HK",IF(A1227="200","CN",IF(A1227="300","TW","홀세일")))</f>
        <v>CN</v>
      </c>
      <c r="C1227" s="94" t="s">
        <v>623</v>
      </c>
      <c r="D1227" s="95" t="n">
        <v>462</v>
      </c>
      <c r="E1227" s="95" t="n">
        <v>439000</v>
      </c>
      <c r="F1227" s="95" t="n">
        <v>103984</v>
      </c>
      <c r="G1227" s="34" t="n">
        <v>3.66</v>
      </c>
      <c r="H1227" s="34" t="n">
        <v>109.9</v>
      </c>
      <c r="I1227" s="34" t="n">
        <v>75.1</v>
      </c>
      <c r="J1227" s="95" t="n">
        <f aca="false">IF(N(E1227)&gt;0,E1227,IF(N(F1227)&gt;0,F1227*가정!$B$5,0))</f>
        <v>439000</v>
      </c>
      <c r="K1227" s="95" t="n">
        <f aca="false">IF(N(F1227)&gt;0,F1227,IF(N(E1227)&gt;0,E1227/가정!$B$5,0))</f>
        <v>103984</v>
      </c>
      <c r="L1227" s="95" t="n">
        <f aca="false">IF(B1227="CN",IF(N(I1227)&gt;0,I1227*가정!$B$3,K1227*(1+가정!$B$6)),IF(N(H1227)&gt;0,H1227*가정!$B$3,J1227*가정!$B$4))</f>
        <v>102344.778</v>
      </c>
      <c r="M1227" s="95" t="n">
        <f aca="false">D1227*J1227</f>
        <v>202818000</v>
      </c>
      <c r="N1227" s="95" t="n">
        <f aca="false">D1227*K1227</f>
        <v>48040608</v>
      </c>
      <c r="O1227" s="95" t="n">
        <f aca="false">D1227*L1227</f>
        <v>47283287.436</v>
      </c>
      <c r="P1227" s="34" t="str">
        <f aca="false">TRIM(IF(N(E1227)&lt;=0,"택가보정 ","")&amp;IF(N(F1227)&lt;=0,"원가보정 ","")&amp;IF(AND(B1227&lt;&gt;"CN",N(H1227)&lt;=0),"공급가보정 ","")&amp;IF(AND(B1227="CN",N(I1227)&lt;=0),"중국공급가=원가+마진 ",""))</f>
        <v/>
      </c>
    </row>
    <row r="1228" customFormat="false" ht="15" hidden="false" customHeight="true" outlineLevel="0" collapsed="false">
      <c r="A1228" s="94" t="s">
        <v>1686</v>
      </c>
      <c r="B1228" s="34" t="str">
        <f aca="false">IF(A1228="100","HK",IF(A1228="200","CN",IF(A1228="300","TW","홀세일")))</f>
        <v>TW</v>
      </c>
      <c r="C1228" s="94" t="s">
        <v>623</v>
      </c>
      <c r="D1228" s="95" t="n">
        <v>600</v>
      </c>
      <c r="E1228" s="95" t="n">
        <v>439000</v>
      </c>
      <c r="F1228" s="95" t="n">
        <v>103984</v>
      </c>
      <c r="G1228" s="34" t="n">
        <v>3.66</v>
      </c>
      <c r="H1228" s="34" t="n">
        <v>109.9</v>
      </c>
      <c r="I1228" s="34" t="n">
        <v>75.1</v>
      </c>
      <c r="J1228" s="95" t="n">
        <f aca="false">IF(N(E1228)&gt;0,E1228,IF(N(F1228)&gt;0,F1228*가정!$B$5,0))</f>
        <v>439000</v>
      </c>
      <c r="K1228" s="95" t="n">
        <f aca="false">IF(N(F1228)&gt;0,F1228,IF(N(E1228)&gt;0,E1228/가정!$B$5,0))</f>
        <v>103984</v>
      </c>
      <c r="L1228" s="95" t="n">
        <f aca="false">IF(B1228="CN",IF(N(I1228)&gt;0,I1228*가정!$B$3,K1228*(1+가정!$B$6)),IF(N(H1228)&gt;0,H1228*가정!$B$3,J1228*가정!$B$4))</f>
        <v>149769.522</v>
      </c>
      <c r="M1228" s="95" t="n">
        <f aca="false">D1228*J1228</f>
        <v>263400000</v>
      </c>
      <c r="N1228" s="95" t="n">
        <f aca="false">D1228*K1228</f>
        <v>62390400</v>
      </c>
      <c r="O1228" s="95" t="n">
        <f aca="false">D1228*L1228</f>
        <v>89861713.2</v>
      </c>
      <c r="P1228" s="34" t="str">
        <f aca="false">TRIM(IF(N(E1228)&lt;=0,"택가보정 ","")&amp;IF(N(F1228)&lt;=0,"원가보정 ","")&amp;IF(AND(B1228&lt;&gt;"CN",N(H1228)&lt;=0),"공급가보정 ","")&amp;IF(AND(B1228="CN",N(I1228)&lt;=0),"중국공급가=원가+마진 ",""))</f>
        <v/>
      </c>
    </row>
    <row r="1229" customFormat="false" ht="15" hidden="false" customHeight="true" outlineLevel="0" collapsed="false">
      <c r="A1229" s="94" t="s">
        <v>1692</v>
      </c>
      <c r="B1229" s="34" t="str">
        <f aca="false">IF(A1229="100","HK",IF(A1229="200","CN",IF(A1229="300","TW","홀세일")))</f>
        <v>홀세일</v>
      </c>
      <c r="C1229" s="94" t="s">
        <v>623</v>
      </c>
      <c r="D1229" s="95" t="n">
        <v>112</v>
      </c>
      <c r="E1229" s="95" t="n">
        <v>439000</v>
      </c>
      <c r="F1229" s="95" t="n">
        <v>103984</v>
      </c>
      <c r="G1229" s="34" t="n">
        <v>3.66</v>
      </c>
      <c r="H1229" s="34" t="n">
        <v>109.9</v>
      </c>
      <c r="I1229" s="34" t="n">
        <v>75.1</v>
      </c>
      <c r="J1229" s="95" t="n">
        <f aca="false">IF(N(E1229)&gt;0,E1229,IF(N(F1229)&gt;0,F1229*가정!$B$5,0))</f>
        <v>439000</v>
      </c>
      <c r="K1229" s="95" t="n">
        <f aca="false">IF(N(F1229)&gt;0,F1229,IF(N(E1229)&gt;0,E1229/가정!$B$5,0))</f>
        <v>103984</v>
      </c>
      <c r="L1229" s="95" t="n">
        <f aca="false">IF(B1229="CN",IF(N(I1229)&gt;0,I1229*가정!$B$3,K1229*(1+가정!$B$6)),IF(N(H1229)&gt;0,H1229*가정!$B$3,J1229*가정!$B$4))</f>
        <v>149769.522</v>
      </c>
      <c r="M1229" s="95" t="n">
        <f aca="false">D1229*J1229</f>
        <v>49168000</v>
      </c>
      <c r="N1229" s="95" t="n">
        <f aca="false">D1229*K1229</f>
        <v>11646208</v>
      </c>
      <c r="O1229" s="95" t="n">
        <f aca="false">D1229*L1229</f>
        <v>16774186.464</v>
      </c>
      <c r="P1229" s="34" t="str">
        <f aca="false">TRIM(IF(N(E1229)&lt;=0,"택가보정 ","")&amp;IF(N(F1229)&lt;=0,"원가보정 ","")&amp;IF(AND(B1229&lt;&gt;"CN",N(H1229)&lt;=0),"공급가보정 ","")&amp;IF(AND(B1229="CN",N(I1229)&lt;=0),"중국공급가=원가+마진 ",""))</f>
        <v/>
      </c>
    </row>
    <row r="1230" customFormat="false" ht="15.75" hidden="false" customHeight="true" outlineLevel="0" collapsed="false">
      <c r="A1230" s="94" t="s">
        <v>1685</v>
      </c>
      <c r="B1230" s="34" t="str">
        <f aca="false">IF(A1230="100","HK",IF(A1230="200","CN",IF(A1230="300","TW","홀세일")))</f>
        <v>CN</v>
      </c>
      <c r="C1230" s="94" t="s">
        <v>1731</v>
      </c>
      <c r="D1230" s="95" t="n">
        <v>120</v>
      </c>
      <c r="E1230" s="95" t="n">
        <v>399000</v>
      </c>
      <c r="F1230" s="95" t="n">
        <v>90400</v>
      </c>
      <c r="G1230" s="34" t="n">
        <v>4.01</v>
      </c>
      <c r="H1230" s="34" t="n">
        <v>102.5</v>
      </c>
      <c r="I1230" s="34" t="n">
        <v>0</v>
      </c>
      <c r="J1230" s="95" t="n">
        <f aca="false">IF(N(E1230)&gt;0,E1230,IF(N(F1230)&gt;0,F1230*가정!$B$5,0))</f>
        <v>399000</v>
      </c>
      <c r="K1230" s="95" t="n">
        <f aca="false">IF(N(F1230)&gt;0,F1230,IF(N(E1230)&gt;0,E1230/가정!$B$5,0))</f>
        <v>90400</v>
      </c>
      <c r="L1230" s="95" t="n">
        <f aca="false">IF(B1230="CN",IF(N(I1230)&gt;0,I1230*가정!$B$3,K1230*(1+가정!$B$6)),IF(N(H1230)&gt;0,H1230*가정!$B$3,J1230*가정!$B$4))</f>
        <v>94920</v>
      </c>
      <c r="M1230" s="95" t="n">
        <f aca="false">D1230*J1230</f>
        <v>47880000</v>
      </c>
      <c r="N1230" s="95" t="n">
        <f aca="false">D1230*K1230</f>
        <v>10848000</v>
      </c>
      <c r="O1230" s="95" t="n">
        <f aca="false">D1230*L1230</f>
        <v>11390400</v>
      </c>
      <c r="P1230" s="34" t="str">
        <f aca="false">TRIM(IF(N(E1230)&lt;=0,"택가보정 ","")&amp;IF(N(F1230)&lt;=0,"원가보정 ","")&amp;IF(AND(B1230&lt;&gt;"CN",N(H1230)&lt;=0),"공급가보정 ","")&amp;IF(AND(B1230="CN",N(I1230)&lt;=0),"중국공급가=원가+마진 ",""))</f>
        <v>중국공급가=원가+마진</v>
      </c>
    </row>
    <row r="1231" customFormat="false" ht="15" hidden="false" customHeight="true" outlineLevel="0" collapsed="false">
      <c r="A1231" s="94" t="s">
        <v>1686</v>
      </c>
      <c r="B1231" s="34" t="str">
        <f aca="false">IF(A1231="100","HK",IF(A1231="200","CN",IF(A1231="300","TW","홀세일")))</f>
        <v>TW</v>
      </c>
      <c r="C1231" s="94" t="s">
        <v>1731</v>
      </c>
      <c r="D1231" s="95" t="n">
        <v>450</v>
      </c>
      <c r="E1231" s="95" t="n">
        <v>399000</v>
      </c>
      <c r="F1231" s="95" t="n">
        <v>90400</v>
      </c>
      <c r="G1231" s="34" t="n">
        <v>4.01</v>
      </c>
      <c r="H1231" s="34" t="n">
        <v>102.5</v>
      </c>
      <c r="I1231" s="34" t="n">
        <v>0</v>
      </c>
      <c r="J1231" s="95" t="n">
        <f aca="false">IF(N(E1231)&gt;0,E1231,IF(N(F1231)&gt;0,F1231*가정!$B$5,0))</f>
        <v>399000</v>
      </c>
      <c r="K1231" s="95" t="n">
        <f aca="false">IF(N(F1231)&gt;0,F1231,IF(N(E1231)&gt;0,E1231/가정!$B$5,0))</f>
        <v>90400</v>
      </c>
      <c r="L1231" s="95" t="n">
        <f aca="false">IF(B1231="CN",IF(N(I1231)&gt;0,I1231*가정!$B$3,K1231*(1+가정!$B$6)),IF(N(H1231)&gt;0,H1231*가정!$B$3,J1231*가정!$B$4))</f>
        <v>139684.95</v>
      </c>
      <c r="M1231" s="95" t="n">
        <f aca="false">D1231*J1231</f>
        <v>179550000</v>
      </c>
      <c r="N1231" s="95" t="n">
        <f aca="false">D1231*K1231</f>
        <v>40680000</v>
      </c>
      <c r="O1231" s="95" t="n">
        <f aca="false">D1231*L1231</f>
        <v>62858227.5</v>
      </c>
      <c r="P1231" s="34" t="str">
        <f aca="false">TRIM(IF(N(E1231)&lt;=0,"택가보정 ","")&amp;IF(N(F1231)&lt;=0,"원가보정 ","")&amp;IF(AND(B1231&lt;&gt;"CN",N(H1231)&lt;=0),"공급가보정 ","")&amp;IF(AND(B1231="CN",N(I1231)&lt;=0),"중국공급가=원가+마진 ",""))</f>
        <v/>
      </c>
    </row>
    <row r="1232" customFormat="false" ht="15" hidden="false" customHeight="true" outlineLevel="0" collapsed="false">
      <c r="A1232" s="94" t="s">
        <v>1687</v>
      </c>
      <c r="B1232" s="34" t="str">
        <f aca="false">IF(A1232="100","HK",IF(A1232="200","CN",IF(A1232="300","TW","홀세일")))</f>
        <v>홀세일</v>
      </c>
      <c r="C1232" s="94" t="s">
        <v>1731</v>
      </c>
      <c r="D1232" s="95" t="n">
        <v>20</v>
      </c>
      <c r="E1232" s="95" t="n">
        <v>399000</v>
      </c>
      <c r="F1232" s="95" t="n">
        <v>90400</v>
      </c>
      <c r="G1232" s="34" t="n">
        <v>4.01</v>
      </c>
      <c r="H1232" s="34" t="n">
        <v>102.5</v>
      </c>
      <c r="I1232" s="34" t="n">
        <v>0</v>
      </c>
      <c r="J1232" s="95" t="n">
        <f aca="false">IF(N(E1232)&gt;0,E1232,IF(N(F1232)&gt;0,F1232*가정!$B$5,0))</f>
        <v>399000</v>
      </c>
      <c r="K1232" s="95" t="n">
        <f aca="false">IF(N(F1232)&gt;0,F1232,IF(N(E1232)&gt;0,E1232/가정!$B$5,0))</f>
        <v>90400</v>
      </c>
      <c r="L1232" s="95" t="n">
        <f aca="false">IF(B1232="CN",IF(N(I1232)&gt;0,I1232*가정!$B$3,K1232*(1+가정!$B$6)),IF(N(H1232)&gt;0,H1232*가정!$B$3,J1232*가정!$B$4))</f>
        <v>139684.95</v>
      </c>
      <c r="M1232" s="95" t="n">
        <f aca="false">D1232*J1232</f>
        <v>7980000</v>
      </c>
      <c r="N1232" s="95" t="n">
        <f aca="false">D1232*K1232</f>
        <v>1808000</v>
      </c>
      <c r="O1232" s="95" t="n">
        <f aca="false">D1232*L1232</f>
        <v>2793699</v>
      </c>
      <c r="P1232" s="34" t="str">
        <f aca="false">TRIM(IF(N(E1232)&lt;=0,"택가보정 ","")&amp;IF(N(F1232)&lt;=0,"원가보정 ","")&amp;IF(AND(B1232&lt;&gt;"CN",N(H1232)&lt;=0),"공급가보정 ","")&amp;IF(AND(B1232="CN",N(I1232)&lt;=0),"중국공급가=원가+마진 ",""))</f>
        <v/>
      </c>
    </row>
    <row r="1233" customFormat="false" ht="15" hidden="false" customHeight="true" outlineLevel="0" collapsed="false">
      <c r="A1233" s="94" t="s">
        <v>1684</v>
      </c>
      <c r="B1233" s="34" t="str">
        <f aca="false">IF(A1233="100","HK",IF(A1233="200","CN",IF(A1233="300","TW","홀세일")))</f>
        <v>HK</v>
      </c>
      <c r="C1233" s="94" t="s">
        <v>625</v>
      </c>
      <c r="D1233" s="95" t="n">
        <v>200</v>
      </c>
      <c r="E1233" s="95" t="n">
        <v>379000</v>
      </c>
      <c r="F1233" s="95" t="n">
        <v>57807</v>
      </c>
      <c r="G1233" s="34" t="n">
        <v>4.18</v>
      </c>
      <c r="H1233" s="34" t="n">
        <v>94.9</v>
      </c>
      <c r="I1233" s="34" t="n">
        <v>0</v>
      </c>
      <c r="J1233" s="95" t="n">
        <f aca="false">IF(N(E1233)&gt;0,E1233,IF(N(F1233)&gt;0,F1233*가정!$B$5,0))</f>
        <v>379000</v>
      </c>
      <c r="K1233" s="95" t="n">
        <f aca="false">IF(N(F1233)&gt;0,F1233,IF(N(E1233)&gt;0,E1233/가정!$B$5,0))</f>
        <v>57807</v>
      </c>
      <c r="L1233" s="95" t="n">
        <f aca="false">IF(B1233="CN",IF(N(I1233)&gt;0,I1233*가정!$B$3,K1233*(1+가정!$B$6)),IF(N(H1233)&gt;0,H1233*가정!$B$3,J1233*가정!$B$4))</f>
        <v>129327.822</v>
      </c>
      <c r="M1233" s="95" t="n">
        <f aca="false">D1233*J1233</f>
        <v>75800000</v>
      </c>
      <c r="N1233" s="95" t="n">
        <f aca="false">D1233*K1233</f>
        <v>11561400</v>
      </c>
      <c r="O1233" s="95" t="n">
        <f aca="false">D1233*L1233</f>
        <v>25865564.4</v>
      </c>
      <c r="P1233" s="34" t="str">
        <f aca="false">TRIM(IF(N(E1233)&lt;=0,"택가보정 ","")&amp;IF(N(F1233)&lt;=0,"원가보정 ","")&amp;IF(AND(B1233&lt;&gt;"CN",N(H1233)&lt;=0),"공급가보정 ","")&amp;IF(AND(B1233="CN",N(I1233)&lt;=0),"중국공급가=원가+마진 ",""))</f>
        <v/>
      </c>
    </row>
    <row r="1234" customFormat="false" ht="15" hidden="false" customHeight="true" outlineLevel="0" collapsed="false">
      <c r="A1234" s="94" t="s">
        <v>1686</v>
      </c>
      <c r="B1234" s="34" t="str">
        <f aca="false">IF(A1234="100","HK",IF(A1234="200","CN",IF(A1234="300","TW","홀세일")))</f>
        <v>TW</v>
      </c>
      <c r="C1234" s="94" t="s">
        <v>625</v>
      </c>
      <c r="D1234" s="95" t="n">
        <v>350</v>
      </c>
      <c r="E1234" s="95" t="n">
        <v>379000</v>
      </c>
      <c r="F1234" s="95" t="n">
        <v>57807</v>
      </c>
      <c r="G1234" s="34" t="n">
        <v>4.18</v>
      </c>
      <c r="H1234" s="34" t="n">
        <v>94.9</v>
      </c>
      <c r="I1234" s="34" t="n">
        <v>0</v>
      </c>
      <c r="J1234" s="95" t="n">
        <f aca="false">IF(N(E1234)&gt;0,E1234,IF(N(F1234)&gt;0,F1234*가정!$B$5,0))</f>
        <v>379000</v>
      </c>
      <c r="K1234" s="95" t="n">
        <f aca="false">IF(N(F1234)&gt;0,F1234,IF(N(E1234)&gt;0,E1234/가정!$B$5,0))</f>
        <v>57807</v>
      </c>
      <c r="L1234" s="95" t="n">
        <f aca="false">IF(B1234="CN",IF(N(I1234)&gt;0,I1234*가정!$B$3,K1234*(1+가정!$B$6)),IF(N(H1234)&gt;0,H1234*가정!$B$3,J1234*가정!$B$4))</f>
        <v>129327.822</v>
      </c>
      <c r="M1234" s="95" t="n">
        <f aca="false">D1234*J1234</f>
        <v>132650000</v>
      </c>
      <c r="N1234" s="95" t="n">
        <f aca="false">D1234*K1234</f>
        <v>20232450</v>
      </c>
      <c r="O1234" s="95" t="n">
        <f aca="false">D1234*L1234</f>
        <v>45264737.7</v>
      </c>
      <c r="P1234" s="34" t="str">
        <f aca="false">TRIM(IF(N(E1234)&lt;=0,"택가보정 ","")&amp;IF(N(F1234)&lt;=0,"원가보정 ","")&amp;IF(AND(B1234&lt;&gt;"CN",N(H1234)&lt;=0),"공급가보정 ","")&amp;IF(AND(B1234="CN",N(I1234)&lt;=0),"중국공급가=원가+마진 ",""))</f>
        <v/>
      </c>
    </row>
    <row r="1235" customFormat="false" ht="15" hidden="false" customHeight="true" outlineLevel="0" collapsed="false">
      <c r="A1235" s="94" t="s">
        <v>1684</v>
      </c>
      <c r="B1235" s="34" t="str">
        <f aca="false">IF(A1235="100","HK",IF(A1235="200","CN",IF(A1235="300","TW","홀세일")))</f>
        <v>HK</v>
      </c>
      <c r="C1235" s="94" t="s">
        <v>1001</v>
      </c>
      <c r="D1235" s="95" t="n">
        <v>240</v>
      </c>
      <c r="E1235" s="95" t="n">
        <v>199000</v>
      </c>
      <c r="F1235" s="95" t="n">
        <v>54869</v>
      </c>
      <c r="G1235" s="34" t="n">
        <v>2.93</v>
      </c>
      <c r="H1235" s="34" t="n">
        <v>49.8</v>
      </c>
      <c r="I1235" s="34" t="n">
        <v>0</v>
      </c>
      <c r="J1235" s="95" t="n">
        <f aca="false">IF(N(E1235)&gt;0,E1235,IF(N(F1235)&gt;0,F1235*가정!$B$5,0))</f>
        <v>199000</v>
      </c>
      <c r="K1235" s="95" t="n">
        <f aca="false">IF(N(F1235)&gt;0,F1235,IF(N(E1235)&gt;0,E1235/가정!$B$5,0))</f>
        <v>54869</v>
      </c>
      <c r="L1235" s="95" t="n">
        <f aca="false">IF(B1235="CN",IF(N(I1235)&gt;0,I1235*가정!$B$3,K1235*(1+가정!$B$6)),IF(N(H1235)&gt;0,H1235*가정!$B$3,J1235*가정!$B$4))</f>
        <v>67866.444</v>
      </c>
      <c r="M1235" s="95" t="n">
        <f aca="false">D1235*J1235</f>
        <v>47760000</v>
      </c>
      <c r="N1235" s="95" t="n">
        <f aca="false">D1235*K1235</f>
        <v>13168560</v>
      </c>
      <c r="O1235" s="95" t="n">
        <f aca="false">D1235*L1235</f>
        <v>16287946.56</v>
      </c>
      <c r="P1235" s="34" t="str">
        <f aca="false">TRIM(IF(N(E1235)&lt;=0,"택가보정 ","")&amp;IF(N(F1235)&lt;=0,"원가보정 ","")&amp;IF(AND(B1235&lt;&gt;"CN",N(H1235)&lt;=0),"공급가보정 ","")&amp;IF(AND(B1235="CN",N(I1235)&lt;=0),"중국공급가=원가+마진 ",""))</f>
        <v/>
      </c>
    </row>
    <row r="1236" customFormat="false" ht="15" hidden="false" customHeight="true" outlineLevel="0" collapsed="false">
      <c r="A1236" s="94" t="s">
        <v>1684</v>
      </c>
      <c r="B1236" s="34" t="str">
        <f aca="false">IF(A1236="100","HK",IF(A1236="200","CN",IF(A1236="300","TW","홀세일")))</f>
        <v>HK</v>
      </c>
      <c r="C1236" s="94" t="s">
        <v>1732</v>
      </c>
      <c r="D1236" s="95" t="n">
        <v>130</v>
      </c>
      <c r="E1236" s="95" t="n">
        <v>359000</v>
      </c>
      <c r="F1236" s="95" t="n">
        <v>101900</v>
      </c>
      <c r="G1236" s="34" t="n">
        <v>3.2</v>
      </c>
      <c r="H1236" s="34" t="n">
        <v>92.2</v>
      </c>
      <c r="I1236" s="34" t="n">
        <v>0</v>
      </c>
      <c r="J1236" s="95" t="n">
        <f aca="false">IF(N(E1236)&gt;0,E1236,IF(N(F1236)&gt;0,F1236*가정!$B$5,0))</f>
        <v>359000</v>
      </c>
      <c r="K1236" s="95" t="n">
        <f aca="false">IF(N(F1236)&gt;0,F1236,IF(N(E1236)&gt;0,E1236/가정!$B$5,0))</f>
        <v>101900</v>
      </c>
      <c r="L1236" s="95" t="n">
        <f aca="false">IF(B1236="CN",IF(N(I1236)&gt;0,I1236*가정!$B$3,K1236*(1+가정!$B$6)),IF(N(H1236)&gt;0,H1236*가정!$B$3,J1236*가정!$B$4))</f>
        <v>125648.316</v>
      </c>
      <c r="M1236" s="95" t="n">
        <f aca="false">D1236*J1236</f>
        <v>46670000</v>
      </c>
      <c r="N1236" s="95" t="n">
        <f aca="false">D1236*K1236</f>
        <v>13247000</v>
      </c>
      <c r="O1236" s="95" t="n">
        <f aca="false">D1236*L1236</f>
        <v>16334281.08</v>
      </c>
      <c r="P1236" s="34" t="str">
        <f aca="false">TRIM(IF(N(E1236)&lt;=0,"택가보정 ","")&amp;IF(N(F1236)&lt;=0,"원가보정 ","")&amp;IF(AND(B1236&lt;&gt;"CN",N(H1236)&lt;=0),"공급가보정 ","")&amp;IF(AND(B1236="CN",N(I1236)&lt;=0),"중국공급가=원가+마진 ",""))</f>
        <v/>
      </c>
    </row>
    <row r="1237" customFormat="false" ht="15" hidden="false" customHeight="true" outlineLevel="0" collapsed="false">
      <c r="A1237" s="94" t="s">
        <v>1684</v>
      </c>
      <c r="B1237" s="34" t="str">
        <f aca="false">IF(A1237="100","HK",IF(A1237="200","CN",IF(A1237="300","TW","홀세일")))</f>
        <v>HK</v>
      </c>
      <c r="C1237" s="94" t="s">
        <v>1732</v>
      </c>
      <c r="D1237" s="95" t="n">
        <v>130</v>
      </c>
      <c r="E1237" s="95" t="n">
        <v>359000</v>
      </c>
      <c r="F1237" s="95" t="n">
        <v>101900</v>
      </c>
      <c r="G1237" s="34" t="n">
        <v>3.2</v>
      </c>
      <c r="H1237" s="34" t="n">
        <v>92.2</v>
      </c>
      <c r="I1237" s="34" t="n">
        <v>0</v>
      </c>
      <c r="J1237" s="95" t="n">
        <f aca="false">IF(N(E1237)&gt;0,E1237,IF(N(F1237)&gt;0,F1237*가정!$B$5,0))</f>
        <v>359000</v>
      </c>
      <c r="K1237" s="95" t="n">
        <f aca="false">IF(N(F1237)&gt;0,F1237,IF(N(E1237)&gt;0,E1237/가정!$B$5,0))</f>
        <v>101900</v>
      </c>
      <c r="L1237" s="95" t="n">
        <f aca="false">IF(B1237="CN",IF(N(I1237)&gt;0,I1237*가정!$B$3,K1237*(1+가정!$B$6)),IF(N(H1237)&gt;0,H1237*가정!$B$3,J1237*가정!$B$4))</f>
        <v>125648.316</v>
      </c>
      <c r="M1237" s="95" t="n">
        <f aca="false">D1237*J1237</f>
        <v>46670000</v>
      </c>
      <c r="N1237" s="95" t="n">
        <f aca="false">D1237*K1237</f>
        <v>13247000</v>
      </c>
      <c r="O1237" s="95" t="n">
        <f aca="false">D1237*L1237</f>
        <v>16334281.08</v>
      </c>
      <c r="P1237" s="34" t="str">
        <f aca="false">TRIM(IF(N(E1237)&lt;=0,"택가보정 ","")&amp;IF(N(F1237)&lt;=0,"원가보정 ","")&amp;IF(AND(B1237&lt;&gt;"CN",N(H1237)&lt;=0),"공급가보정 ","")&amp;IF(AND(B1237="CN",N(I1237)&lt;=0),"중국공급가=원가+마진 ",""))</f>
        <v/>
      </c>
    </row>
    <row r="1238" customFormat="false" ht="15" hidden="false" customHeight="true" outlineLevel="0" collapsed="false">
      <c r="A1238" s="94" t="s">
        <v>1684</v>
      </c>
      <c r="B1238" s="34" t="str">
        <f aca="false">IF(A1238="100","HK",IF(A1238="200","CN",IF(A1238="300","TW","홀세일")))</f>
        <v>HK</v>
      </c>
      <c r="C1238" s="94" t="s">
        <v>1733</v>
      </c>
      <c r="D1238" s="95" t="n">
        <v>160</v>
      </c>
      <c r="E1238" s="95" t="n">
        <v>690000</v>
      </c>
      <c r="F1238" s="95" t="n">
        <v>168300</v>
      </c>
      <c r="G1238" s="34" t="n">
        <v>3.61</v>
      </c>
      <c r="H1238" s="34" t="n">
        <v>172.7</v>
      </c>
      <c r="I1238" s="34" t="n">
        <v>0</v>
      </c>
      <c r="J1238" s="95" t="n">
        <f aca="false">IF(N(E1238)&gt;0,E1238,IF(N(F1238)&gt;0,F1238*가정!$B$5,0))</f>
        <v>690000</v>
      </c>
      <c r="K1238" s="95" t="n">
        <f aca="false">IF(N(F1238)&gt;0,F1238,IF(N(E1238)&gt;0,E1238/가정!$B$5,0))</f>
        <v>168300</v>
      </c>
      <c r="L1238" s="95" t="n">
        <f aca="false">IF(B1238="CN",IF(N(I1238)&gt;0,I1238*가정!$B$3,K1238*(1+가정!$B$6)),IF(N(H1238)&gt;0,H1238*가정!$B$3,J1238*가정!$B$4))</f>
        <v>235352.106</v>
      </c>
      <c r="M1238" s="95" t="n">
        <f aca="false">D1238*J1238</f>
        <v>110400000</v>
      </c>
      <c r="N1238" s="95" t="n">
        <f aca="false">D1238*K1238</f>
        <v>26928000</v>
      </c>
      <c r="O1238" s="95" t="n">
        <f aca="false">D1238*L1238</f>
        <v>37656336.96</v>
      </c>
      <c r="P1238" s="34" t="str">
        <f aca="false">TRIM(IF(N(E1238)&lt;=0,"택가보정 ","")&amp;IF(N(F1238)&lt;=0,"원가보정 ","")&amp;IF(AND(B1238&lt;&gt;"CN",N(H1238)&lt;=0),"공급가보정 ","")&amp;IF(AND(B1238="CN",N(I1238)&lt;=0),"중국공급가=원가+마진 ",""))</f>
        <v/>
      </c>
    </row>
    <row r="1239" customFormat="false" ht="15" hidden="false" customHeight="true" outlineLevel="0" collapsed="false">
      <c r="A1239" s="94" t="s">
        <v>1686</v>
      </c>
      <c r="B1239" s="34" t="str">
        <f aca="false">IF(A1239="100","HK",IF(A1239="200","CN",IF(A1239="300","TW","홀세일")))</f>
        <v>TW</v>
      </c>
      <c r="C1239" s="94" t="s">
        <v>1733</v>
      </c>
      <c r="D1239" s="95" t="n">
        <v>170</v>
      </c>
      <c r="E1239" s="95" t="n">
        <v>690000</v>
      </c>
      <c r="F1239" s="95" t="n">
        <v>168300</v>
      </c>
      <c r="G1239" s="34" t="n">
        <v>3.61</v>
      </c>
      <c r="H1239" s="34" t="n">
        <v>172.7</v>
      </c>
      <c r="I1239" s="34" t="n">
        <v>0</v>
      </c>
      <c r="J1239" s="95" t="n">
        <f aca="false">IF(N(E1239)&gt;0,E1239,IF(N(F1239)&gt;0,F1239*가정!$B$5,0))</f>
        <v>690000</v>
      </c>
      <c r="K1239" s="95" t="n">
        <f aca="false">IF(N(F1239)&gt;0,F1239,IF(N(E1239)&gt;0,E1239/가정!$B$5,0))</f>
        <v>168300</v>
      </c>
      <c r="L1239" s="95" t="n">
        <f aca="false">IF(B1239="CN",IF(N(I1239)&gt;0,I1239*가정!$B$3,K1239*(1+가정!$B$6)),IF(N(H1239)&gt;0,H1239*가정!$B$3,J1239*가정!$B$4))</f>
        <v>235352.106</v>
      </c>
      <c r="M1239" s="95" t="n">
        <f aca="false">D1239*J1239</f>
        <v>117300000</v>
      </c>
      <c r="N1239" s="95" t="n">
        <f aca="false">D1239*K1239</f>
        <v>28611000</v>
      </c>
      <c r="O1239" s="95" t="n">
        <f aca="false">D1239*L1239</f>
        <v>40009858.02</v>
      </c>
      <c r="P1239" s="34" t="str">
        <f aca="false">TRIM(IF(N(E1239)&lt;=0,"택가보정 ","")&amp;IF(N(F1239)&lt;=0,"원가보정 ","")&amp;IF(AND(B1239&lt;&gt;"CN",N(H1239)&lt;=0),"공급가보정 ","")&amp;IF(AND(B1239="CN",N(I1239)&lt;=0),"중국공급가=원가+마진 ",""))</f>
        <v/>
      </c>
    </row>
    <row r="1240" customFormat="false" ht="15" hidden="false" customHeight="true" outlineLevel="0" collapsed="false">
      <c r="A1240" s="94" t="s">
        <v>1684</v>
      </c>
      <c r="B1240" s="34" t="str">
        <f aca="false">IF(A1240="100","HK",IF(A1240="200","CN",IF(A1240="300","TW","홀세일")))</f>
        <v>HK</v>
      </c>
      <c r="C1240" s="94" t="s">
        <v>1734</v>
      </c>
      <c r="D1240" s="95" t="n">
        <v>175</v>
      </c>
      <c r="E1240" s="95" t="n">
        <v>790000</v>
      </c>
      <c r="F1240" s="95" t="n">
        <v>196800</v>
      </c>
      <c r="G1240" s="34" t="n">
        <v>3.5</v>
      </c>
      <c r="H1240" s="34" t="n">
        <v>197.7</v>
      </c>
      <c r="I1240" s="34" t="n">
        <v>0</v>
      </c>
      <c r="J1240" s="95" t="n">
        <f aca="false">IF(N(E1240)&gt;0,E1240,IF(N(F1240)&gt;0,F1240*가정!$B$5,0))</f>
        <v>790000</v>
      </c>
      <c r="K1240" s="95" t="n">
        <f aca="false">IF(N(F1240)&gt;0,F1240,IF(N(E1240)&gt;0,E1240/가정!$B$5,0))</f>
        <v>196800</v>
      </c>
      <c r="L1240" s="95" t="n">
        <f aca="false">IF(B1240="CN",IF(N(I1240)&gt;0,I1240*가정!$B$3,K1240*(1+가정!$B$6)),IF(N(H1240)&gt;0,H1240*가정!$B$3,J1240*가정!$B$4))</f>
        <v>269421.606</v>
      </c>
      <c r="M1240" s="95" t="n">
        <f aca="false">D1240*J1240</f>
        <v>138250000</v>
      </c>
      <c r="N1240" s="95" t="n">
        <f aca="false">D1240*K1240</f>
        <v>34440000</v>
      </c>
      <c r="O1240" s="95" t="n">
        <f aca="false">D1240*L1240</f>
        <v>47148781.05</v>
      </c>
      <c r="P1240" s="34" t="str">
        <f aca="false">TRIM(IF(N(E1240)&lt;=0,"택가보정 ","")&amp;IF(N(F1240)&lt;=0,"원가보정 ","")&amp;IF(AND(B1240&lt;&gt;"CN",N(H1240)&lt;=0),"공급가보정 ","")&amp;IF(AND(B1240="CN",N(I1240)&lt;=0),"중국공급가=원가+마진 ",""))</f>
        <v/>
      </c>
    </row>
    <row r="1241" customFormat="false" ht="15" hidden="false" customHeight="true" outlineLevel="0" collapsed="false">
      <c r="A1241" s="94" t="s">
        <v>1688</v>
      </c>
      <c r="B1241" s="34" t="str">
        <f aca="false">IF(A1241="100","HK",IF(A1241="200","CN",IF(A1241="300","TW","홀세일")))</f>
        <v>홀세일</v>
      </c>
      <c r="C1241" s="94" t="s">
        <v>1734</v>
      </c>
      <c r="D1241" s="95" t="n">
        <v>20</v>
      </c>
      <c r="E1241" s="95" t="n">
        <v>790000</v>
      </c>
      <c r="F1241" s="95" t="n">
        <v>196800</v>
      </c>
      <c r="G1241" s="34" t="n">
        <v>3.5</v>
      </c>
      <c r="H1241" s="34" t="n">
        <v>197.7</v>
      </c>
      <c r="I1241" s="34" t="n">
        <v>0</v>
      </c>
      <c r="J1241" s="95" t="n">
        <f aca="false">IF(N(E1241)&gt;0,E1241,IF(N(F1241)&gt;0,F1241*가정!$B$5,0))</f>
        <v>790000</v>
      </c>
      <c r="K1241" s="95" t="n">
        <f aca="false">IF(N(F1241)&gt;0,F1241,IF(N(E1241)&gt;0,E1241/가정!$B$5,0))</f>
        <v>196800</v>
      </c>
      <c r="L1241" s="95" t="n">
        <f aca="false">IF(B1241="CN",IF(N(I1241)&gt;0,I1241*가정!$B$3,K1241*(1+가정!$B$6)),IF(N(H1241)&gt;0,H1241*가정!$B$3,J1241*가정!$B$4))</f>
        <v>269421.606</v>
      </c>
      <c r="M1241" s="95" t="n">
        <f aca="false">D1241*J1241</f>
        <v>15800000</v>
      </c>
      <c r="N1241" s="95" t="n">
        <f aca="false">D1241*K1241</f>
        <v>3936000</v>
      </c>
      <c r="O1241" s="95" t="n">
        <f aca="false">D1241*L1241</f>
        <v>5388432.12</v>
      </c>
      <c r="P1241" s="34" t="str">
        <f aca="false">TRIM(IF(N(E1241)&lt;=0,"택가보정 ","")&amp;IF(N(F1241)&lt;=0,"원가보정 ","")&amp;IF(AND(B1241&lt;&gt;"CN",N(H1241)&lt;=0),"공급가보정 ","")&amp;IF(AND(B1241="CN",N(I1241)&lt;=0),"중국공급가=원가+마진 ",""))</f>
        <v/>
      </c>
    </row>
    <row r="1242" customFormat="false" ht="15" hidden="false" customHeight="true" outlineLevel="0" collapsed="false">
      <c r="A1242" s="94" t="s">
        <v>1684</v>
      </c>
      <c r="B1242" s="34" t="str">
        <f aca="false">IF(A1242="100","HK",IF(A1242="200","CN",IF(A1242="300","TW","홀세일")))</f>
        <v>HK</v>
      </c>
      <c r="C1242" s="94" t="s">
        <v>627</v>
      </c>
      <c r="D1242" s="95" t="n">
        <v>360</v>
      </c>
      <c r="E1242" s="95" t="n">
        <v>189000</v>
      </c>
      <c r="F1242" s="95" t="n">
        <v>42200</v>
      </c>
      <c r="G1242" s="34" t="n">
        <v>3.06</v>
      </c>
      <c r="H1242" s="34" t="n">
        <v>47.3</v>
      </c>
      <c r="I1242" s="34" t="n">
        <v>34.7</v>
      </c>
      <c r="J1242" s="95" t="n">
        <f aca="false">IF(N(E1242)&gt;0,E1242,IF(N(F1242)&gt;0,F1242*가정!$B$5,0))</f>
        <v>189000</v>
      </c>
      <c r="K1242" s="95" t="n">
        <f aca="false">IF(N(F1242)&gt;0,F1242,IF(N(E1242)&gt;0,E1242/가정!$B$5,0))</f>
        <v>42200</v>
      </c>
      <c r="L1242" s="95" t="n">
        <f aca="false">IF(B1242="CN",IF(N(I1242)&gt;0,I1242*가정!$B$3,K1242*(1+가정!$B$6)),IF(N(H1242)&gt;0,H1242*가정!$B$3,J1242*가정!$B$4))</f>
        <v>64459.494</v>
      </c>
      <c r="M1242" s="95" t="n">
        <f aca="false">D1242*J1242</f>
        <v>68040000</v>
      </c>
      <c r="N1242" s="95" t="n">
        <f aca="false">D1242*K1242</f>
        <v>15192000</v>
      </c>
      <c r="O1242" s="95" t="n">
        <f aca="false">D1242*L1242</f>
        <v>23205417.84</v>
      </c>
      <c r="P1242" s="34" t="str">
        <f aca="false">TRIM(IF(N(E1242)&lt;=0,"택가보정 ","")&amp;IF(N(F1242)&lt;=0,"원가보정 ","")&amp;IF(AND(B1242&lt;&gt;"CN",N(H1242)&lt;=0),"공급가보정 ","")&amp;IF(AND(B1242="CN",N(I1242)&lt;=0),"중국공급가=원가+마진 ",""))</f>
        <v/>
      </c>
    </row>
    <row r="1243" customFormat="false" ht="15" hidden="false" customHeight="true" outlineLevel="0" collapsed="false">
      <c r="A1243" s="94" t="s">
        <v>1685</v>
      </c>
      <c r="B1243" s="34" t="str">
        <f aca="false">IF(A1243="100","HK",IF(A1243="200","CN",IF(A1243="300","TW","홀세일")))</f>
        <v>CN</v>
      </c>
      <c r="C1243" s="94" t="s">
        <v>627</v>
      </c>
      <c r="D1243" s="95" t="n">
        <v>81</v>
      </c>
      <c r="E1243" s="95" t="n">
        <v>189000</v>
      </c>
      <c r="F1243" s="95" t="n">
        <v>42200</v>
      </c>
      <c r="G1243" s="34" t="n">
        <v>3.06</v>
      </c>
      <c r="H1243" s="34" t="n">
        <v>47.3</v>
      </c>
      <c r="I1243" s="34" t="n">
        <v>34.7</v>
      </c>
      <c r="J1243" s="95" t="n">
        <f aca="false">IF(N(E1243)&gt;0,E1243,IF(N(F1243)&gt;0,F1243*가정!$B$5,0))</f>
        <v>189000</v>
      </c>
      <c r="K1243" s="95" t="n">
        <f aca="false">IF(N(F1243)&gt;0,F1243,IF(N(E1243)&gt;0,E1243/가정!$B$5,0))</f>
        <v>42200</v>
      </c>
      <c r="L1243" s="95" t="n">
        <f aca="false">IF(B1243="CN",IF(N(I1243)&gt;0,I1243*가정!$B$3,K1243*(1+가정!$B$6)),IF(N(H1243)&gt;0,H1243*가정!$B$3,J1243*가정!$B$4))</f>
        <v>47288.466</v>
      </c>
      <c r="M1243" s="95" t="n">
        <f aca="false">D1243*J1243</f>
        <v>15309000</v>
      </c>
      <c r="N1243" s="95" t="n">
        <f aca="false">D1243*K1243</f>
        <v>3418200</v>
      </c>
      <c r="O1243" s="95" t="n">
        <f aca="false">D1243*L1243</f>
        <v>3830365.746</v>
      </c>
      <c r="P1243" s="34" t="str">
        <f aca="false">TRIM(IF(N(E1243)&lt;=0,"택가보정 ","")&amp;IF(N(F1243)&lt;=0,"원가보정 ","")&amp;IF(AND(B1243&lt;&gt;"CN",N(H1243)&lt;=0),"공급가보정 ","")&amp;IF(AND(B1243="CN",N(I1243)&lt;=0),"중국공급가=원가+마진 ",""))</f>
        <v/>
      </c>
    </row>
    <row r="1244" customFormat="false" ht="15" hidden="false" customHeight="true" outlineLevel="0" collapsed="false">
      <c r="A1244" s="94" t="s">
        <v>1686</v>
      </c>
      <c r="B1244" s="34" t="str">
        <f aca="false">IF(A1244="100","HK",IF(A1244="200","CN",IF(A1244="300","TW","홀세일")))</f>
        <v>TW</v>
      </c>
      <c r="C1244" s="94" t="s">
        <v>627</v>
      </c>
      <c r="D1244" s="95" t="n">
        <v>600</v>
      </c>
      <c r="E1244" s="95" t="n">
        <v>189000</v>
      </c>
      <c r="F1244" s="95" t="n">
        <v>42200</v>
      </c>
      <c r="G1244" s="34" t="n">
        <v>3.06</v>
      </c>
      <c r="H1244" s="34" t="n">
        <v>47.3</v>
      </c>
      <c r="I1244" s="34" t="n">
        <v>34.7</v>
      </c>
      <c r="J1244" s="95" t="n">
        <f aca="false">IF(N(E1244)&gt;0,E1244,IF(N(F1244)&gt;0,F1244*가정!$B$5,0))</f>
        <v>189000</v>
      </c>
      <c r="K1244" s="95" t="n">
        <f aca="false">IF(N(F1244)&gt;0,F1244,IF(N(E1244)&gt;0,E1244/가정!$B$5,0))</f>
        <v>42200</v>
      </c>
      <c r="L1244" s="95" t="n">
        <f aca="false">IF(B1244="CN",IF(N(I1244)&gt;0,I1244*가정!$B$3,K1244*(1+가정!$B$6)),IF(N(H1244)&gt;0,H1244*가정!$B$3,J1244*가정!$B$4))</f>
        <v>64459.494</v>
      </c>
      <c r="M1244" s="95" t="n">
        <f aca="false">D1244*J1244</f>
        <v>113400000</v>
      </c>
      <c r="N1244" s="95" t="n">
        <f aca="false">D1244*K1244</f>
        <v>25320000</v>
      </c>
      <c r="O1244" s="95" t="n">
        <f aca="false">D1244*L1244</f>
        <v>38675696.4</v>
      </c>
      <c r="P1244" s="34" t="str">
        <f aca="false">TRIM(IF(N(E1244)&lt;=0,"택가보정 ","")&amp;IF(N(F1244)&lt;=0,"원가보정 ","")&amp;IF(AND(B1244&lt;&gt;"CN",N(H1244)&lt;=0),"공급가보정 ","")&amp;IF(AND(B1244="CN",N(I1244)&lt;=0),"중국공급가=원가+마진 ",""))</f>
        <v/>
      </c>
    </row>
    <row r="1245" customFormat="false" ht="15" hidden="false" customHeight="true" outlineLevel="0" collapsed="false">
      <c r="A1245" s="94" t="s">
        <v>1687</v>
      </c>
      <c r="B1245" s="34" t="str">
        <f aca="false">IF(A1245="100","HK",IF(A1245="200","CN",IF(A1245="300","TW","홀세일")))</f>
        <v>홀세일</v>
      </c>
      <c r="C1245" s="94" t="s">
        <v>627</v>
      </c>
      <c r="D1245" s="95" t="n">
        <v>100</v>
      </c>
      <c r="E1245" s="95" t="n">
        <v>189000</v>
      </c>
      <c r="F1245" s="95" t="n">
        <v>42200</v>
      </c>
      <c r="G1245" s="34" t="n">
        <v>3.06</v>
      </c>
      <c r="H1245" s="34" t="n">
        <v>47.3</v>
      </c>
      <c r="I1245" s="34" t="n">
        <v>34.7</v>
      </c>
      <c r="J1245" s="95" t="n">
        <f aca="false">IF(N(E1245)&gt;0,E1245,IF(N(F1245)&gt;0,F1245*가정!$B$5,0))</f>
        <v>189000</v>
      </c>
      <c r="K1245" s="95" t="n">
        <f aca="false">IF(N(F1245)&gt;0,F1245,IF(N(E1245)&gt;0,E1245/가정!$B$5,0))</f>
        <v>42200</v>
      </c>
      <c r="L1245" s="95" t="n">
        <f aca="false">IF(B1245="CN",IF(N(I1245)&gt;0,I1245*가정!$B$3,K1245*(1+가정!$B$6)),IF(N(H1245)&gt;0,H1245*가정!$B$3,J1245*가정!$B$4))</f>
        <v>64459.494</v>
      </c>
      <c r="M1245" s="95" t="n">
        <f aca="false">D1245*J1245</f>
        <v>18900000</v>
      </c>
      <c r="N1245" s="95" t="n">
        <f aca="false">D1245*K1245</f>
        <v>4220000</v>
      </c>
      <c r="O1245" s="95" t="n">
        <f aca="false">D1245*L1245</f>
        <v>6445949.4</v>
      </c>
      <c r="P1245" s="34" t="str">
        <f aca="false">TRIM(IF(N(E1245)&lt;=0,"택가보정 ","")&amp;IF(N(F1245)&lt;=0,"원가보정 ","")&amp;IF(AND(B1245&lt;&gt;"CN",N(H1245)&lt;=0),"공급가보정 ","")&amp;IF(AND(B1245="CN",N(I1245)&lt;=0),"중국공급가=원가+마진 ",""))</f>
        <v/>
      </c>
    </row>
    <row r="1246" customFormat="false" ht="15" hidden="false" customHeight="true" outlineLevel="0" collapsed="false">
      <c r="A1246" s="94" t="s">
        <v>1688</v>
      </c>
      <c r="B1246" s="34" t="str">
        <f aca="false">IF(A1246="100","HK",IF(A1246="200","CN",IF(A1246="300","TW","홀세일")))</f>
        <v>홀세일</v>
      </c>
      <c r="C1246" s="94" t="s">
        <v>627</v>
      </c>
      <c r="D1246" s="95" t="n">
        <v>20</v>
      </c>
      <c r="E1246" s="95" t="n">
        <v>189000</v>
      </c>
      <c r="F1246" s="95" t="n">
        <v>42200</v>
      </c>
      <c r="G1246" s="34" t="n">
        <v>3.06</v>
      </c>
      <c r="H1246" s="34" t="n">
        <v>47.3</v>
      </c>
      <c r="I1246" s="34" t="n">
        <v>34.7</v>
      </c>
      <c r="J1246" s="95" t="n">
        <f aca="false">IF(N(E1246)&gt;0,E1246,IF(N(F1246)&gt;0,F1246*가정!$B$5,0))</f>
        <v>189000</v>
      </c>
      <c r="K1246" s="95" t="n">
        <f aca="false">IF(N(F1246)&gt;0,F1246,IF(N(E1246)&gt;0,E1246/가정!$B$5,0))</f>
        <v>42200</v>
      </c>
      <c r="L1246" s="95" t="n">
        <f aca="false">IF(B1246="CN",IF(N(I1246)&gt;0,I1246*가정!$B$3,K1246*(1+가정!$B$6)),IF(N(H1246)&gt;0,H1246*가정!$B$3,J1246*가정!$B$4))</f>
        <v>64459.494</v>
      </c>
      <c r="M1246" s="95" t="n">
        <f aca="false">D1246*J1246</f>
        <v>3780000</v>
      </c>
      <c r="N1246" s="95" t="n">
        <f aca="false">D1246*K1246</f>
        <v>844000</v>
      </c>
      <c r="O1246" s="95" t="n">
        <f aca="false">D1246*L1246</f>
        <v>1289189.88</v>
      </c>
      <c r="P1246" s="34" t="str">
        <f aca="false">TRIM(IF(N(E1246)&lt;=0,"택가보정 ","")&amp;IF(N(F1246)&lt;=0,"원가보정 ","")&amp;IF(AND(B1246&lt;&gt;"CN",N(H1246)&lt;=0),"공급가보정 ","")&amp;IF(AND(B1246="CN",N(I1246)&lt;=0),"중국공급가=원가+마진 ",""))</f>
        <v/>
      </c>
    </row>
    <row r="1247" customFormat="false" ht="15" hidden="false" customHeight="true" outlineLevel="0" collapsed="false">
      <c r="A1247" s="94" t="s">
        <v>1686</v>
      </c>
      <c r="B1247" s="34" t="str">
        <f aca="false">IF(A1247="100","HK",IF(A1247="200","CN",IF(A1247="300","TW","홀세일")))</f>
        <v>TW</v>
      </c>
      <c r="C1247" s="94" t="s">
        <v>629</v>
      </c>
      <c r="D1247" s="95" t="n">
        <v>50</v>
      </c>
      <c r="E1247" s="95" t="n">
        <v>219000</v>
      </c>
      <c r="F1247" s="95" t="n">
        <v>52800</v>
      </c>
      <c r="G1247" s="34" t="n">
        <v>3.29</v>
      </c>
      <c r="H1247" s="34" t="n">
        <v>54.9</v>
      </c>
      <c r="I1247" s="34" t="n">
        <v>0</v>
      </c>
      <c r="J1247" s="95" t="n">
        <f aca="false">IF(N(E1247)&gt;0,E1247,IF(N(F1247)&gt;0,F1247*가정!$B$5,0))</f>
        <v>219000</v>
      </c>
      <c r="K1247" s="95" t="n">
        <f aca="false">IF(N(F1247)&gt;0,F1247,IF(N(E1247)&gt;0,E1247/가정!$B$5,0))</f>
        <v>52800</v>
      </c>
      <c r="L1247" s="95" t="n">
        <f aca="false">IF(B1247="CN",IF(N(I1247)&gt;0,I1247*가정!$B$3,K1247*(1+가정!$B$6)),IF(N(H1247)&gt;0,H1247*가정!$B$3,J1247*가정!$B$4))</f>
        <v>74816.622</v>
      </c>
      <c r="M1247" s="95" t="n">
        <f aca="false">D1247*J1247</f>
        <v>10950000</v>
      </c>
      <c r="N1247" s="95" t="n">
        <f aca="false">D1247*K1247</f>
        <v>2640000</v>
      </c>
      <c r="O1247" s="95" t="n">
        <f aca="false">D1247*L1247</f>
        <v>3740831.1</v>
      </c>
      <c r="P1247" s="34" t="str">
        <f aca="false">TRIM(IF(N(E1247)&lt;=0,"택가보정 ","")&amp;IF(N(F1247)&lt;=0,"원가보정 ","")&amp;IF(AND(B1247&lt;&gt;"CN",N(H1247)&lt;=0),"공급가보정 ","")&amp;IF(AND(B1247="CN",N(I1247)&lt;=0),"중국공급가=원가+마진 ",""))</f>
        <v/>
      </c>
    </row>
    <row r="1248" customFormat="false" ht="15" hidden="false" customHeight="true" outlineLevel="0" collapsed="false">
      <c r="A1248" s="94" t="s">
        <v>1688</v>
      </c>
      <c r="B1248" s="34" t="str">
        <f aca="false">IF(A1248="100","HK",IF(A1248="200","CN",IF(A1248="300","TW","홀세일")))</f>
        <v>홀세일</v>
      </c>
      <c r="C1248" s="94" t="s">
        <v>629</v>
      </c>
      <c r="D1248" s="95" t="n">
        <v>15</v>
      </c>
      <c r="E1248" s="95" t="n">
        <v>219000</v>
      </c>
      <c r="F1248" s="95" t="n">
        <v>52800</v>
      </c>
      <c r="G1248" s="34" t="n">
        <v>3.29</v>
      </c>
      <c r="H1248" s="34" t="n">
        <v>54.9</v>
      </c>
      <c r="I1248" s="34" t="n">
        <v>0</v>
      </c>
      <c r="J1248" s="95" t="n">
        <f aca="false">IF(N(E1248)&gt;0,E1248,IF(N(F1248)&gt;0,F1248*가정!$B$5,0))</f>
        <v>219000</v>
      </c>
      <c r="K1248" s="95" t="n">
        <f aca="false">IF(N(F1248)&gt;0,F1248,IF(N(E1248)&gt;0,E1248/가정!$B$5,0))</f>
        <v>52800</v>
      </c>
      <c r="L1248" s="95" t="n">
        <f aca="false">IF(B1248="CN",IF(N(I1248)&gt;0,I1248*가정!$B$3,K1248*(1+가정!$B$6)),IF(N(H1248)&gt;0,H1248*가정!$B$3,J1248*가정!$B$4))</f>
        <v>74816.622</v>
      </c>
      <c r="M1248" s="95" t="n">
        <f aca="false">D1248*J1248</f>
        <v>3285000</v>
      </c>
      <c r="N1248" s="95" t="n">
        <f aca="false">D1248*K1248</f>
        <v>792000</v>
      </c>
      <c r="O1248" s="95" t="n">
        <f aca="false">D1248*L1248</f>
        <v>1122249.33</v>
      </c>
      <c r="P1248" s="34" t="str">
        <f aca="false">TRIM(IF(N(E1248)&lt;=0,"택가보정 ","")&amp;IF(N(F1248)&lt;=0,"원가보정 ","")&amp;IF(AND(B1248&lt;&gt;"CN",N(H1248)&lt;=0),"공급가보정 ","")&amp;IF(AND(B1248="CN",N(I1248)&lt;=0),"중국공급가=원가+마진 ",""))</f>
        <v/>
      </c>
    </row>
    <row r="1249" customFormat="false" ht="15" hidden="false" customHeight="true" outlineLevel="0" collapsed="false">
      <c r="A1249" s="94" t="s">
        <v>1692</v>
      </c>
      <c r="B1249" s="34" t="str">
        <f aca="false">IF(A1249="100","HK",IF(A1249="200","CN",IF(A1249="300","TW","홀세일")))</f>
        <v>홀세일</v>
      </c>
      <c r="C1249" s="94" t="s">
        <v>1458</v>
      </c>
      <c r="D1249" s="95" t="n">
        <v>51</v>
      </c>
      <c r="E1249" s="95" t="n">
        <v>199000</v>
      </c>
      <c r="F1249" s="95" t="n">
        <v>42800</v>
      </c>
      <c r="G1249" s="34" t="n">
        <v>3.5</v>
      </c>
      <c r="H1249" s="34" t="n">
        <v>49.8</v>
      </c>
      <c r="I1249" s="34" t="n">
        <v>0</v>
      </c>
      <c r="J1249" s="95" t="n">
        <f aca="false">IF(N(E1249)&gt;0,E1249,IF(N(F1249)&gt;0,F1249*가정!$B$5,0))</f>
        <v>199000</v>
      </c>
      <c r="K1249" s="95" t="n">
        <f aca="false">IF(N(F1249)&gt;0,F1249,IF(N(E1249)&gt;0,E1249/가정!$B$5,0))</f>
        <v>42800</v>
      </c>
      <c r="L1249" s="95" t="n">
        <f aca="false">IF(B1249="CN",IF(N(I1249)&gt;0,I1249*가정!$B$3,K1249*(1+가정!$B$6)),IF(N(H1249)&gt;0,H1249*가정!$B$3,J1249*가정!$B$4))</f>
        <v>67866.444</v>
      </c>
      <c r="M1249" s="95" t="n">
        <f aca="false">D1249*J1249</f>
        <v>10149000</v>
      </c>
      <c r="N1249" s="95" t="n">
        <f aca="false">D1249*K1249</f>
        <v>2182800</v>
      </c>
      <c r="O1249" s="95" t="n">
        <f aca="false">D1249*L1249</f>
        <v>3461188.644</v>
      </c>
      <c r="P1249" s="34" t="str">
        <f aca="false">TRIM(IF(N(E1249)&lt;=0,"택가보정 ","")&amp;IF(N(F1249)&lt;=0,"원가보정 ","")&amp;IF(AND(B1249&lt;&gt;"CN",N(H1249)&lt;=0),"공급가보정 ","")&amp;IF(AND(B1249="CN",N(I1249)&lt;=0),"중국공급가=원가+마진 ",""))</f>
        <v/>
      </c>
    </row>
    <row r="1250" customFormat="false" ht="15" hidden="false" customHeight="true" outlineLevel="0" collapsed="false">
      <c r="A1250" s="94" t="s">
        <v>1684</v>
      </c>
      <c r="B1250" s="34" t="str">
        <f aca="false">IF(A1250="100","HK",IF(A1250="200","CN",IF(A1250="300","TW","홀세일")))</f>
        <v>HK</v>
      </c>
      <c r="C1250" s="94" t="s">
        <v>1154</v>
      </c>
      <c r="D1250" s="95" t="n">
        <v>65</v>
      </c>
      <c r="E1250" s="95" t="n">
        <v>249000</v>
      </c>
      <c r="F1250" s="95" t="n">
        <v>81823</v>
      </c>
      <c r="G1250" s="34" t="n">
        <v>3.01</v>
      </c>
      <c r="H1250" s="34" t="n">
        <v>64</v>
      </c>
      <c r="I1250" s="34" t="n">
        <v>65</v>
      </c>
      <c r="J1250" s="95" t="n">
        <f aca="false">IF(N(E1250)&gt;0,E1250,IF(N(F1250)&gt;0,F1250*가정!$B$5,0))</f>
        <v>249000</v>
      </c>
      <c r="K1250" s="95" t="n">
        <f aca="false">IF(N(F1250)&gt;0,F1250,IF(N(E1250)&gt;0,E1250/가정!$B$5,0))</f>
        <v>81823</v>
      </c>
      <c r="L1250" s="95" t="n">
        <f aca="false">IF(B1250="CN",IF(N(I1250)&gt;0,I1250*가정!$B$3,K1250*(1+가정!$B$6)),IF(N(H1250)&gt;0,H1250*가정!$B$3,J1250*가정!$B$4))</f>
        <v>87217.92</v>
      </c>
      <c r="M1250" s="95" t="n">
        <f aca="false">D1250*J1250</f>
        <v>16185000</v>
      </c>
      <c r="N1250" s="95" t="n">
        <f aca="false">D1250*K1250</f>
        <v>5318495</v>
      </c>
      <c r="O1250" s="95" t="n">
        <f aca="false">D1250*L1250</f>
        <v>5669164.8</v>
      </c>
      <c r="P1250" s="34" t="str">
        <f aca="false">TRIM(IF(N(E1250)&lt;=0,"택가보정 ","")&amp;IF(N(F1250)&lt;=0,"원가보정 ","")&amp;IF(AND(B1250&lt;&gt;"CN",N(H1250)&lt;=0),"공급가보정 ","")&amp;IF(AND(B1250="CN",N(I1250)&lt;=0),"중국공급가=원가+마진 ",""))</f>
        <v/>
      </c>
    </row>
    <row r="1251" customFormat="false" ht="15" hidden="false" customHeight="true" outlineLevel="0" collapsed="false">
      <c r="A1251" s="94" t="s">
        <v>1685</v>
      </c>
      <c r="B1251" s="34" t="str">
        <f aca="false">IF(A1251="100","HK",IF(A1251="200","CN",IF(A1251="300","TW","홀세일")))</f>
        <v>CN</v>
      </c>
      <c r="C1251" s="94" t="s">
        <v>1154</v>
      </c>
      <c r="D1251" s="95" t="n">
        <v>203</v>
      </c>
      <c r="E1251" s="95" t="n">
        <v>249000</v>
      </c>
      <c r="F1251" s="95" t="n">
        <v>81823</v>
      </c>
      <c r="G1251" s="34" t="n">
        <v>3.01</v>
      </c>
      <c r="H1251" s="34" t="n">
        <v>64</v>
      </c>
      <c r="I1251" s="34" t="n">
        <v>65</v>
      </c>
      <c r="J1251" s="95" t="n">
        <f aca="false">IF(N(E1251)&gt;0,E1251,IF(N(F1251)&gt;0,F1251*가정!$B$5,0))</f>
        <v>249000</v>
      </c>
      <c r="K1251" s="95" t="n">
        <f aca="false">IF(N(F1251)&gt;0,F1251,IF(N(E1251)&gt;0,E1251/가정!$B$5,0))</f>
        <v>81823</v>
      </c>
      <c r="L1251" s="95" t="n">
        <f aca="false">IF(B1251="CN",IF(N(I1251)&gt;0,I1251*가정!$B$3,K1251*(1+가정!$B$6)),IF(N(H1251)&gt;0,H1251*가정!$B$3,J1251*가정!$B$4))</f>
        <v>88580.7</v>
      </c>
      <c r="M1251" s="95" t="n">
        <f aca="false">D1251*J1251</f>
        <v>50547000</v>
      </c>
      <c r="N1251" s="95" t="n">
        <f aca="false">D1251*K1251</f>
        <v>16610069</v>
      </c>
      <c r="O1251" s="95" t="n">
        <f aca="false">D1251*L1251</f>
        <v>17981882.1</v>
      </c>
      <c r="P1251" s="34" t="str">
        <f aca="false">TRIM(IF(N(E1251)&lt;=0,"택가보정 ","")&amp;IF(N(F1251)&lt;=0,"원가보정 ","")&amp;IF(AND(B1251&lt;&gt;"CN",N(H1251)&lt;=0),"공급가보정 ","")&amp;IF(AND(B1251="CN",N(I1251)&lt;=0),"중국공급가=원가+마진 ",""))</f>
        <v/>
      </c>
    </row>
    <row r="1252" customFormat="false" ht="15" hidden="false" customHeight="true" outlineLevel="0" collapsed="false">
      <c r="A1252" s="94" t="s">
        <v>1686</v>
      </c>
      <c r="B1252" s="34" t="str">
        <f aca="false">IF(A1252="100","HK",IF(A1252="200","CN",IF(A1252="300","TW","홀세일")))</f>
        <v>TW</v>
      </c>
      <c r="C1252" s="94" t="s">
        <v>1154</v>
      </c>
      <c r="D1252" s="95" t="n">
        <v>120</v>
      </c>
      <c r="E1252" s="95" t="n">
        <v>249000</v>
      </c>
      <c r="F1252" s="95" t="n">
        <v>81823</v>
      </c>
      <c r="G1252" s="34" t="n">
        <v>3.01</v>
      </c>
      <c r="H1252" s="34" t="n">
        <v>64</v>
      </c>
      <c r="I1252" s="34" t="n">
        <v>65</v>
      </c>
      <c r="J1252" s="95" t="n">
        <f aca="false">IF(N(E1252)&gt;0,E1252,IF(N(F1252)&gt;0,F1252*가정!$B$5,0))</f>
        <v>249000</v>
      </c>
      <c r="K1252" s="95" t="n">
        <f aca="false">IF(N(F1252)&gt;0,F1252,IF(N(E1252)&gt;0,E1252/가정!$B$5,0))</f>
        <v>81823</v>
      </c>
      <c r="L1252" s="95" t="n">
        <f aca="false">IF(B1252="CN",IF(N(I1252)&gt;0,I1252*가정!$B$3,K1252*(1+가정!$B$6)),IF(N(H1252)&gt;0,H1252*가정!$B$3,J1252*가정!$B$4))</f>
        <v>87217.92</v>
      </c>
      <c r="M1252" s="95" t="n">
        <f aca="false">D1252*J1252</f>
        <v>29880000</v>
      </c>
      <c r="N1252" s="95" t="n">
        <f aca="false">D1252*K1252</f>
        <v>9818760</v>
      </c>
      <c r="O1252" s="95" t="n">
        <f aca="false">D1252*L1252</f>
        <v>10466150.4</v>
      </c>
      <c r="P1252" s="34" t="str">
        <f aca="false">TRIM(IF(N(E1252)&lt;=0,"택가보정 ","")&amp;IF(N(F1252)&lt;=0,"원가보정 ","")&amp;IF(AND(B1252&lt;&gt;"CN",N(H1252)&lt;=0),"공급가보정 ","")&amp;IF(AND(B1252="CN",N(I1252)&lt;=0),"중국공급가=원가+마진 ",""))</f>
        <v/>
      </c>
    </row>
    <row r="1253" customFormat="false" ht="15" hidden="false" customHeight="true" outlineLevel="0" collapsed="false">
      <c r="A1253" s="94" t="s">
        <v>1692</v>
      </c>
      <c r="B1253" s="34" t="str">
        <f aca="false">IF(A1253="100","HK",IF(A1253="200","CN",IF(A1253="300","TW","홀세일")))</f>
        <v>홀세일</v>
      </c>
      <c r="C1253" s="94" t="s">
        <v>1154</v>
      </c>
      <c r="D1253" s="95" t="n">
        <v>50</v>
      </c>
      <c r="E1253" s="95" t="n">
        <v>249000</v>
      </c>
      <c r="F1253" s="95" t="n">
        <v>81823</v>
      </c>
      <c r="G1253" s="34" t="n">
        <v>3.01</v>
      </c>
      <c r="H1253" s="34" t="n">
        <v>64</v>
      </c>
      <c r="I1253" s="34" t="n">
        <v>65</v>
      </c>
      <c r="J1253" s="95" t="n">
        <f aca="false">IF(N(E1253)&gt;0,E1253,IF(N(F1253)&gt;0,F1253*가정!$B$5,0))</f>
        <v>249000</v>
      </c>
      <c r="K1253" s="95" t="n">
        <f aca="false">IF(N(F1253)&gt;0,F1253,IF(N(E1253)&gt;0,E1253/가정!$B$5,0))</f>
        <v>81823</v>
      </c>
      <c r="L1253" s="95" t="n">
        <f aca="false">IF(B1253="CN",IF(N(I1253)&gt;0,I1253*가정!$B$3,K1253*(1+가정!$B$6)),IF(N(H1253)&gt;0,H1253*가정!$B$3,J1253*가정!$B$4))</f>
        <v>87217.92</v>
      </c>
      <c r="M1253" s="95" t="n">
        <f aca="false">D1253*J1253</f>
        <v>12450000</v>
      </c>
      <c r="N1253" s="95" t="n">
        <f aca="false">D1253*K1253</f>
        <v>4091150</v>
      </c>
      <c r="O1253" s="95" t="n">
        <f aca="false">D1253*L1253</f>
        <v>4360896</v>
      </c>
      <c r="P1253" s="34" t="str">
        <f aca="false">TRIM(IF(N(E1253)&lt;=0,"택가보정 ","")&amp;IF(N(F1253)&lt;=0,"원가보정 ","")&amp;IF(AND(B1253&lt;&gt;"CN",N(H1253)&lt;=0),"공급가보정 ","")&amp;IF(AND(B1253="CN",N(I1253)&lt;=0),"중국공급가=원가+마진 ",""))</f>
        <v/>
      </c>
    </row>
    <row r="1254" customFormat="false" ht="15" hidden="false" customHeight="true" outlineLevel="0" collapsed="false">
      <c r="A1254" s="94" t="s">
        <v>1684</v>
      </c>
      <c r="B1254" s="34" t="str">
        <f aca="false">IF(A1254="100","HK",IF(A1254="200","CN",IF(A1254="300","TW","홀세일")))</f>
        <v>HK</v>
      </c>
      <c r="C1254" s="94" t="s">
        <v>631</v>
      </c>
      <c r="D1254" s="95" t="n">
        <v>400</v>
      </c>
      <c r="E1254" s="95" t="n">
        <v>199000</v>
      </c>
      <c r="F1254" s="95" t="n">
        <v>46500</v>
      </c>
      <c r="G1254" s="34" t="n">
        <v>3.87</v>
      </c>
      <c r="H1254" s="34" t="n">
        <v>49.8</v>
      </c>
      <c r="I1254" s="34" t="n">
        <v>0</v>
      </c>
      <c r="J1254" s="95" t="n">
        <f aca="false">IF(N(E1254)&gt;0,E1254,IF(N(F1254)&gt;0,F1254*가정!$B$5,0))</f>
        <v>199000</v>
      </c>
      <c r="K1254" s="95" t="n">
        <f aca="false">IF(N(F1254)&gt;0,F1254,IF(N(E1254)&gt;0,E1254/가정!$B$5,0))</f>
        <v>46500</v>
      </c>
      <c r="L1254" s="95" t="n">
        <f aca="false">IF(B1254="CN",IF(N(I1254)&gt;0,I1254*가정!$B$3,K1254*(1+가정!$B$6)),IF(N(H1254)&gt;0,H1254*가정!$B$3,J1254*가정!$B$4))</f>
        <v>67866.444</v>
      </c>
      <c r="M1254" s="95" t="n">
        <f aca="false">D1254*J1254</f>
        <v>79600000</v>
      </c>
      <c r="N1254" s="95" t="n">
        <f aca="false">D1254*K1254</f>
        <v>18600000</v>
      </c>
      <c r="O1254" s="95" t="n">
        <f aca="false">D1254*L1254</f>
        <v>27146577.6</v>
      </c>
      <c r="P1254" s="34" t="str">
        <f aca="false">TRIM(IF(N(E1254)&lt;=0,"택가보정 ","")&amp;IF(N(F1254)&lt;=0,"원가보정 ","")&amp;IF(AND(B1254&lt;&gt;"CN",N(H1254)&lt;=0),"공급가보정 ","")&amp;IF(AND(B1254="CN",N(I1254)&lt;=0),"중국공급가=원가+마진 ",""))</f>
        <v/>
      </c>
    </row>
    <row r="1255" customFormat="false" ht="15" hidden="false" customHeight="true" outlineLevel="0" collapsed="false">
      <c r="A1255" s="94" t="s">
        <v>1686</v>
      </c>
      <c r="B1255" s="34" t="str">
        <f aca="false">IF(A1255="100","HK",IF(A1255="200","CN",IF(A1255="300","TW","홀세일")))</f>
        <v>TW</v>
      </c>
      <c r="C1255" s="94" t="s">
        <v>631</v>
      </c>
      <c r="D1255" s="95" t="n">
        <v>360</v>
      </c>
      <c r="E1255" s="95" t="n">
        <v>199000</v>
      </c>
      <c r="F1255" s="95" t="n">
        <v>46500</v>
      </c>
      <c r="G1255" s="34" t="n">
        <v>3.87</v>
      </c>
      <c r="H1255" s="34" t="n">
        <v>49.8</v>
      </c>
      <c r="I1255" s="34" t="n">
        <v>0</v>
      </c>
      <c r="J1255" s="95" t="n">
        <f aca="false">IF(N(E1255)&gt;0,E1255,IF(N(F1255)&gt;0,F1255*가정!$B$5,0))</f>
        <v>199000</v>
      </c>
      <c r="K1255" s="95" t="n">
        <f aca="false">IF(N(F1255)&gt;0,F1255,IF(N(E1255)&gt;0,E1255/가정!$B$5,0))</f>
        <v>46500</v>
      </c>
      <c r="L1255" s="95" t="n">
        <f aca="false">IF(B1255="CN",IF(N(I1255)&gt;0,I1255*가정!$B$3,K1255*(1+가정!$B$6)),IF(N(H1255)&gt;0,H1255*가정!$B$3,J1255*가정!$B$4))</f>
        <v>67866.444</v>
      </c>
      <c r="M1255" s="95" t="n">
        <f aca="false">D1255*J1255</f>
        <v>71640000</v>
      </c>
      <c r="N1255" s="95" t="n">
        <f aca="false">D1255*K1255</f>
        <v>16740000</v>
      </c>
      <c r="O1255" s="95" t="n">
        <f aca="false">D1255*L1255</f>
        <v>24431919.84</v>
      </c>
      <c r="P1255" s="34" t="str">
        <f aca="false">TRIM(IF(N(E1255)&lt;=0,"택가보정 ","")&amp;IF(N(F1255)&lt;=0,"원가보정 ","")&amp;IF(AND(B1255&lt;&gt;"CN",N(H1255)&lt;=0),"공급가보정 ","")&amp;IF(AND(B1255="CN",N(I1255)&lt;=0),"중국공급가=원가+마진 ",""))</f>
        <v/>
      </c>
    </row>
    <row r="1256" customFormat="false" ht="15" hidden="false" customHeight="true" outlineLevel="0" collapsed="false">
      <c r="A1256" s="94" t="s">
        <v>1688</v>
      </c>
      <c r="B1256" s="34" t="str">
        <f aca="false">IF(A1256="100","HK",IF(A1256="200","CN",IF(A1256="300","TW","홀세일")))</f>
        <v>홀세일</v>
      </c>
      <c r="C1256" s="94" t="s">
        <v>631</v>
      </c>
      <c r="D1256" s="95" t="n">
        <v>20</v>
      </c>
      <c r="E1256" s="95" t="n">
        <v>199000</v>
      </c>
      <c r="F1256" s="95" t="n">
        <v>46500</v>
      </c>
      <c r="G1256" s="34" t="n">
        <v>3.87</v>
      </c>
      <c r="H1256" s="34" t="n">
        <v>49.8</v>
      </c>
      <c r="I1256" s="34" t="n">
        <v>0</v>
      </c>
      <c r="J1256" s="95" t="n">
        <f aca="false">IF(N(E1256)&gt;0,E1256,IF(N(F1256)&gt;0,F1256*가정!$B$5,0))</f>
        <v>199000</v>
      </c>
      <c r="K1256" s="95" t="n">
        <f aca="false">IF(N(F1256)&gt;0,F1256,IF(N(E1256)&gt;0,E1256/가정!$B$5,0))</f>
        <v>46500</v>
      </c>
      <c r="L1256" s="95" t="n">
        <f aca="false">IF(B1256="CN",IF(N(I1256)&gt;0,I1256*가정!$B$3,K1256*(1+가정!$B$6)),IF(N(H1256)&gt;0,H1256*가정!$B$3,J1256*가정!$B$4))</f>
        <v>67866.444</v>
      </c>
      <c r="M1256" s="95" t="n">
        <f aca="false">D1256*J1256</f>
        <v>3980000</v>
      </c>
      <c r="N1256" s="95" t="n">
        <f aca="false">D1256*K1256</f>
        <v>930000</v>
      </c>
      <c r="O1256" s="95" t="n">
        <f aca="false">D1256*L1256</f>
        <v>1357328.88</v>
      </c>
      <c r="P1256" s="34" t="str">
        <f aca="false">TRIM(IF(N(E1256)&lt;=0,"택가보정 ","")&amp;IF(N(F1256)&lt;=0,"원가보정 ","")&amp;IF(AND(B1256&lt;&gt;"CN",N(H1256)&lt;=0),"공급가보정 ","")&amp;IF(AND(B1256="CN",N(I1256)&lt;=0),"중국공급가=원가+마진 ",""))</f>
        <v/>
      </c>
    </row>
    <row r="1257" customFormat="false" ht="15" hidden="false" customHeight="true" outlineLevel="0" collapsed="false">
      <c r="A1257" s="94" t="s">
        <v>1684</v>
      </c>
      <c r="B1257" s="34" t="str">
        <f aca="false">IF(A1257="100","HK",IF(A1257="200","CN",IF(A1257="300","TW","홀세일")))</f>
        <v>HK</v>
      </c>
      <c r="C1257" s="94" t="s">
        <v>633</v>
      </c>
      <c r="D1257" s="95" t="n">
        <v>80</v>
      </c>
      <c r="E1257" s="95" t="n">
        <v>149000</v>
      </c>
      <c r="F1257" s="95" t="n">
        <v>32700</v>
      </c>
      <c r="G1257" s="34" t="n">
        <v>3.23</v>
      </c>
      <c r="H1257" s="34" t="n">
        <v>37.3</v>
      </c>
      <c r="I1257" s="34" t="n">
        <v>0</v>
      </c>
      <c r="J1257" s="95" t="n">
        <f aca="false">IF(N(E1257)&gt;0,E1257,IF(N(F1257)&gt;0,F1257*가정!$B$5,0))</f>
        <v>149000</v>
      </c>
      <c r="K1257" s="95" t="n">
        <f aca="false">IF(N(F1257)&gt;0,F1257,IF(N(E1257)&gt;0,E1257/가정!$B$5,0))</f>
        <v>32700</v>
      </c>
      <c r="L1257" s="95" t="n">
        <f aca="false">IF(B1257="CN",IF(N(I1257)&gt;0,I1257*가정!$B$3,K1257*(1+가정!$B$6)),IF(N(H1257)&gt;0,H1257*가정!$B$3,J1257*가정!$B$4))</f>
        <v>50831.694</v>
      </c>
      <c r="M1257" s="95" t="n">
        <f aca="false">D1257*J1257</f>
        <v>11920000</v>
      </c>
      <c r="N1257" s="95" t="n">
        <f aca="false">D1257*K1257</f>
        <v>2616000</v>
      </c>
      <c r="O1257" s="95" t="n">
        <f aca="false">D1257*L1257</f>
        <v>4066535.52</v>
      </c>
      <c r="P1257" s="34" t="str">
        <f aca="false">TRIM(IF(N(E1257)&lt;=0,"택가보정 ","")&amp;IF(N(F1257)&lt;=0,"원가보정 ","")&amp;IF(AND(B1257&lt;&gt;"CN",N(H1257)&lt;=0),"공급가보정 ","")&amp;IF(AND(B1257="CN",N(I1257)&lt;=0),"중국공급가=원가+마진 ",""))</f>
        <v/>
      </c>
    </row>
    <row r="1258" customFormat="false" ht="15" hidden="false" customHeight="true" outlineLevel="0" collapsed="false">
      <c r="A1258" s="94" t="s">
        <v>1686</v>
      </c>
      <c r="B1258" s="34" t="str">
        <f aca="false">IF(A1258="100","HK",IF(A1258="200","CN",IF(A1258="300","TW","홀세일")))</f>
        <v>TW</v>
      </c>
      <c r="C1258" s="94" t="s">
        <v>633</v>
      </c>
      <c r="D1258" s="95" t="n">
        <v>70</v>
      </c>
      <c r="E1258" s="95" t="n">
        <v>149000</v>
      </c>
      <c r="F1258" s="95" t="n">
        <v>32700</v>
      </c>
      <c r="G1258" s="34" t="n">
        <v>3.23</v>
      </c>
      <c r="H1258" s="34" t="n">
        <v>37.3</v>
      </c>
      <c r="I1258" s="34" t="n">
        <v>0</v>
      </c>
      <c r="J1258" s="95" t="n">
        <f aca="false">IF(N(E1258)&gt;0,E1258,IF(N(F1258)&gt;0,F1258*가정!$B$5,0))</f>
        <v>149000</v>
      </c>
      <c r="K1258" s="95" t="n">
        <f aca="false">IF(N(F1258)&gt;0,F1258,IF(N(E1258)&gt;0,E1258/가정!$B$5,0))</f>
        <v>32700</v>
      </c>
      <c r="L1258" s="95" t="n">
        <f aca="false">IF(B1258="CN",IF(N(I1258)&gt;0,I1258*가정!$B$3,K1258*(1+가정!$B$6)),IF(N(H1258)&gt;0,H1258*가정!$B$3,J1258*가정!$B$4))</f>
        <v>50831.694</v>
      </c>
      <c r="M1258" s="95" t="n">
        <f aca="false">D1258*J1258</f>
        <v>10430000</v>
      </c>
      <c r="N1258" s="95" t="n">
        <f aca="false">D1258*K1258</f>
        <v>2289000</v>
      </c>
      <c r="O1258" s="95" t="n">
        <f aca="false">D1258*L1258</f>
        <v>3558218.58</v>
      </c>
      <c r="P1258" s="34" t="str">
        <f aca="false">TRIM(IF(N(E1258)&lt;=0,"택가보정 ","")&amp;IF(N(F1258)&lt;=0,"원가보정 ","")&amp;IF(AND(B1258&lt;&gt;"CN",N(H1258)&lt;=0),"공급가보정 ","")&amp;IF(AND(B1258="CN",N(I1258)&lt;=0),"중국공급가=원가+마진 ",""))</f>
        <v/>
      </c>
    </row>
    <row r="1259" customFormat="false" ht="15" hidden="false" customHeight="true" outlineLevel="0" collapsed="false">
      <c r="A1259" s="94" t="s">
        <v>1688</v>
      </c>
      <c r="B1259" s="34" t="str">
        <f aca="false">IF(A1259="100","HK",IF(A1259="200","CN",IF(A1259="300","TW","홀세일")))</f>
        <v>홀세일</v>
      </c>
      <c r="C1259" s="94" t="s">
        <v>633</v>
      </c>
      <c r="D1259" s="95" t="n">
        <v>20</v>
      </c>
      <c r="E1259" s="95" t="n">
        <v>149000</v>
      </c>
      <c r="F1259" s="95" t="n">
        <v>32700</v>
      </c>
      <c r="G1259" s="34" t="n">
        <v>3.23</v>
      </c>
      <c r="H1259" s="34" t="n">
        <v>37.3</v>
      </c>
      <c r="I1259" s="34" t="n">
        <v>0</v>
      </c>
      <c r="J1259" s="95" t="n">
        <f aca="false">IF(N(E1259)&gt;0,E1259,IF(N(F1259)&gt;0,F1259*가정!$B$5,0))</f>
        <v>149000</v>
      </c>
      <c r="K1259" s="95" t="n">
        <f aca="false">IF(N(F1259)&gt;0,F1259,IF(N(E1259)&gt;0,E1259/가정!$B$5,0))</f>
        <v>32700</v>
      </c>
      <c r="L1259" s="95" t="n">
        <f aca="false">IF(B1259="CN",IF(N(I1259)&gt;0,I1259*가정!$B$3,K1259*(1+가정!$B$6)),IF(N(H1259)&gt;0,H1259*가정!$B$3,J1259*가정!$B$4))</f>
        <v>50831.694</v>
      </c>
      <c r="M1259" s="95" t="n">
        <f aca="false">D1259*J1259</f>
        <v>2980000</v>
      </c>
      <c r="N1259" s="95" t="n">
        <f aca="false">D1259*K1259</f>
        <v>654000</v>
      </c>
      <c r="O1259" s="95" t="n">
        <f aca="false">D1259*L1259</f>
        <v>1016633.88</v>
      </c>
      <c r="P1259" s="34" t="str">
        <f aca="false">TRIM(IF(N(E1259)&lt;=0,"택가보정 ","")&amp;IF(N(F1259)&lt;=0,"원가보정 ","")&amp;IF(AND(B1259&lt;&gt;"CN",N(H1259)&lt;=0),"공급가보정 ","")&amp;IF(AND(B1259="CN",N(I1259)&lt;=0),"중국공급가=원가+마진 ",""))</f>
        <v/>
      </c>
    </row>
    <row r="1260" customFormat="false" ht="15" hidden="false" customHeight="true" outlineLevel="0" collapsed="false">
      <c r="A1260" s="94" t="s">
        <v>1690</v>
      </c>
      <c r="B1260" s="34" t="str">
        <f aca="false">IF(A1260="100","HK",IF(A1260="200","CN",IF(A1260="300","TW","홀세일")))</f>
        <v>홀세일</v>
      </c>
      <c r="C1260" s="94" t="s">
        <v>1735</v>
      </c>
      <c r="D1260" s="95" t="n">
        <v>204</v>
      </c>
      <c r="E1260" s="95" t="n">
        <v>159000</v>
      </c>
      <c r="F1260" s="95" t="n">
        <v>32800</v>
      </c>
      <c r="G1260" s="34" t="n">
        <v>3.65</v>
      </c>
      <c r="H1260" s="34" t="n">
        <v>37.4</v>
      </c>
      <c r="I1260" s="34" t="n">
        <v>0</v>
      </c>
      <c r="J1260" s="95" t="n">
        <f aca="false">IF(N(E1260)&gt;0,E1260,IF(N(F1260)&gt;0,F1260*가정!$B$5,0))</f>
        <v>159000</v>
      </c>
      <c r="K1260" s="95" t="n">
        <f aca="false">IF(N(F1260)&gt;0,F1260,IF(N(E1260)&gt;0,E1260/가정!$B$5,0))</f>
        <v>32800</v>
      </c>
      <c r="L1260" s="95" t="n">
        <f aca="false">IF(B1260="CN",IF(N(I1260)&gt;0,I1260*가정!$B$3,K1260*(1+가정!$B$6)),IF(N(H1260)&gt;0,H1260*가정!$B$3,J1260*가정!$B$4))</f>
        <v>50967.972</v>
      </c>
      <c r="M1260" s="95" t="n">
        <f aca="false">D1260*J1260</f>
        <v>32436000</v>
      </c>
      <c r="N1260" s="95" t="n">
        <f aca="false">D1260*K1260</f>
        <v>6691200</v>
      </c>
      <c r="O1260" s="95" t="n">
        <f aca="false">D1260*L1260</f>
        <v>10397466.288</v>
      </c>
      <c r="P1260" s="34" t="str">
        <f aca="false">TRIM(IF(N(E1260)&lt;=0,"택가보정 ","")&amp;IF(N(F1260)&lt;=0,"원가보정 ","")&amp;IF(AND(B1260&lt;&gt;"CN",N(H1260)&lt;=0),"공급가보정 ","")&amp;IF(AND(B1260="CN",N(I1260)&lt;=0),"중국공급가=원가+마진 ",""))</f>
        <v/>
      </c>
    </row>
    <row r="1261" customFormat="false" ht="15" hidden="false" customHeight="true" outlineLevel="0" collapsed="false">
      <c r="A1261" s="94" t="s">
        <v>1685</v>
      </c>
      <c r="B1261" s="34" t="str">
        <f aca="false">IF(A1261="100","HK",IF(A1261="200","CN",IF(A1261="300","TW","홀세일")))</f>
        <v>CN</v>
      </c>
      <c r="C1261" s="94" t="s">
        <v>635</v>
      </c>
      <c r="D1261" s="95" t="n">
        <v>478</v>
      </c>
      <c r="E1261" s="95" t="n">
        <v>199000</v>
      </c>
      <c r="F1261" s="95" t="n">
        <v>44602</v>
      </c>
      <c r="G1261" s="34" t="n">
        <v>4.4</v>
      </c>
      <c r="H1261" s="34" t="n">
        <v>46.8</v>
      </c>
      <c r="I1261" s="34" t="n">
        <v>37.6</v>
      </c>
      <c r="J1261" s="95" t="n">
        <f aca="false">IF(N(E1261)&gt;0,E1261,IF(N(F1261)&gt;0,F1261*가정!$B$5,0))</f>
        <v>199000</v>
      </c>
      <c r="K1261" s="95" t="n">
        <f aca="false">IF(N(F1261)&gt;0,F1261,IF(N(E1261)&gt;0,E1261/가정!$B$5,0))</f>
        <v>44602</v>
      </c>
      <c r="L1261" s="95" t="n">
        <f aca="false">IF(B1261="CN",IF(N(I1261)&gt;0,I1261*가정!$B$3,K1261*(1+가정!$B$6)),IF(N(H1261)&gt;0,H1261*가정!$B$3,J1261*가정!$B$4))</f>
        <v>51240.528</v>
      </c>
      <c r="M1261" s="95" t="n">
        <f aca="false">D1261*J1261</f>
        <v>95122000</v>
      </c>
      <c r="N1261" s="95" t="n">
        <f aca="false">D1261*K1261</f>
        <v>21319756</v>
      </c>
      <c r="O1261" s="95" t="n">
        <f aca="false">D1261*L1261</f>
        <v>24492972.384</v>
      </c>
      <c r="P1261" s="34" t="str">
        <f aca="false">TRIM(IF(N(E1261)&lt;=0,"택가보정 ","")&amp;IF(N(F1261)&lt;=0,"원가보정 ","")&amp;IF(AND(B1261&lt;&gt;"CN",N(H1261)&lt;=0),"공급가보정 ","")&amp;IF(AND(B1261="CN",N(I1261)&lt;=0),"중국공급가=원가+마진 ",""))</f>
        <v/>
      </c>
    </row>
    <row r="1262" customFormat="false" ht="15" hidden="false" customHeight="true" outlineLevel="0" collapsed="false">
      <c r="A1262" s="94" t="s">
        <v>1685</v>
      </c>
      <c r="B1262" s="34" t="str">
        <f aca="false">IF(A1262="100","HK",IF(A1262="200","CN",IF(A1262="300","TW","홀세일")))</f>
        <v>CN</v>
      </c>
      <c r="C1262" s="94" t="s">
        <v>635</v>
      </c>
      <c r="D1262" s="95" t="n">
        <v>478</v>
      </c>
      <c r="E1262" s="95" t="n">
        <v>199000</v>
      </c>
      <c r="F1262" s="95" t="n">
        <v>44602</v>
      </c>
      <c r="G1262" s="34" t="n">
        <v>4.4</v>
      </c>
      <c r="H1262" s="34" t="n">
        <v>46.8</v>
      </c>
      <c r="I1262" s="34" t="n">
        <v>37.6</v>
      </c>
      <c r="J1262" s="95" t="n">
        <f aca="false">IF(N(E1262)&gt;0,E1262,IF(N(F1262)&gt;0,F1262*가정!$B$5,0))</f>
        <v>199000</v>
      </c>
      <c r="K1262" s="95" t="n">
        <f aca="false">IF(N(F1262)&gt;0,F1262,IF(N(E1262)&gt;0,E1262/가정!$B$5,0))</f>
        <v>44602</v>
      </c>
      <c r="L1262" s="95" t="n">
        <f aca="false">IF(B1262="CN",IF(N(I1262)&gt;0,I1262*가정!$B$3,K1262*(1+가정!$B$6)),IF(N(H1262)&gt;0,H1262*가정!$B$3,J1262*가정!$B$4))</f>
        <v>51240.528</v>
      </c>
      <c r="M1262" s="95" t="n">
        <f aca="false">D1262*J1262</f>
        <v>95122000</v>
      </c>
      <c r="N1262" s="95" t="n">
        <f aca="false">D1262*K1262</f>
        <v>21319756</v>
      </c>
      <c r="O1262" s="95" t="n">
        <f aca="false">D1262*L1262</f>
        <v>24492972.384</v>
      </c>
      <c r="P1262" s="34" t="str">
        <f aca="false">TRIM(IF(N(E1262)&lt;=0,"택가보정 ","")&amp;IF(N(F1262)&lt;=0,"원가보정 ","")&amp;IF(AND(B1262&lt;&gt;"CN",N(H1262)&lt;=0),"공급가보정 ","")&amp;IF(AND(B1262="CN",N(I1262)&lt;=0),"중국공급가=원가+마진 ",""))</f>
        <v/>
      </c>
    </row>
    <row r="1263" customFormat="false" ht="15" hidden="false" customHeight="true" outlineLevel="0" collapsed="false">
      <c r="A1263" s="94" t="s">
        <v>1686</v>
      </c>
      <c r="B1263" s="34" t="str">
        <f aca="false">IF(A1263="100","HK",IF(A1263="200","CN",IF(A1263="300","TW","홀세일")))</f>
        <v>TW</v>
      </c>
      <c r="C1263" s="94" t="s">
        <v>635</v>
      </c>
      <c r="D1263" s="95" t="n">
        <v>360</v>
      </c>
      <c r="E1263" s="95" t="n">
        <v>199000</v>
      </c>
      <c r="F1263" s="95" t="n">
        <v>44602</v>
      </c>
      <c r="G1263" s="34" t="n">
        <v>4.4</v>
      </c>
      <c r="H1263" s="34" t="n">
        <v>46.8</v>
      </c>
      <c r="I1263" s="34" t="n">
        <v>37.6</v>
      </c>
      <c r="J1263" s="95" t="n">
        <f aca="false">IF(N(E1263)&gt;0,E1263,IF(N(F1263)&gt;0,F1263*가정!$B$5,0))</f>
        <v>199000</v>
      </c>
      <c r="K1263" s="95" t="n">
        <f aca="false">IF(N(F1263)&gt;0,F1263,IF(N(E1263)&gt;0,E1263/가정!$B$5,0))</f>
        <v>44602</v>
      </c>
      <c r="L1263" s="95" t="n">
        <f aca="false">IF(B1263="CN",IF(N(I1263)&gt;0,I1263*가정!$B$3,K1263*(1+가정!$B$6)),IF(N(H1263)&gt;0,H1263*가정!$B$3,J1263*가정!$B$4))</f>
        <v>63778.104</v>
      </c>
      <c r="M1263" s="95" t="n">
        <f aca="false">D1263*J1263</f>
        <v>71640000</v>
      </c>
      <c r="N1263" s="95" t="n">
        <f aca="false">D1263*K1263</f>
        <v>16056720</v>
      </c>
      <c r="O1263" s="95" t="n">
        <f aca="false">D1263*L1263</f>
        <v>22960117.44</v>
      </c>
      <c r="P1263" s="34" t="str">
        <f aca="false">TRIM(IF(N(E1263)&lt;=0,"택가보정 ","")&amp;IF(N(F1263)&lt;=0,"원가보정 ","")&amp;IF(AND(B1263&lt;&gt;"CN",N(H1263)&lt;=0),"공급가보정 ","")&amp;IF(AND(B1263="CN",N(I1263)&lt;=0),"중국공급가=원가+마진 ",""))</f>
        <v/>
      </c>
    </row>
    <row r="1264" customFormat="false" ht="15" hidden="false" customHeight="true" outlineLevel="0" collapsed="false">
      <c r="A1264" s="94" t="s">
        <v>1692</v>
      </c>
      <c r="B1264" s="34" t="str">
        <f aca="false">IF(A1264="100","HK",IF(A1264="200","CN",IF(A1264="300","TW","홀세일")))</f>
        <v>홀세일</v>
      </c>
      <c r="C1264" s="94" t="s">
        <v>635</v>
      </c>
      <c r="D1264" s="95" t="n">
        <v>142</v>
      </c>
      <c r="E1264" s="95" t="n">
        <v>199000</v>
      </c>
      <c r="F1264" s="95" t="n">
        <v>44602</v>
      </c>
      <c r="G1264" s="34" t="n">
        <v>4.4</v>
      </c>
      <c r="H1264" s="34" t="n">
        <v>46.8</v>
      </c>
      <c r="I1264" s="34" t="n">
        <v>37.6</v>
      </c>
      <c r="J1264" s="95" t="n">
        <f aca="false">IF(N(E1264)&gt;0,E1264,IF(N(F1264)&gt;0,F1264*가정!$B$5,0))</f>
        <v>199000</v>
      </c>
      <c r="K1264" s="95" t="n">
        <f aca="false">IF(N(F1264)&gt;0,F1264,IF(N(E1264)&gt;0,E1264/가정!$B$5,0))</f>
        <v>44602</v>
      </c>
      <c r="L1264" s="95" t="n">
        <f aca="false">IF(B1264="CN",IF(N(I1264)&gt;0,I1264*가정!$B$3,K1264*(1+가정!$B$6)),IF(N(H1264)&gt;0,H1264*가정!$B$3,J1264*가정!$B$4))</f>
        <v>63778.104</v>
      </c>
      <c r="M1264" s="95" t="n">
        <f aca="false">D1264*J1264</f>
        <v>28258000</v>
      </c>
      <c r="N1264" s="95" t="n">
        <f aca="false">D1264*K1264</f>
        <v>6333484</v>
      </c>
      <c r="O1264" s="95" t="n">
        <f aca="false">D1264*L1264</f>
        <v>9056490.768</v>
      </c>
      <c r="P1264" s="34" t="str">
        <f aca="false">TRIM(IF(N(E1264)&lt;=0,"택가보정 ","")&amp;IF(N(F1264)&lt;=0,"원가보정 ","")&amp;IF(AND(B1264&lt;&gt;"CN",N(H1264)&lt;=0),"공급가보정 ","")&amp;IF(AND(B1264="CN",N(I1264)&lt;=0),"중국공급가=원가+마진 ",""))</f>
        <v/>
      </c>
    </row>
    <row r="1265" customFormat="false" ht="15" hidden="false" customHeight="true" outlineLevel="0" collapsed="false">
      <c r="A1265" s="94" t="s">
        <v>1691</v>
      </c>
      <c r="B1265" s="34" t="str">
        <f aca="false">IF(A1265="100","HK",IF(A1265="200","CN",IF(A1265="300","TW","홀세일")))</f>
        <v>홀세일</v>
      </c>
      <c r="C1265" s="94" t="s">
        <v>635</v>
      </c>
      <c r="D1265" s="95" t="n">
        <v>45</v>
      </c>
      <c r="E1265" s="95" t="n">
        <v>199000</v>
      </c>
      <c r="F1265" s="95" t="n">
        <v>44602</v>
      </c>
      <c r="G1265" s="34" t="n">
        <v>4.4</v>
      </c>
      <c r="H1265" s="34" t="n">
        <v>46.8</v>
      </c>
      <c r="I1265" s="34" t="n">
        <v>37.6</v>
      </c>
      <c r="J1265" s="95" t="n">
        <f aca="false">IF(N(E1265)&gt;0,E1265,IF(N(F1265)&gt;0,F1265*가정!$B$5,0))</f>
        <v>199000</v>
      </c>
      <c r="K1265" s="95" t="n">
        <f aca="false">IF(N(F1265)&gt;0,F1265,IF(N(E1265)&gt;0,E1265/가정!$B$5,0))</f>
        <v>44602</v>
      </c>
      <c r="L1265" s="95" t="n">
        <f aca="false">IF(B1265="CN",IF(N(I1265)&gt;0,I1265*가정!$B$3,K1265*(1+가정!$B$6)),IF(N(H1265)&gt;0,H1265*가정!$B$3,J1265*가정!$B$4))</f>
        <v>63778.104</v>
      </c>
      <c r="M1265" s="95" t="n">
        <f aca="false">D1265*J1265</f>
        <v>8955000</v>
      </c>
      <c r="N1265" s="95" t="n">
        <f aca="false">D1265*K1265</f>
        <v>2007090</v>
      </c>
      <c r="O1265" s="95" t="n">
        <f aca="false">D1265*L1265</f>
        <v>2870014.68</v>
      </c>
      <c r="P1265" s="34" t="str">
        <f aca="false">TRIM(IF(N(E1265)&lt;=0,"택가보정 ","")&amp;IF(N(F1265)&lt;=0,"원가보정 ","")&amp;IF(AND(B1265&lt;&gt;"CN",N(H1265)&lt;=0),"공급가보정 ","")&amp;IF(AND(B1265="CN",N(I1265)&lt;=0),"중국공급가=원가+마진 ",""))</f>
        <v/>
      </c>
    </row>
    <row r="1266" customFormat="false" ht="15" hidden="false" customHeight="true" outlineLevel="0" collapsed="false">
      <c r="A1266" s="94" t="s">
        <v>1684</v>
      </c>
      <c r="B1266" s="34" t="str">
        <f aca="false">IF(A1266="100","HK",IF(A1266="200","CN",IF(A1266="300","TW","홀세일")))</f>
        <v>HK</v>
      </c>
      <c r="C1266" s="94" t="s">
        <v>1003</v>
      </c>
      <c r="D1266" s="95" t="n">
        <v>200</v>
      </c>
      <c r="E1266" s="95" t="n">
        <v>159000</v>
      </c>
      <c r="F1266" s="95" t="n">
        <v>33400</v>
      </c>
      <c r="G1266" s="34" t="n">
        <v>4.08</v>
      </c>
      <c r="H1266" s="34" t="n">
        <v>37.4</v>
      </c>
      <c r="I1266" s="34" t="n">
        <v>26</v>
      </c>
      <c r="J1266" s="95" t="n">
        <f aca="false">IF(N(E1266)&gt;0,E1266,IF(N(F1266)&gt;0,F1266*가정!$B$5,0))</f>
        <v>159000</v>
      </c>
      <c r="K1266" s="95" t="n">
        <f aca="false">IF(N(F1266)&gt;0,F1266,IF(N(E1266)&gt;0,E1266/가정!$B$5,0))</f>
        <v>33400</v>
      </c>
      <c r="L1266" s="95" t="n">
        <f aca="false">IF(B1266="CN",IF(N(I1266)&gt;0,I1266*가정!$B$3,K1266*(1+가정!$B$6)),IF(N(H1266)&gt;0,H1266*가정!$B$3,J1266*가정!$B$4))</f>
        <v>50967.972</v>
      </c>
      <c r="M1266" s="95" t="n">
        <f aca="false">D1266*J1266</f>
        <v>31800000</v>
      </c>
      <c r="N1266" s="95" t="n">
        <f aca="false">D1266*K1266</f>
        <v>6680000</v>
      </c>
      <c r="O1266" s="95" t="n">
        <f aca="false">D1266*L1266</f>
        <v>10193594.4</v>
      </c>
      <c r="P1266" s="34" t="str">
        <f aca="false">TRIM(IF(N(E1266)&lt;=0,"택가보정 ","")&amp;IF(N(F1266)&lt;=0,"원가보정 ","")&amp;IF(AND(B1266&lt;&gt;"CN",N(H1266)&lt;=0),"공급가보정 ","")&amp;IF(AND(B1266="CN",N(I1266)&lt;=0),"중국공급가=원가+마진 ",""))</f>
        <v/>
      </c>
    </row>
    <row r="1267" customFormat="false" ht="15" hidden="false" customHeight="true" outlineLevel="0" collapsed="false">
      <c r="A1267" s="94" t="s">
        <v>1685</v>
      </c>
      <c r="B1267" s="34" t="str">
        <f aca="false">IF(A1267="100","HK",IF(A1267="200","CN",IF(A1267="300","TW","홀세일")))</f>
        <v>CN</v>
      </c>
      <c r="C1267" s="94" t="s">
        <v>1003</v>
      </c>
      <c r="D1267" s="95" t="n">
        <v>302</v>
      </c>
      <c r="E1267" s="95" t="n">
        <v>159000</v>
      </c>
      <c r="F1267" s="95" t="n">
        <v>33400</v>
      </c>
      <c r="G1267" s="34" t="n">
        <v>4.08</v>
      </c>
      <c r="H1267" s="34" t="n">
        <v>37.4</v>
      </c>
      <c r="I1267" s="34" t="n">
        <v>26</v>
      </c>
      <c r="J1267" s="95" t="n">
        <f aca="false">IF(N(E1267)&gt;0,E1267,IF(N(F1267)&gt;0,F1267*가정!$B$5,0))</f>
        <v>159000</v>
      </c>
      <c r="K1267" s="95" t="n">
        <f aca="false">IF(N(F1267)&gt;0,F1267,IF(N(E1267)&gt;0,E1267/가정!$B$5,0))</f>
        <v>33400</v>
      </c>
      <c r="L1267" s="95" t="n">
        <f aca="false">IF(B1267="CN",IF(N(I1267)&gt;0,I1267*가정!$B$3,K1267*(1+가정!$B$6)),IF(N(H1267)&gt;0,H1267*가정!$B$3,J1267*가정!$B$4))</f>
        <v>35432.28</v>
      </c>
      <c r="M1267" s="95" t="n">
        <f aca="false">D1267*J1267</f>
        <v>48018000</v>
      </c>
      <c r="N1267" s="95" t="n">
        <f aca="false">D1267*K1267</f>
        <v>10086800</v>
      </c>
      <c r="O1267" s="95" t="n">
        <f aca="false">D1267*L1267</f>
        <v>10700548.56</v>
      </c>
      <c r="P1267" s="34" t="str">
        <f aca="false">TRIM(IF(N(E1267)&lt;=0,"택가보정 ","")&amp;IF(N(F1267)&lt;=0,"원가보정 ","")&amp;IF(AND(B1267&lt;&gt;"CN",N(H1267)&lt;=0),"공급가보정 ","")&amp;IF(AND(B1267="CN",N(I1267)&lt;=0),"중국공급가=원가+마진 ",""))</f>
        <v/>
      </c>
    </row>
    <row r="1268" customFormat="false" ht="15" hidden="false" customHeight="true" outlineLevel="0" collapsed="false">
      <c r="A1268" s="94" t="s">
        <v>1688</v>
      </c>
      <c r="B1268" s="34" t="str">
        <f aca="false">IF(A1268="100","HK",IF(A1268="200","CN",IF(A1268="300","TW","홀세일")))</f>
        <v>홀세일</v>
      </c>
      <c r="C1268" s="94" t="s">
        <v>1003</v>
      </c>
      <c r="D1268" s="95" t="n">
        <v>20</v>
      </c>
      <c r="E1268" s="95" t="n">
        <v>159000</v>
      </c>
      <c r="F1268" s="95" t="n">
        <v>33400</v>
      </c>
      <c r="G1268" s="34" t="n">
        <v>4.08</v>
      </c>
      <c r="H1268" s="34" t="n">
        <v>37.4</v>
      </c>
      <c r="I1268" s="34" t="n">
        <v>26</v>
      </c>
      <c r="J1268" s="95" t="n">
        <f aca="false">IF(N(E1268)&gt;0,E1268,IF(N(F1268)&gt;0,F1268*가정!$B$5,0))</f>
        <v>159000</v>
      </c>
      <c r="K1268" s="95" t="n">
        <f aca="false">IF(N(F1268)&gt;0,F1268,IF(N(E1268)&gt;0,E1268/가정!$B$5,0))</f>
        <v>33400</v>
      </c>
      <c r="L1268" s="95" t="n">
        <f aca="false">IF(B1268="CN",IF(N(I1268)&gt;0,I1268*가정!$B$3,K1268*(1+가정!$B$6)),IF(N(H1268)&gt;0,H1268*가정!$B$3,J1268*가정!$B$4))</f>
        <v>50967.972</v>
      </c>
      <c r="M1268" s="95" t="n">
        <f aca="false">D1268*J1268</f>
        <v>3180000</v>
      </c>
      <c r="N1268" s="95" t="n">
        <f aca="false">D1268*K1268</f>
        <v>668000</v>
      </c>
      <c r="O1268" s="95" t="n">
        <f aca="false">D1268*L1268</f>
        <v>1019359.44</v>
      </c>
      <c r="P1268" s="34" t="str">
        <f aca="false">TRIM(IF(N(E1268)&lt;=0,"택가보정 ","")&amp;IF(N(F1268)&lt;=0,"원가보정 ","")&amp;IF(AND(B1268&lt;&gt;"CN",N(H1268)&lt;=0),"공급가보정 ","")&amp;IF(AND(B1268="CN",N(I1268)&lt;=0),"중국공급가=원가+마진 ",""))</f>
        <v/>
      </c>
    </row>
    <row r="1269" customFormat="false" ht="15" hidden="false" customHeight="true" outlineLevel="0" collapsed="false">
      <c r="A1269" s="94" t="s">
        <v>1684</v>
      </c>
      <c r="B1269" s="34" t="str">
        <f aca="false">IF(A1269="100","HK",IF(A1269="200","CN",IF(A1269="300","TW","홀세일")))</f>
        <v>HK</v>
      </c>
      <c r="C1269" s="94" t="s">
        <v>1005</v>
      </c>
      <c r="D1269" s="95" t="n">
        <v>180</v>
      </c>
      <c r="E1269" s="95" t="n">
        <v>119000</v>
      </c>
      <c r="F1269" s="95" t="n">
        <v>23000</v>
      </c>
      <c r="G1269" s="34" t="n">
        <v>4.33</v>
      </c>
      <c r="H1269" s="34" t="n">
        <v>28.9</v>
      </c>
      <c r="I1269" s="34" t="n">
        <v>0</v>
      </c>
      <c r="J1269" s="95" t="n">
        <f aca="false">IF(N(E1269)&gt;0,E1269,IF(N(F1269)&gt;0,F1269*가정!$B$5,0))</f>
        <v>119000</v>
      </c>
      <c r="K1269" s="95" t="n">
        <f aca="false">IF(N(F1269)&gt;0,F1269,IF(N(E1269)&gt;0,E1269/가정!$B$5,0))</f>
        <v>23000</v>
      </c>
      <c r="L1269" s="95" t="n">
        <f aca="false">IF(B1269="CN",IF(N(I1269)&gt;0,I1269*가정!$B$3,K1269*(1+가정!$B$6)),IF(N(H1269)&gt;0,H1269*가정!$B$3,J1269*가정!$B$4))</f>
        <v>39384.342</v>
      </c>
      <c r="M1269" s="95" t="n">
        <f aca="false">D1269*J1269</f>
        <v>21420000</v>
      </c>
      <c r="N1269" s="95" t="n">
        <f aca="false">D1269*K1269</f>
        <v>4140000</v>
      </c>
      <c r="O1269" s="95" t="n">
        <f aca="false">D1269*L1269</f>
        <v>7089181.56</v>
      </c>
      <c r="P1269" s="34" t="str">
        <f aca="false">TRIM(IF(N(E1269)&lt;=0,"택가보정 ","")&amp;IF(N(F1269)&lt;=0,"원가보정 ","")&amp;IF(AND(B1269&lt;&gt;"CN",N(H1269)&lt;=0),"공급가보정 ","")&amp;IF(AND(B1269="CN",N(I1269)&lt;=0),"중국공급가=원가+마진 ",""))</f>
        <v/>
      </c>
    </row>
    <row r="1270" customFormat="false" ht="15" hidden="false" customHeight="true" outlineLevel="0" collapsed="false">
      <c r="A1270" s="94" t="s">
        <v>1686</v>
      </c>
      <c r="B1270" s="34" t="str">
        <f aca="false">IF(A1270="100","HK",IF(A1270="200","CN",IF(A1270="300","TW","홀세일")))</f>
        <v>TW</v>
      </c>
      <c r="C1270" s="94" t="s">
        <v>637</v>
      </c>
      <c r="D1270" s="95" t="n">
        <v>100</v>
      </c>
      <c r="E1270" s="95" t="n">
        <v>129000</v>
      </c>
      <c r="F1270" s="95" t="n">
        <v>29900</v>
      </c>
      <c r="G1270" s="34" t="n">
        <v>3.77</v>
      </c>
      <c r="H1270" s="34" t="n">
        <v>30.4</v>
      </c>
      <c r="I1270" s="34" t="n">
        <v>0</v>
      </c>
      <c r="J1270" s="95" t="n">
        <f aca="false">IF(N(E1270)&gt;0,E1270,IF(N(F1270)&gt;0,F1270*가정!$B$5,0))</f>
        <v>129000</v>
      </c>
      <c r="K1270" s="95" t="n">
        <f aca="false">IF(N(F1270)&gt;0,F1270,IF(N(E1270)&gt;0,E1270/가정!$B$5,0))</f>
        <v>29900</v>
      </c>
      <c r="L1270" s="95" t="n">
        <f aca="false">IF(B1270="CN",IF(N(I1270)&gt;0,I1270*가정!$B$3,K1270*(1+가정!$B$6)),IF(N(H1270)&gt;0,H1270*가정!$B$3,J1270*가정!$B$4))</f>
        <v>41428.512</v>
      </c>
      <c r="M1270" s="95" t="n">
        <f aca="false">D1270*J1270</f>
        <v>12900000</v>
      </c>
      <c r="N1270" s="95" t="n">
        <f aca="false">D1270*K1270</f>
        <v>2990000</v>
      </c>
      <c r="O1270" s="95" t="n">
        <f aca="false">D1270*L1270</f>
        <v>4142851.2</v>
      </c>
      <c r="P1270" s="34" t="str">
        <f aca="false">TRIM(IF(N(E1270)&lt;=0,"택가보정 ","")&amp;IF(N(F1270)&lt;=0,"원가보정 ","")&amp;IF(AND(B1270&lt;&gt;"CN",N(H1270)&lt;=0),"공급가보정 ","")&amp;IF(AND(B1270="CN",N(I1270)&lt;=0),"중국공급가=원가+마진 ",""))</f>
        <v/>
      </c>
    </row>
    <row r="1271" customFormat="false" ht="15" hidden="false" customHeight="true" outlineLevel="0" collapsed="false">
      <c r="A1271" s="94" t="s">
        <v>1690</v>
      </c>
      <c r="B1271" s="34" t="str">
        <f aca="false">IF(A1271="100","HK",IF(A1271="200","CN",IF(A1271="300","TW","홀세일")))</f>
        <v>홀세일</v>
      </c>
      <c r="C1271" s="94" t="s">
        <v>637</v>
      </c>
      <c r="D1271" s="95" t="n">
        <v>204</v>
      </c>
      <c r="E1271" s="95" t="n">
        <v>129000</v>
      </c>
      <c r="F1271" s="95" t="n">
        <v>29900</v>
      </c>
      <c r="G1271" s="34" t="n">
        <v>3.77</v>
      </c>
      <c r="H1271" s="34" t="n">
        <v>30.4</v>
      </c>
      <c r="I1271" s="34" t="n">
        <v>0</v>
      </c>
      <c r="J1271" s="95" t="n">
        <f aca="false">IF(N(E1271)&gt;0,E1271,IF(N(F1271)&gt;0,F1271*가정!$B$5,0))</f>
        <v>129000</v>
      </c>
      <c r="K1271" s="95" t="n">
        <f aca="false">IF(N(F1271)&gt;0,F1271,IF(N(E1271)&gt;0,E1271/가정!$B$5,0))</f>
        <v>29900</v>
      </c>
      <c r="L1271" s="95" t="n">
        <f aca="false">IF(B1271="CN",IF(N(I1271)&gt;0,I1271*가정!$B$3,K1271*(1+가정!$B$6)),IF(N(H1271)&gt;0,H1271*가정!$B$3,J1271*가정!$B$4))</f>
        <v>41428.512</v>
      </c>
      <c r="M1271" s="95" t="n">
        <f aca="false">D1271*J1271</f>
        <v>26316000</v>
      </c>
      <c r="N1271" s="95" t="n">
        <f aca="false">D1271*K1271</f>
        <v>6099600</v>
      </c>
      <c r="O1271" s="95" t="n">
        <f aca="false">D1271*L1271</f>
        <v>8451416.448</v>
      </c>
      <c r="P1271" s="34" t="str">
        <f aca="false">TRIM(IF(N(E1271)&lt;=0,"택가보정 ","")&amp;IF(N(F1271)&lt;=0,"원가보정 ","")&amp;IF(AND(B1271&lt;&gt;"CN",N(H1271)&lt;=0),"공급가보정 ","")&amp;IF(AND(B1271="CN",N(I1271)&lt;=0),"중국공급가=원가+마진 ",""))</f>
        <v/>
      </c>
    </row>
    <row r="1272" customFormat="false" ht="15" hidden="false" customHeight="true" outlineLevel="0" collapsed="false">
      <c r="A1272" s="94" t="s">
        <v>1688</v>
      </c>
      <c r="B1272" s="34" t="str">
        <f aca="false">IF(A1272="100","HK",IF(A1272="200","CN",IF(A1272="300","TW","홀세일")))</f>
        <v>홀세일</v>
      </c>
      <c r="C1272" s="94" t="s">
        <v>1391</v>
      </c>
      <c r="D1272" s="95" t="n">
        <v>40</v>
      </c>
      <c r="E1272" s="95" t="n">
        <v>149000</v>
      </c>
      <c r="F1272" s="95" t="n">
        <v>25600</v>
      </c>
      <c r="G1272" s="34" t="n">
        <v>5.07</v>
      </c>
      <c r="H1272" s="34" t="n">
        <v>36.1</v>
      </c>
      <c r="I1272" s="34" t="n">
        <v>0</v>
      </c>
      <c r="J1272" s="95" t="n">
        <f aca="false">IF(N(E1272)&gt;0,E1272,IF(N(F1272)&gt;0,F1272*가정!$B$5,0))</f>
        <v>149000</v>
      </c>
      <c r="K1272" s="95" t="n">
        <f aca="false">IF(N(F1272)&gt;0,F1272,IF(N(E1272)&gt;0,E1272/가정!$B$5,0))</f>
        <v>25600</v>
      </c>
      <c r="L1272" s="95" t="n">
        <f aca="false">IF(B1272="CN",IF(N(I1272)&gt;0,I1272*가정!$B$3,K1272*(1+가정!$B$6)),IF(N(H1272)&gt;0,H1272*가정!$B$3,J1272*가정!$B$4))</f>
        <v>49196.358</v>
      </c>
      <c r="M1272" s="95" t="n">
        <f aca="false">D1272*J1272</f>
        <v>5960000</v>
      </c>
      <c r="N1272" s="95" t="n">
        <f aca="false">D1272*K1272</f>
        <v>1024000</v>
      </c>
      <c r="O1272" s="95" t="n">
        <f aca="false">D1272*L1272</f>
        <v>1967854.32</v>
      </c>
      <c r="P1272" s="34" t="str">
        <f aca="false">TRIM(IF(N(E1272)&lt;=0,"택가보정 ","")&amp;IF(N(F1272)&lt;=0,"원가보정 ","")&amp;IF(AND(B1272&lt;&gt;"CN",N(H1272)&lt;=0),"공급가보정 ","")&amp;IF(AND(B1272="CN",N(I1272)&lt;=0),"중국공급가=원가+마진 ",""))</f>
        <v/>
      </c>
    </row>
    <row r="1273" customFormat="false" ht="15" hidden="false" customHeight="true" outlineLevel="0" collapsed="false">
      <c r="A1273" s="94" t="s">
        <v>1685</v>
      </c>
      <c r="B1273" s="34" t="str">
        <f aca="false">IF(A1273="100","HK",IF(A1273="200","CN",IF(A1273="300","TW","홀세일")))</f>
        <v>CN</v>
      </c>
      <c r="C1273" s="94" t="s">
        <v>1156</v>
      </c>
      <c r="D1273" s="95" t="n">
        <v>272</v>
      </c>
      <c r="E1273" s="95" t="n">
        <v>109000</v>
      </c>
      <c r="F1273" s="95" t="n">
        <v>24500</v>
      </c>
      <c r="G1273" s="34" t="n">
        <v>4.11</v>
      </c>
      <c r="H1273" s="34" t="n">
        <v>26.4</v>
      </c>
      <c r="I1273" s="34" t="n">
        <v>18.6</v>
      </c>
      <c r="J1273" s="95" t="n">
        <f aca="false">IF(N(E1273)&gt;0,E1273,IF(N(F1273)&gt;0,F1273*가정!$B$5,0))</f>
        <v>109000</v>
      </c>
      <c r="K1273" s="95" t="n">
        <f aca="false">IF(N(F1273)&gt;0,F1273,IF(N(E1273)&gt;0,E1273/가정!$B$5,0))</f>
        <v>24500</v>
      </c>
      <c r="L1273" s="95" t="n">
        <f aca="false">IF(B1273="CN",IF(N(I1273)&gt;0,I1273*가정!$B$3,K1273*(1+가정!$B$6)),IF(N(H1273)&gt;0,H1273*가정!$B$3,J1273*가정!$B$4))</f>
        <v>25347.708</v>
      </c>
      <c r="M1273" s="95" t="n">
        <f aca="false">D1273*J1273</f>
        <v>29648000</v>
      </c>
      <c r="N1273" s="95" t="n">
        <f aca="false">D1273*K1273</f>
        <v>6664000</v>
      </c>
      <c r="O1273" s="95" t="n">
        <f aca="false">D1273*L1273</f>
        <v>6894576.576</v>
      </c>
      <c r="P1273" s="34" t="str">
        <f aca="false">TRIM(IF(N(E1273)&lt;=0,"택가보정 ","")&amp;IF(N(F1273)&lt;=0,"원가보정 ","")&amp;IF(AND(B1273&lt;&gt;"CN",N(H1273)&lt;=0),"공급가보정 ","")&amp;IF(AND(B1273="CN",N(I1273)&lt;=0),"중국공급가=원가+마진 ",""))</f>
        <v/>
      </c>
    </row>
    <row r="1274" customFormat="false" ht="15" hidden="false" customHeight="true" outlineLevel="0" collapsed="false">
      <c r="A1274" s="94" t="s">
        <v>1688</v>
      </c>
      <c r="B1274" s="34" t="str">
        <f aca="false">IF(A1274="100","HK",IF(A1274="200","CN",IF(A1274="300","TW","홀세일")))</f>
        <v>홀세일</v>
      </c>
      <c r="C1274" s="94" t="s">
        <v>1393</v>
      </c>
      <c r="D1274" s="95" t="n">
        <v>30</v>
      </c>
      <c r="E1274" s="95" t="n">
        <v>99000</v>
      </c>
      <c r="F1274" s="95" t="n">
        <v>18700</v>
      </c>
      <c r="G1274" s="34" t="n">
        <v>3.9</v>
      </c>
      <c r="H1274" s="34" t="n">
        <v>23.3</v>
      </c>
      <c r="I1274" s="34" t="n">
        <v>0</v>
      </c>
      <c r="J1274" s="95" t="n">
        <f aca="false">IF(N(E1274)&gt;0,E1274,IF(N(F1274)&gt;0,F1274*가정!$B$5,0))</f>
        <v>99000</v>
      </c>
      <c r="K1274" s="95" t="n">
        <f aca="false">IF(N(F1274)&gt;0,F1274,IF(N(E1274)&gt;0,E1274/가정!$B$5,0))</f>
        <v>18700</v>
      </c>
      <c r="L1274" s="95" t="n">
        <f aca="false">IF(B1274="CN",IF(N(I1274)&gt;0,I1274*가정!$B$3,K1274*(1+가정!$B$6)),IF(N(H1274)&gt;0,H1274*가정!$B$3,J1274*가정!$B$4))</f>
        <v>31752.774</v>
      </c>
      <c r="M1274" s="95" t="n">
        <f aca="false">D1274*J1274</f>
        <v>2970000</v>
      </c>
      <c r="N1274" s="95" t="n">
        <f aca="false">D1274*K1274</f>
        <v>561000</v>
      </c>
      <c r="O1274" s="95" t="n">
        <f aca="false">D1274*L1274</f>
        <v>952583.22</v>
      </c>
      <c r="P1274" s="34" t="str">
        <f aca="false">TRIM(IF(N(E1274)&lt;=0,"택가보정 ","")&amp;IF(N(F1274)&lt;=0,"원가보정 ","")&amp;IF(AND(B1274&lt;&gt;"CN",N(H1274)&lt;=0),"공급가보정 ","")&amp;IF(AND(B1274="CN",N(I1274)&lt;=0),"중국공급가=원가+마진 ",""))</f>
        <v/>
      </c>
    </row>
    <row r="1275" customFormat="false" ht="15" hidden="false" customHeight="true" outlineLevel="0" collapsed="false">
      <c r="A1275" s="94" t="s">
        <v>1689</v>
      </c>
      <c r="B1275" s="34" t="str">
        <f aca="false">IF(A1275="100","HK",IF(A1275="200","CN",IF(A1275="300","TW","홀세일")))</f>
        <v>홀세일</v>
      </c>
      <c r="C1275" s="94" t="s">
        <v>1393</v>
      </c>
      <c r="D1275" s="95" t="n">
        <v>60</v>
      </c>
      <c r="E1275" s="95" t="n">
        <v>99000</v>
      </c>
      <c r="F1275" s="95" t="n">
        <v>18700</v>
      </c>
      <c r="G1275" s="34" t="n">
        <v>3.9</v>
      </c>
      <c r="H1275" s="34" t="n">
        <v>23.3</v>
      </c>
      <c r="I1275" s="34" t="n">
        <v>0</v>
      </c>
      <c r="J1275" s="95" t="n">
        <f aca="false">IF(N(E1275)&gt;0,E1275,IF(N(F1275)&gt;0,F1275*가정!$B$5,0))</f>
        <v>99000</v>
      </c>
      <c r="K1275" s="95" t="n">
        <f aca="false">IF(N(F1275)&gt;0,F1275,IF(N(E1275)&gt;0,E1275/가정!$B$5,0))</f>
        <v>18700</v>
      </c>
      <c r="L1275" s="95" t="n">
        <f aca="false">IF(B1275="CN",IF(N(I1275)&gt;0,I1275*가정!$B$3,K1275*(1+가정!$B$6)),IF(N(H1275)&gt;0,H1275*가정!$B$3,J1275*가정!$B$4))</f>
        <v>31752.774</v>
      </c>
      <c r="M1275" s="95" t="n">
        <f aca="false">D1275*J1275</f>
        <v>5940000</v>
      </c>
      <c r="N1275" s="95" t="n">
        <f aca="false">D1275*K1275</f>
        <v>1122000</v>
      </c>
      <c r="O1275" s="95" t="n">
        <f aca="false">D1275*L1275</f>
        <v>1905166.44</v>
      </c>
      <c r="P1275" s="34" t="str">
        <f aca="false">TRIM(IF(N(E1275)&lt;=0,"택가보정 ","")&amp;IF(N(F1275)&lt;=0,"원가보정 ","")&amp;IF(AND(B1275&lt;&gt;"CN",N(H1275)&lt;=0),"공급가보정 ","")&amp;IF(AND(B1275="CN",N(I1275)&lt;=0),"중국공급가=원가+마진 ",""))</f>
        <v/>
      </c>
    </row>
    <row r="1276" customFormat="false" ht="15" hidden="false" customHeight="true" outlineLevel="0" collapsed="false">
      <c r="A1276" s="94" t="s">
        <v>1690</v>
      </c>
      <c r="B1276" s="34" t="str">
        <f aca="false">IF(A1276="100","HK",IF(A1276="200","CN",IF(A1276="300","TW","홀세일")))</f>
        <v>홀세일</v>
      </c>
      <c r="C1276" s="94" t="s">
        <v>1736</v>
      </c>
      <c r="D1276" s="95" t="n">
        <v>204</v>
      </c>
      <c r="E1276" s="95" t="n">
        <v>109000</v>
      </c>
      <c r="F1276" s="95" t="n">
        <v>21600</v>
      </c>
      <c r="G1276" s="34" t="n">
        <v>3.82</v>
      </c>
      <c r="H1276" s="34" t="n">
        <v>25.7</v>
      </c>
      <c r="I1276" s="34" t="n">
        <v>0</v>
      </c>
      <c r="J1276" s="95" t="n">
        <f aca="false">IF(N(E1276)&gt;0,E1276,IF(N(F1276)&gt;0,F1276*가정!$B$5,0))</f>
        <v>109000</v>
      </c>
      <c r="K1276" s="95" t="n">
        <f aca="false">IF(N(F1276)&gt;0,F1276,IF(N(E1276)&gt;0,E1276/가정!$B$5,0))</f>
        <v>21600</v>
      </c>
      <c r="L1276" s="95" t="n">
        <f aca="false">IF(B1276="CN",IF(N(I1276)&gt;0,I1276*가정!$B$3,K1276*(1+가정!$B$6)),IF(N(H1276)&gt;0,H1276*가정!$B$3,J1276*가정!$B$4))</f>
        <v>35023.446</v>
      </c>
      <c r="M1276" s="95" t="n">
        <f aca="false">D1276*J1276</f>
        <v>22236000</v>
      </c>
      <c r="N1276" s="95" t="n">
        <f aca="false">D1276*K1276</f>
        <v>4406400</v>
      </c>
      <c r="O1276" s="95" t="n">
        <f aca="false">D1276*L1276</f>
        <v>7144782.984</v>
      </c>
      <c r="P1276" s="34" t="str">
        <f aca="false">TRIM(IF(N(E1276)&lt;=0,"택가보정 ","")&amp;IF(N(F1276)&lt;=0,"원가보정 ","")&amp;IF(AND(B1276&lt;&gt;"CN",N(H1276)&lt;=0),"공급가보정 ","")&amp;IF(AND(B1276="CN",N(I1276)&lt;=0),"중국공급가=원가+마진 ",""))</f>
        <v/>
      </c>
    </row>
    <row r="1277" customFormat="false" ht="15.75" hidden="false" customHeight="true" outlineLevel="0" collapsed="false">
      <c r="A1277" s="94" t="s">
        <v>1685</v>
      </c>
      <c r="B1277" s="34" t="str">
        <f aca="false">IF(A1277="100","HK",IF(A1277="200","CN",IF(A1277="300","TW","홀세일")))</f>
        <v>CN</v>
      </c>
      <c r="C1277" s="94" t="s">
        <v>1395</v>
      </c>
      <c r="D1277" s="95" t="n">
        <v>172</v>
      </c>
      <c r="E1277" s="95" t="n">
        <v>19000</v>
      </c>
      <c r="F1277" s="95" t="n">
        <v>4920</v>
      </c>
      <c r="G1277" s="34" t="n">
        <v>3.36</v>
      </c>
      <c r="H1277" s="34" t="n">
        <v>5.1</v>
      </c>
      <c r="J1277" s="95" t="n">
        <f aca="false">IF(N(E1277)&gt;0,E1277,IF(N(F1277)&gt;0,F1277*가정!$B$5,0))</f>
        <v>19000</v>
      </c>
      <c r="K1277" s="95" t="n">
        <f aca="false">IF(N(F1277)&gt;0,F1277,IF(N(E1277)&gt;0,E1277/가정!$B$5,0))</f>
        <v>4920</v>
      </c>
      <c r="L1277" s="95" t="n">
        <f aca="false">IF(B1277="CN",IF(N(I1277)&gt;0,I1277*가정!$B$3,K1277*(1+가정!$B$6)),IF(N(H1277)&gt;0,H1277*가정!$B$3,J1277*가정!$B$4))</f>
        <v>5166</v>
      </c>
      <c r="M1277" s="95" t="n">
        <f aca="false">D1277*J1277</f>
        <v>3268000</v>
      </c>
      <c r="N1277" s="95" t="n">
        <f aca="false">D1277*K1277</f>
        <v>846240</v>
      </c>
      <c r="O1277" s="95" t="n">
        <f aca="false">D1277*L1277</f>
        <v>888552</v>
      </c>
      <c r="P1277" s="34" t="str">
        <f aca="false">TRIM(IF(N(E1277)&lt;=0,"택가보정 ","")&amp;IF(N(F1277)&lt;=0,"원가보정 ","")&amp;IF(AND(B1277&lt;&gt;"CN",N(H1277)&lt;=0),"공급가보정 ","")&amp;IF(AND(B1277="CN",N(I1277)&lt;=0),"중국공급가=원가+마진 ",""))</f>
        <v>중국공급가=원가+마진</v>
      </c>
    </row>
    <row r="1278" customFormat="false" ht="15" hidden="false" customHeight="true" outlineLevel="0" collapsed="false">
      <c r="A1278" s="94" t="s">
        <v>1686</v>
      </c>
      <c r="B1278" s="34" t="str">
        <f aca="false">IF(A1278="100","HK",IF(A1278="200","CN",IF(A1278="300","TW","홀세일")))</f>
        <v>TW</v>
      </c>
      <c r="C1278" s="94" t="s">
        <v>1395</v>
      </c>
      <c r="D1278" s="95" t="n">
        <v>750</v>
      </c>
      <c r="E1278" s="95" t="n">
        <v>19000</v>
      </c>
      <c r="F1278" s="95" t="n">
        <v>4920</v>
      </c>
      <c r="G1278" s="34" t="n">
        <v>3.36</v>
      </c>
      <c r="H1278" s="34" t="n">
        <v>5.1</v>
      </c>
      <c r="J1278" s="95" t="n">
        <f aca="false">IF(N(E1278)&gt;0,E1278,IF(N(F1278)&gt;0,F1278*가정!$B$5,0))</f>
        <v>19000</v>
      </c>
      <c r="K1278" s="95" t="n">
        <f aca="false">IF(N(F1278)&gt;0,F1278,IF(N(E1278)&gt;0,E1278/가정!$B$5,0))</f>
        <v>4920</v>
      </c>
      <c r="L1278" s="95" t="n">
        <f aca="false">IF(B1278="CN",IF(N(I1278)&gt;0,I1278*가정!$B$3,K1278*(1+가정!$B$6)),IF(N(H1278)&gt;0,H1278*가정!$B$3,J1278*가정!$B$4))</f>
        <v>6950.178</v>
      </c>
      <c r="M1278" s="95" t="n">
        <f aca="false">D1278*J1278</f>
        <v>14250000</v>
      </c>
      <c r="N1278" s="95" t="n">
        <f aca="false">D1278*K1278</f>
        <v>3690000</v>
      </c>
      <c r="O1278" s="95" t="n">
        <f aca="false">D1278*L1278</f>
        <v>5212633.5</v>
      </c>
      <c r="P1278" s="34" t="str">
        <f aca="false">TRIM(IF(N(E1278)&lt;=0,"택가보정 ","")&amp;IF(N(F1278)&lt;=0,"원가보정 ","")&amp;IF(AND(B1278&lt;&gt;"CN",N(H1278)&lt;=0),"공급가보정 ","")&amp;IF(AND(B1278="CN",N(I1278)&lt;=0),"중국공급가=원가+마진 ",""))</f>
        <v/>
      </c>
    </row>
    <row r="1279" customFormat="false" ht="15" hidden="false" customHeight="true" outlineLevel="0" collapsed="false">
      <c r="A1279" s="94" t="s">
        <v>1687</v>
      </c>
      <c r="B1279" s="34" t="str">
        <f aca="false">IF(A1279="100","HK",IF(A1279="200","CN",IF(A1279="300","TW","홀세일")))</f>
        <v>홀세일</v>
      </c>
      <c r="C1279" s="94" t="s">
        <v>1395</v>
      </c>
      <c r="D1279" s="95" t="n">
        <v>45</v>
      </c>
      <c r="E1279" s="95" t="n">
        <v>19000</v>
      </c>
      <c r="F1279" s="95" t="n">
        <v>4920</v>
      </c>
      <c r="G1279" s="34" t="n">
        <v>3.36</v>
      </c>
      <c r="H1279" s="34" t="n">
        <v>5.1</v>
      </c>
      <c r="J1279" s="95" t="n">
        <f aca="false">IF(N(E1279)&gt;0,E1279,IF(N(F1279)&gt;0,F1279*가정!$B$5,0))</f>
        <v>19000</v>
      </c>
      <c r="K1279" s="95" t="n">
        <f aca="false">IF(N(F1279)&gt;0,F1279,IF(N(E1279)&gt;0,E1279/가정!$B$5,0))</f>
        <v>4920</v>
      </c>
      <c r="L1279" s="95" t="n">
        <f aca="false">IF(B1279="CN",IF(N(I1279)&gt;0,I1279*가정!$B$3,K1279*(1+가정!$B$6)),IF(N(H1279)&gt;0,H1279*가정!$B$3,J1279*가정!$B$4))</f>
        <v>6950.178</v>
      </c>
      <c r="M1279" s="95" t="n">
        <f aca="false">D1279*J1279</f>
        <v>855000</v>
      </c>
      <c r="N1279" s="95" t="n">
        <f aca="false">D1279*K1279</f>
        <v>221400</v>
      </c>
      <c r="O1279" s="95" t="n">
        <f aca="false">D1279*L1279</f>
        <v>312758.01</v>
      </c>
      <c r="P1279" s="34" t="str">
        <f aca="false">TRIM(IF(N(E1279)&lt;=0,"택가보정 ","")&amp;IF(N(F1279)&lt;=0,"원가보정 ","")&amp;IF(AND(B1279&lt;&gt;"CN",N(H1279)&lt;=0),"공급가보정 ","")&amp;IF(AND(B1279="CN",N(I1279)&lt;=0),"중국공급가=원가+마진 ",""))</f>
        <v/>
      </c>
    </row>
    <row r="1280" customFormat="false" ht="15" hidden="false" customHeight="true" outlineLevel="0" collapsed="false">
      <c r="A1280" s="94" t="s">
        <v>1688</v>
      </c>
      <c r="B1280" s="34" t="str">
        <f aca="false">IF(A1280="100","HK",IF(A1280="200","CN",IF(A1280="300","TW","홀세일")))</f>
        <v>홀세일</v>
      </c>
      <c r="C1280" s="94" t="s">
        <v>1395</v>
      </c>
      <c r="D1280" s="95" t="n">
        <v>120</v>
      </c>
      <c r="E1280" s="95" t="n">
        <v>19000</v>
      </c>
      <c r="F1280" s="95" t="n">
        <v>4920</v>
      </c>
      <c r="G1280" s="34" t="n">
        <v>3.36</v>
      </c>
      <c r="H1280" s="34" t="n">
        <v>5.1</v>
      </c>
      <c r="J1280" s="95" t="n">
        <f aca="false">IF(N(E1280)&gt;0,E1280,IF(N(F1280)&gt;0,F1280*가정!$B$5,0))</f>
        <v>19000</v>
      </c>
      <c r="K1280" s="95" t="n">
        <f aca="false">IF(N(F1280)&gt;0,F1280,IF(N(E1280)&gt;0,E1280/가정!$B$5,0))</f>
        <v>4920</v>
      </c>
      <c r="L1280" s="95" t="n">
        <f aca="false">IF(B1280="CN",IF(N(I1280)&gt;0,I1280*가정!$B$3,K1280*(1+가정!$B$6)),IF(N(H1280)&gt;0,H1280*가정!$B$3,J1280*가정!$B$4))</f>
        <v>6950.178</v>
      </c>
      <c r="M1280" s="95" t="n">
        <f aca="false">D1280*J1280</f>
        <v>2280000</v>
      </c>
      <c r="N1280" s="95" t="n">
        <f aca="false">D1280*K1280</f>
        <v>590400</v>
      </c>
      <c r="O1280" s="95" t="n">
        <f aca="false">D1280*L1280</f>
        <v>834021.36</v>
      </c>
      <c r="P1280" s="34" t="str">
        <f aca="false">TRIM(IF(N(E1280)&lt;=0,"택가보정 ","")&amp;IF(N(F1280)&lt;=0,"원가보정 ","")&amp;IF(AND(B1280&lt;&gt;"CN",N(H1280)&lt;=0),"공급가보정 ","")&amp;IF(AND(B1280="CN",N(I1280)&lt;=0),"중국공급가=원가+마진 ",""))</f>
        <v/>
      </c>
    </row>
    <row r="1281" customFormat="false" ht="15" hidden="false" customHeight="true" outlineLevel="0" collapsed="false">
      <c r="A1281" s="94" t="s">
        <v>1692</v>
      </c>
      <c r="B1281" s="34" t="str">
        <f aca="false">IF(A1281="100","HK",IF(A1281="200","CN",IF(A1281="300","TW","홀세일")))</f>
        <v>홀세일</v>
      </c>
      <c r="C1281" s="94" t="s">
        <v>1395</v>
      </c>
      <c r="D1281" s="95" t="n">
        <v>603</v>
      </c>
      <c r="E1281" s="95" t="n">
        <v>19000</v>
      </c>
      <c r="F1281" s="95" t="n">
        <v>4920</v>
      </c>
      <c r="G1281" s="34" t="n">
        <v>3.36</v>
      </c>
      <c r="H1281" s="34" t="n">
        <v>5.1</v>
      </c>
      <c r="J1281" s="95" t="n">
        <f aca="false">IF(N(E1281)&gt;0,E1281,IF(N(F1281)&gt;0,F1281*가정!$B$5,0))</f>
        <v>19000</v>
      </c>
      <c r="K1281" s="95" t="n">
        <f aca="false">IF(N(F1281)&gt;0,F1281,IF(N(E1281)&gt;0,E1281/가정!$B$5,0))</f>
        <v>4920</v>
      </c>
      <c r="L1281" s="95" t="n">
        <f aca="false">IF(B1281="CN",IF(N(I1281)&gt;0,I1281*가정!$B$3,K1281*(1+가정!$B$6)),IF(N(H1281)&gt;0,H1281*가정!$B$3,J1281*가정!$B$4))</f>
        <v>6950.178</v>
      </c>
      <c r="M1281" s="95" t="n">
        <f aca="false">D1281*J1281</f>
        <v>11457000</v>
      </c>
      <c r="N1281" s="95" t="n">
        <f aca="false">D1281*K1281</f>
        <v>2966760</v>
      </c>
      <c r="O1281" s="95" t="n">
        <f aca="false">D1281*L1281</f>
        <v>4190957.334</v>
      </c>
      <c r="P1281" s="34" t="str">
        <f aca="false">TRIM(IF(N(E1281)&lt;=0,"택가보정 ","")&amp;IF(N(F1281)&lt;=0,"원가보정 ","")&amp;IF(AND(B1281&lt;&gt;"CN",N(H1281)&lt;=0),"공급가보정 ","")&amp;IF(AND(B1281="CN",N(I1281)&lt;=0),"중국공급가=원가+마진 ",""))</f>
        <v/>
      </c>
    </row>
    <row r="1282" customFormat="false" ht="15" hidden="false" customHeight="true" outlineLevel="0" collapsed="false">
      <c r="A1282" s="94" t="s">
        <v>1689</v>
      </c>
      <c r="B1282" s="34" t="str">
        <f aca="false">IF(A1282="100","HK",IF(A1282="200","CN",IF(A1282="300","TW","홀세일")))</f>
        <v>홀세일</v>
      </c>
      <c r="C1282" s="94" t="s">
        <v>1395</v>
      </c>
      <c r="D1282" s="95" t="n">
        <v>20</v>
      </c>
      <c r="E1282" s="95" t="n">
        <v>19000</v>
      </c>
      <c r="F1282" s="95" t="n">
        <v>4920</v>
      </c>
      <c r="G1282" s="34" t="n">
        <v>3.36</v>
      </c>
      <c r="H1282" s="34" t="n">
        <v>5.1</v>
      </c>
      <c r="J1282" s="95" t="n">
        <f aca="false">IF(N(E1282)&gt;0,E1282,IF(N(F1282)&gt;0,F1282*가정!$B$5,0))</f>
        <v>19000</v>
      </c>
      <c r="K1282" s="95" t="n">
        <f aca="false">IF(N(F1282)&gt;0,F1282,IF(N(E1282)&gt;0,E1282/가정!$B$5,0))</f>
        <v>4920</v>
      </c>
      <c r="L1282" s="95" t="n">
        <f aca="false">IF(B1282="CN",IF(N(I1282)&gt;0,I1282*가정!$B$3,K1282*(1+가정!$B$6)),IF(N(H1282)&gt;0,H1282*가정!$B$3,J1282*가정!$B$4))</f>
        <v>6950.178</v>
      </c>
      <c r="M1282" s="95" t="n">
        <f aca="false">D1282*J1282</f>
        <v>380000</v>
      </c>
      <c r="N1282" s="95" t="n">
        <f aca="false">D1282*K1282</f>
        <v>98400</v>
      </c>
      <c r="O1282" s="95" t="n">
        <f aca="false">D1282*L1282</f>
        <v>139003.56</v>
      </c>
      <c r="P1282" s="34" t="str">
        <f aca="false">TRIM(IF(N(E1282)&lt;=0,"택가보정 ","")&amp;IF(N(F1282)&lt;=0,"원가보정 ","")&amp;IF(AND(B1282&lt;&gt;"CN",N(H1282)&lt;=0),"공급가보정 ","")&amp;IF(AND(B1282="CN",N(I1282)&lt;=0),"중국공급가=원가+마진 ",""))</f>
        <v/>
      </c>
    </row>
    <row r="1283" customFormat="false" ht="15.75" hidden="false" customHeight="true" outlineLevel="0" collapsed="false">
      <c r="A1283" s="94" t="s">
        <v>1685</v>
      </c>
      <c r="B1283" s="34" t="str">
        <f aca="false">IF(A1283="100","HK",IF(A1283="200","CN",IF(A1283="300","TW","홀세일")))</f>
        <v>CN</v>
      </c>
      <c r="C1283" s="94" t="s">
        <v>640</v>
      </c>
      <c r="D1283" s="95" t="n">
        <v>630</v>
      </c>
      <c r="E1283" s="95" t="n">
        <v>29000</v>
      </c>
      <c r="F1283" s="95" t="n">
        <v>6136</v>
      </c>
      <c r="G1283" s="34" t="n">
        <v>4.11</v>
      </c>
      <c r="H1283" s="34" t="n">
        <v>7.7</v>
      </c>
      <c r="J1283" s="95" t="n">
        <f aca="false">IF(N(E1283)&gt;0,E1283,IF(N(F1283)&gt;0,F1283*가정!$B$5,0))</f>
        <v>29000</v>
      </c>
      <c r="K1283" s="95" t="n">
        <f aca="false">IF(N(F1283)&gt;0,F1283,IF(N(E1283)&gt;0,E1283/가정!$B$5,0))</f>
        <v>6136</v>
      </c>
      <c r="L1283" s="95" t="n">
        <f aca="false">IF(B1283="CN",IF(N(I1283)&gt;0,I1283*가정!$B$3,K1283*(1+가정!$B$6)),IF(N(H1283)&gt;0,H1283*가정!$B$3,J1283*가정!$B$4))</f>
        <v>6442.8</v>
      </c>
      <c r="M1283" s="95" t="n">
        <f aca="false">D1283*J1283</f>
        <v>18270000</v>
      </c>
      <c r="N1283" s="95" t="n">
        <f aca="false">D1283*K1283</f>
        <v>3865680</v>
      </c>
      <c r="O1283" s="95" t="n">
        <f aca="false">D1283*L1283</f>
        <v>4058964</v>
      </c>
      <c r="P1283" s="34" t="str">
        <f aca="false">TRIM(IF(N(E1283)&lt;=0,"택가보정 ","")&amp;IF(N(F1283)&lt;=0,"원가보정 ","")&amp;IF(AND(B1283&lt;&gt;"CN",N(H1283)&lt;=0),"공급가보정 ","")&amp;IF(AND(B1283="CN",N(I1283)&lt;=0),"중국공급가=원가+마진 ",""))</f>
        <v>중국공급가=원가+마진</v>
      </c>
    </row>
    <row r="1284" customFormat="false" ht="15" hidden="false" customHeight="true" outlineLevel="0" collapsed="false">
      <c r="A1284" s="94" t="s">
        <v>1686</v>
      </c>
      <c r="B1284" s="34" t="str">
        <f aca="false">IF(A1284="100","HK",IF(A1284="200","CN",IF(A1284="300","TW","홀세일")))</f>
        <v>TW</v>
      </c>
      <c r="C1284" s="94" t="s">
        <v>640</v>
      </c>
      <c r="D1284" s="95" t="n">
        <v>600</v>
      </c>
      <c r="E1284" s="95" t="n">
        <v>29000</v>
      </c>
      <c r="F1284" s="95" t="n">
        <v>6136</v>
      </c>
      <c r="G1284" s="34" t="n">
        <v>4.11</v>
      </c>
      <c r="H1284" s="34" t="n">
        <v>7.7</v>
      </c>
      <c r="J1284" s="95" t="n">
        <f aca="false">IF(N(E1284)&gt;0,E1284,IF(N(F1284)&gt;0,F1284*가정!$B$5,0))</f>
        <v>29000</v>
      </c>
      <c r="K1284" s="95" t="n">
        <f aca="false">IF(N(F1284)&gt;0,F1284,IF(N(E1284)&gt;0,E1284/가정!$B$5,0))</f>
        <v>6136</v>
      </c>
      <c r="L1284" s="95" t="n">
        <f aca="false">IF(B1284="CN",IF(N(I1284)&gt;0,I1284*가정!$B$3,K1284*(1+가정!$B$6)),IF(N(H1284)&gt;0,H1284*가정!$B$3,J1284*가정!$B$4))</f>
        <v>10493.406</v>
      </c>
      <c r="M1284" s="95" t="n">
        <f aca="false">D1284*J1284</f>
        <v>17400000</v>
      </c>
      <c r="N1284" s="95" t="n">
        <f aca="false">D1284*K1284</f>
        <v>3681600</v>
      </c>
      <c r="O1284" s="95" t="n">
        <f aca="false">D1284*L1284</f>
        <v>6296043.6</v>
      </c>
      <c r="P1284" s="34" t="str">
        <f aca="false">TRIM(IF(N(E1284)&lt;=0,"택가보정 ","")&amp;IF(N(F1284)&lt;=0,"원가보정 ","")&amp;IF(AND(B1284&lt;&gt;"CN",N(H1284)&lt;=0),"공급가보정 ","")&amp;IF(AND(B1284="CN",N(I1284)&lt;=0),"중국공급가=원가+마진 ",""))</f>
        <v/>
      </c>
    </row>
    <row r="1285" customFormat="false" ht="15" hidden="false" customHeight="true" outlineLevel="0" collapsed="false">
      <c r="A1285" s="94" t="s">
        <v>1687</v>
      </c>
      <c r="B1285" s="34" t="str">
        <f aca="false">IF(A1285="100","HK",IF(A1285="200","CN",IF(A1285="300","TW","홀세일")))</f>
        <v>홀세일</v>
      </c>
      <c r="C1285" s="94" t="s">
        <v>640</v>
      </c>
      <c r="D1285" s="95" t="n">
        <v>90</v>
      </c>
      <c r="E1285" s="95" t="n">
        <v>29000</v>
      </c>
      <c r="F1285" s="95" t="n">
        <v>6136</v>
      </c>
      <c r="G1285" s="34" t="n">
        <v>4.11</v>
      </c>
      <c r="H1285" s="34" t="n">
        <v>7.7</v>
      </c>
      <c r="J1285" s="95" t="n">
        <f aca="false">IF(N(E1285)&gt;0,E1285,IF(N(F1285)&gt;0,F1285*가정!$B$5,0))</f>
        <v>29000</v>
      </c>
      <c r="K1285" s="95" t="n">
        <f aca="false">IF(N(F1285)&gt;0,F1285,IF(N(E1285)&gt;0,E1285/가정!$B$5,0))</f>
        <v>6136</v>
      </c>
      <c r="L1285" s="95" t="n">
        <f aca="false">IF(B1285="CN",IF(N(I1285)&gt;0,I1285*가정!$B$3,K1285*(1+가정!$B$6)),IF(N(H1285)&gt;0,H1285*가정!$B$3,J1285*가정!$B$4))</f>
        <v>10493.406</v>
      </c>
      <c r="M1285" s="95" t="n">
        <f aca="false">D1285*J1285</f>
        <v>2610000</v>
      </c>
      <c r="N1285" s="95" t="n">
        <f aca="false">D1285*K1285</f>
        <v>552240</v>
      </c>
      <c r="O1285" s="95" t="n">
        <f aca="false">D1285*L1285</f>
        <v>944406.54</v>
      </c>
      <c r="P1285" s="34" t="str">
        <f aca="false">TRIM(IF(N(E1285)&lt;=0,"택가보정 ","")&amp;IF(N(F1285)&lt;=0,"원가보정 ","")&amp;IF(AND(B1285&lt;&gt;"CN",N(H1285)&lt;=0),"공급가보정 ","")&amp;IF(AND(B1285="CN",N(I1285)&lt;=0),"중국공급가=원가+마진 ",""))</f>
        <v/>
      </c>
    </row>
    <row r="1286" customFormat="false" ht="15" hidden="false" customHeight="true" outlineLevel="0" collapsed="false">
      <c r="A1286" s="94" t="s">
        <v>1688</v>
      </c>
      <c r="B1286" s="34" t="str">
        <f aca="false">IF(A1286="100","HK",IF(A1286="200","CN",IF(A1286="300","TW","홀세일")))</f>
        <v>홀세일</v>
      </c>
      <c r="C1286" s="94" t="s">
        <v>640</v>
      </c>
      <c r="D1286" s="95" t="n">
        <v>170</v>
      </c>
      <c r="E1286" s="95" t="n">
        <v>29000</v>
      </c>
      <c r="F1286" s="95" t="n">
        <v>6136</v>
      </c>
      <c r="G1286" s="34" t="n">
        <v>4.11</v>
      </c>
      <c r="H1286" s="34" t="n">
        <v>7.7</v>
      </c>
      <c r="J1286" s="95" t="n">
        <f aca="false">IF(N(E1286)&gt;0,E1286,IF(N(F1286)&gt;0,F1286*가정!$B$5,0))</f>
        <v>29000</v>
      </c>
      <c r="K1286" s="95" t="n">
        <f aca="false">IF(N(F1286)&gt;0,F1286,IF(N(E1286)&gt;0,E1286/가정!$B$5,0))</f>
        <v>6136</v>
      </c>
      <c r="L1286" s="95" t="n">
        <f aca="false">IF(B1286="CN",IF(N(I1286)&gt;0,I1286*가정!$B$3,K1286*(1+가정!$B$6)),IF(N(H1286)&gt;0,H1286*가정!$B$3,J1286*가정!$B$4))</f>
        <v>10493.406</v>
      </c>
      <c r="M1286" s="95" t="n">
        <f aca="false">D1286*J1286</f>
        <v>4930000</v>
      </c>
      <c r="N1286" s="95" t="n">
        <f aca="false">D1286*K1286</f>
        <v>1043120</v>
      </c>
      <c r="O1286" s="95" t="n">
        <f aca="false">D1286*L1286</f>
        <v>1783879.02</v>
      </c>
      <c r="P1286" s="34" t="str">
        <f aca="false">TRIM(IF(N(E1286)&lt;=0,"택가보정 ","")&amp;IF(N(F1286)&lt;=0,"원가보정 ","")&amp;IF(AND(B1286&lt;&gt;"CN",N(H1286)&lt;=0),"공급가보정 ","")&amp;IF(AND(B1286="CN",N(I1286)&lt;=0),"중국공급가=원가+마진 ",""))</f>
        <v/>
      </c>
    </row>
    <row r="1287" customFormat="false" ht="15" hidden="false" customHeight="true" outlineLevel="0" collapsed="false">
      <c r="A1287" s="94" t="s">
        <v>1692</v>
      </c>
      <c r="B1287" s="34" t="str">
        <f aca="false">IF(A1287="100","HK",IF(A1287="200","CN",IF(A1287="300","TW","홀세일")))</f>
        <v>홀세일</v>
      </c>
      <c r="C1287" s="94" t="s">
        <v>640</v>
      </c>
      <c r="D1287" s="95" t="n">
        <v>303</v>
      </c>
      <c r="E1287" s="95" t="n">
        <v>29000</v>
      </c>
      <c r="F1287" s="95" t="n">
        <v>6136</v>
      </c>
      <c r="G1287" s="34" t="n">
        <v>4.11</v>
      </c>
      <c r="H1287" s="34" t="n">
        <v>7.7</v>
      </c>
      <c r="J1287" s="95" t="n">
        <f aca="false">IF(N(E1287)&gt;0,E1287,IF(N(F1287)&gt;0,F1287*가정!$B$5,0))</f>
        <v>29000</v>
      </c>
      <c r="K1287" s="95" t="n">
        <f aca="false">IF(N(F1287)&gt;0,F1287,IF(N(E1287)&gt;0,E1287/가정!$B$5,0))</f>
        <v>6136</v>
      </c>
      <c r="L1287" s="95" t="n">
        <f aca="false">IF(B1287="CN",IF(N(I1287)&gt;0,I1287*가정!$B$3,K1287*(1+가정!$B$6)),IF(N(H1287)&gt;0,H1287*가정!$B$3,J1287*가정!$B$4))</f>
        <v>10493.406</v>
      </c>
      <c r="M1287" s="95" t="n">
        <f aca="false">D1287*J1287</f>
        <v>8787000</v>
      </c>
      <c r="N1287" s="95" t="n">
        <f aca="false">D1287*K1287</f>
        <v>1859208</v>
      </c>
      <c r="O1287" s="95" t="n">
        <f aca="false">D1287*L1287</f>
        <v>3179502.018</v>
      </c>
      <c r="P1287" s="34" t="str">
        <f aca="false">TRIM(IF(N(E1287)&lt;=0,"택가보정 ","")&amp;IF(N(F1287)&lt;=0,"원가보정 ","")&amp;IF(AND(B1287&lt;&gt;"CN",N(H1287)&lt;=0),"공급가보정 ","")&amp;IF(AND(B1287="CN",N(I1287)&lt;=0),"중국공급가=원가+마진 ",""))</f>
        <v/>
      </c>
    </row>
    <row r="1288" customFormat="false" ht="15" hidden="false" customHeight="true" outlineLevel="0" collapsed="false">
      <c r="A1288" s="94" t="s">
        <v>1689</v>
      </c>
      <c r="B1288" s="34" t="str">
        <f aca="false">IF(A1288="100","HK",IF(A1288="200","CN",IF(A1288="300","TW","홀세일")))</f>
        <v>홀세일</v>
      </c>
      <c r="C1288" s="94" t="s">
        <v>640</v>
      </c>
      <c r="D1288" s="95" t="n">
        <v>15</v>
      </c>
      <c r="E1288" s="95" t="n">
        <v>29000</v>
      </c>
      <c r="F1288" s="95" t="n">
        <v>6136</v>
      </c>
      <c r="G1288" s="34" t="n">
        <v>4.11</v>
      </c>
      <c r="H1288" s="34" t="n">
        <v>7.7</v>
      </c>
      <c r="J1288" s="95" t="n">
        <f aca="false">IF(N(E1288)&gt;0,E1288,IF(N(F1288)&gt;0,F1288*가정!$B$5,0))</f>
        <v>29000</v>
      </c>
      <c r="K1288" s="95" t="n">
        <f aca="false">IF(N(F1288)&gt;0,F1288,IF(N(E1288)&gt;0,E1288/가정!$B$5,0))</f>
        <v>6136</v>
      </c>
      <c r="L1288" s="95" t="n">
        <f aca="false">IF(B1288="CN",IF(N(I1288)&gt;0,I1288*가정!$B$3,K1288*(1+가정!$B$6)),IF(N(H1288)&gt;0,H1288*가정!$B$3,J1288*가정!$B$4))</f>
        <v>10493.406</v>
      </c>
      <c r="M1288" s="95" t="n">
        <f aca="false">D1288*J1288</f>
        <v>435000</v>
      </c>
      <c r="N1288" s="95" t="n">
        <f aca="false">D1288*K1288</f>
        <v>92040</v>
      </c>
      <c r="O1288" s="95" t="n">
        <f aca="false">D1288*L1288</f>
        <v>157401.09</v>
      </c>
      <c r="P1288" s="34" t="str">
        <f aca="false">TRIM(IF(N(E1288)&lt;=0,"택가보정 ","")&amp;IF(N(F1288)&lt;=0,"원가보정 ","")&amp;IF(AND(B1288&lt;&gt;"CN",N(H1288)&lt;=0),"공급가보정 ","")&amp;IF(AND(B1288="CN",N(I1288)&lt;=0),"중국공급가=원가+마진 ",""))</f>
        <v/>
      </c>
    </row>
    <row r="1289" customFormat="false" ht="15" hidden="false" customHeight="true" outlineLevel="0" collapsed="false">
      <c r="A1289" s="94" t="s">
        <v>1686</v>
      </c>
      <c r="B1289" s="34" t="str">
        <f aca="false">IF(A1289="100","HK",IF(A1289="200","CN",IF(A1289="300","TW","홀세일")))</f>
        <v>TW</v>
      </c>
      <c r="C1289" s="94" t="s">
        <v>1492</v>
      </c>
      <c r="D1289" s="95" t="n">
        <v>400</v>
      </c>
      <c r="E1289" s="95" t="n">
        <v>19000</v>
      </c>
      <c r="F1289" s="95" t="n">
        <v>4461</v>
      </c>
      <c r="G1289" s="34" t="n">
        <v>3.67</v>
      </c>
      <c r="H1289" s="34" t="n">
        <v>5.1</v>
      </c>
      <c r="J1289" s="95" t="n">
        <f aca="false">IF(N(E1289)&gt;0,E1289,IF(N(F1289)&gt;0,F1289*가정!$B$5,0))</f>
        <v>19000</v>
      </c>
      <c r="K1289" s="95" t="n">
        <f aca="false">IF(N(F1289)&gt;0,F1289,IF(N(E1289)&gt;0,E1289/가정!$B$5,0))</f>
        <v>4461</v>
      </c>
      <c r="L1289" s="95" t="n">
        <f aca="false">IF(B1289="CN",IF(N(I1289)&gt;0,I1289*가정!$B$3,K1289*(1+가정!$B$6)),IF(N(H1289)&gt;0,H1289*가정!$B$3,J1289*가정!$B$4))</f>
        <v>6950.178</v>
      </c>
      <c r="M1289" s="95" t="n">
        <f aca="false">D1289*J1289</f>
        <v>7600000</v>
      </c>
      <c r="N1289" s="95" t="n">
        <f aca="false">D1289*K1289</f>
        <v>1784400</v>
      </c>
      <c r="O1289" s="95" t="n">
        <f aca="false">D1289*L1289</f>
        <v>2780071.2</v>
      </c>
      <c r="P1289" s="34" t="str">
        <f aca="false">TRIM(IF(N(E1289)&lt;=0,"택가보정 ","")&amp;IF(N(F1289)&lt;=0,"원가보정 ","")&amp;IF(AND(B1289&lt;&gt;"CN",N(H1289)&lt;=0),"공급가보정 ","")&amp;IF(AND(B1289="CN",N(I1289)&lt;=0),"중국공급가=원가+마진 ",""))</f>
        <v/>
      </c>
    </row>
    <row r="1290" customFormat="false" ht="15" hidden="false" customHeight="true" outlineLevel="0" collapsed="false">
      <c r="A1290" s="94" t="s">
        <v>1689</v>
      </c>
      <c r="B1290" s="34" t="str">
        <f aca="false">IF(A1290="100","HK",IF(A1290="200","CN",IF(A1290="300","TW","홀세일")))</f>
        <v>홀세일</v>
      </c>
      <c r="C1290" s="94" t="s">
        <v>1492</v>
      </c>
      <c r="D1290" s="95" t="n">
        <v>20</v>
      </c>
      <c r="E1290" s="95" t="n">
        <v>19000</v>
      </c>
      <c r="F1290" s="95" t="n">
        <v>4461</v>
      </c>
      <c r="G1290" s="34" t="n">
        <v>3.67</v>
      </c>
      <c r="H1290" s="34" t="n">
        <v>5.1</v>
      </c>
      <c r="J1290" s="95" t="n">
        <f aca="false">IF(N(E1290)&gt;0,E1290,IF(N(F1290)&gt;0,F1290*가정!$B$5,0))</f>
        <v>19000</v>
      </c>
      <c r="K1290" s="95" t="n">
        <f aca="false">IF(N(F1290)&gt;0,F1290,IF(N(E1290)&gt;0,E1290/가정!$B$5,0))</f>
        <v>4461</v>
      </c>
      <c r="L1290" s="95" t="n">
        <f aca="false">IF(B1290="CN",IF(N(I1290)&gt;0,I1290*가정!$B$3,K1290*(1+가정!$B$6)),IF(N(H1290)&gt;0,H1290*가정!$B$3,J1290*가정!$B$4))</f>
        <v>6950.178</v>
      </c>
      <c r="M1290" s="95" t="n">
        <f aca="false">D1290*J1290</f>
        <v>380000</v>
      </c>
      <c r="N1290" s="95" t="n">
        <f aca="false">D1290*K1290</f>
        <v>89220</v>
      </c>
      <c r="O1290" s="95" t="n">
        <f aca="false">D1290*L1290</f>
        <v>139003.56</v>
      </c>
      <c r="P1290" s="34" t="str">
        <f aca="false">TRIM(IF(N(E1290)&lt;=0,"택가보정 ","")&amp;IF(N(F1290)&lt;=0,"원가보정 ","")&amp;IF(AND(B1290&lt;&gt;"CN",N(H1290)&lt;=0),"공급가보정 ","")&amp;IF(AND(B1290="CN",N(I1290)&lt;=0),"중국공급가=원가+마진 ",""))</f>
        <v/>
      </c>
    </row>
    <row r="1291" customFormat="false" ht="15.75" hidden="false" customHeight="true" outlineLevel="0" collapsed="false">
      <c r="A1291" s="94" t="s">
        <v>1685</v>
      </c>
      <c r="B1291" s="34" t="str">
        <f aca="false">IF(A1291="100","HK",IF(A1291="200","CN",IF(A1291="300","TW","홀세일")))</f>
        <v>CN</v>
      </c>
      <c r="C1291" s="94" t="s">
        <v>1494</v>
      </c>
      <c r="D1291" s="95" t="n">
        <v>172</v>
      </c>
      <c r="E1291" s="95" t="n">
        <v>29000</v>
      </c>
      <c r="F1291" s="95" t="n">
        <v>7012</v>
      </c>
      <c r="G1291" s="34" t="n">
        <v>3.62</v>
      </c>
      <c r="H1291" s="34" t="n">
        <v>7.7</v>
      </c>
      <c r="J1291" s="95" t="n">
        <f aca="false">IF(N(E1291)&gt;0,E1291,IF(N(F1291)&gt;0,F1291*가정!$B$5,0))</f>
        <v>29000</v>
      </c>
      <c r="K1291" s="95" t="n">
        <f aca="false">IF(N(F1291)&gt;0,F1291,IF(N(E1291)&gt;0,E1291/가정!$B$5,0))</f>
        <v>7012</v>
      </c>
      <c r="L1291" s="95" t="n">
        <f aca="false">IF(B1291="CN",IF(N(I1291)&gt;0,I1291*가정!$B$3,K1291*(1+가정!$B$6)),IF(N(H1291)&gt;0,H1291*가정!$B$3,J1291*가정!$B$4))</f>
        <v>7362.6</v>
      </c>
      <c r="M1291" s="95" t="n">
        <f aca="false">D1291*J1291</f>
        <v>4988000</v>
      </c>
      <c r="N1291" s="95" t="n">
        <f aca="false">D1291*K1291</f>
        <v>1206064</v>
      </c>
      <c r="O1291" s="95" t="n">
        <f aca="false">D1291*L1291</f>
        <v>1266367.2</v>
      </c>
      <c r="P1291" s="34" t="str">
        <f aca="false">TRIM(IF(N(E1291)&lt;=0,"택가보정 ","")&amp;IF(N(F1291)&lt;=0,"원가보정 ","")&amp;IF(AND(B1291&lt;&gt;"CN",N(H1291)&lt;=0),"공급가보정 ","")&amp;IF(AND(B1291="CN",N(I1291)&lt;=0),"중국공급가=원가+마진 ",""))</f>
        <v>중국공급가=원가+마진</v>
      </c>
    </row>
    <row r="1292" customFormat="false" ht="15" hidden="false" customHeight="true" outlineLevel="0" collapsed="false">
      <c r="A1292" s="94" t="s">
        <v>1686</v>
      </c>
      <c r="B1292" s="34" t="str">
        <f aca="false">IF(A1292="100","HK",IF(A1292="200","CN",IF(A1292="300","TW","홀세일")))</f>
        <v>TW</v>
      </c>
      <c r="C1292" s="94" t="s">
        <v>1494</v>
      </c>
      <c r="D1292" s="95" t="n">
        <v>400</v>
      </c>
      <c r="E1292" s="95" t="n">
        <v>29000</v>
      </c>
      <c r="F1292" s="95" t="n">
        <v>7012</v>
      </c>
      <c r="G1292" s="34" t="n">
        <v>3.62</v>
      </c>
      <c r="H1292" s="34" t="n">
        <v>7.7</v>
      </c>
      <c r="J1292" s="95" t="n">
        <f aca="false">IF(N(E1292)&gt;0,E1292,IF(N(F1292)&gt;0,F1292*가정!$B$5,0))</f>
        <v>29000</v>
      </c>
      <c r="K1292" s="95" t="n">
        <f aca="false">IF(N(F1292)&gt;0,F1292,IF(N(E1292)&gt;0,E1292/가정!$B$5,0))</f>
        <v>7012</v>
      </c>
      <c r="L1292" s="95" t="n">
        <f aca="false">IF(B1292="CN",IF(N(I1292)&gt;0,I1292*가정!$B$3,K1292*(1+가정!$B$6)),IF(N(H1292)&gt;0,H1292*가정!$B$3,J1292*가정!$B$4))</f>
        <v>10493.406</v>
      </c>
      <c r="M1292" s="95" t="n">
        <f aca="false">D1292*J1292</f>
        <v>11600000</v>
      </c>
      <c r="N1292" s="95" t="n">
        <f aca="false">D1292*K1292</f>
        <v>2804800</v>
      </c>
      <c r="O1292" s="95" t="n">
        <f aca="false">D1292*L1292</f>
        <v>4197362.4</v>
      </c>
      <c r="P1292" s="34" t="str">
        <f aca="false">TRIM(IF(N(E1292)&lt;=0,"택가보정 ","")&amp;IF(N(F1292)&lt;=0,"원가보정 ","")&amp;IF(AND(B1292&lt;&gt;"CN",N(H1292)&lt;=0),"공급가보정 ","")&amp;IF(AND(B1292="CN",N(I1292)&lt;=0),"중국공급가=원가+마진 ",""))</f>
        <v/>
      </c>
    </row>
    <row r="1293" customFormat="false" ht="15" hidden="false" customHeight="true" outlineLevel="0" collapsed="false">
      <c r="A1293" s="94" t="s">
        <v>1689</v>
      </c>
      <c r="B1293" s="34" t="str">
        <f aca="false">IF(A1293="100","HK",IF(A1293="200","CN",IF(A1293="300","TW","홀세일")))</f>
        <v>홀세일</v>
      </c>
      <c r="C1293" s="94" t="s">
        <v>1494</v>
      </c>
      <c r="D1293" s="95" t="n">
        <v>10</v>
      </c>
      <c r="E1293" s="95" t="n">
        <v>29000</v>
      </c>
      <c r="F1293" s="95" t="n">
        <v>7012</v>
      </c>
      <c r="G1293" s="34" t="n">
        <v>3.62</v>
      </c>
      <c r="H1293" s="34" t="n">
        <v>7.7</v>
      </c>
      <c r="J1293" s="95" t="n">
        <f aca="false">IF(N(E1293)&gt;0,E1293,IF(N(F1293)&gt;0,F1293*가정!$B$5,0))</f>
        <v>29000</v>
      </c>
      <c r="K1293" s="95" t="n">
        <f aca="false">IF(N(F1293)&gt;0,F1293,IF(N(E1293)&gt;0,E1293/가정!$B$5,0))</f>
        <v>7012</v>
      </c>
      <c r="L1293" s="95" t="n">
        <f aca="false">IF(B1293="CN",IF(N(I1293)&gt;0,I1293*가정!$B$3,K1293*(1+가정!$B$6)),IF(N(H1293)&gt;0,H1293*가정!$B$3,J1293*가정!$B$4))</f>
        <v>10493.406</v>
      </c>
      <c r="M1293" s="95" t="n">
        <f aca="false">D1293*J1293</f>
        <v>290000</v>
      </c>
      <c r="N1293" s="95" t="n">
        <f aca="false">D1293*K1293</f>
        <v>70120</v>
      </c>
      <c r="O1293" s="95" t="n">
        <f aca="false">D1293*L1293</f>
        <v>104934.06</v>
      </c>
      <c r="P1293" s="34" t="str">
        <f aca="false">TRIM(IF(N(E1293)&lt;=0,"택가보정 ","")&amp;IF(N(F1293)&lt;=0,"원가보정 ","")&amp;IF(AND(B1293&lt;&gt;"CN",N(H1293)&lt;=0),"공급가보정 ","")&amp;IF(AND(B1293="CN",N(I1293)&lt;=0),"중국공급가=원가+마진 ",""))</f>
        <v/>
      </c>
    </row>
    <row r="1294" customFormat="false" ht="15" hidden="false" customHeight="true" outlineLevel="0" collapsed="false">
      <c r="A1294" s="94" t="s">
        <v>1686</v>
      </c>
      <c r="B1294" s="34" t="str">
        <f aca="false">IF(A1294="100","HK",IF(A1294="200","CN",IF(A1294="300","TW","홀세일")))</f>
        <v>TW</v>
      </c>
      <c r="C1294" s="94" t="s">
        <v>642</v>
      </c>
      <c r="D1294" s="95" t="n">
        <v>180</v>
      </c>
      <c r="E1294" s="95" t="n">
        <v>49000</v>
      </c>
      <c r="F1294" s="95" t="n">
        <v>11699</v>
      </c>
      <c r="G1294" s="34" t="n">
        <v>3.65</v>
      </c>
      <c r="H1294" s="34" t="n">
        <v>13.1</v>
      </c>
      <c r="J1294" s="95" t="n">
        <f aca="false">IF(N(E1294)&gt;0,E1294,IF(N(F1294)&gt;0,F1294*가정!$B$5,0))</f>
        <v>49000</v>
      </c>
      <c r="K1294" s="95" t="n">
        <f aca="false">IF(N(F1294)&gt;0,F1294,IF(N(E1294)&gt;0,E1294/가정!$B$5,0))</f>
        <v>11699</v>
      </c>
      <c r="L1294" s="95" t="n">
        <f aca="false">IF(B1294="CN",IF(N(I1294)&gt;0,I1294*가정!$B$3,K1294*(1+가정!$B$6)),IF(N(H1294)&gt;0,H1294*가정!$B$3,J1294*가정!$B$4))</f>
        <v>17852.418</v>
      </c>
      <c r="M1294" s="95" t="n">
        <f aca="false">D1294*J1294</f>
        <v>8820000</v>
      </c>
      <c r="N1294" s="95" t="n">
        <f aca="false">D1294*K1294</f>
        <v>2105820</v>
      </c>
      <c r="O1294" s="95" t="n">
        <f aca="false">D1294*L1294</f>
        <v>3213435.24</v>
      </c>
      <c r="P1294" s="34" t="str">
        <f aca="false">TRIM(IF(N(E1294)&lt;=0,"택가보정 ","")&amp;IF(N(F1294)&lt;=0,"원가보정 ","")&amp;IF(AND(B1294&lt;&gt;"CN",N(H1294)&lt;=0),"공급가보정 ","")&amp;IF(AND(B1294="CN",N(I1294)&lt;=0),"중국공급가=원가+마진 ",""))</f>
        <v/>
      </c>
    </row>
    <row r="1295" customFormat="false" ht="15.75" hidden="false" customHeight="true" outlineLevel="0" collapsed="false">
      <c r="A1295" s="94" t="s">
        <v>1685</v>
      </c>
      <c r="B1295" s="34" t="str">
        <f aca="false">IF(A1295="100","HK",IF(A1295="200","CN",IF(A1295="300","TW","홀세일")))</f>
        <v>CN</v>
      </c>
      <c r="C1295" s="94" t="s">
        <v>1496</v>
      </c>
      <c r="D1295" s="95" t="n">
        <v>81</v>
      </c>
      <c r="E1295" s="95" t="n">
        <v>199000</v>
      </c>
      <c r="F1295" s="95" t="n">
        <v>47202</v>
      </c>
      <c r="G1295" s="34" t="n">
        <v>3.59</v>
      </c>
      <c r="H1295" s="34" t="n">
        <v>52.9</v>
      </c>
      <c r="J1295" s="95" t="n">
        <f aca="false">IF(N(E1295)&gt;0,E1295,IF(N(F1295)&gt;0,F1295*가정!$B$5,0))</f>
        <v>199000</v>
      </c>
      <c r="K1295" s="95" t="n">
        <f aca="false">IF(N(F1295)&gt;0,F1295,IF(N(E1295)&gt;0,E1295/가정!$B$5,0))</f>
        <v>47202</v>
      </c>
      <c r="L1295" s="95" t="n">
        <f aca="false">IF(B1295="CN",IF(N(I1295)&gt;0,I1295*가정!$B$3,K1295*(1+가정!$B$6)),IF(N(H1295)&gt;0,H1295*가정!$B$3,J1295*가정!$B$4))</f>
        <v>49562.1</v>
      </c>
      <c r="M1295" s="95" t="n">
        <f aca="false">D1295*J1295</f>
        <v>16119000</v>
      </c>
      <c r="N1295" s="95" t="n">
        <f aca="false">D1295*K1295</f>
        <v>3823362</v>
      </c>
      <c r="O1295" s="95" t="n">
        <f aca="false">D1295*L1295</f>
        <v>4014530.1</v>
      </c>
      <c r="P1295" s="34" t="str">
        <f aca="false">TRIM(IF(N(E1295)&lt;=0,"택가보정 ","")&amp;IF(N(F1295)&lt;=0,"원가보정 ","")&amp;IF(AND(B1295&lt;&gt;"CN",N(H1295)&lt;=0),"공급가보정 ","")&amp;IF(AND(B1295="CN",N(I1295)&lt;=0),"중국공급가=원가+마진 ",""))</f>
        <v>중국공급가=원가+마진</v>
      </c>
    </row>
    <row r="1296" customFormat="false" ht="15" hidden="false" customHeight="true" outlineLevel="0" collapsed="false">
      <c r="A1296" s="94" t="s">
        <v>1689</v>
      </c>
      <c r="B1296" s="34" t="str">
        <f aca="false">IF(A1296="100","HK",IF(A1296="200","CN",IF(A1296="300","TW","홀세일")))</f>
        <v>홀세일</v>
      </c>
      <c r="C1296" s="94" t="s">
        <v>1496</v>
      </c>
      <c r="D1296" s="95" t="n">
        <v>5</v>
      </c>
      <c r="E1296" s="95" t="n">
        <v>199000</v>
      </c>
      <c r="F1296" s="95" t="n">
        <v>47202</v>
      </c>
      <c r="G1296" s="34" t="n">
        <v>3.59</v>
      </c>
      <c r="H1296" s="34" t="n">
        <v>52.9</v>
      </c>
      <c r="J1296" s="95" t="n">
        <f aca="false">IF(N(E1296)&gt;0,E1296,IF(N(F1296)&gt;0,F1296*가정!$B$5,0))</f>
        <v>199000</v>
      </c>
      <c r="K1296" s="95" t="n">
        <f aca="false">IF(N(F1296)&gt;0,F1296,IF(N(E1296)&gt;0,E1296/가정!$B$5,0))</f>
        <v>47202</v>
      </c>
      <c r="L1296" s="95" t="n">
        <f aca="false">IF(B1296="CN",IF(N(I1296)&gt;0,I1296*가정!$B$3,K1296*(1+가정!$B$6)),IF(N(H1296)&gt;0,H1296*가정!$B$3,J1296*가정!$B$4))</f>
        <v>72091.062</v>
      </c>
      <c r="M1296" s="95" t="n">
        <f aca="false">D1296*J1296</f>
        <v>995000</v>
      </c>
      <c r="N1296" s="95" t="n">
        <f aca="false">D1296*K1296</f>
        <v>236010</v>
      </c>
      <c r="O1296" s="95" t="n">
        <f aca="false">D1296*L1296</f>
        <v>360455.31</v>
      </c>
      <c r="P1296" s="34" t="str">
        <f aca="false">TRIM(IF(N(E1296)&lt;=0,"택가보정 ","")&amp;IF(N(F1296)&lt;=0,"원가보정 ","")&amp;IF(AND(B1296&lt;&gt;"CN",N(H1296)&lt;=0),"공급가보정 ","")&amp;IF(AND(B1296="CN",N(I1296)&lt;=0),"중국공급가=원가+마진 ",""))</f>
        <v/>
      </c>
    </row>
    <row r="1297" customFormat="false" ht="15" hidden="false" customHeight="true" outlineLevel="0" collapsed="false">
      <c r="A1297" s="94" t="s">
        <v>1692</v>
      </c>
      <c r="B1297" s="34" t="str">
        <f aca="false">IF(A1297="100","HK",IF(A1297="200","CN",IF(A1297="300","TW","홀세일")))</f>
        <v>홀세일</v>
      </c>
      <c r="C1297" s="94" t="s">
        <v>1460</v>
      </c>
      <c r="D1297" s="95" t="n">
        <v>61</v>
      </c>
      <c r="E1297" s="95" t="n">
        <v>189000</v>
      </c>
      <c r="F1297" s="95" t="n">
        <v>43603</v>
      </c>
      <c r="G1297" s="34" t="n">
        <v>3.69</v>
      </c>
      <c r="H1297" s="34" t="n">
        <v>50.2</v>
      </c>
      <c r="J1297" s="95" t="n">
        <f aca="false">IF(N(E1297)&gt;0,E1297,IF(N(F1297)&gt;0,F1297*가정!$B$5,0))</f>
        <v>189000</v>
      </c>
      <c r="K1297" s="95" t="n">
        <f aca="false">IF(N(F1297)&gt;0,F1297,IF(N(E1297)&gt;0,E1297/가정!$B$5,0))</f>
        <v>43603</v>
      </c>
      <c r="L1297" s="95" t="n">
        <f aca="false">IF(B1297="CN",IF(N(I1297)&gt;0,I1297*가정!$B$3,K1297*(1+가정!$B$6)),IF(N(H1297)&gt;0,H1297*가정!$B$3,J1297*가정!$B$4))</f>
        <v>68411.556</v>
      </c>
      <c r="M1297" s="95" t="n">
        <f aca="false">D1297*J1297</f>
        <v>11529000</v>
      </c>
      <c r="N1297" s="95" t="n">
        <f aca="false">D1297*K1297</f>
        <v>2659783</v>
      </c>
      <c r="O1297" s="95" t="n">
        <f aca="false">D1297*L1297</f>
        <v>4173104.916</v>
      </c>
      <c r="P1297" s="34" t="str">
        <f aca="false">TRIM(IF(N(E1297)&lt;=0,"택가보정 ","")&amp;IF(N(F1297)&lt;=0,"원가보정 ","")&amp;IF(AND(B1297&lt;&gt;"CN",N(H1297)&lt;=0),"공급가보정 ","")&amp;IF(AND(B1297="CN",N(I1297)&lt;=0),"중국공급가=원가+마진 ",""))</f>
        <v/>
      </c>
    </row>
    <row r="1298" customFormat="false" ht="15" hidden="false" customHeight="true" outlineLevel="0" collapsed="false">
      <c r="A1298" s="94" t="s">
        <v>1689</v>
      </c>
      <c r="B1298" s="34" t="str">
        <f aca="false">IF(A1298="100","HK",IF(A1298="200","CN",IF(A1298="300","TW","홀세일")))</f>
        <v>홀세일</v>
      </c>
      <c r="C1298" s="94" t="s">
        <v>1460</v>
      </c>
      <c r="D1298" s="95" t="n">
        <v>5</v>
      </c>
      <c r="E1298" s="95" t="n">
        <v>189000</v>
      </c>
      <c r="F1298" s="95" t="n">
        <v>43603</v>
      </c>
      <c r="G1298" s="34" t="n">
        <v>3.69</v>
      </c>
      <c r="H1298" s="34" t="n">
        <v>50.2</v>
      </c>
      <c r="J1298" s="95" t="n">
        <f aca="false">IF(N(E1298)&gt;0,E1298,IF(N(F1298)&gt;0,F1298*가정!$B$5,0))</f>
        <v>189000</v>
      </c>
      <c r="K1298" s="95" t="n">
        <f aca="false">IF(N(F1298)&gt;0,F1298,IF(N(E1298)&gt;0,E1298/가정!$B$5,0))</f>
        <v>43603</v>
      </c>
      <c r="L1298" s="95" t="n">
        <f aca="false">IF(B1298="CN",IF(N(I1298)&gt;0,I1298*가정!$B$3,K1298*(1+가정!$B$6)),IF(N(H1298)&gt;0,H1298*가정!$B$3,J1298*가정!$B$4))</f>
        <v>68411.556</v>
      </c>
      <c r="M1298" s="95" t="n">
        <f aca="false">D1298*J1298</f>
        <v>945000</v>
      </c>
      <c r="N1298" s="95" t="n">
        <f aca="false">D1298*K1298</f>
        <v>218015</v>
      </c>
      <c r="O1298" s="95" t="n">
        <f aca="false">D1298*L1298</f>
        <v>342057.78</v>
      </c>
      <c r="P1298" s="34" t="str">
        <f aca="false">TRIM(IF(N(E1298)&lt;=0,"택가보정 ","")&amp;IF(N(F1298)&lt;=0,"원가보정 ","")&amp;IF(AND(B1298&lt;&gt;"CN",N(H1298)&lt;=0),"공급가보정 ","")&amp;IF(AND(B1298="CN",N(I1298)&lt;=0),"중국공급가=원가+마진 ",""))</f>
        <v/>
      </c>
    </row>
    <row r="1299" customFormat="false" ht="15.75" hidden="false" customHeight="true" outlineLevel="0" collapsed="false">
      <c r="A1299" s="94" t="s">
        <v>1685</v>
      </c>
      <c r="B1299" s="34" t="str">
        <f aca="false">IF(A1299="100","HK",IF(A1299="200","CN",IF(A1299="300","TW","홀세일")))</f>
        <v>CN</v>
      </c>
      <c r="C1299" s="94" t="s">
        <v>646</v>
      </c>
      <c r="D1299" s="95" t="n">
        <v>61</v>
      </c>
      <c r="E1299" s="95" t="n">
        <v>199000</v>
      </c>
      <c r="F1299" s="95" t="n">
        <v>47678</v>
      </c>
      <c r="G1299" s="34" t="n">
        <v>3.56</v>
      </c>
      <c r="H1299" s="34" t="n">
        <v>52.9</v>
      </c>
      <c r="J1299" s="95" t="n">
        <f aca="false">IF(N(E1299)&gt;0,E1299,IF(N(F1299)&gt;0,F1299*가정!$B$5,0))</f>
        <v>199000</v>
      </c>
      <c r="K1299" s="95" t="n">
        <f aca="false">IF(N(F1299)&gt;0,F1299,IF(N(E1299)&gt;0,E1299/가정!$B$5,0))</f>
        <v>47678</v>
      </c>
      <c r="L1299" s="95" t="n">
        <f aca="false">IF(B1299="CN",IF(N(I1299)&gt;0,I1299*가정!$B$3,K1299*(1+가정!$B$6)),IF(N(H1299)&gt;0,H1299*가정!$B$3,J1299*가정!$B$4))</f>
        <v>50061.9</v>
      </c>
      <c r="M1299" s="95" t="n">
        <f aca="false">D1299*J1299</f>
        <v>12139000</v>
      </c>
      <c r="N1299" s="95" t="n">
        <f aca="false">D1299*K1299</f>
        <v>2908358</v>
      </c>
      <c r="O1299" s="95" t="n">
        <f aca="false">D1299*L1299</f>
        <v>3053775.9</v>
      </c>
      <c r="P1299" s="34" t="str">
        <f aca="false">TRIM(IF(N(E1299)&lt;=0,"택가보정 ","")&amp;IF(N(F1299)&lt;=0,"원가보정 ","")&amp;IF(AND(B1299&lt;&gt;"CN",N(H1299)&lt;=0),"공급가보정 ","")&amp;IF(AND(B1299="CN",N(I1299)&lt;=0),"중국공급가=원가+마진 ",""))</f>
        <v>중국공급가=원가+마진</v>
      </c>
    </row>
    <row r="1300" customFormat="false" ht="15" hidden="false" customHeight="true" outlineLevel="0" collapsed="false">
      <c r="A1300" s="94" t="s">
        <v>1686</v>
      </c>
      <c r="B1300" s="34" t="str">
        <f aca="false">IF(A1300="100","HK",IF(A1300="200","CN",IF(A1300="300","TW","홀세일")))</f>
        <v>TW</v>
      </c>
      <c r="C1300" s="94" t="s">
        <v>646</v>
      </c>
      <c r="D1300" s="95" t="n">
        <v>80</v>
      </c>
      <c r="E1300" s="95" t="n">
        <v>199000</v>
      </c>
      <c r="F1300" s="95" t="n">
        <v>47678</v>
      </c>
      <c r="G1300" s="34" t="n">
        <v>3.56</v>
      </c>
      <c r="H1300" s="34" t="n">
        <v>52.9</v>
      </c>
      <c r="J1300" s="95" t="n">
        <f aca="false">IF(N(E1300)&gt;0,E1300,IF(N(F1300)&gt;0,F1300*가정!$B$5,0))</f>
        <v>199000</v>
      </c>
      <c r="K1300" s="95" t="n">
        <f aca="false">IF(N(F1300)&gt;0,F1300,IF(N(E1300)&gt;0,E1300/가정!$B$5,0))</f>
        <v>47678</v>
      </c>
      <c r="L1300" s="95" t="n">
        <f aca="false">IF(B1300="CN",IF(N(I1300)&gt;0,I1300*가정!$B$3,K1300*(1+가정!$B$6)),IF(N(H1300)&gt;0,H1300*가정!$B$3,J1300*가정!$B$4))</f>
        <v>72091.062</v>
      </c>
      <c r="M1300" s="95" t="n">
        <f aca="false">D1300*J1300</f>
        <v>15920000</v>
      </c>
      <c r="N1300" s="95" t="n">
        <f aca="false">D1300*K1300</f>
        <v>3814240</v>
      </c>
      <c r="O1300" s="95" t="n">
        <f aca="false">D1300*L1300</f>
        <v>5767284.96</v>
      </c>
      <c r="P1300" s="34" t="str">
        <f aca="false">TRIM(IF(N(E1300)&lt;=0,"택가보정 ","")&amp;IF(N(F1300)&lt;=0,"원가보정 ","")&amp;IF(AND(B1300&lt;&gt;"CN",N(H1300)&lt;=0),"공급가보정 ","")&amp;IF(AND(B1300="CN",N(I1300)&lt;=0),"중국공급가=원가+마진 ",""))</f>
        <v/>
      </c>
    </row>
    <row r="1301" customFormat="false" ht="15" hidden="false" customHeight="true" outlineLevel="0" collapsed="false">
      <c r="A1301" s="94" t="s">
        <v>1687</v>
      </c>
      <c r="B1301" s="34" t="str">
        <f aca="false">IF(A1301="100","HK",IF(A1301="200","CN",IF(A1301="300","TW","홀세일")))</f>
        <v>홀세일</v>
      </c>
      <c r="C1301" s="94" t="s">
        <v>646</v>
      </c>
      <c r="D1301" s="95" t="n">
        <v>15</v>
      </c>
      <c r="E1301" s="95" t="n">
        <v>199000</v>
      </c>
      <c r="F1301" s="95" t="n">
        <v>47678</v>
      </c>
      <c r="G1301" s="34" t="n">
        <v>3.56</v>
      </c>
      <c r="H1301" s="34" t="n">
        <v>52.9</v>
      </c>
      <c r="J1301" s="95" t="n">
        <f aca="false">IF(N(E1301)&gt;0,E1301,IF(N(F1301)&gt;0,F1301*가정!$B$5,0))</f>
        <v>199000</v>
      </c>
      <c r="K1301" s="95" t="n">
        <f aca="false">IF(N(F1301)&gt;0,F1301,IF(N(E1301)&gt;0,E1301/가정!$B$5,0))</f>
        <v>47678</v>
      </c>
      <c r="L1301" s="95" t="n">
        <f aca="false">IF(B1301="CN",IF(N(I1301)&gt;0,I1301*가정!$B$3,K1301*(1+가정!$B$6)),IF(N(H1301)&gt;0,H1301*가정!$B$3,J1301*가정!$B$4))</f>
        <v>72091.062</v>
      </c>
      <c r="M1301" s="95" t="n">
        <f aca="false">D1301*J1301</f>
        <v>2985000</v>
      </c>
      <c r="N1301" s="95" t="n">
        <f aca="false">D1301*K1301</f>
        <v>715170</v>
      </c>
      <c r="O1301" s="95" t="n">
        <f aca="false">D1301*L1301</f>
        <v>1081365.93</v>
      </c>
      <c r="P1301" s="34" t="str">
        <f aca="false">TRIM(IF(N(E1301)&lt;=0,"택가보정 ","")&amp;IF(N(F1301)&lt;=0,"원가보정 ","")&amp;IF(AND(B1301&lt;&gt;"CN",N(H1301)&lt;=0),"공급가보정 ","")&amp;IF(AND(B1301="CN",N(I1301)&lt;=0),"중국공급가=원가+마진 ",""))</f>
        <v/>
      </c>
    </row>
    <row r="1302" customFormat="false" ht="15" hidden="false" customHeight="true" outlineLevel="0" collapsed="false">
      <c r="A1302" s="94" t="s">
        <v>1688</v>
      </c>
      <c r="B1302" s="34" t="str">
        <f aca="false">IF(A1302="100","HK",IF(A1302="200","CN",IF(A1302="300","TW","홀세일")))</f>
        <v>홀세일</v>
      </c>
      <c r="C1302" s="94" t="s">
        <v>646</v>
      </c>
      <c r="D1302" s="95" t="n">
        <v>10</v>
      </c>
      <c r="E1302" s="95" t="n">
        <v>199000</v>
      </c>
      <c r="F1302" s="95" t="n">
        <v>47678</v>
      </c>
      <c r="G1302" s="34" t="n">
        <v>3.56</v>
      </c>
      <c r="H1302" s="34" t="n">
        <v>52.9</v>
      </c>
      <c r="J1302" s="95" t="n">
        <f aca="false">IF(N(E1302)&gt;0,E1302,IF(N(F1302)&gt;0,F1302*가정!$B$5,0))</f>
        <v>199000</v>
      </c>
      <c r="K1302" s="95" t="n">
        <f aca="false">IF(N(F1302)&gt;0,F1302,IF(N(E1302)&gt;0,E1302/가정!$B$5,0))</f>
        <v>47678</v>
      </c>
      <c r="L1302" s="95" t="n">
        <f aca="false">IF(B1302="CN",IF(N(I1302)&gt;0,I1302*가정!$B$3,K1302*(1+가정!$B$6)),IF(N(H1302)&gt;0,H1302*가정!$B$3,J1302*가정!$B$4))</f>
        <v>72091.062</v>
      </c>
      <c r="M1302" s="95" t="n">
        <f aca="false">D1302*J1302</f>
        <v>1990000</v>
      </c>
      <c r="N1302" s="95" t="n">
        <f aca="false">D1302*K1302</f>
        <v>476780</v>
      </c>
      <c r="O1302" s="95" t="n">
        <f aca="false">D1302*L1302</f>
        <v>720910.62</v>
      </c>
      <c r="P1302" s="34" t="str">
        <f aca="false">TRIM(IF(N(E1302)&lt;=0,"택가보정 ","")&amp;IF(N(F1302)&lt;=0,"원가보정 ","")&amp;IF(AND(B1302&lt;&gt;"CN",N(H1302)&lt;=0),"공급가보정 ","")&amp;IF(AND(B1302="CN",N(I1302)&lt;=0),"중국공급가=원가+마진 ",""))</f>
        <v/>
      </c>
    </row>
    <row r="1303" customFormat="false" ht="15" hidden="false" customHeight="true" outlineLevel="0" collapsed="false">
      <c r="A1303" s="94" t="s">
        <v>1692</v>
      </c>
      <c r="B1303" s="34" t="str">
        <f aca="false">IF(A1303="100","HK",IF(A1303="200","CN",IF(A1303="300","TW","홀세일")))</f>
        <v>홀세일</v>
      </c>
      <c r="C1303" s="94" t="s">
        <v>646</v>
      </c>
      <c r="D1303" s="95" t="n">
        <v>61</v>
      </c>
      <c r="E1303" s="95" t="n">
        <v>199000</v>
      </c>
      <c r="F1303" s="95" t="n">
        <v>47678</v>
      </c>
      <c r="G1303" s="34" t="n">
        <v>3.56</v>
      </c>
      <c r="H1303" s="34" t="n">
        <v>52.9</v>
      </c>
      <c r="J1303" s="95" t="n">
        <f aca="false">IF(N(E1303)&gt;0,E1303,IF(N(F1303)&gt;0,F1303*가정!$B$5,0))</f>
        <v>199000</v>
      </c>
      <c r="K1303" s="95" t="n">
        <f aca="false">IF(N(F1303)&gt;0,F1303,IF(N(E1303)&gt;0,E1303/가정!$B$5,0))</f>
        <v>47678</v>
      </c>
      <c r="L1303" s="95" t="n">
        <f aca="false">IF(B1303="CN",IF(N(I1303)&gt;0,I1303*가정!$B$3,K1303*(1+가정!$B$6)),IF(N(H1303)&gt;0,H1303*가정!$B$3,J1303*가정!$B$4))</f>
        <v>72091.062</v>
      </c>
      <c r="M1303" s="95" t="n">
        <f aca="false">D1303*J1303</f>
        <v>12139000</v>
      </c>
      <c r="N1303" s="95" t="n">
        <f aca="false">D1303*K1303</f>
        <v>2908358</v>
      </c>
      <c r="O1303" s="95" t="n">
        <f aca="false">D1303*L1303</f>
        <v>4397554.782</v>
      </c>
      <c r="P1303" s="34" t="str">
        <f aca="false">TRIM(IF(N(E1303)&lt;=0,"택가보정 ","")&amp;IF(N(F1303)&lt;=0,"원가보정 ","")&amp;IF(AND(B1303&lt;&gt;"CN",N(H1303)&lt;=0),"공급가보정 ","")&amp;IF(AND(B1303="CN",N(I1303)&lt;=0),"중국공급가=원가+마진 ",""))</f>
        <v/>
      </c>
    </row>
    <row r="1304" customFormat="false" ht="15" hidden="false" customHeight="true" outlineLevel="0" collapsed="false">
      <c r="A1304" s="94" t="s">
        <v>1689</v>
      </c>
      <c r="B1304" s="34" t="str">
        <f aca="false">IF(A1304="100","HK",IF(A1304="200","CN",IF(A1304="300","TW","홀세일")))</f>
        <v>홀세일</v>
      </c>
      <c r="C1304" s="94" t="s">
        <v>646</v>
      </c>
      <c r="D1304" s="95" t="n">
        <v>5</v>
      </c>
      <c r="E1304" s="95" t="n">
        <v>199000</v>
      </c>
      <c r="F1304" s="95" t="n">
        <v>47678</v>
      </c>
      <c r="G1304" s="34" t="n">
        <v>3.56</v>
      </c>
      <c r="H1304" s="34" t="n">
        <v>52.9</v>
      </c>
      <c r="J1304" s="95" t="n">
        <f aca="false">IF(N(E1304)&gt;0,E1304,IF(N(F1304)&gt;0,F1304*가정!$B$5,0))</f>
        <v>199000</v>
      </c>
      <c r="K1304" s="95" t="n">
        <f aca="false">IF(N(F1304)&gt;0,F1304,IF(N(E1304)&gt;0,E1304/가정!$B$5,0))</f>
        <v>47678</v>
      </c>
      <c r="L1304" s="95" t="n">
        <f aca="false">IF(B1304="CN",IF(N(I1304)&gt;0,I1304*가정!$B$3,K1304*(1+가정!$B$6)),IF(N(H1304)&gt;0,H1304*가정!$B$3,J1304*가정!$B$4))</f>
        <v>72091.062</v>
      </c>
      <c r="M1304" s="95" t="n">
        <f aca="false">D1304*J1304</f>
        <v>995000</v>
      </c>
      <c r="N1304" s="95" t="n">
        <f aca="false">D1304*K1304</f>
        <v>238390</v>
      </c>
      <c r="O1304" s="95" t="n">
        <f aca="false">D1304*L1304</f>
        <v>360455.31</v>
      </c>
      <c r="P1304" s="34" t="str">
        <f aca="false">TRIM(IF(N(E1304)&lt;=0,"택가보정 ","")&amp;IF(N(F1304)&lt;=0,"원가보정 ","")&amp;IF(AND(B1304&lt;&gt;"CN",N(H1304)&lt;=0),"공급가보정 ","")&amp;IF(AND(B1304="CN",N(I1304)&lt;=0),"중국공급가=원가+마진 ",""))</f>
        <v/>
      </c>
    </row>
    <row r="1305" customFormat="false" ht="15" hidden="false" customHeight="true" outlineLevel="0" collapsed="false">
      <c r="A1305" s="94" t="s">
        <v>1688</v>
      </c>
      <c r="B1305" s="34" t="str">
        <f aca="false">IF(A1305="100","HK",IF(A1305="200","CN",IF(A1305="300","TW","홀세일")))</f>
        <v>홀세일</v>
      </c>
      <c r="C1305" s="94" t="s">
        <v>1399</v>
      </c>
      <c r="D1305" s="95" t="n">
        <v>10</v>
      </c>
      <c r="E1305" s="95" t="n">
        <v>149000</v>
      </c>
      <c r="F1305" s="95" t="n">
        <v>33700</v>
      </c>
      <c r="G1305" s="34" t="n">
        <v>3.76</v>
      </c>
      <c r="H1305" s="34" t="n">
        <v>39.6</v>
      </c>
      <c r="J1305" s="95" t="n">
        <f aca="false">IF(N(E1305)&gt;0,E1305,IF(N(F1305)&gt;0,F1305*가정!$B$5,0))</f>
        <v>149000</v>
      </c>
      <c r="K1305" s="95" t="n">
        <f aca="false">IF(N(F1305)&gt;0,F1305,IF(N(E1305)&gt;0,E1305/가정!$B$5,0))</f>
        <v>33700</v>
      </c>
      <c r="L1305" s="95" t="n">
        <f aca="false">IF(B1305="CN",IF(N(I1305)&gt;0,I1305*가정!$B$3,K1305*(1+가정!$B$6)),IF(N(H1305)&gt;0,H1305*가정!$B$3,J1305*가정!$B$4))</f>
        <v>53966.088</v>
      </c>
      <c r="M1305" s="95" t="n">
        <f aca="false">D1305*J1305</f>
        <v>1490000</v>
      </c>
      <c r="N1305" s="95" t="n">
        <f aca="false">D1305*K1305</f>
        <v>337000</v>
      </c>
      <c r="O1305" s="95" t="n">
        <f aca="false">D1305*L1305</f>
        <v>539660.88</v>
      </c>
      <c r="P1305" s="34" t="str">
        <f aca="false">TRIM(IF(N(E1305)&lt;=0,"택가보정 ","")&amp;IF(N(F1305)&lt;=0,"원가보정 ","")&amp;IF(AND(B1305&lt;&gt;"CN",N(H1305)&lt;=0),"공급가보정 ","")&amp;IF(AND(B1305="CN",N(I1305)&lt;=0),"중국공급가=원가+마진 ",""))</f>
        <v/>
      </c>
    </row>
    <row r="1306" customFormat="false" ht="15.75" hidden="false" customHeight="true" outlineLevel="0" collapsed="false">
      <c r="A1306" s="94" t="s">
        <v>1685</v>
      </c>
      <c r="B1306" s="34" t="str">
        <f aca="false">IF(A1306="100","HK",IF(A1306="200","CN",IF(A1306="300","TW","홀세일")))</f>
        <v>CN</v>
      </c>
      <c r="C1306" s="94" t="s">
        <v>1158</v>
      </c>
      <c r="D1306" s="95" t="n">
        <v>242</v>
      </c>
      <c r="E1306" s="95" t="n">
        <v>99000</v>
      </c>
      <c r="F1306" s="95" t="n">
        <v>23511</v>
      </c>
      <c r="G1306" s="34" t="n">
        <v>3.59</v>
      </c>
      <c r="H1306" s="34" t="n">
        <v>26.3</v>
      </c>
      <c r="J1306" s="95" t="n">
        <f aca="false">IF(N(E1306)&gt;0,E1306,IF(N(F1306)&gt;0,F1306*가정!$B$5,0))</f>
        <v>99000</v>
      </c>
      <c r="K1306" s="95" t="n">
        <f aca="false">IF(N(F1306)&gt;0,F1306,IF(N(E1306)&gt;0,E1306/가정!$B$5,0))</f>
        <v>23511</v>
      </c>
      <c r="L1306" s="95" t="n">
        <f aca="false">IF(B1306="CN",IF(N(I1306)&gt;0,I1306*가정!$B$3,K1306*(1+가정!$B$6)),IF(N(H1306)&gt;0,H1306*가정!$B$3,J1306*가정!$B$4))</f>
        <v>24686.55</v>
      </c>
      <c r="M1306" s="95" t="n">
        <f aca="false">D1306*J1306</f>
        <v>23958000</v>
      </c>
      <c r="N1306" s="95" t="n">
        <f aca="false">D1306*K1306</f>
        <v>5689662</v>
      </c>
      <c r="O1306" s="95" t="n">
        <f aca="false">D1306*L1306</f>
        <v>5974145.1</v>
      </c>
      <c r="P1306" s="34" t="str">
        <f aca="false">TRIM(IF(N(E1306)&lt;=0,"택가보정 ","")&amp;IF(N(F1306)&lt;=0,"원가보정 ","")&amp;IF(AND(B1306&lt;&gt;"CN",N(H1306)&lt;=0),"공급가보정 ","")&amp;IF(AND(B1306="CN",N(I1306)&lt;=0),"중국공급가=원가+마진 ",""))</f>
        <v>중국공급가=원가+마진</v>
      </c>
    </row>
    <row r="1307" customFormat="false" ht="15" hidden="false" customHeight="true" outlineLevel="0" collapsed="false">
      <c r="A1307" s="94" t="s">
        <v>1688</v>
      </c>
      <c r="B1307" s="34" t="str">
        <f aca="false">IF(A1307="100","HK",IF(A1307="200","CN",IF(A1307="300","TW","홀세일")))</f>
        <v>홀세일</v>
      </c>
      <c r="C1307" s="94" t="s">
        <v>1158</v>
      </c>
      <c r="D1307" s="95" t="n">
        <v>10</v>
      </c>
      <c r="E1307" s="95" t="n">
        <v>99000</v>
      </c>
      <c r="F1307" s="95" t="n">
        <v>23511</v>
      </c>
      <c r="G1307" s="34" t="n">
        <v>3.59</v>
      </c>
      <c r="H1307" s="34" t="n">
        <v>26.3</v>
      </c>
      <c r="J1307" s="95" t="n">
        <f aca="false">IF(N(E1307)&gt;0,E1307,IF(N(F1307)&gt;0,F1307*가정!$B$5,0))</f>
        <v>99000</v>
      </c>
      <c r="K1307" s="95" t="n">
        <f aca="false">IF(N(F1307)&gt;0,F1307,IF(N(E1307)&gt;0,E1307/가정!$B$5,0))</f>
        <v>23511</v>
      </c>
      <c r="L1307" s="95" t="n">
        <f aca="false">IF(B1307="CN",IF(N(I1307)&gt;0,I1307*가정!$B$3,K1307*(1+가정!$B$6)),IF(N(H1307)&gt;0,H1307*가정!$B$3,J1307*가정!$B$4))</f>
        <v>35841.114</v>
      </c>
      <c r="M1307" s="95" t="n">
        <f aca="false">D1307*J1307</f>
        <v>990000</v>
      </c>
      <c r="N1307" s="95" t="n">
        <f aca="false">D1307*K1307</f>
        <v>235110</v>
      </c>
      <c r="O1307" s="95" t="n">
        <f aca="false">D1307*L1307</f>
        <v>358411.14</v>
      </c>
      <c r="P1307" s="34" t="str">
        <f aca="false">TRIM(IF(N(E1307)&lt;=0,"택가보정 ","")&amp;IF(N(F1307)&lt;=0,"원가보정 ","")&amp;IF(AND(B1307&lt;&gt;"CN",N(H1307)&lt;=0),"공급가보정 ","")&amp;IF(AND(B1307="CN",N(I1307)&lt;=0),"중국공급가=원가+마진 ",""))</f>
        <v/>
      </c>
    </row>
    <row r="1308" customFormat="false" ht="15" hidden="false" customHeight="true" outlineLevel="0" collapsed="false">
      <c r="A1308" s="94" t="s">
        <v>1689</v>
      </c>
      <c r="B1308" s="34" t="str">
        <f aca="false">IF(A1308="100","HK",IF(A1308="200","CN",IF(A1308="300","TW","홀세일")))</f>
        <v>홀세일</v>
      </c>
      <c r="C1308" s="94" t="s">
        <v>1158</v>
      </c>
      <c r="D1308" s="95" t="n">
        <v>10</v>
      </c>
      <c r="E1308" s="95" t="n">
        <v>99000</v>
      </c>
      <c r="F1308" s="95" t="n">
        <v>23511</v>
      </c>
      <c r="G1308" s="34" t="n">
        <v>3.59</v>
      </c>
      <c r="H1308" s="34" t="n">
        <v>26.3</v>
      </c>
      <c r="J1308" s="95" t="n">
        <f aca="false">IF(N(E1308)&gt;0,E1308,IF(N(F1308)&gt;0,F1308*가정!$B$5,0))</f>
        <v>99000</v>
      </c>
      <c r="K1308" s="95" t="n">
        <f aca="false">IF(N(F1308)&gt;0,F1308,IF(N(E1308)&gt;0,E1308/가정!$B$5,0))</f>
        <v>23511</v>
      </c>
      <c r="L1308" s="95" t="n">
        <f aca="false">IF(B1308="CN",IF(N(I1308)&gt;0,I1308*가정!$B$3,K1308*(1+가정!$B$6)),IF(N(H1308)&gt;0,H1308*가정!$B$3,J1308*가정!$B$4))</f>
        <v>35841.114</v>
      </c>
      <c r="M1308" s="95" t="n">
        <f aca="false">D1308*J1308</f>
        <v>990000</v>
      </c>
      <c r="N1308" s="95" t="n">
        <f aca="false">D1308*K1308</f>
        <v>235110</v>
      </c>
      <c r="O1308" s="95" t="n">
        <f aca="false">D1308*L1308</f>
        <v>358411.14</v>
      </c>
      <c r="P1308" s="34" t="str">
        <f aca="false">TRIM(IF(N(E1308)&lt;=0,"택가보정 ","")&amp;IF(N(F1308)&lt;=0,"원가보정 ","")&amp;IF(AND(B1308&lt;&gt;"CN",N(H1308)&lt;=0),"공급가보정 ","")&amp;IF(AND(B1308="CN",N(I1308)&lt;=0),"중국공급가=원가+마진 ",""))</f>
        <v/>
      </c>
    </row>
    <row r="1309" customFormat="false" ht="15" hidden="false" customHeight="true" outlineLevel="0" collapsed="false">
      <c r="A1309" s="94" t="s">
        <v>1689</v>
      </c>
      <c r="B1309" s="34" t="str">
        <f aca="false">IF(A1309="100","HK",IF(A1309="200","CN",IF(A1309="300","TW","홀세일")))</f>
        <v>홀세일</v>
      </c>
      <c r="C1309" s="94" t="s">
        <v>1158</v>
      </c>
      <c r="D1309" s="95" t="n">
        <v>10</v>
      </c>
      <c r="E1309" s="95" t="n">
        <v>99000</v>
      </c>
      <c r="F1309" s="95" t="n">
        <v>23511</v>
      </c>
      <c r="G1309" s="34" t="n">
        <v>3.59</v>
      </c>
      <c r="H1309" s="34" t="n">
        <v>26.3</v>
      </c>
      <c r="J1309" s="95" t="n">
        <f aca="false">IF(N(E1309)&gt;0,E1309,IF(N(F1309)&gt;0,F1309*가정!$B$5,0))</f>
        <v>99000</v>
      </c>
      <c r="K1309" s="95" t="n">
        <f aca="false">IF(N(F1309)&gt;0,F1309,IF(N(E1309)&gt;0,E1309/가정!$B$5,0))</f>
        <v>23511</v>
      </c>
      <c r="L1309" s="95" t="n">
        <f aca="false">IF(B1309="CN",IF(N(I1309)&gt;0,I1309*가정!$B$3,K1309*(1+가정!$B$6)),IF(N(H1309)&gt;0,H1309*가정!$B$3,J1309*가정!$B$4))</f>
        <v>35841.114</v>
      </c>
      <c r="M1309" s="95" t="n">
        <f aca="false">D1309*J1309</f>
        <v>990000</v>
      </c>
      <c r="N1309" s="95" t="n">
        <f aca="false">D1309*K1309</f>
        <v>235110</v>
      </c>
      <c r="O1309" s="95" t="n">
        <f aca="false">D1309*L1309</f>
        <v>358411.14</v>
      </c>
      <c r="P1309" s="34" t="str">
        <f aca="false">TRIM(IF(N(E1309)&lt;=0,"택가보정 ","")&amp;IF(N(F1309)&lt;=0,"원가보정 ","")&amp;IF(AND(B1309&lt;&gt;"CN",N(H1309)&lt;=0),"공급가보정 ","")&amp;IF(AND(B1309="CN",N(I1309)&lt;=0),"중국공급가=원가+마진 ",""))</f>
        <v/>
      </c>
    </row>
    <row r="1310" customFormat="false" ht="15" hidden="false" customHeight="true" outlineLevel="0" collapsed="false">
      <c r="A1310" s="94" t="s">
        <v>1690</v>
      </c>
      <c r="B1310" s="34" t="str">
        <f aca="false">IF(A1310="100","HK",IF(A1310="200","CN",IF(A1310="300","TW","홀세일")))</f>
        <v>홀세일</v>
      </c>
      <c r="C1310" s="94" t="s">
        <v>1158</v>
      </c>
      <c r="D1310" s="95" t="n">
        <v>54</v>
      </c>
      <c r="E1310" s="95" t="n">
        <v>99000</v>
      </c>
      <c r="F1310" s="95" t="n">
        <v>23511</v>
      </c>
      <c r="G1310" s="34" t="n">
        <v>3.59</v>
      </c>
      <c r="H1310" s="34" t="n">
        <v>26.3</v>
      </c>
      <c r="J1310" s="95" t="n">
        <f aca="false">IF(N(E1310)&gt;0,E1310,IF(N(F1310)&gt;0,F1310*가정!$B$5,0))</f>
        <v>99000</v>
      </c>
      <c r="K1310" s="95" t="n">
        <f aca="false">IF(N(F1310)&gt;0,F1310,IF(N(E1310)&gt;0,E1310/가정!$B$5,0))</f>
        <v>23511</v>
      </c>
      <c r="L1310" s="95" t="n">
        <f aca="false">IF(B1310="CN",IF(N(I1310)&gt;0,I1310*가정!$B$3,K1310*(1+가정!$B$6)),IF(N(H1310)&gt;0,H1310*가정!$B$3,J1310*가정!$B$4))</f>
        <v>35841.114</v>
      </c>
      <c r="M1310" s="95" t="n">
        <f aca="false">D1310*J1310</f>
        <v>5346000</v>
      </c>
      <c r="N1310" s="95" t="n">
        <f aca="false">D1310*K1310</f>
        <v>1269594</v>
      </c>
      <c r="O1310" s="95" t="n">
        <f aca="false">D1310*L1310</f>
        <v>1935420.156</v>
      </c>
      <c r="P1310" s="34" t="str">
        <f aca="false">TRIM(IF(N(E1310)&lt;=0,"택가보정 ","")&amp;IF(N(F1310)&lt;=0,"원가보정 ","")&amp;IF(AND(B1310&lt;&gt;"CN",N(H1310)&lt;=0),"공급가보정 ","")&amp;IF(AND(B1310="CN",N(I1310)&lt;=0),"중국공급가=원가+마진 ",""))</f>
        <v/>
      </c>
    </row>
    <row r="1311" customFormat="false" ht="15" hidden="false" customHeight="true" outlineLevel="0" collapsed="false">
      <c r="A1311" s="94" t="s">
        <v>1684</v>
      </c>
      <c r="B1311" s="34" t="str">
        <f aca="false">IF(A1311="100","HK",IF(A1311="200","CN",IF(A1311="300","TW","홀세일")))</f>
        <v>HK</v>
      </c>
      <c r="C1311" s="94" t="s">
        <v>644</v>
      </c>
      <c r="D1311" s="95" t="n">
        <v>300</v>
      </c>
      <c r="E1311" s="95" t="n">
        <v>119000</v>
      </c>
      <c r="F1311" s="95" t="n">
        <v>23399</v>
      </c>
      <c r="G1311" s="34" t="n">
        <v>4.4</v>
      </c>
      <c r="H1311" s="34" t="n">
        <v>31.6</v>
      </c>
      <c r="J1311" s="95" t="n">
        <f aca="false">IF(N(E1311)&gt;0,E1311,IF(N(F1311)&gt;0,F1311*가정!$B$5,0))</f>
        <v>119000</v>
      </c>
      <c r="K1311" s="95" t="n">
        <f aca="false">IF(N(F1311)&gt;0,F1311,IF(N(E1311)&gt;0,E1311/가정!$B$5,0))</f>
        <v>23399</v>
      </c>
      <c r="L1311" s="95" t="n">
        <f aca="false">IF(B1311="CN",IF(N(I1311)&gt;0,I1311*가정!$B$3,K1311*(1+가정!$B$6)),IF(N(H1311)&gt;0,H1311*가정!$B$3,J1311*가정!$B$4))</f>
        <v>43063.848</v>
      </c>
      <c r="M1311" s="95" t="n">
        <f aca="false">D1311*J1311</f>
        <v>35700000</v>
      </c>
      <c r="N1311" s="95" t="n">
        <f aca="false">D1311*K1311</f>
        <v>7019700</v>
      </c>
      <c r="O1311" s="95" t="n">
        <f aca="false">D1311*L1311</f>
        <v>12919154.4</v>
      </c>
      <c r="P1311" s="34" t="str">
        <f aca="false">TRIM(IF(N(E1311)&lt;=0,"택가보정 ","")&amp;IF(N(F1311)&lt;=0,"원가보정 ","")&amp;IF(AND(B1311&lt;&gt;"CN",N(H1311)&lt;=0),"공급가보정 ","")&amp;IF(AND(B1311="CN",N(I1311)&lt;=0),"중국공급가=원가+마진 ",""))</f>
        <v/>
      </c>
    </row>
    <row r="1312" customFormat="false" ht="15.75" hidden="false" customHeight="true" outlineLevel="0" collapsed="false">
      <c r="A1312" s="94" t="s">
        <v>1685</v>
      </c>
      <c r="B1312" s="34" t="str">
        <f aca="false">IF(A1312="100","HK",IF(A1312="200","CN",IF(A1312="300","TW","홀세일")))</f>
        <v>CN</v>
      </c>
      <c r="C1312" s="94" t="s">
        <v>644</v>
      </c>
      <c r="D1312" s="95" t="n">
        <v>583</v>
      </c>
      <c r="E1312" s="95" t="n">
        <v>119000</v>
      </c>
      <c r="F1312" s="95" t="n">
        <v>23399</v>
      </c>
      <c r="G1312" s="34" t="n">
        <v>4.4</v>
      </c>
      <c r="H1312" s="34" t="n">
        <v>31.6</v>
      </c>
      <c r="J1312" s="95" t="n">
        <f aca="false">IF(N(E1312)&gt;0,E1312,IF(N(F1312)&gt;0,F1312*가정!$B$5,0))</f>
        <v>119000</v>
      </c>
      <c r="K1312" s="95" t="n">
        <f aca="false">IF(N(F1312)&gt;0,F1312,IF(N(E1312)&gt;0,E1312/가정!$B$5,0))</f>
        <v>23399</v>
      </c>
      <c r="L1312" s="95" t="n">
        <f aca="false">IF(B1312="CN",IF(N(I1312)&gt;0,I1312*가정!$B$3,K1312*(1+가정!$B$6)),IF(N(H1312)&gt;0,H1312*가정!$B$3,J1312*가정!$B$4))</f>
        <v>24568.95</v>
      </c>
      <c r="M1312" s="95" t="n">
        <f aca="false">D1312*J1312</f>
        <v>69377000</v>
      </c>
      <c r="N1312" s="95" t="n">
        <f aca="false">D1312*K1312</f>
        <v>13641617</v>
      </c>
      <c r="O1312" s="95" t="n">
        <f aca="false">D1312*L1312</f>
        <v>14323697.85</v>
      </c>
      <c r="P1312" s="34" t="str">
        <f aca="false">TRIM(IF(N(E1312)&lt;=0,"택가보정 ","")&amp;IF(N(F1312)&lt;=0,"원가보정 ","")&amp;IF(AND(B1312&lt;&gt;"CN",N(H1312)&lt;=0),"공급가보정 ","")&amp;IF(AND(B1312="CN",N(I1312)&lt;=0),"중국공급가=원가+마진 ",""))</f>
        <v>중국공급가=원가+마진</v>
      </c>
    </row>
    <row r="1313" customFormat="false" ht="15" hidden="false" customHeight="true" outlineLevel="0" collapsed="false">
      <c r="A1313" s="94" t="s">
        <v>1686</v>
      </c>
      <c r="B1313" s="34" t="str">
        <f aca="false">IF(A1313="100","HK",IF(A1313="200","CN",IF(A1313="300","TW","홀세일")))</f>
        <v>TW</v>
      </c>
      <c r="C1313" s="94" t="s">
        <v>644</v>
      </c>
      <c r="D1313" s="95" t="n">
        <v>200</v>
      </c>
      <c r="E1313" s="95" t="n">
        <v>119000</v>
      </c>
      <c r="F1313" s="95" t="n">
        <v>23399</v>
      </c>
      <c r="G1313" s="34" t="n">
        <v>4.4</v>
      </c>
      <c r="H1313" s="34" t="n">
        <v>31.6</v>
      </c>
      <c r="J1313" s="95" t="n">
        <f aca="false">IF(N(E1313)&gt;0,E1313,IF(N(F1313)&gt;0,F1313*가정!$B$5,0))</f>
        <v>119000</v>
      </c>
      <c r="K1313" s="95" t="n">
        <f aca="false">IF(N(F1313)&gt;0,F1313,IF(N(E1313)&gt;0,E1313/가정!$B$5,0))</f>
        <v>23399</v>
      </c>
      <c r="L1313" s="95" t="n">
        <f aca="false">IF(B1313="CN",IF(N(I1313)&gt;0,I1313*가정!$B$3,K1313*(1+가정!$B$6)),IF(N(H1313)&gt;0,H1313*가정!$B$3,J1313*가정!$B$4))</f>
        <v>43063.848</v>
      </c>
      <c r="M1313" s="95" t="n">
        <f aca="false">D1313*J1313</f>
        <v>23800000</v>
      </c>
      <c r="N1313" s="95" t="n">
        <f aca="false">D1313*K1313</f>
        <v>4679800</v>
      </c>
      <c r="O1313" s="95" t="n">
        <f aca="false">D1313*L1313</f>
        <v>8612769.6</v>
      </c>
      <c r="P1313" s="34" t="str">
        <f aca="false">TRIM(IF(N(E1313)&lt;=0,"택가보정 ","")&amp;IF(N(F1313)&lt;=0,"원가보정 ","")&amp;IF(AND(B1313&lt;&gt;"CN",N(H1313)&lt;=0),"공급가보정 ","")&amp;IF(AND(B1313="CN",N(I1313)&lt;=0),"중국공급가=원가+마진 ",""))</f>
        <v/>
      </c>
    </row>
    <row r="1314" customFormat="false" ht="15" hidden="false" customHeight="true" outlineLevel="0" collapsed="false">
      <c r="A1314" s="94" t="s">
        <v>1689</v>
      </c>
      <c r="B1314" s="34" t="str">
        <f aca="false">IF(A1314="100","HK",IF(A1314="200","CN",IF(A1314="300","TW","홀세일")))</f>
        <v>홀세일</v>
      </c>
      <c r="C1314" s="94" t="s">
        <v>644</v>
      </c>
      <c r="D1314" s="95" t="n">
        <v>30</v>
      </c>
      <c r="E1314" s="95" t="n">
        <v>119000</v>
      </c>
      <c r="F1314" s="95" t="n">
        <v>23399</v>
      </c>
      <c r="G1314" s="34" t="n">
        <v>4.4</v>
      </c>
      <c r="H1314" s="34" t="n">
        <v>31.6</v>
      </c>
      <c r="J1314" s="95" t="n">
        <f aca="false">IF(N(E1314)&gt;0,E1314,IF(N(F1314)&gt;0,F1314*가정!$B$5,0))</f>
        <v>119000</v>
      </c>
      <c r="K1314" s="95" t="n">
        <f aca="false">IF(N(F1314)&gt;0,F1314,IF(N(E1314)&gt;0,E1314/가정!$B$5,0))</f>
        <v>23399</v>
      </c>
      <c r="L1314" s="95" t="n">
        <f aca="false">IF(B1314="CN",IF(N(I1314)&gt;0,I1314*가정!$B$3,K1314*(1+가정!$B$6)),IF(N(H1314)&gt;0,H1314*가정!$B$3,J1314*가정!$B$4))</f>
        <v>43063.848</v>
      </c>
      <c r="M1314" s="95" t="n">
        <f aca="false">D1314*J1314</f>
        <v>3570000</v>
      </c>
      <c r="N1314" s="95" t="n">
        <f aca="false">D1314*K1314</f>
        <v>701970</v>
      </c>
      <c r="O1314" s="95" t="n">
        <f aca="false">D1314*L1314</f>
        <v>1291915.44</v>
      </c>
      <c r="P1314" s="34" t="str">
        <f aca="false">TRIM(IF(N(E1314)&lt;=0,"택가보정 ","")&amp;IF(N(F1314)&lt;=0,"원가보정 ","")&amp;IF(AND(B1314&lt;&gt;"CN",N(H1314)&lt;=0),"공급가보정 ","")&amp;IF(AND(B1314="CN",N(I1314)&lt;=0),"중국공급가=원가+마진 ",""))</f>
        <v/>
      </c>
    </row>
    <row r="1315" customFormat="false" ht="15" hidden="false" customHeight="true" outlineLevel="0" collapsed="false">
      <c r="A1315" s="94" t="s">
        <v>1689</v>
      </c>
      <c r="B1315" s="34" t="str">
        <f aca="false">IF(A1315="100","HK",IF(A1315="200","CN",IF(A1315="300","TW","홀세일")))</f>
        <v>홀세일</v>
      </c>
      <c r="C1315" s="94" t="s">
        <v>644</v>
      </c>
      <c r="D1315" s="95" t="n">
        <v>30</v>
      </c>
      <c r="E1315" s="95" t="n">
        <v>119000</v>
      </c>
      <c r="F1315" s="95" t="n">
        <v>23399</v>
      </c>
      <c r="G1315" s="34" t="n">
        <v>4.4</v>
      </c>
      <c r="H1315" s="34" t="n">
        <v>31.6</v>
      </c>
      <c r="J1315" s="95" t="n">
        <f aca="false">IF(N(E1315)&gt;0,E1315,IF(N(F1315)&gt;0,F1315*가정!$B$5,0))</f>
        <v>119000</v>
      </c>
      <c r="K1315" s="95" t="n">
        <f aca="false">IF(N(F1315)&gt;0,F1315,IF(N(E1315)&gt;0,E1315/가정!$B$5,0))</f>
        <v>23399</v>
      </c>
      <c r="L1315" s="95" t="n">
        <f aca="false">IF(B1315="CN",IF(N(I1315)&gt;0,I1315*가정!$B$3,K1315*(1+가정!$B$6)),IF(N(H1315)&gt;0,H1315*가정!$B$3,J1315*가정!$B$4))</f>
        <v>43063.848</v>
      </c>
      <c r="M1315" s="95" t="n">
        <f aca="false">D1315*J1315</f>
        <v>3570000</v>
      </c>
      <c r="N1315" s="95" t="n">
        <f aca="false">D1315*K1315</f>
        <v>701970</v>
      </c>
      <c r="O1315" s="95" t="n">
        <f aca="false">D1315*L1315</f>
        <v>1291915.44</v>
      </c>
      <c r="P1315" s="34" t="str">
        <f aca="false">TRIM(IF(N(E1315)&lt;=0,"택가보정 ","")&amp;IF(N(F1315)&lt;=0,"원가보정 ","")&amp;IF(AND(B1315&lt;&gt;"CN",N(H1315)&lt;=0),"공급가보정 ","")&amp;IF(AND(B1315="CN",N(I1315)&lt;=0),"중국공급가=원가+마진 ",""))</f>
        <v/>
      </c>
    </row>
    <row r="1316" customFormat="false" ht="15" hidden="false" customHeight="true" outlineLevel="0" collapsed="false">
      <c r="A1316" s="94" t="s">
        <v>1684</v>
      </c>
      <c r="B1316" s="34" t="str">
        <f aca="false">IF(A1316="100","HK",IF(A1316="200","CN",IF(A1316="300","TW","홀세일")))</f>
        <v>HK</v>
      </c>
      <c r="C1316" s="94" t="s">
        <v>648</v>
      </c>
      <c r="D1316" s="95" t="n">
        <v>210</v>
      </c>
      <c r="E1316" s="95" t="n">
        <v>149000</v>
      </c>
      <c r="F1316" s="95" t="n">
        <v>37358</v>
      </c>
      <c r="G1316" s="34" t="n">
        <v>3.5</v>
      </c>
      <c r="H1316" s="34" t="n">
        <v>39.6</v>
      </c>
      <c r="J1316" s="95" t="n">
        <f aca="false">IF(N(E1316)&gt;0,E1316,IF(N(F1316)&gt;0,F1316*가정!$B$5,0))</f>
        <v>149000</v>
      </c>
      <c r="K1316" s="95" t="n">
        <f aca="false">IF(N(F1316)&gt;0,F1316,IF(N(E1316)&gt;0,E1316/가정!$B$5,0))</f>
        <v>37358</v>
      </c>
      <c r="L1316" s="95" t="n">
        <f aca="false">IF(B1316="CN",IF(N(I1316)&gt;0,I1316*가정!$B$3,K1316*(1+가정!$B$6)),IF(N(H1316)&gt;0,H1316*가정!$B$3,J1316*가정!$B$4))</f>
        <v>53966.088</v>
      </c>
      <c r="M1316" s="95" t="n">
        <f aca="false">D1316*J1316</f>
        <v>31290000</v>
      </c>
      <c r="N1316" s="95" t="n">
        <f aca="false">D1316*K1316</f>
        <v>7845180</v>
      </c>
      <c r="O1316" s="95" t="n">
        <f aca="false">D1316*L1316</f>
        <v>11332878.48</v>
      </c>
      <c r="P1316" s="34" t="str">
        <f aca="false">TRIM(IF(N(E1316)&lt;=0,"택가보정 ","")&amp;IF(N(F1316)&lt;=0,"원가보정 ","")&amp;IF(AND(B1316&lt;&gt;"CN",N(H1316)&lt;=0),"공급가보정 ","")&amp;IF(AND(B1316="CN",N(I1316)&lt;=0),"중국공급가=원가+마진 ",""))</f>
        <v/>
      </c>
    </row>
    <row r="1317" customFormat="false" ht="15.75" hidden="false" customHeight="true" outlineLevel="0" collapsed="false">
      <c r="A1317" s="94" t="s">
        <v>1685</v>
      </c>
      <c r="B1317" s="34" t="str">
        <f aca="false">IF(A1317="100","HK",IF(A1317="200","CN",IF(A1317="300","TW","홀세일")))</f>
        <v>CN</v>
      </c>
      <c r="C1317" s="94" t="s">
        <v>648</v>
      </c>
      <c r="D1317" s="95" t="n">
        <v>192</v>
      </c>
      <c r="E1317" s="95" t="n">
        <v>149000</v>
      </c>
      <c r="F1317" s="95" t="n">
        <v>37358</v>
      </c>
      <c r="G1317" s="34" t="n">
        <v>3.5</v>
      </c>
      <c r="H1317" s="34" t="n">
        <v>39.6</v>
      </c>
      <c r="J1317" s="95" t="n">
        <f aca="false">IF(N(E1317)&gt;0,E1317,IF(N(F1317)&gt;0,F1317*가정!$B$5,0))</f>
        <v>149000</v>
      </c>
      <c r="K1317" s="95" t="n">
        <f aca="false">IF(N(F1317)&gt;0,F1317,IF(N(E1317)&gt;0,E1317/가정!$B$5,0))</f>
        <v>37358</v>
      </c>
      <c r="L1317" s="95" t="n">
        <f aca="false">IF(B1317="CN",IF(N(I1317)&gt;0,I1317*가정!$B$3,K1317*(1+가정!$B$6)),IF(N(H1317)&gt;0,H1317*가정!$B$3,J1317*가정!$B$4))</f>
        <v>39225.9</v>
      </c>
      <c r="M1317" s="95" t="n">
        <f aca="false">D1317*J1317</f>
        <v>28608000</v>
      </c>
      <c r="N1317" s="95" t="n">
        <f aca="false">D1317*K1317</f>
        <v>7172736</v>
      </c>
      <c r="O1317" s="95" t="n">
        <f aca="false">D1317*L1317</f>
        <v>7531372.8</v>
      </c>
      <c r="P1317" s="34" t="str">
        <f aca="false">TRIM(IF(N(E1317)&lt;=0,"택가보정 ","")&amp;IF(N(F1317)&lt;=0,"원가보정 ","")&amp;IF(AND(B1317&lt;&gt;"CN",N(H1317)&lt;=0),"공급가보정 ","")&amp;IF(AND(B1317="CN",N(I1317)&lt;=0),"중국공급가=원가+마진 ",""))</f>
        <v>중국공급가=원가+마진</v>
      </c>
    </row>
    <row r="1318" customFormat="false" ht="15" hidden="false" customHeight="true" outlineLevel="0" collapsed="false">
      <c r="A1318" s="94" t="s">
        <v>1686</v>
      </c>
      <c r="B1318" s="34" t="str">
        <f aca="false">IF(A1318="100","HK",IF(A1318="200","CN",IF(A1318="300","TW","홀세일")))</f>
        <v>TW</v>
      </c>
      <c r="C1318" s="94" t="s">
        <v>648</v>
      </c>
      <c r="D1318" s="95" t="n">
        <v>230</v>
      </c>
      <c r="E1318" s="95" t="n">
        <v>149000</v>
      </c>
      <c r="F1318" s="95" t="n">
        <v>37358</v>
      </c>
      <c r="G1318" s="34" t="n">
        <v>3.5</v>
      </c>
      <c r="H1318" s="34" t="n">
        <v>39.6</v>
      </c>
      <c r="J1318" s="95" t="n">
        <f aca="false">IF(N(E1318)&gt;0,E1318,IF(N(F1318)&gt;0,F1318*가정!$B$5,0))</f>
        <v>149000</v>
      </c>
      <c r="K1318" s="95" t="n">
        <f aca="false">IF(N(F1318)&gt;0,F1318,IF(N(E1318)&gt;0,E1318/가정!$B$5,0))</f>
        <v>37358</v>
      </c>
      <c r="L1318" s="95" t="n">
        <f aca="false">IF(B1318="CN",IF(N(I1318)&gt;0,I1318*가정!$B$3,K1318*(1+가정!$B$6)),IF(N(H1318)&gt;0,H1318*가정!$B$3,J1318*가정!$B$4))</f>
        <v>53966.088</v>
      </c>
      <c r="M1318" s="95" t="n">
        <f aca="false">D1318*J1318</f>
        <v>34270000</v>
      </c>
      <c r="N1318" s="95" t="n">
        <f aca="false">D1318*K1318</f>
        <v>8592340</v>
      </c>
      <c r="O1318" s="95" t="n">
        <f aca="false">D1318*L1318</f>
        <v>12412200.24</v>
      </c>
      <c r="P1318" s="34" t="str">
        <f aca="false">TRIM(IF(N(E1318)&lt;=0,"택가보정 ","")&amp;IF(N(F1318)&lt;=0,"원가보정 ","")&amp;IF(AND(B1318&lt;&gt;"CN",N(H1318)&lt;=0),"공급가보정 ","")&amp;IF(AND(B1318="CN",N(I1318)&lt;=0),"중국공급가=원가+마진 ",""))</f>
        <v/>
      </c>
    </row>
    <row r="1319" customFormat="false" ht="15" hidden="false" customHeight="true" outlineLevel="0" collapsed="false">
      <c r="A1319" s="94" t="s">
        <v>1687</v>
      </c>
      <c r="B1319" s="34" t="str">
        <f aca="false">IF(A1319="100","HK",IF(A1319="200","CN",IF(A1319="300","TW","홀세일")))</f>
        <v>홀세일</v>
      </c>
      <c r="C1319" s="94" t="s">
        <v>648</v>
      </c>
      <c r="D1319" s="95" t="n">
        <v>15</v>
      </c>
      <c r="E1319" s="95" t="n">
        <v>149000</v>
      </c>
      <c r="F1319" s="95" t="n">
        <v>37358</v>
      </c>
      <c r="G1319" s="34" t="n">
        <v>3.5</v>
      </c>
      <c r="H1319" s="34" t="n">
        <v>39.6</v>
      </c>
      <c r="J1319" s="95" t="n">
        <f aca="false">IF(N(E1319)&gt;0,E1319,IF(N(F1319)&gt;0,F1319*가정!$B$5,0))</f>
        <v>149000</v>
      </c>
      <c r="K1319" s="95" t="n">
        <f aca="false">IF(N(F1319)&gt;0,F1319,IF(N(E1319)&gt;0,E1319/가정!$B$5,0))</f>
        <v>37358</v>
      </c>
      <c r="L1319" s="95" t="n">
        <f aca="false">IF(B1319="CN",IF(N(I1319)&gt;0,I1319*가정!$B$3,K1319*(1+가정!$B$6)),IF(N(H1319)&gt;0,H1319*가정!$B$3,J1319*가정!$B$4))</f>
        <v>53966.088</v>
      </c>
      <c r="M1319" s="95" t="n">
        <f aca="false">D1319*J1319</f>
        <v>2235000</v>
      </c>
      <c r="N1319" s="95" t="n">
        <f aca="false">D1319*K1319</f>
        <v>560370</v>
      </c>
      <c r="O1319" s="95" t="n">
        <f aca="false">D1319*L1319</f>
        <v>809491.32</v>
      </c>
      <c r="P1319" s="34" t="str">
        <f aca="false">TRIM(IF(N(E1319)&lt;=0,"택가보정 ","")&amp;IF(N(F1319)&lt;=0,"원가보정 ","")&amp;IF(AND(B1319&lt;&gt;"CN",N(H1319)&lt;=0),"공급가보정 ","")&amp;IF(AND(B1319="CN",N(I1319)&lt;=0),"중국공급가=원가+마진 ",""))</f>
        <v/>
      </c>
    </row>
    <row r="1320" customFormat="false" ht="15" hidden="false" customHeight="true" outlineLevel="0" collapsed="false">
      <c r="A1320" s="94" t="s">
        <v>1692</v>
      </c>
      <c r="B1320" s="34" t="str">
        <f aca="false">IF(A1320="100","HK",IF(A1320="200","CN",IF(A1320="300","TW","홀세일")))</f>
        <v>홀세일</v>
      </c>
      <c r="C1320" s="94" t="s">
        <v>648</v>
      </c>
      <c r="D1320" s="95" t="n">
        <v>102</v>
      </c>
      <c r="E1320" s="95" t="n">
        <v>149000</v>
      </c>
      <c r="F1320" s="95" t="n">
        <v>37358</v>
      </c>
      <c r="G1320" s="34" t="n">
        <v>3.5</v>
      </c>
      <c r="H1320" s="34" t="n">
        <v>39.6</v>
      </c>
      <c r="J1320" s="95" t="n">
        <f aca="false">IF(N(E1320)&gt;0,E1320,IF(N(F1320)&gt;0,F1320*가정!$B$5,0))</f>
        <v>149000</v>
      </c>
      <c r="K1320" s="95" t="n">
        <f aca="false">IF(N(F1320)&gt;0,F1320,IF(N(E1320)&gt;0,E1320/가정!$B$5,0))</f>
        <v>37358</v>
      </c>
      <c r="L1320" s="95" t="n">
        <f aca="false">IF(B1320="CN",IF(N(I1320)&gt;0,I1320*가정!$B$3,K1320*(1+가정!$B$6)),IF(N(H1320)&gt;0,H1320*가정!$B$3,J1320*가정!$B$4))</f>
        <v>53966.088</v>
      </c>
      <c r="M1320" s="95" t="n">
        <f aca="false">D1320*J1320</f>
        <v>15198000</v>
      </c>
      <c r="N1320" s="95" t="n">
        <f aca="false">D1320*K1320</f>
        <v>3810516</v>
      </c>
      <c r="O1320" s="95" t="n">
        <f aca="false">D1320*L1320</f>
        <v>5504540.976</v>
      </c>
      <c r="P1320" s="34" t="str">
        <f aca="false">TRIM(IF(N(E1320)&lt;=0,"택가보정 ","")&amp;IF(N(F1320)&lt;=0,"원가보정 ","")&amp;IF(AND(B1320&lt;&gt;"CN",N(H1320)&lt;=0),"공급가보정 ","")&amp;IF(AND(B1320="CN",N(I1320)&lt;=0),"중국공급가=원가+마진 ",""))</f>
        <v/>
      </c>
    </row>
    <row r="1321" customFormat="false" ht="15" hidden="false" customHeight="true" outlineLevel="0" collapsed="false">
      <c r="A1321" s="94" t="s">
        <v>1684</v>
      </c>
      <c r="B1321" s="34" t="str">
        <f aca="false">IF(A1321="100","HK",IF(A1321="200","CN",IF(A1321="300","TW","홀세일")))</f>
        <v>HK</v>
      </c>
      <c r="C1321" s="94" t="s">
        <v>1007</v>
      </c>
      <c r="D1321" s="95" t="n">
        <v>210</v>
      </c>
      <c r="E1321" s="95" t="n">
        <v>119000</v>
      </c>
      <c r="F1321" s="95" t="n">
        <v>28858</v>
      </c>
      <c r="G1321" s="34" t="n">
        <v>3.65</v>
      </c>
      <c r="H1321" s="34" t="n">
        <v>31.6</v>
      </c>
      <c r="J1321" s="95" t="n">
        <f aca="false">IF(N(E1321)&gt;0,E1321,IF(N(F1321)&gt;0,F1321*가정!$B$5,0))</f>
        <v>119000</v>
      </c>
      <c r="K1321" s="95" t="n">
        <f aca="false">IF(N(F1321)&gt;0,F1321,IF(N(E1321)&gt;0,E1321/가정!$B$5,0))</f>
        <v>28858</v>
      </c>
      <c r="L1321" s="95" t="n">
        <f aca="false">IF(B1321="CN",IF(N(I1321)&gt;0,I1321*가정!$B$3,K1321*(1+가정!$B$6)),IF(N(H1321)&gt;0,H1321*가정!$B$3,J1321*가정!$B$4))</f>
        <v>43063.848</v>
      </c>
      <c r="M1321" s="95" t="n">
        <f aca="false">D1321*J1321</f>
        <v>24990000</v>
      </c>
      <c r="N1321" s="95" t="n">
        <f aca="false">D1321*K1321</f>
        <v>6060180</v>
      </c>
      <c r="O1321" s="95" t="n">
        <f aca="false">D1321*L1321</f>
        <v>9043408.08</v>
      </c>
      <c r="P1321" s="34" t="str">
        <f aca="false">TRIM(IF(N(E1321)&lt;=0,"택가보정 ","")&amp;IF(N(F1321)&lt;=0,"원가보정 ","")&amp;IF(AND(B1321&lt;&gt;"CN",N(H1321)&lt;=0),"공급가보정 ","")&amp;IF(AND(B1321="CN",N(I1321)&lt;=0),"중국공급가=원가+마진 ",""))</f>
        <v/>
      </c>
    </row>
    <row r="1322" customFormat="false" ht="15.75" hidden="false" customHeight="true" outlineLevel="0" collapsed="false">
      <c r="A1322" s="94" t="s">
        <v>1685</v>
      </c>
      <c r="B1322" s="34" t="str">
        <f aca="false">IF(A1322="100","HK",IF(A1322="200","CN",IF(A1322="300","TW","홀세일")))</f>
        <v>CN</v>
      </c>
      <c r="C1322" s="94" t="s">
        <v>1007</v>
      </c>
      <c r="D1322" s="95" t="n">
        <v>538</v>
      </c>
      <c r="E1322" s="95" t="n">
        <v>119000</v>
      </c>
      <c r="F1322" s="95" t="n">
        <v>28858</v>
      </c>
      <c r="G1322" s="34" t="n">
        <v>3.65</v>
      </c>
      <c r="H1322" s="34" t="n">
        <v>31.6</v>
      </c>
      <c r="J1322" s="95" t="n">
        <f aca="false">IF(N(E1322)&gt;0,E1322,IF(N(F1322)&gt;0,F1322*가정!$B$5,0))</f>
        <v>119000</v>
      </c>
      <c r="K1322" s="95" t="n">
        <f aca="false">IF(N(F1322)&gt;0,F1322,IF(N(E1322)&gt;0,E1322/가정!$B$5,0))</f>
        <v>28858</v>
      </c>
      <c r="L1322" s="95" t="n">
        <f aca="false">IF(B1322="CN",IF(N(I1322)&gt;0,I1322*가정!$B$3,K1322*(1+가정!$B$6)),IF(N(H1322)&gt;0,H1322*가정!$B$3,J1322*가정!$B$4))</f>
        <v>30300.9</v>
      </c>
      <c r="M1322" s="95" t="n">
        <f aca="false">D1322*J1322</f>
        <v>64022000</v>
      </c>
      <c r="N1322" s="95" t="n">
        <f aca="false">D1322*K1322</f>
        <v>15525604</v>
      </c>
      <c r="O1322" s="95" t="n">
        <f aca="false">D1322*L1322</f>
        <v>16301884.2</v>
      </c>
      <c r="P1322" s="34" t="str">
        <f aca="false">TRIM(IF(N(E1322)&lt;=0,"택가보정 ","")&amp;IF(N(F1322)&lt;=0,"원가보정 ","")&amp;IF(AND(B1322&lt;&gt;"CN",N(H1322)&lt;=0),"공급가보정 ","")&amp;IF(AND(B1322="CN",N(I1322)&lt;=0),"중국공급가=원가+마진 ",""))</f>
        <v>중국공급가=원가+마진</v>
      </c>
    </row>
    <row r="1323" customFormat="false" ht="15" hidden="false" customHeight="true" outlineLevel="0" collapsed="false">
      <c r="A1323" s="94" t="s">
        <v>1687</v>
      </c>
      <c r="B1323" s="34" t="str">
        <f aca="false">IF(A1323="100","HK",IF(A1323="200","CN",IF(A1323="300","TW","홀세일")))</f>
        <v>홀세일</v>
      </c>
      <c r="C1323" s="94" t="s">
        <v>1007</v>
      </c>
      <c r="D1323" s="95" t="n">
        <v>15</v>
      </c>
      <c r="E1323" s="95" t="n">
        <v>119000</v>
      </c>
      <c r="F1323" s="95" t="n">
        <v>28858</v>
      </c>
      <c r="G1323" s="34" t="n">
        <v>3.65</v>
      </c>
      <c r="H1323" s="34" t="n">
        <v>31.6</v>
      </c>
      <c r="J1323" s="95" t="n">
        <f aca="false">IF(N(E1323)&gt;0,E1323,IF(N(F1323)&gt;0,F1323*가정!$B$5,0))</f>
        <v>119000</v>
      </c>
      <c r="K1323" s="95" t="n">
        <f aca="false">IF(N(F1323)&gt;0,F1323,IF(N(E1323)&gt;0,E1323/가정!$B$5,0))</f>
        <v>28858</v>
      </c>
      <c r="L1323" s="95" t="n">
        <f aca="false">IF(B1323="CN",IF(N(I1323)&gt;0,I1323*가정!$B$3,K1323*(1+가정!$B$6)),IF(N(H1323)&gt;0,H1323*가정!$B$3,J1323*가정!$B$4))</f>
        <v>43063.848</v>
      </c>
      <c r="M1323" s="95" t="n">
        <f aca="false">D1323*J1323</f>
        <v>1785000</v>
      </c>
      <c r="N1323" s="95" t="n">
        <f aca="false">D1323*K1323</f>
        <v>432870</v>
      </c>
      <c r="O1323" s="95" t="n">
        <f aca="false">D1323*L1323</f>
        <v>645957.72</v>
      </c>
      <c r="P1323" s="34" t="str">
        <f aca="false">TRIM(IF(N(E1323)&lt;=0,"택가보정 ","")&amp;IF(N(F1323)&lt;=0,"원가보정 ","")&amp;IF(AND(B1323&lt;&gt;"CN",N(H1323)&lt;=0),"공급가보정 ","")&amp;IF(AND(B1323="CN",N(I1323)&lt;=0),"중국공급가=원가+마진 ",""))</f>
        <v/>
      </c>
    </row>
    <row r="1324" customFormat="false" ht="15" hidden="false" customHeight="true" outlineLevel="0" collapsed="false">
      <c r="A1324" s="94" t="s">
        <v>1692</v>
      </c>
      <c r="B1324" s="34" t="str">
        <f aca="false">IF(A1324="100","HK",IF(A1324="200","CN",IF(A1324="300","TW","홀세일")))</f>
        <v>홀세일</v>
      </c>
      <c r="C1324" s="94" t="s">
        <v>1007</v>
      </c>
      <c r="D1324" s="95" t="n">
        <v>41</v>
      </c>
      <c r="E1324" s="95" t="n">
        <v>119000</v>
      </c>
      <c r="F1324" s="95" t="n">
        <v>28858</v>
      </c>
      <c r="G1324" s="34" t="n">
        <v>3.65</v>
      </c>
      <c r="H1324" s="34" t="n">
        <v>31.6</v>
      </c>
      <c r="J1324" s="95" t="n">
        <f aca="false">IF(N(E1324)&gt;0,E1324,IF(N(F1324)&gt;0,F1324*가정!$B$5,0))</f>
        <v>119000</v>
      </c>
      <c r="K1324" s="95" t="n">
        <f aca="false">IF(N(F1324)&gt;0,F1324,IF(N(E1324)&gt;0,E1324/가정!$B$5,0))</f>
        <v>28858</v>
      </c>
      <c r="L1324" s="95" t="n">
        <f aca="false">IF(B1324="CN",IF(N(I1324)&gt;0,I1324*가정!$B$3,K1324*(1+가정!$B$6)),IF(N(H1324)&gt;0,H1324*가정!$B$3,J1324*가정!$B$4))</f>
        <v>43063.848</v>
      </c>
      <c r="M1324" s="95" t="n">
        <f aca="false">D1324*J1324</f>
        <v>4879000</v>
      </c>
      <c r="N1324" s="95" t="n">
        <f aca="false">D1324*K1324</f>
        <v>1183178</v>
      </c>
      <c r="O1324" s="95" t="n">
        <f aca="false">D1324*L1324</f>
        <v>1765617.768</v>
      </c>
      <c r="P1324" s="34" t="str">
        <f aca="false">TRIM(IF(N(E1324)&lt;=0,"택가보정 ","")&amp;IF(N(F1324)&lt;=0,"원가보정 ","")&amp;IF(AND(B1324&lt;&gt;"CN",N(H1324)&lt;=0),"공급가보정 ","")&amp;IF(AND(B1324="CN",N(I1324)&lt;=0),"중국공급가=원가+마진 ",""))</f>
        <v/>
      </c>
    </row>
    <row r="1325" customFormat="false" ht="15" hidden="false" customHeight="true" outlineLevel="0" collapsed="false">
      <c r="A1325" s="94" t="s">
        <v>1689</v>
      </c>
      <c r="B1325" s="34" t="str">
        <f aca="false">IF(A1325="100","HK",IF(A1325="200","CN",IF(A1325="300","TW","홀세일")))</f>
        <v>홀세일</v>
      </c>
      <c r="C1325" s="94" t="s">
        <v>1007</v>
      </c>
      <c r="D1325" s="95" t="n">
        <v>10</v>
      </c>
      <c r="E1325" s="95" t="n">
        <v>119000</v>
      </c>
      <c r="F1325" s="95" t="n">
        <v>28858</v>
      </c>
      <c r="G1325" s="34" t="n">
        <v>3.65</v>
      </c>
      <c r="H1325" s="34" t="n">
        <v>31.6</v>
      </c>
      <c r="J1325" s="95" t="n">
        <f aca="false">IF(N(E1325)&gt;0,E1325,IF(N(F1325)&gt;0,F1325*가정!$B$5,0))</f>
        <v>119000</v>
      </c>
      <c r="K1325" s="95" t="n">
        <f aca="false">IF(N(F1325)&gt;0,F1325,IF(N(E1325)&gt;0,E1325/가정!$B$5,0))</f>
        <v>28858</v>
      </c>
      <c r="L1325" s="95" t="n">
        <f aca="false">IF(B1325="CN",IF(N(I1325)&gt;0,I1325*가정!$B$3,K1325*(1+가정!$B$6)),IF(N(H1325)&gt;0,H1325*가정!$B$3,J1325*가정!$B$4))</f>
        <v>43063.848</v>
      </c>
      <c r="M1325" s="95" t="n">
        <f aca="false">D1325*J1325</f>
        <v>1190000</v>
      </c>
      <c r="N1325" s="95" t="n">
        <f aca="false">D1325*K1325</f>
        <v>288580</v>
      </c>
      <c r="O1325" s="95" t="n">
        <f aca="false">D1325*L1325</f>
        <v>430638.48</v>
      </c>
      <c r="P1325" s="34" t="str">
        <f aca="false">TRIM(IF(N(E1325)&lt;=0,"택가보정 ","")&amp;IF(N(F1325)&lt;=0,"원가보정 ","")&amp;IF(AND(B1325&lt;&gt;"CN",N(H1325)&lt;=0),"공급가보정 ","")&amp;IF(AND(B1325="CN",N(I1325)&lt;=0),"중국공급가=원가+마진 ",""))</f>
        <v/>
      </c>
    </row>
    <row r="1326" customFormat="false" ht="15" hidden="false" customHeight="true" outlineLevel="0" collapsed="false">
      <c r="A1326" s="94" t="s">
        <v>1689</v>
      </c>
      <c r="B1326" s="34" t="str">
        <f aca="false">IF(A1326="100","HK",IF(A1326="200","CN",IF(A1326="300","TW","홀세일")))</f>
        <v>홀세일</v>
      </c>
      <c r="C1326" s="94" t="s">
        <v>1007</v>
      </c>
      <c r="D1326" s="95" t="n">
        <v>10</v>
      </c>
      <c r="E1326" s="95" t="n">
        <v>119000</v>
      </c>
      <c r="F1326" s="95" t="n">
        <v>28858</v>
      </c>
      <c r="G1326" s="34" t="n">
        <v>3.65</v>
      </c>
      <c r="H1326" s="34" t="n">
        <v>31.6</v>
      </c>
      <c r="J1326" s="95" t="n">
        <f aca="false">IF(N(E1326)&gt;0,E1326,IF(N(F1326)&gt;0,F1326*가정!$B$5,0))</f>
        <v>119000</v>
      </c>
      <c r="K1326" s="95" t="n">
        <f aca="false">IF(N(F1326)&gt;0,F1326,IF(N(E1326)&gt;0,E1326/가정!$B$5,0))</f>
        <v>28858</v>
      </c>
      <c r="L1326" s="95" t="n">
        <f aca="false">IF(B1326="CN",IF(N(I1326)&gt;0,I1326*가정!$B$3,K1326*(1+가정!$B$6)),IF(N(H1326)&gt;0,H1326*가정!$B$3,J1326*가정!$B$4))</f>
        <v>43063.848</v>
      </c>
      <c r="M1326" s="95" t="n">
        <f aca="false">D1326*J1326</f>
        <v>1190000</v>
      </c>
      <c r="N1326" s="95" t="n">
        <f aca="false">D1326*K1326</f>
        <v>288580</v>
      </c>
      <c r="O1326" s="95" t="n">
        <f aca="false">D1326*L1326</f>
        <v>430638.48</v>
      </c>
      <c r="P1326" s="34" t="str">
        <f aca="false">TRIM(IF(N(E1326)&lt;=0,"택가보정 ","")&amp;IF(N(F1326)&lt;=0,"원가보정 ","")&amp;IF(AND(B1326&lt;&gt;"CN",N(H1326)&lt;=0),"공급가보정 ","")&amp;IF(AND(B1326="CN",N(I1326)&lt;=0),"중국공급가=원가+마진 ",""))</f>
        <v/>
      </c>
    </row>
    <row r="1327" customFormat="false" ht="15" hidden="false" customHeight="true" outlineLevel="0" collapsed="false">
      <c r="A1327" s="94" t="s">
        <v>1688</v>
      </c>
      <c r="B1327" s="34" t="str">
        <f aca="false">IF(A1327="100","HK",IF(A1327="200","CN",IF(A1327="300","TW","홀세일")))</f>
        <v>홀세일</v>
      </c>
      <c r="C1327" s="94" t="s">
        <v>1397</v>
      </c>
      <c r="D1327" s="95" t="n">
        <v>5</v>
      </c>
      <c r="E1327" s="95" t="n">
        <v>349000</v>
      </c>
      <c r="F1327" s="95" t="n">
        <v>76465</v>
      </c>
      <c r="G1327" s="34" t="n">
        <v>3.94</v>
      </c>
      <c r="H1327" s="34" t="n">
        <v>92.7</v>
      </c>
      <c r="J1327" s="95" t="n">
        <f aca="false">IF(N(E1327)&gt;0,E1327,IF(N(F1327)&gt;0,F1327*가정!$B$5,0))</f>
        <v>349000</v>
      </c>
      <c r="K1327" s="95" t="n">
        <f aca="false">IF(N(F1327)&gt;0,F1327,IF(N(E1327)&gt;0,E1327/가정!$B$5,0))</f>
        <v>76465</v>
      </c>
      <c r="L1327" s="95" t="n">
        <f aca="false">IF(B1327="CN",IF(N(I1327)&gt;0,I1327*가정!$B$3,K1327*(1+가정!$B$6)),IF(N(H1327)&gt;0,H1327*가정!$B$3,J1327*가정!$B$4))</f>
        <v>126329.706</v>
      </c>
      <c r="M1327" s="95" t="n">
        <f aca="false">D1327*J1327</f>
        <v>1745000</v>
      </c>
      <c r="N1327" s="95" t="n">
        <f aca="false">D1327*K1327</f>
        <v>382325</v>
      </c>
      <c r="O1327" s="95" t="n">
        <f aca="false">D1327*L1327</f>
        <v>631648.53</v>
      </c>
      <c r="P1327" s="34" t="str">
        <f aca="false">TRIM(IF(N(E1327)&lt;=0,"택가보정 ","")&amp;IF(N(F1327)&lt;=0,"원가보정 ","")&amp;IF(AND(B1327&lt;&gt;"CN",N(H1327)&lt;=0),"공급가보정 ","")&amp;IF(AND(B1327="CN",N(I1327)&lt;=0),"중국공급가=원가+마진 ",""))</f>
        <v/>
      </c>
    </row>
    <row r="1328" customFormat="false" ht="15" hidden="false" customHeight="true" outlineLevel="0" collapsed="false">
      <c r="A1328" s="94" t="s">
        <v>1692</v>
      </c>
      <c r="B1328" s="34" t="str">
        <f aca="false">IF(A1328="100","HK",IF(A1328="200","CN",IF(A1328="300","TW","홀세일")))</f>
        <v>홀세일</v>
      </c>
      <c r="C1328" s="94" t="s">
        <v>1397</v>
      </c>
      <c r="D1328" s="95" t="n">
        <v>102</v>
      </c>
      <c r="E1328" s="95" t="n">
        <v>349000</v>
      </c>
      <c r="F1328" s="95" t="n">
        <v>76465</v>
      </c>
      <c r="G1328" s="34" t="n">
        <v>3.94</v>
      </c>
      <c r="H1328" s="34" t="n">
        <v>92.7</v>
      </c>
      <c r="J1328" s="95" t="n">
        <f aca="false">IF(N(E1328)&gt;0,E1328,IF(N(F1328)&gt;0,F1328*가정!$B$5,0))</f>
        <v>349000</v>
      </c>
      <c r="K1328" s="95" t="n">
        <f aca="false">IF(N(F1328)&gt;0,F1328,IF(N(E1328)&gt;0,E1328/가정!$B$5,0))</f>
        <v>76465</v>
      </c>
      <c r="L1328" s="95" t="n">
        <f aca="false">IF(B1328="CN",IF(N(I1328)&gt;0,I1328*가정!$B$3,K1328*(1+가정!$B$6)),IF(N(H1328)&gt;0,H1328*가정!$B$3,J1328*가정!$B$4))</f>
        <v>126329.706</v>
      </c>
      <c r="M1328" s="95" t="n">
        <f aca="false">D1328*J1328</f>
        <v>35598000</v>
      </c>
      <c r="N1328" s="95" t="n">
        <f aca="false">D1328*K1328</f>
        <v>7799430</v>
      </c>
      <c r="O1328" s="95" t="n">
        <f aca="false">D1328*L1328</f>
        <v>12885630.012</v>
      </c>
      <c r="P1328" s="34" t="str">
        <f aca="false">TRIM(IF(N(E1328)&lt;=0,"택가보정 ","")&amp;IF(N(F1328)&lt;=0,"원가보정 ","")&amp;IF(AND(B1328&lt;&gt;"CN",N(H1328)&lt;=0),"공급가보정 ","")&amp;IF(AND(B1328="CN",N(I1328)&lt;=0),"중국공급가=원가+마진 ",""))</f>
        <v/>
      </c>
    </row>
    <row r="1329" customFormat="false" ht="15" hidden="false" customHeight="true" outlineLevel="0" collapsed="false">
      <c r="A1329" s="94" t="s">
        <v>1689</v>
      </c>
      <c r="B1329" s="34" t="str">
        <f aca="false">IF(A1329="100","HK",IF(A1329="200","CN",IF(A1329="300","TW","홀세일")))</f>
        <v>홀세일</v>
      </c>
      <c r="C1329" s="94" t="s">
        <v>1397</v>
      </c>
      <c r="D1329" s="95" t="n">
        <v>10</v>
      </c>
      <c r="E1329" s="95" t="n">
        <v>349000</v>
      </c>
      <c r="F1329" s="95" t="n">
        <v>76465</v>
      </c>
      <c r="G1329" s="34" t="n">
        <v>3.94</v>
      </c>
      <c r="H1329" s="34" t="n">
        <v>92.7</v>
      </c>
      <c r="J1329" s="95" t="n">
        <f aca="false">IF(N(E1329)&gt;0,E1329,IF(N(F1329)&gt;0,F1329*가정!$B$5,0))</f>
        <v>349000</v>
      </c>
      <c r="K1329" s="95" t="n">
        <f aca="false">IF(N(F1329)&gt;0,F1329,IF(N(E1329)&gt;0,E1329/가정!$B$5,0))</f>
        <v>76465</v>
      </c>
      <c r="L1329" s="95" t="n">
        <f aca="false">IF(B1329="CN",IF(N(I1329)&gt;0,I1329*가정!$B$3,K1329*(1+가정!$B$6)),IF(N(H1329)&gt;0,H1329*가정!$B$3,J1329*가정!$B$4))</f>
        <v>126329.706</v>
      </c>
      <c r="M1329" s="95" t="n">
        <f aca="false">D1329*J1329</f>
        <v>3490000</v>
      </c>
      <c r="N1329" s="95" t="n">
        <f aca="false">D1329*K1329</f>
        <v>764650</v>
      </c>
      <c r="O1329" s="95" t="n">
        <f aca="false">D1329*L1329</f>
        <v>1263297.06</v>
      </c>
      <c r="P1329" s="34" t="str">
        <f aca="false">TRIM(IF(N(E1329)&lt;=0,"택가보정 ","")&amp;IF(N(F1329)&lt;=0,"원가보정 ","")&amp;IF(AND(B1329&lt;&gt;"CN",N(H1329)&lt;=0),"공급가보정 ","")&amp;IF(AND(B1329="CN",N(I1329)&lt;=0),"중국공급가=원가+마진 ",""))</f>
        <v/>
      </c>
    </row>
    <row r="1330" customFormat="false" ht="15" hidden="false" customHeight="true" outlineLevel="0" collapsed="false">
      <c r="A1330" s="94" t="s">
        <v>1689</v>
      </c>
      <c r="B1330" s="34" t="str">
        <f aca="false">IF(A1330="100","HK",IF(A1330="200","CN",IF(A1330="300","TW","홀세일")))</f>
        <v>홀세일</v>
      </c>
      <c r="C1330" s="94" t="s">
        <v>1397</v>
      </c>
      <c r="D1330" s="95" t="n">
        <v>10</v>
      </c>
      <c r="E1330" s="95" t="n">
        <v>349000</v>
      </c>
      <c r="F1330" s="95" t="n">
        <v>76465</v>
      </c>
      <c r="G1330" s="34" t="n">
        <v>3.94</v>
      </c>
      <c r="H1330" s="34" t="n">
        <v>92.7</v>
      </c>
      <c r="J1330" s="95" t="n">
        <f aca="false">IF(N(E1330)&gt;0,E1330,IF(N(F1330)&gt;0,F1330*가정!$B$5,0))</f>
        <v>349000</v>
      </c>
      <c r="K1330" s="95" t="n">
        <f aca="false">IF(N(F1330)&gt;0,F1330,IF(N(E1330)&gt;0,E1330/가정!$B$5,0))</f>
        <v>76465</v>
      </c>
      <c r="L1330" s="95" t="n">
        <f aca="false">IF(B1330="CN",IF(N(I1330)&gt;0,I1330*가정!$B$3,K1330*(1+가정!$B$6)),IF(N(H1330)&gt;0,H1330*가정!$B$3,J1330*가정!$B$4))</f>
        <v>126329.706</v>
      </c>
      <c r="M1330" s="95" t="n">
        <f aca="false">D1330*J1330</f>
        <v>3490000</v>
      </c>
      <c r="N1330" s="95" t="n">
        <f aca="false">D1330*K1330</f>
        <v>764650</v>
      </c>
      <c r="O1330" s="95" t="n">
        <f aca="false">D1330*L1330</f>
        <v>1263297.06</v>
      </c>
      <c r="P1330" s="34" t="str">
        <f aca="false">TRIM(IF(N(E1330)&lt;=0,"택가보정 ","")&amp;IF(N(F1330)&lt;=0,"원가보정 ","")&amp;IF(AND(B1330&lt;&gt;"CN",N(H1330)&lt;=0),"공급가보정 ","")&amp;IF(AND(B1330="CN",N(I1330)&lt;=0),"중국공급가=원가+마진 ",""))</f>
        <v/>
      </c>
    </row>
    <row r="1331" customFormat="false" ht="15" hidden="false" customHeight="true" outlineLevel="0" collapsed="false">
      <c r="A1331" s="94" t="s">
        <v>1684</v>
      </c>
      <c r="B1331" s="34" t="str">
        <f aca="false">IF(A1331="100","HK",IF(A1331="200","CN",IF(A1331="300","TW","홀세일")))</f>
        <v>HK</v>
      </c>
      <c r="C1331" s="94" t="s">
        <v>1009</v>
      </c>
      <c r="D1331" s="95" t="n">
        <v>60</v>
      </c>
      <c r="E1331" s="95" t="n">
        <v>69000</v>
      </c>
      <c r="F1331" s="95" t="n">
        <v>16412</v>
      </c>
      <c r="G1331" s="34" t="n">
        <v>2.55</v>
      </c>
      <c r="H1331" s="34" t="n">
        <v>18.4</v>
      </c>
      <c r="J1331" s="95" t="n">
        <f aca="false">IF(N(E1331)&gt;0,E1331,IF(N(F1331)&gt;0,F1331*가정!$B$5,0))</f>
        <v>69000</v>
      </c>
      <c r="K1331" s="95" t="n">
        <f aca="false">IF(N(F1331)&gt;0,F1331,IF(N(E1331)&gt;0,E1331/가정!$B$5,0))</f>
        <v>16412</v>
      </c>
      <c r="L1331" s="95" t="n">
        <f aca="false">IF(B1331="CN",IF(N(I1331)&gt;0,I1331*가정!$B$3,K1331*(1+가정!$B$6)),IF(N(H1331)&gt;0,H1331*가정!$B$3,J1331*가정!$B$4))</f>
        <v>25075.152</v>
      </c>
      <c r="M1331" s="95" t="n">
        <f aca="false">D1331*J1331</f>
        <v>4140000</v>
      </c>
      <c r="N1331" s="95" t="n">
        <f aca="false">D1331*K1331</f>
        <v>984720</v>
      </c>
      <c r="O1331" s="95" t="n">
        <f aca="false">D1331*L1331</f>
        <v>1504509.12</v>
      </c>
      <c r="P1331" s="34" t="str">
        <f aca="false">TRIM(IF(N(E1331)&lt;=0,"택가보정 ","")&amp;IF(N(F1331)&lt;=0,"원가보정 ","")&amp;IF(AND(B1331&lt;&gt;"CN",N(H1331)&lt;=0),"공급가보정 ","")&amp;IF(AND(B1331="CN",N(I1331)&lt;=0),"중국공급가=원가+마진 ",""))</f>
        <v/>
      </c>
    </row>
    <row r="1332" customFormat="false" ht="15" hidden="false" customHeight="true" outlineLevel="0" collapsed="false">
      <c r="A1332" s="94" t="s">
        <v>1692</v>
      </c>
      <c r="B1332" s="34" t="str">
        <f aca="false">IF(A1332="100","HK",IF(A1332="200","CN",IF(A1332="300","TW","홀세일")))</f>
        <v>홀세일</v>
      </c>
      <c r="C1332" s="94" t="s">
        <v>1009</v>
      </c>
      <c r="D1332" s="95" t="n">
        <v>125</v>
      </c>
      <c r="E1332" s="95" t="n">
        <v>69000</v>
      </c>
      <c r="F1332" s="95" t="n">
        <v>16412</v>
      </c>
      <c r="G1332" s="34" t="n">
        <v>2.55</v>
      </c>
      <c r="H1332" s="34" t="n">
        <v>18.4</v>
      </c>
      <c r="J1332" s="95" t="n">
        <f aca="false">IF(N(E1332)&gt;0,E1332,IF(N(F1332)&gt;0,F1332*가정!$B$5,0))</f>
        <v>69000</v>
      </c>
      <c r="K1332" s="95" t="n">
        <f aca="false">IF(N(F1332)&gt;0,F1332,IF(N(E1332)&gt;0,E1332/가정!$B$5,0))</f>
        <v>16412</v>
      </c>
      <c r="L1332" s="95" t="n">
        <f aca="false">IF(B1332="CN",IF(N(I1332)&gt;0,I1332*가정!$B$3,K1332*(1+가정!$B$6)),IF(N(H1332)&gt;0,H1332*가정!$B$3,J1332*가정!$B$4))</f>
        <v>25075.152</v>
      </c>
      <c r="M1332" s="95" t="n">
        <f aca="false">D1332*J1332</f>
        <v>8625000</v>
      </c>
      <c r="N1332" s="95" t="n">
        <f aca="false">D1332*K1332</f>
        <v>2051500</v>
      </c>
      <c r="O1332" s="95" t="n">
        <f aca="false">D1332*L1332</f>
        <v>3134394</v>
      </c>
      <c r="P1332" s="34" t="str">
        <f aca="false">TRIM(IF(N(E1332)&lt;=0,"택가보정 ","")&amp;IF(N(F1332)&lt;=0,"원가보정 ","")&amp;IF(AND(B1332&lt;&gt;"CN",N(H1332)&lt;=0),"공급가보정 ","")&amp;IF(AND(B1332="CN",N(I1332)&lt;=0),"중국공급가=원가+마진 ",""))</f>
        <v/>
      </c>
    </row>
    <row r="1333" customFormat="false" ht="15" hidden="false" customHeight="true" outlineLevel="0" collapsed="false">
      <c r="A1333" s="94" t="s">
        <v>1684</v>
      </c>
      <c r="B1333" s="34" t="str">
        <f aca="false">IF(A1333="100","HK",IF(A1333="200","CN",IF(A1333="300","TW","홀세일")))</f>
        <v>HK</v>
      </c>
      <c r="C1333" s="94" t="s">
        <v>1011</v>
      </c>
      <c r="D1333" s="95" t="n">
        <v>60</v>
      </c>
      <c r="E1333" s="95" t="n">
        <v>179000</v>
      </c>
      <c r="F1333" s="95" t="n">
        <v>45082</v>
      </c>
      <c r="G1333" s="34" t="n">
        <v>3.54</v>
      </c>
      <c r="H1333" s="34" t="n">
        <v>47.6</v>
      </c>
      <c r="J1333" s="95" t="n">
        <f aca="false">IF(N(E1333)&gt;0,E1333,IF(N(F1333)&gt;0,F1333*가정!$B$5,0))</f>
        <v>179000</v>
      </c>
      <c r="K1333" s="95" t="n">
        <f aca="false">IF(N(F1333)&gt;0,F1333,IF(N(E1333)&gt;0,E1333/가정!$B$5,0))</f>
        <v>45082</v>
      </c>
      <c r="L1333" s="95" t="n">
        <f aca="false">IF(B1333="CN",IF(N(I1333)&gt;0,I1333*가정!$B$3,K1333*(1+가정!$B$6)),IF(N(H1333)&gt;0,H1333*가정!$B$3,J1333*가정!$B$4))</f>
        <v>64868.328</v>
      </c>
      <c r="M1333" s="95" t="n">
        <f aca="false">D1333*J1333</f>
        <v>10740000</v>
      </c>
      <c r="N1333" s="95" t="n">
        <f aca="false">D1333*K1333</f>
        <v>2704920</v>
      </c>
      <c r="O1333" s="95" t="n">
        <f aca="false">D1333*L1333</f>
        <v>3892099.68</v>
      </c>
      <c r="P1333" s="34" t="str">
        <f aca="false">TRIM(IF(N(E1333)&lt;=0,"택가보정 ","")&amp;IF(N(F1333)&lt;=0,"원가보정 ","")&amp;IF(AND(B1333&lt;&gt;"CN",N(H1333)&lt;=0),"공급가보정 ","")&amp;IF(AND(B1333="CN",N(I1333)&lt;=0),"중국공급가=원가+마진 ",""))</f>
        <v/>
      </c>
    </row>
    <row r="1334" customFormat="false" ht="15.75" hidden="false" customHeight="true" outlineLevel="0" collapsed="false">
      <c r="A1334" s="94" t="s">
        <v>1685</v>
      </c>
      <c r="B1334" s="34" t="str">
        <f aca="false">IF(A1334="100","HK",IF(A1334="200","CN",IF(A1334="300","TW","홀세일")))</f>
        <v>CN</v>
      </c>
      <c r="C1334" s="94" t="s">
        <v>1011</v>
      </c>
      <c r="D1334" s="95" t="n">
        <v>242</v>
      </c>
      <c r="E1334" s="95" t="n">
        <v>179000</v>
      </c>
      <c r="F1334" s="95" t="n">
        <v>45082</v>
      </c>
      <c r="G1334" s="34" t="n">
        <v>3.54</v>
      </c>
      <c r="H1334" s="34" t="n">
        <v>47.6</v>
      </c>
      <c r="J1334" s="95" t="n">
        <f aca="false">IF(N(E1334)&gt;0,E1334,IF(N(F1334)&gt;0,F1334*가정!$B$5,0))</f>
        <v>179000</v>
      </c>
      <c r="K1334" s="95" t="n">
        <f aca="false">IF(N(F1334)&gt;0,F1334,IF(N(E1334)&gt;0,E1334/가정!$B$5,0))</f>
        <v>45082</v>
      </c>
      <c r="L1334" s="95" t="n">
        <f aca="false">IF(B1334="CN",IF(N(I1334)&gt;0,I1334*가정!$B$3,K1334*(1+가정!$B$6)),IF(N(H1334)&gt;0,H1334*가정!$B$3,J1334*가정!$B$4))</f>
        <v>47336.1</v>
      </c>
      <c r="M1334" s="95" t="n">
        <f aca="false">D1334*J1334</f>
        <v>43318000</v>
      </c>
      <c r="N1334" s="95" t="n">
        <f aca="false">D1334*K1334</f>
        <v>10909844</v>
      </c>
      <c r="O1334" s="95" t="n">
        <f aca="false">D1334*L1334</f>
        <v>11455336.2</v>
      </c>
      <c r="P1334" s="34" t="str">
        <f aca="false">TRIM(IF(N(E1334)&lt;=0,"택가보정 ","")&amp;IF(N(F1334)&lt;=0,"원가보정 ","")&amp;IF(AND(B1334&lt;&gt;"CN",N(H1334)&lt;=0),"공급가보정 ","")&amp;IF(AND(B1334="CN",N(I1334)&lt;=0),"중국공급가=원가+마진 ",""))</f>
        <v>중국공급가=원가+마진</v>
      </c>
    </row>
    <row r="1335" customFormat="false" ht="15" hidden="false" customHeight="true" outlineLevel="0" collapsed="false">
      <c r="A1335" s="94" t="s">
        <v>1692</v>
      </c>
      <c r="B1335" s="34" t="str">
        <f aca="false">IF(A1335="100","HK",IF(A1335="200","CN",IF(A1335="300","TW","홀세일")))</f>
        <v>홀세일</v>
      </c>
      <c r="C1335" s="94" t="s">
        <v>1011</v>
      </c>
      <c r="D1335" s="95" t="n">
        <v>80</v>
      </c>
      <c r="E1335" s="95" t="n">
        <v>179000</v>
      </c>
      <c r="F1335" s="95" t="n">
        <v>45082</v>
      </c>
      <c r="G1335" s="34" t="n">
        <v>3.54</v>
      </c>
      <c r="H1335" s="34" t="n">
        <v>47.6</v>
      </c>
      <c r="J1335" s="95" t="n">
        <f aca="false">IF(N(E1335)&gt;0,E1335,IF(N(F1335)&gt;0,F1335*가정!$B$5,0))</f>
        <v>179000</v>
      </c>
      <c r="K1335" s="95" t="n">
        <f aca="false">IF(N(F1335)&gt;0,F1335,IF(N(E1335)&gt;0,E1335/가정!$B$5,0))</f>
        <v>45082</v>
      </c>
      <c r="L1335" s="95" t="n">
        <f aca="false">IF(B1335="CN",IF(N(I1335)&gt;0,I1335*가정!$B$3,K1335*(1+가정!$B$6)),IF(N(H1335)&gt;0,H1335*가정!$B$3,J1335*가정!$B$4))</f>
        <v>64868.328</v>
      </c>
      <c r="M1335" s="95" t="n">
        <f aca="false">D1335*J1335</f>
        <v>14320000</v>
      </c>
      <c r="N1335" s="95" t="n">
        <f aca="false">D1335*K1335</f>
        <v>3606560</v>
      </c>
      <c r="O1335" s="95" t="n">
        <f aca="false">D1335*L1335</f>
        <v>5189466.24</v>
      </c>
      <c r="P1335" s="34" t="str">
        <f aca="false">TRIM(IF(N(E1335)&lt;=0,"택가보정 ","")&amp;IF(N(F1335)&lt;=0,"원가보정 ","")&amp;IF(AND(B1335&lt;&gt;"CN",N(H1335)&lt;=0),"공급가보정 ","")&amp;IF(AND(B1335="CN",N(I1335)&lt;=0),"중국공급가=원가+마진 ",""))</f>
        <v/>
      </c>
    </row>
    <row r="1336" customFormat="false" ht="15" hidden="false" customHeight="true" outlineLevel="0" collapsed="false">
      <c r="A1336" s="94" t="s">
        <v>1684</v>
      </c>
      <c r="B1336" s="34" t="str">
        <f aca="false">IF(A1336="100","HK",IF(A1336="200","CN",IF(A1336="300","TW","홀세일")))</f>
        <v>HK</v>
      </c>
      <c r="C1336" s="94" t="s">
        <v>650</v>
      </c>
      <c r="D1336" s="95" t="n">
        <v>200</v>
      </c>
      <c r="E1336" s="95" t="n">
        <v>129000</v>
      </c>
      <c r="F1336" s="95" t="n">
        <v>30236</v>
      </c>
      <c r="G1336" s="34" t="n">
        <v>3.64</v>
      </c>
      <c r="H1336" s="34" t="n">
        <v>34.3</v>
      </c>
      <c r="J1336" s="95" t="n">
        <f aca="false">IF(N(E1336)&gt;0,E1336,IF(N(F1336)&gt;0,F1336*가정!$B$5,0))</f>
        <v>129000</v>
      </c>
      <c r="K1336" s="95" t="n">
        <f aca="false">IF(N(F1336)&gt;0,F1336,IF(N(E1336)&gt;0,E1336/가정!$B$5,0))</f>
        <v>30236</v>
      </c>
      <c r="L1336" s="95" t="n">
        <f aca="false">IF(B1336="CN",IF(N(I1336)&gt;0,I1336*가정!$B$3,K1336*(1+가정!$B$6)),IF(N(H1336)&gt;0,H1336*가정!$B$3,J1336*가정!$B$4))</f>
        <v>46743.354</v>
      </c>
      <c r="M1336" s="95" t="n">
        <f aca="false">D1336*J1336</f>
        <v>25800000</v>
      </c>
      <c r="N1336" s="95" t="n">
        <f aca="false">D1336*K1336</f>
        <v>6047200</v>
      </c>
      <c r="O1336" s="95" t="n">
        <f aca="false">D1336*L1336</f>
        <v>9348670.8</v>
      </c>
      <c r="P1336" s="34" t="str">
        <f aca="false">TRIM(IF(N(E1336)&lt;=0,"택가보정 ","")&amp;IF(N(F1336)&lt;=0,"원가보정 ","")&amp;IF(AND(B1336&lt;&gt;"CN",N(H1336)&lt;=0),"공급가보정 ","")&amp;IF(AND(B1336="CN",N(I1336)&lt;=0),"중국공급가=원가+마진 ",""))</f>
        <v/>
      </c>
    </row>
    <row r="1337" customFormat="false" ht="15" hidden="false" customHeight="true" outlineLevel="0" collapsed="false">
      <c r="A1337" s="94" t="s">
        <v>1686</v>
      </c>
      <c r="B1337" s="34" t="str">
        <f aca="false">IF(A1337="100","HK",IF(A1337="200","CN",IF(A1337="300","TW","홀세일")))</f>
        <v>TW</v>
      </c>
      <c r="C1337" s="94" t="s">
        <v>650</v>
      </c>
      <c r="D1337" s="95" t="n">
        <v>30</v>
      </c>
      <c r="E1337" s="95" t="n">
        <v>129000</v>
      </c>
      <c r="F1337" s="95" t="n">
        <v>30236</v>
      </c>
      <c r="G1337" s="34" t="n">
        <v>3.64</v>
      </c>
      <c r="H1337" s="34" t="n">
        <v>34.3</v>
      </c>
      <c r="J1337" s="95" t="n">
        <f aca="false">IF(N(E1337)&gt;0,E1337,IF(N(F1337)&gt;0,F1337*가정!$B$5,0))</f>
        <v>129000</v>
      </c>
      <c r="K1337" s="95" t="n">
        <f aca="false">IF(N(F1337)&gt;0,F1337,IF(N(E1337)&gt;0,E1337/가정!$B$5,0))</f>
        <v>30236</v>
      </c>
      <c r="L1337" s="95" t="n">
        <f aca="false">IF(B1337="CN",IF(N(I1337)&gt;0,I1337*가정!$B$3,K1337*(1+가정!$B$6)),IF(N(H1337)&gt;0,H1337*가정!$B$3,J1337*가정!$B$4))</f>
        <v>46743.354</v>
      </c>
      <c r="M1337" s="95" t="n">
        <f aca="false">D1337*J1337</f>
        <v>3870000</v>
      </c>
      <c r="N1337" s="95" t="n">
        <f aca="false">D1337*K1337</f>
        <v>907080</v>
      </c>
      <c r="O1337" s="95" t="n">
        <f aca="false">D1337*L1337</f>
        <v>1402300.62</v>
      </c>
      <c r="P1337" s="34" t="str">
        <f aca="false">TRIM(IF(N(E1337)&lt;=0,"택가보정 ","")&amp;IF(N(F1337)&lt;=0,"원가보정 ","")&amp;IF(AND(B1337&lt;&gt;"CN",N(H1337)&lt;=0),"공급가보정 ","")&amp;IF(AND(B1337="CN",N(I1337)&lt;=0),"중국공급가=원가+마진 ",""))</f>
        <v/>
      </c>
    </row>
    <row r="1338" customFormat="false" ht="15" hidden="false" customHeight="true" outlineLevel="0" collapsed="false">
      <c r="A1338" s="94" t="s">
        <v>1692</v>
      </c>
      <c r="B1338" s="34" t="str">
        <f aca="false">IF(A1338="100","HK",IF(A1338="200","CN",IF(A1338="300","TW","홀세일")))</f>
        <v>홀세일</v>
      </c>
      <c r="C1338" s="94" t="s">
        <v>650</v>
      </c>
      <c r="D1338" s="95" t="n">
        <v>92</v>
      </c>
      <c r="E1338" s="95" t="n">
        <v>129000</v>
      </c>
      <c r="F1338" s="95" t="n">
        <v>30236</v>
      </c>
      <c r="G1338" s="34" t="n">
        <v>3.64</v>
      </c>
      <c r="H1338" s="34" t="n">
        <v>34.3</v>
      </c>
      <c r="J1338" s="95" t="n">
        <f aca="false">IF(N(E1338)&gt;0,E1338,IF(N(F1338)&gt;0,F1338*가정!$B$5,0))</f>
        <v>129000</v>
      </c>
      <c r="K1338" s="95" t="n">
        <f aca="false">IF(N(F1338)&gt;0,F1338,IF(N(E1338)&gt;0,E1338/가정!$B$5,0))</f>
        <v>30236</v>
      </c>
      <c r="L1338" s="95" t="n">
        <f aca="false">IF(B1338="CN",IF(N(I1338)&gt;0,I1338*가정!$B$3,K1338*(1+가정!$B$6)),IF(N(H1338)&gt;0,H1338*가정!$B$3,J1338*가정!$B$4))</f>
        <v>46743.354</v>
      </c>
      <c r="M1338" s="95" t="n">
        <f aca="false">D1338*J1338</f>
        <v>11868000</v>
      </c>
      <c r="N1338" s="95" t="n">
        <f aca="false">D1338*K1338</f>
        <v>2781712</v>
      </c>
      <c r="O1338" s="95" t="n">
        <f aca="false">D1338*L1338</f>
        <v>4300388.568</v>
      </c>
      <c r="P1338" s="34" t="str">
        <f aca="false">TRIM(IF(N(E1338)&lt;=0,"택가보정 ","")&amp;IF(N(F1338)&lt;=0,"원가보정 ","")&amp;IF(AND(B1338&lt;&gt;"CN",N(H1338)&lt;=0),"공급가보정 ","")&amp;IF(AND(B1338="CN",N(I1338)&lt;=0),"중국공급가=원가+마진 ",""))</f>
        <v/>
      </c>
    </row>
    <row r="1339" customFormat="false" ht="15" hidden="false" customHeight="true" outlineLevel="0" collapsed="false">
      <c r="A1339" s="94" t="s">
        <v>1689</v>
      </c>
      <c r="B1339" s="34" t="str">
        <f aca="false">IF(A1339="100","HK",IF(A1339="200","CN",IF(A1339="300","TW","홀세일")))</f>
        <v>홀세일</v>
      </c>
      <c r="C1339" s="94" t="s">
        <v>650</v>
      </c>
      <c r="D1339" s="95" t="n">
        <v>90</v>
      </c>
      <c r="E1339" s="95" t="n">
        <v>129000</v>
      </c>
      <c r="F1339" s="95" t="n">
        <v>30236</v>
      </c>
      <c r="G1339" s="34" t="n">
        <v>3.64</v>
      </c>
      <c r="H1339" s="34" t="n">
        <v>34.3</v>
      </c>
      <c r="J1339" s="95" t="n">
        <f aca="false">IF(N(E1339)&gt;0,E1339,IF(N(F1339)&gt;0,F1339*가정!$B$5,0))</f>
        <v>129000</v>
      </c>
      <c r="K1339" s="95" t="n">
        <f aca="false">IF(N(F1339)&gt;0,F1339,IF(N(E1339)&gt;0,E1339/가정!$B$5,0))</f>
        <v>30236</v>
      </c>
      <c r="L1339" s="95" t="n">
        <f aca="false">IF(B1339="CN",IF(N(I1339)&gt;0,I1339*가정!$B$3,K1339*(1+가정!$B$6)),IF(N(H1339)&gt;0,H1339*가정!$B$3,J1339*가정!$B$4))</f>
        <v>46743.354</v>
      </c>
      <c r="M1339" s="95" t="n">
        <f aca="false">D1339*J1339</f>
        <v>11610000</v>
      </c>
      <c r="N1339" s="95" t="n">
        <f aca="false">D1339*K1339</f>
        <v>2721240</v>
      </c>
      <c r="O1339" s="95" t="n">
        <f aca="false">D1339*L1339</f>
        <v>4206901.86</v>
      </c>
      <c r="P1339" s="34" t="str">
        <f aca="false">TRIM(IF(N(E1339)&lt;=0,"택가보정 ","")&amp;IF(N(F1339)&lt;=0,"원가보정 ","")&amp;IF(AND(B1339&lt;&gt;"CN",N(H1339)&lt;=0),"공급가보정 ","")&amp;IF(AND(B1339="CN",N(I1339)&lt;=0),"중국공급가=원가+마진 ",""))</f>
        <v/>
      </c>
    </row>
    <row r="1340" customFormat="false" ht="15" hidden="false" customHeight="true" outlineLevel="0" collapsed="false">
      <c r="A1340" s="94" t="s">
        <v>1690</v>
      </c>
      <c r="B1340" s="34" t="str">
        <f aca="false">IF(A1340="100","HK",IF(A1340="200","CN",IF(A1340="300","TW","홀세일")))</f>
        <v>홀세일</v>
      </c>
      <c r="C1340" s="94" t="s">
        <v>650</v>
      </c>
      <c r="D1340" s="95" t="n">
        <v>48</v>
      </c>
      <c r="E1340" s="95" t="n">
        <v>129000</v>
      </c>
      <c r="F1340" s="95" t="n">
        <v>30236</v>
      </c>
      <c r="G1340" s="34" t="n">
        <v>3.64</v>
      </c>
      <c r="H1340" s="34" t="n">
        <v>34.3</v>
      </c>
      <c r="J1340" s="95" t="n">
        <f aca="false">IF(N(E1340)&gt;0,E1340,IF(N(F1340)&gt;0,F1340*가정!$B$5,0))</f>
        <v>129000</v>
      </c>
      <c r="K1340" s="95" t="n">
        <f aca="false">IF(N(F1340)&gt;0,F1340,IF(N(E1340)&gt;0,E1340/가정!$B$5,0))</f>
        <v>30236</v>
      </c>
      <c r="L1340" s="95" t="n">
        <f aca="false">IF(B1340="CN",IF(N(I1340)&gt;0,I1340*가정!$B$3,K1340*(1+가정!$B$6)),IF(N(H1340)&gt;0,H1340*가정!$B$3,J1340*가정!$B$4))</f>
        <v>46743.354</v>
      </c>
      <c r="M1340" s="95" t="n">
        <f aca="false">D1340*J1340</f>
        <v>6192000</v>
      </c>
      <c r="N1340" s="95" t="n">
        <f aca="false">D1340*K1340</f>
        <v>1451328</v>
      </c>
      <c r="O1340" s="95" t="n">
        <f aca="false">D1340*L1340</f>
        <v>2243680.992</v>
      </c>
      <c r="P1340" s="34" t="str">
        <f aca="false">TRIM(IF(N(E1340)&lt;=0,"택가보정 ","")&amp;IF(N(F1340)&lt;=0,"원가보정 ","")&amp;IF(AND(B1340&lt;&gt;"CN",N(H1340)&lt;=0),"공급가보정 ","")&amp;IF(AND(B1340="CN",N(I1340)&lt;=0),"중국공급가=원가+마진 ",""))</f>
        <v/>
      </c>
    </row>
    <row r="1341" customFormat="false" ht="15.75" hidden="false" customHeight="true" outlineLevel="0" collapsed="false">
      <c r="A1341" s="94" t="s">
        <v>1685</v>
      </c>
      <c r="B1341" s="34" t="str">
        <f aca="false">IF(A1341="100","HK",IF(A1341="200","CN",IF(A1341="300","TW","홀세일")))</f>
        <v>CN</v>
      </c>
      <c r="C1341" s="94" t="s">
        <v>1162</v>
      </c>
      <c r="D1341" s="95" t="n">
        <v>112</v>
      </c>
      <c r="E1341" s="95" t="n">
        <v>109000</v>
      </c>
      <c r="F1341" s="95" t="n">
        <v>26971</v>
      </c>
      <c r="G1341" s="34" t="n">
        <v>3.44</v>
      </c>
      <c r="H1341" s="34" t="n">
        <v>29</v>
      </c>
      <c r="J1341" s="95" t="n">
        <f aca="false">IF(N(E1341)&gt;0,E1341,IF(N(F1341)&gt;0,F1341*가정!$B$5,0))</f>
        <v>109000</v>
      </c>
      <c r="K1341" s="95" t="n">
        <f aca="false">IF(N(F1341)&gt;0,F1341,IF(N(E1341)&gt;0,E1341/가정!$B$5,0))</f>
        <v>26971</v>
      </c>
      <c r="L1341" s="95" t="n">
        <f aca="false">IF(B1341="CN",IF(N(I1341)&gt;0,I1341*가정!$B$3,K1341*(1+가정!$B$6)),IF(N(H1341)&gt;0,H1341*가정!$B$3,J1341*가정!$B$4))</f>
        <v>28319.55</v>
      </c>
      <c r="M1341" s="95" t="n">
        <f aca="false">D1341*J1341</f>
        <v>12208000</v>
      </c>
      <c r="N1341" s="95" t="n">
        <f aca="false">D1341*K1341</f>
        <v>3020752</v>
      </c>
      <c r="O1341" s="95" t="n">
        <f aca="false">D1341*L1341</f>
        <v>3171789.6</v>
      </c>
      <c r="P1341" s="34" t="str">
        <f aca="false">TRIM(IF(N(E1341)&lt;=0,"택가보정 ","")&amp;IF(N(F1341)&lt;=0,"원가보정 ","")&amp;IF(AND(B1341&lt;&gt;"CN",N(H1341)&lt;=0),"공급가보정 ","")&amp;IF(AND(B1341="CN",N(I1341)&lt;=0),"중국공급가=원가+마진 ",""))</f>
        <v>중국공급가=원가+마진</v>
      </c>
    </row>
    <row r="1342" customFormat="false" ht="15" hidden="false" customHeight="true" outlineLevel="0" collapsed="false">
      <c r="A1342" s="94" t="s">
        <v>1688</v>
      </c>
      <c r="B1342" s="34" t="str">
        <f aca="false">IF(A1342="100","HK",IF(A1342="200","CN",IF(A1342="300","TW","홀세일")))</f>
        <v>홀세일</v>
      </c>
      <c r="C1342" s="94" t="s">
        <v>1162</v>
      </c>
      <c r="D1342" s="95" t="n">
        <v>35</v>
      </c>
      <c r="E1342" s="95" t="n">
        <v>109000</v>
      </c>
      <c r="F1342" s="95" t="n">
        <v>26971</v>
      </c>
      <c r="G1342" s="34" t="n">
        <v>3.44</v>
      </c>
      <c r="H1342" s="34" t="n">
        <v>29</v>
      </c>
      <c r="J1342" s="95" t="n">
        <f aca="false">IF(N(E1342)&gt;0,E1342,IF(N(F1342)&gt;0,F1342*가정!$B$5,0))</f>
        <v>109000</v>
      </c>
      <c r="K1342" s="95" t="n">
        <f aca="false">IF(N(F1342)&gt;0,F1342,IF(N(E1342)&gt;0,E1342/가정!$B$5,0))</f>
        <v>26971</v>
      </c>
      <c r="L1342" s="95" t="n">
        <f aca="false">IF(B1342="CN",IF(N(I1342)&gt;0,I1342*가정!$B$3,K1342*(1+가정!$B$6)),IF(N(H1342)&gt;0,H1342*가정!$B$3,J1342*가정!$B$4))</f>
        <v>39520.62</v>
      </c>
      <c r="M1342" s="95" t="n">
        <f aca="false">D1342*J1342</f>
        <v>3815000</v>
      </c>
      <c r="N1342" s="95" t="n">
        <f aca="false">D1342*K1342</f>
        <v>943985</v>
      </c>
      <c r="O1342" s="95" t="n">
        <f aca="false">D1342*L1342</f>
        <v>1383221.7</v>
      </c>
      <c r="P1342" s="34" t="str">
        <f aca="false">TRIM(IF(N(E1342)&lt;=0,"택가보정 ","")&amp;IF(N(F1342)&lt;=0,"원가보정 ","")&amp;IF(AND(B1342&lt;&gt;"CN",N(H1342)&lt;=0),"공급가보정 ","")&amp;IF(AND(B1342="CN",N(I1342)&lt;=0),"중국공급가=원가+마진 ",""))</f>
        <v/>
      </c>
    </row>
    <row r="1343" customFormat="false" ht="15" hidden="false" customHeight="true" outlineLevel="0" collapsed="false">
      <c r="A1343" s="94" t="s">
        <v>1689</v>
      </c>
      <c r="B1343" s="34" t="str">
        <f aca="false">IF(A1343="100","HK",IF(A1343="200","CN",IF(A1343="300","TW","홀세일")))</f>
        <v>홀세일</v>
      </c>
      <c r="C1343" s="94" t="s">
        <v>1162</v>
      </c>
      <c r="D1343" s="95" t="n">
        <v>65</v>
      </c>
      <c r="E1343" s="95" t="n">
        <v>109000</v>
      </c>
      <c r="F1343" s="95" t="n">
        <v>26971</v>
      </c>
      <c r="G1343" s="34" t="n">
        <v>3.44</v>
      </c>
      <c r="H1343" s="34" t="n">
        <v>29</v>
      </c>
      <c r="J1343" s="95" t="n">
        <f aca="false">IF(N(E1343)&gt;0,E1343,IF(N(F1343)&gt;0,F1343*가정!$B$5,0))</f>
        <v>109000</v>
      </c>
      <c r="K1343" s="95" t="n">
        <f aca="false">IF(N(F1343)&gt;0,F1343,IF(N(E1343)&gt;0,E1343/가정!$B$5,0))</f>
        <v>26971</v>
      </c>
      <c r="L1343" s="95" t="n">
        <f aca="false">IF(B1343="CN",IF(N(I1343)&gt;0,I1343*가정!$B$3,K1343*(1+가정!$B$6)),IF(N(H1343)&gt;0,H1343*가정!$B$3,J1343*가정!$B$4))</f>
        <v>39520.62</v>
      </c>
      <c r="M1343" s="95" t="n">
        <f aca="false">D1343*J1343</f>
        <v>7085000</v>
      </c>
      <c r="N1343" s="95" t="n">
        <f aca="false">D1343*K1343</f>
        <v>1753115</v>
      </c>
      <c r="O1343" s="95" t="n">
        <f aca="false">D1343*L1343</f>
        <v>2568840.3</v>
      </c>
      <c r="P1343" s="34" t="str">
        <f aca="false">TRIM(IF(N(E1343)&lt;=0,"택가보정 ","")&amp;IF(N(F1343)&lt;=0,"원가보정 ","")&amp;IF(AND(B1343&lt;&gt;"CN",N(H1343)&lt;=0),"공급가보정 ","")&amp;IF(AND(B1343="CN",N(I1343)&lt;=0),"중국공급가=원가+마진 ",""))</f>
        <v/>
      </c>
    </row>
    <row r="1344" customFormat="false" ht="15" hidden="false" customHeight="true" outlineLevel="0" collapsed="false">
      <c r="A1344" s="94" t="s">
        <v>1686</v>
      </c>
      <c r="B1344" s="34" t="str">
        <f aca="false">IF(A1344="100","HK",IF(A1344="200","CN",IF(A1344="300","TW","홀세일")))</f>
        <v>TW</v>
      </c>
      <c r="C1344" s="94" t="s">
        <v>652</v>
      </c>
      <c r="D1344" s="95" t="n">
        <v>250</v>
      </c>
      <c r="E1344" s="95" t="n">
        <v>119000</v>
      </c>
      <c r="F1344" s="95" t="n">
        <v>28514</v>
      </c>
      <c r="G1344" s="34" t="n">
        <v>3.61</v>
      </c>
      <c r="H1344" s="34" t="n">
        <v>31.6</v>
      </c>
      <c r="J1344" s="95" t="n">
        <f aca="false">IF(N(E1344)&gt;0,E1344,IF(N(F1344)&gt;0,F1344*가정!$B$5,0))</f>
        <v>119000</v>
      </c>
      <c r="K1344" s="95" t="n">
        <f aca="false">IF(N(F1344)&gt;0,F1344,IF(N(E1344)&gt;0,E1344/가정!$B$5,0))</f>
        <v>28514</v>
      </c>
      <c r="L1344" s="95" t="n">
        <f aca="false">IF(B1344="CN",IF(N(I1344)&gt;0,I1344*가정!$B$3,K1344*(1+가정!$B$6)),IF(N(H1344)&gt;0,H1344*가정!$B$3,J1344*가정!$B$4))</f>
        <v>43063.848</v>
      </c>
      <c r="M1344" s="95" t="n">
        <f aca="false">D1344*J1344</f>
        <v>29750000</v>
      </c>
      <c r="N1344" s="95" t="n">
        <f aca="false">D1344*K1344</f>
        <v>7128500</v>
      </c>
      <c r="O1344" s="95" t="n">
        <f aca="false">D1344*L1344</f>
        <v>10765962</v>
      </c>
      <c r="P1344" s="34" t="str">
        <f aca="false">TRIM(IF(N(E1344)&lt;=0,"택가보정 ","")&amp;IF(N(F1344)&lt;=0,"원가보정 ","")&amp;IF(AND(B1344&lt;&gt;"CN",N(H1344)&lt;=0),"공급가보정 ","")&amp;IF(AND(B1344="CN",N(I1344)&lt;=0),"중국공급가=원가+마진 ",""))</f>
        <v/>
      </c>
    </row>
    <row r="1345" customFormat="false" ht="15" hidden="false" customHeight="true" outlineLevel="0" collapsed="false">
      <c r="A1345" s="94" t="s">
        <v>1688</v>
      </c>
      <c r="B1345" s="34" t="str">
        <f aca="false">IF(A1345="100","HK",IF(A1345="200","CN",IF(A1345="300","TW","홀세일")))</f>
        <v>홀세일</v>
      </c>
      <c r="C1345" s="94" t="s">
        <v>652</v>
      </c>
      <c r="D1345" s="95" t="n">
        <v>40</v>
      </c>
      <c r="E1345" s="95" t="n">
        <v>119000</v>
      </c>
      <c r="F1345" s="95" t="n">
        <v>28514</v>
      </c>
      <c r="G1345" s="34" t="n">
        <v>3.61</v>
      </c>
      <c r="H1345" s="34" t="n">
        <v>31.6</v>
      </c>
      <c r="J1345" s="95" t="n">
        <f aca="false">IF(N(E1345)&gt;0,E1345,IF(N(F1345)&gt;0,F1345*가정!$B$5,0))</f>
        <v>119000</v>
      </c>
      <c r="K1345" s="95" t="n">
        <f aca="false">IF(N(F1345)&gt;0,F1345,IF(N(E1345)&gt;0,E1345/가정!$B$5,0))</f>
        <v>28514</v>
      </c>
      <c r="L1345" s="95" t="n">
        <f aca="false">IF(B1345="CN",IF(N(I1345)&gt;0,I1345*가정!$B$3,K1345*(1+가정!$B$6)),IF(N(H1345)&gt;0,H1345*가정!$B$3,J1345*가정!$B$4))</f>
        <v>43063.848</v>
      </c>
      <c r="M1345" s="95" t="n">
        <f aca="false">D1345*J1345</f>
        <v>4760000</v>
      </c>
      <c r="N1345" s="95" t="n">
        <f aca="false">D1345*K1345</f>
        <v>1140560</v>
      </c>
      <c r="O1345" s="95" t="n">
        <f aca="false">D1345*L1345</f>
        <v>1722553.92</v>
      </c>
      <c r="P1345" s="34" t="str">
        <f aca="false">TRIM(IF(N(E1345)&lt;=0,"택가보정 ","")&amp;IF(N(F1345)&lt;=0,"원가보정 ","")&amp;IF(AND(B1345&lt;&gt;"CN",N(H1345)&lt;=0),"공급가보정 ","")&amp;IF(AND(B1345="CN",N(I1345)&lt;=0),"중국공급가=원가+마진 ",""))</f>
        <v/>
      </c>
    </row>
    <row r="1346" customFormat="false" ht="15" hidden="false" customHeight="true" outlineLevel="0" collapsed="false">
      <c r="A1346" s="94" t="s">
        <v>1692</v>
      </c>
      <c r="B1346" s="34" t="str">
        <f aca="false">IF(A1346="100","HK",IF(A1346="200","CN",IF(A1346="300","TW","홀세일")))</f>
        <v>홀세일</v>
      </c>
      <c r="C1346" s="94" t="s">
        <v>652</v>
      </c>
      <c r="D1346" s="95" t="n">
        <v>92</v>
      </c>
      <c r="E1346" s="95" t="n">
        <v>119000</v>
      </c>
      <c r="F1346" s="95" t="n">
        <v>28514</v>
      </c>
      <c r="G1346" s="34" t="n">
        <v>3.61</v>
      </c>
      <c r="H1346" s="34" t="n">
        <v>31.6</v>
      </c>
      <c r="J1346" s="95" t="n">
        <f aca="false">IF(N(E1346)&gt;0,E1346,IF(N(F1346)&gt;0,F1346*가정!$B$5,0))</f>
        <v>119000</v>
      </c>
      <c r="K1346" s="95" t="n">
        <f aca="false">IF(N(F1346)&gt;0,F1346,IF(N(E1346)&gt;0,E1346/가정!$B$5,0))</f>
        <v>28514</v>
      </c>
      <c r="L1346" s="95" t="n">
        <f aca="false">IF(B1346="CN",IF(N(I1346)&gt;0,I1346*가정!$B$3,K1346*(1+가정!$B$6)),IF(N(H1346)&gt;0,H1346*가정!$B$3,J1346*가정!$B$4))</f>
        <v>43063.848</v>
      </c>
      <c r="M1346" s="95" t="n">
        <f aca="false">D1346*J1346</f>
        <v>10948000</v>
      </c>
      <c r="N1346" s="95" t="n">
        <f aca="false">D1346*K1346</f>
        <v>2623288</v>
      </c>
      <c r="O1346" s="95" t="n">
        <f aca="false">D1346*L1346</f>
        <v>3961874.016</v>
      </c>
      <c r="P1346" s="34" t="str">
        <f aca="false">TRIM(IF(N(E1346)&lt;=0,"택가보정 ","")&amp;IF(N(F1346)&lt;=0,"원가보정 ","")&amp;IF(AND(B1346&lt;&gt;"CN",N(H1346)&lt;=0),"공급가보정 ","")&amp;IF(AND(B1346="CN",N(I1346)&lt;=0),"중국공급가=원가+마진 ",""))</f>
        <v/>
      </c>
    </row>
    <row r="1347" customFormat="false" ht="15" hidden="false" customHeight="true" outlineLevel="0" collapsed="false">
      <c r="A1347" s="94" t="s">
        <v>1689</v>
      </c>
      <c r="B1347" s="34" t="str">
        <f aca="false">IF(A1347="100","HK",IF(A1347="200","CN",IF(A1347="300","TW","홀세일")))</f>
        <v>홀세일</v>
      </c>
      <c r="C1347" s="94" t="s">
        <v>652</v>
      </c>
      <c r="D1347" s="95" t="n">
        <v>55</v>
      </c>
      <c r="E1347" s="95" t="n">
        <v>119000</v>
      </c>
      <c r="F1347" s="95" t="n">
        <v>28514</v>
      </c>
      <c r="G1347" s="34" t="n">
        <v>3.61</v>
      </c>
      <c r="H1347" s="34" t="n">
        <v>31.6</v>
      </c>
      <c r="J1347" s="95" t="n">
        <f aca="false">IF(N(E1347)&gt;0,E1347,IF(N(F1347)&gt;0,F1347*가정!$B$5,0))</f>
        <v>119000</v>
      </c>
      <c r="K1347" s="95" t="n">
        <f aca="false">IF(N(F1347)&gt;0,F1347,IF(N(E1347)&gt;0,E1347/가정!$B$5,0))</f>
        <v>28514</v>
      </c>
      <c r="L1347" s="95" t="n">
        <f aca="false">IF(B1347="CN",IF(N(I1347)&gt;0,I1347*가정!$B$3,K1347*(1+가정!$B$6)),IF(N(H1347)&gt;0,H1347*가정!$B$3,J1347*가정!$B$4))</f>
        <v>43063.848</v>
      </c>
      <c r="M1347" s="95" t="n">
        <f aca="false">D1347*J1347</f>
        <v>6545000</v>
      </c>
      <c r="N1347" s="95" t="n">
        <f aca="false">D1347*K1347</f>
        <v>1568270</v>
      </c>
      <c r="O1347" s="95" t="n">
        <f aca="false">D1347*L1347</f>
        <v>2368511.64</v>
      </c>
      <c r="P1347" s="34" t="str">
        <f aca="false">TRIM(IF(N(E1347)&lt;=0,"택가보정 ","")&amp;IF(N(F1347)&lt;=0,"원가보정 ","")&amp;IF(AND(B1347&lt;&gt;"CN",N(H1347)&lt;=0),"공급가보정 ","")&amp;IF(AND(B1347="CN",N(I1347)&lt;=0),"중국공급가=원가+마진 ",""))</f>
        <v/>
      </c>
    </row>
    <row r="1348" customFormat="false" ht="15" hidden="false" customHeight="true" outlineLevel="0" collapsed="false">
      <c r="A1348" s="94" t="s">
        <v>1692</v>
      </c>
      <c r="B1348" s="34" t="str">
        <f aca="false">IF(A1348="100","HK",IF(A1348="200","CN",IF(A1348="300","TW","홀세일")))</f>
        <v>홀세일</v>
      </c>
      <c r="C1348" s="94" t="s">
        <v>1470</v>
      </c>
      <c r="D1348" s="95" t="n">
        <v>301</v>
      </c>
      <c r="E1348" s="95" t="n">
        <v>89000</v>
      </c>
      <c r="F1348" s="95" t="n">
        <v>20067</v>
      </c>
      <c r="G1348" s="34" t="n">
        <v>3.78</v>
      </c>
      <c r="H1348" s="34" t="n">
        <v>23.7</v>
      </c>
      <c r="J1348" s="95" t="n">
        <f aca="false">IF(N(E1348)&gt;0,E1348,IF(N(F1348)&gt;0,F1348*가정!$B$5,0))</f>
        <v>89000</v>
      </c>
      <c r="K1348" s="95" t="n">
        <f aca="false">IF(N(F1348)&gt;0,F1348,IF(N(E1348)&gt;0,E1348/가정!$B$5,0))</f>
        <v>20067</v>
      </c>
      <c r="L1348" s="95" t="n">
        <f aca="false">IF(B1348="CN",IF(N(I1348)&gt;0,I1348*가정!$B$3,K1348*(1+가정!$B$6)),IF(N(H1348)&gt;0,H1348*가정!$B$3,J1348*가정!$B$4))</f>
        <v>32297.886</v>
      </c>
      <c r="M1348" s="95" t="n">
        <f aca="false">D1348*J1348</f>
        <v>26789000</v>
      </c>
      <c r="N1348" s="95" t="n">
        <f aca="false">D1348*K1348</f>
        <v>6040167</v>
      </c>
      <c r="O1348" s="95" t="n">
        <f aca="false">D1348*L1348</f>
        <v>9721663.686</v>
      </c>
      <c r="P1348" s="34" t="str">
        <f aca="false">TRIM(IF(N(E1348)&lt;=0,"택가보정 ","")&amp;IF(N(F1348)&lt;=0,"원가보정 ","")&amp;IF(AND(B1348&lt;&gt;"CN",N(H1348)&lt;=0),"공급가보정 ","")&amp;IF(AND(B1348="CN",N(I1348)&lt;=0),"중국공급가=원가+마진 ",""))</f>
        <v/>
      </c>
    </row>
    <row r="1349" customFormat="false" ht="15" hidden="false" customHeight="true" outlineLevel="0" collapsed="false">
      <c r="A1349" s="94" t="s">
        <v>1687</v>
      </c>
      <c r="B1349" s="34" t="str">
        <f aca="false">IF(A1349="100","HK",IF(A1349="200","CN",IF(A1349="300","TW","홀세일")))</f>
        <v>홀세일</v>
      </c>
      <c r="C1349" s="94" t="s">
        <v>1403</v>
      </c>
      <c r="D1349" s="95" t="n">
        <v>20</v>
      </c>
      <c r="E1349" s="95" t="n">
        <v>89000</v>
      </c>
      <c r="F1349" s="95" t="n">
        <v>21671</v>
      </c>
      <c r="G1349" s="34" t="n">
        <v>3.5</v>
      </c>
      <c r="H1349" s="34" t="n">
        <v>23.7</v>
      </c>
      <c r="J1349" s="95" t="n">
        <f aca="false">IF(N(E1349)&gt;0,E1349,IF(N(F1349)&gt;0,F1349*가정!$B$5,0))</f>
        <v>89000</v>
      </c>
      <c r="K1349" s="95" t="n">
        <f aca="false">IF(N(F1349)&gt;0,F1349,IF(N(E1349)&gt;0,E1349/가정!$B$5,0))</f>
        <v>21671</v>
      </c>
      <c r="L1349" s="95" t="n">
        <f aca="false">IF(B1349="CN",IF(N(I1349)&gt;0,I1349*가정!$B$3,K1349*(1+가정!$B$6)),IF(N(H1349)&gt;0,H1349*가정!$B$3,J1349*가정!$B$4))</f>
        <v>32297.886</v>
      </c>
      <c r="M1349" s="95" t="n">
        <f aca="false">D1349*J1349</f>
        <v>1780000</v>
      </c>
      <c r="N1349" s="95" t="n">
        <f aca="false">D1349*K1349</f>
        <v>433420</v>
      </c>
      <c r="O1349" s="95" t="n">
        <f aca="false">D1349*L1349</f>
        <v>645957.72</v>
      </c>
      <c r="P1349" s="34" t="str">
        <f aca="false">TRIM(IF(N(E1349)&lt;=0,"택가보정 ","")&amp;IF(N(F1349)&lt;=0,"원가보정 ","")&amp;IF(AND(B1349&lt;&gt;"CN",N(H1349)&lt;=0),"공급가보정 ","")&amp;IF(AND(B1349="CN",N(I1349)&lt;=0),"중국공급가=원가+마진 ",""))</f>
        <v/>
      </c>
    </row>
    <row r="1350" customFormat="false" ht="15" hidden="false" customHeight="true" outlineLevel="0" collapsed="false">
      <c r="A1350" s="94" t="s">
        <v>1692</v>
      </c>
      <c r="B1350" s="34" t="str">
        <f aca="false">IF(A1350="100","HK",IF(A1350="200","CN",IF(A1350="300","TW","홀세일")))</f>
        <v>홀세일</v>
      </c>
      <c r="C1350" s="94" t="s">
        <v>1403</v>
      </c>
      <c r="D1350" s="95" t="n">
        <v>301</v>
      </c>
      <c r="E1350" s="95" t="n">
        <v>89000</v>
      </c>
      <c r="F1350" s="95" t="n">
        <v>21671</v>
      </c>
      <c r="G1350" s="34" t="n">
        <v>3.5</v>
      </c>
      <c r="H1350" s="34" t="n">
        <v>23.7</v>
      </c>
      <c r="J1350" s="95" t="n">
        <f aca="false">IF(N(E1350)&gt;0,E1350,IF(N(F1350)&gt;0,F1350*가정!$B$5,0))</f>
        <v>89000</v>
      </c>
      <c r="K1350" s="95" t="n">
        <f aca="false">IF(N(F1350)&gt;0,F1350,IF(N(E1350)&gt;0,E1350/가정!$B$5,0))</f>
        <v>21671</v>
      </c>
      <c r="L1350" s="95" t="n">
        <f aca="false">IF(B1350="CN",IF(N(I1350)&gt;0,I1350*가정!$B$3,K1350*(1+가정!$B$6)),IF(N(H1350)&gt;0,H1350*가정!$B$3,J1350*가정!$B$4))</f>
        <v>32297.886</v>
      </c>
      <c r="M1350" s="95" t="n">
        <f aca="false">D1350*J1350</f>
        <v>26789000</v>
      </c>
      <c r="N1350" s="95" t="n">
        <f aca="false">D1350*K1350</f>
        <v>6522971</v>
      </c>
      <c r="O1350" s="95" t="n">
        <f aca="false">D1350*L1350</f>
        <v>9721663.686</v>
      </c>
      <c r="P1350" s="34" t="str">
        <f aca="false">TRIM(IF(N(E1350)&lt;=0,"택가보정 ","")&amp;IF(N(F1350)&lt;=0,"원가보정 ","")&amp;IF(AND(B1350&lt;&gt;"CN",N(H1350)&lt;=0),"공급가보정 ","")&amp;IF(AND(B1350="CN",N(I1350)&lt;=0),"중국공급가=원가+마진 ",""))</f>
        <v/>
      </c>
    </row>
    <row r="1351" customFormat="false" ht="15" hidden="false" customHeight="true" outlineLevel="0" collapsed="false">
      <c r="A1351" s="94" t="s">
        <v>1684</v>
      </c>
      <c r="B1351" s="34" t="str">
        <f aca="false">IF(A1351="100","HK",IF(A1351="200","CN",IF(A1351="300","TW","홀세일")))</f>
        <v>HK</v>
      </c>
      <c r="C1351" s="94" t="s">
        <v>654</v>
      </c>
      <c r="D1351" s="95" t="n">
        <v>150</v>
      </c>
      <c r="E1351" s="95" t="n">
        <v>59000</v>
      </c>
      <c r="F1351" s="95" t="n">
        <v>13590</v>
      </c>
      <c r="G1351" s="34" t="n">
        <v>3.71</v>
      </c>
      <c r="H1351" s="34" t="n">
        <v>15.7</v>
      </c>
      <c r="J1351" s="95" t="n">
        <f aca="false">IF(N(E1351)&gt;0,E1351,IF(N(F1351)&gt;0,F1351*가정!$B$5,0))</f>
        <v>59000</v>
      </c>
      <c r="K1351" s="95" t="n">
        <f aca="false">IF(N(F1351)&gt;0,F1351,IF(N(E1351)&gt;0,E1351/가정!$B$5,0))</f>
        <v>13590</v>
      </c>
      <c r="L1351" s="95" t="n">
        <f aca="false">IF(B1351="CN",IF(N(I1351)&gt;0,I1351*가정!$B$3,K1351*(1+가정!$B$6)),IF(N(H1351)&gt;0,H1351*가정!$B$3,J1351*가정!$B$4))</f>
        <v>21395.646</v>
      </c>
      <c r="M1351" s="95" t="n">
        <f aca="false">D1351*J1351</f>
        <v>8850000</v>
      </c>
      <c r="N1351" s="95" t="n">
        <f aca="false">D1351*K1351</f>
        <v>2038500</v>
      </c>
      <c r="O1351" s="95" t="n">
        <f aca="false">D1351*L1351</f>
        <v>3209346.9</v>
      </c>
      <c r="P1351" s="34" t="str">
        <f aca="false">TRIM(IF(N(E1351)&lt;=0,"택가보정 ","")&amp;IF(N(F1351)&lt;=0,"원가보정 ","")&amp;IF(AND(B1351&lt;&gt;"CN",N(H1351)&lt;=0),"공급가보정 ","")&amp;IF(AND(B1351="CN",N(I1351)&lt;=0),"중국공급가=원가+마진 ",""))</f>
        <v/>
      </c>
    </row>
    <row r="1352" customFormat="false" ht="15" hidden="false" customHeight="true" outlineLevel="0" collapsed="false">
      <c r="A1352" s="94" t="s">
        <v>1686</v>
      </c>
      <c r="B1352" s="34" t="str">
        <f aca="false">IF(A1352="100","HK",IF(A1352="200","CN",IF(A1352="300","TW","홀세일")))</f>
        <v>TW</v>
      </c>
      <c r="C1352" s="94" t="s">
        <v>654</v>
      </c>
      <c r="D1352" s="95" t="n">
        <v>250</v>
      </c>
      <c r="E1352" s="95" t="n">
        <v>59000</v>
      </c>
      <c r="F1352" s="95" t="n">
        <v>13590</v>
      </c>
      <c r="G1352" s="34" t="n">
        <v>3.71</v>
      </c>
      <c r="H1352" s="34" t="n">
        <v>15.7</v>
      </c>
      <c r="J1352" s="95" t="n">
        <f aca="false">IF(N(E1352)&gt;0,E1352,IF(N(F1352)&gt;0,F1352*가정!$B$5,0))</f>
        <v>59000</v>
      </c>
      <c r="K1352" s="95" t="n">
        <f aca="false">IF(N(F1352)&gt;0,F1352,IF(N(E1352)&gt;0,E1352/가정!$B$5,0))</f>
        <v>13590</v>
      </c>
      <c r="L1352" s="95" t="n">
        <f aca="false">IF(B1352="CN",IF(N(I1352)&gt;0,I1352*가정!$B$3,K1352*(1+가정!$B$6)),IF(N(H1352)&gt;0,H1352*가정!$B$3,J1352*가정!$B$4))</f>
        <v>21395.646</v>
      </c>
      <c r="M1352" s="95" t="n">
        <f aca="false">D1352*J1352</f>
        <v>14750000</v>
      </c>
      <c r="N1352" s="95" t="n">
        <f aca="false">D1352*K1352</f>
        <v>3397500</v>
      </c>
      <c r="O1352" s="95" t="n">
        <f aca="false">D1352*L1352</f>
        <v>5348911.5</v>
      </c>
      <c r="P1352" s="34" t="str">
        <f aca="false">TRIM(IF(N(E1352)&lt;=0,"택가보정 ","")&amp;IF(N(F1352)&lt;=0,"원가보정 ","")&amp;IF(AND(B1352&lt;&gt;"CN",N(H1352)&lt;=0),"공급가보정 ","")&amp;IF(AND(B1352="CN",N(I1352)&lt;=0),"중국공급가=원가+마진 ",""))</f>
        <v/>
      </c>
    </row>
    <row r="1353" customFormat="false" ht="15" hidden="false" customHeight="true" outlineLevel="0" collapsed="false">
      <c r="A1353" s="94" t="s">
        <v>1688</v>
      </c>
      <c r="B1353" s="34" t="str">
        <f aca="false">IF(A1353="100","HK",IF(A1353="200","CN",IF(A1353="300","TW","홀세일")))</f>
        <v>홀세일</v>
      </c>
      <c r="C1353" s="94" t="s">
        <v>654</v>
      </c>
      <c r="D1353" s="95" t="n">
        <v>35</v>
      </c>
      <c r="E1353" s="95" t="n">
        <v>59000</v>
      </c>
      <c r="F1353" s="95" t="n">
        <v>13590</v>
      </c>
      <c r="G1353" s="34" t="n">
        <v>3.71</v>
      </c>
      <c r="H1353" s="34" t="n">
        <v>15.7</v>
      </c>
      <c r="J1353" s="95" t="n">
        <f aca="false">IF(N(E1353)&gt;0,E1353,IF(N(F1353)&gt;0,F1353*가정!$B$5,0))</f>
        <v>59000</v>
      </c>
      <c r="K1353" s="95" t="n">
        <f aca="false">IF(N(F1353)&gt;0,F1353,IF(N(E1353)&gt;0,E1353/가정!$B$5,0))</f>
        <v>13590</v>
      </c>
      <c r="L1353" s="95" t="n">
        <f aca="false">IF(B1353="CN",IF(N(I1353)&gt;0,I1353*가정!$B$3,K1353*(1+가정!$B$6)),IF(N(H1353)&gt;0,H1353*가정!$B$3,J1353*가정!$B$4))</f>
        <v>21395.646</v>
      </c>
      <c r="M1353" s="95" t="n">
        <f aca="false">D1353*J1353</f>
        <v>2065000</v>
      </c>
      <c r="N1353" s="95" t="n">
        <f aca="false">D1353*K1353</f>
        <v>475650</v>
      </c>
      <c r="O1353" s="95" t="n">
        <f aca="false">D1353*L1353</f>
        <v>748847.61</v>
      </c>
      <c r="P1353" s="34" t="str">
        <f aca="false">TRIM(IF(N(E1353)&lt;=0,"택가보정 ","")&amp;IF(N(F1353)&lt;=0,"원가보정 ","")&amp;IF(AND(B1353&lt;&gt;"CN",N(H1353)&lt;=0),"공급가보정 ","")&amp;IF(AND(B1353="CN",N(I1353)&lt;=0),"중국공급가=원가+마진 ",""))</f>
        <v/>
      </c>
    </row>
    <row r="1354" customFormat="false" ht="15" hidden="false" customHeight="true" outlineLevel="0" collapsed="false">
      <c r="A1354" s="94" t="s">
        <v>1692</v>
      </c>
      <c r="B1354" s="34" t="str">
        <f aca="false">IF(A1354="100","HK",IF(A1354="200","CN",IF(A1354="300","TW","홀세일")))</f>
        <v>홀세일</v>
      </c>
      <c r="C1354" s="94" t="s">
        <v>654</v>
      </c>
      <c r="D1354" s="95" t="n">
        <v>121</v>
      </c>
      <c r="E1354" s="95" t="n">
        <v>59000</v>
      </c>
      <c r="F1354" s="95" t="n">
        <v>13590</v>
      </c>
      <c r="G1354" s="34" t="n">
        <v>3.71</v>
      </c>
      <c r="H1354" s="34" t="n">
        <v>15.7</v>
      </c>
      <c r="J1354" s="95" t="n">
        <f aca="false">IF(N(E1354)&gt;0,E1354,IF(N(F1354)&gt;0,F1354*가정!$B$5,0))</f>
        <v>59000</v>
      </c>
      <c r="K1354" s="95" t="n">
        <f aca="false">IF(N(F1354)&gt;0,F1354,IF(N(E1354)&gt;0,E1354/가정!$B$5,0))</f>
        <v>13590</v>
      </c>
      <c r="L1354" s="95" t="n">
        <f aca="false">IF(B1354="CN",IF(N(I1354)&gt;0,I1354*가정!$B$3,K1354*(1+가정!$B$6)),IF(N(H1354)&gt;0,H1354*가정!$B$3,J1354*가정!$B$4))</f>
        <v>21395.646</v>
      </c>
      <c r="M1354" s="95" t="n">
        <f aca="false">D1354*J1354</f>
        <v>7139000</v>
      </c>
      <c r="N1354" s="95" t="n">
        <f aca="false">D1354*K1354</f>
        <v>1644390</v>
      </c>
      <c r="O1354" s="95" t="n">
        <f aca="false">D1354*L1354</f>
        <v>2588873.166</v>
      </c>
      <c r="P1354" s="34" t="str">
        <f aca="false">TRIM(IF(N(E1354)&lt;=0,"택가보정 ","")&amp;IF(N(F1354)&lt;=0,"원가보정 ","")&amp;IF(AND(B1354&lt;&gt;"CN",N(H1354)&lt;=0),"공급가보정 ","")&amp;IF(AND(B1354="CN",N(I1354)&lt;=0),"중국공급가=원가+마진 ",""))</f>
        <v/>
      </c>
    </row>
    <row r="1355" customFormat="false" ht="15" hidden="false" customHeight="true" outlineLevel="0" collapsed="false">
      <c r="A1355" s="94" t="s">
        <v>1684</v>
      </c>
      <c r="B1355" s="34" t="str">
        <f aca="false">IF(A1355="100","HK",IF(A1355="200","CN",IF(A1355="300","TW","홀세일")))</f>
        <v>HK</v>
      </c>
      <c r="C1355" s="94" t="s">
        <v>656</v>
      </c>
      <c r="D1355" s="95" t="n">
        <v>250</v>
      </c>
      <c r="E1355" s="95" t="n">
        <v>69000</v>
      </c>
      <c r="F1355" s="95" t="n">
        <v>16854</v>
      </c>
      <c r="G1355" s="34" t="n">
        <v>3.49</v>
      </c>
      <c r="H1355" s="34" t="n">
        <v>18.4</v>
      </c>
      <c r="J1355" s="95" t="n">
        <f aca="false">IF(N(E1355)&gt;0,E1355,IF(N(F1355)&gt;0,F1355*가정!$B$5,0))</f>
        <v>69000</v>
      </c>
      <c r="K1355" s="95" t="n">
        <f aca="false">IF(N(F1355)&gt;0,F1355,IF(N(E1355)&gt;0,E1355/가정!$B$5,0))</f>
        <v>16854</v>
      </c>
      <c r="L1355" s="95" t="n">
        <f aca="false">IF(B1355="CN",IF(N(I1355)&gt;0,I1355*가정!$B$3,K1355*(1+가정!$B$6)),IF(N(H1355)&gt;0,H1355*가정!$B$3,J1355*가정!$B$4))</f>
        <v>25075.152</v>
      </c>
      <c r="M1355" s="95" t="n">
        <f aca="false">D1355*J1355</f>
        <v>17250000</v>
      </c>
      <c r="N1355" s="95" t="n">
        <f aca="false">D1355*K1355</f>
        <v>4213500</v>
      </c>
      <c r="O1355" s="95" t="n">
        <f aca="false">D1355*L1355</f>
        <v>6268788</v>
      </c>
      <c r="P1355" s="34" t="str">
        <f aca="false">TRIM(IF(N(E1355)&lt;=0,"택가보정 ","")&amp;IF(N(F1355)&lt;=0,"원가보정 ","")&amp;IF(AND(B1355&lt;&gt;"CN",N(H1355)&lt;=0),"공급가보정 ","")&amp;IF(AND(B1355="CN",N(I1355)&lt;=0),"중국공급가=원가+마진 ",""))</f>
        <v/>
      </c>
    </row>
    <row r="1356" customFormat="false" ht="15" hidden="false" customHeight="true" outlineLevel="0" collapsed="false">
      <c r="A1356" s="94" t="s">
        <v>1686</v>
      </c>
      <c r="B1356" s="34" t="str">
        <f aca="false">IF(A1356="100","HK",IF(A1356="200","CN",IF(A1356="300","TW","홀세일")))</f>
        <v>TW</v>
      </c>
      <c r="C1356" s="94" t="s">
        <v>656</v>
      </c>
      <c r="D1356" s="95" t="n">
        <v>350</v>
      </c>
      <c r="E1356" s="95" t="n">
        <v>69000</v>
      </c>
      <c r="F1356" s="95" t="n">
        <v>16854</v>
      </c>
      <c r="G1356" s="34" t="n">
        <v>3.49</v>
      </c>
      <c r="H1356" s="34" t="n">
        <v>18.4</v>
      </c>
      <c r="J1356" s="95" t="n">
        <f aca="false">IF(N(E1356)&gt;0,E1356,IF(N(F1356)&gt;0,F1356*가정!$B$5,0))</f>
        <v>69000</v>
      </c>
      <c r="K1356" s="95" t="n">
        <f aca="false">IF(N(F1356)&gt;0,F1356,IF(N(E1356)&gt;0,E1356/가정!$B$5,0))</f>
        <v>16854</v>
      </c>
      <c r="L1356" s="95" t="n">
        <f aca="false">IF(B1356="CN",IF(N(I1356)&gt;0,I1356*가정!$B$3,K1356*(1+가정!$B$6)),IF(N(H1356)&gt;0,H1356*가정!$B$3,J1356*가정!$B$4))</f>
        <v>25075.152</v>
      </c>
      <c r="M1356" s="95" t="n">
        <f aca="false">D1356*J1356</f>
        <v>24150000</v>
      </c>
      <c r="N1356" s="95" t="n">
        <f aca="false">D1356*K1356</f>
        <v>5898900</v>
      </c>
      <c r="O1356" s="95" t="n">
        <f aca="false">D1356*L1356</f>
        <v>8776303.2</v>
      </c>
      <c r="P1356" s="34" t="str">
        <f aca="false">TRIM(IF(N(E1356)&lt;=0,"택가보정 ","")&amp;IF(N(F1356)&lt;=0,"원가보정 ","")&amp;IF(AND(B1356&lt;&gt;"CN",N(H1356)&lt;=0),"공급가보정 ","")&amp;IF(AND(B1356="CN",N(I1356)&lt;=0),"중국공급가=원가+마진 ",""))</f>
        <v/>
      </c>
    </row>
    <row r="1357" customFormat="false" ht="15" hidden="false" customHeight="true" outlineLevel="0" collapsed="false">
      <c r="A1357" s="94" t="s">
        <v>1687</v>
      </c>
      <c r="B1357" s="34" t="str">
        <f aca="false">IF(A1357="100","HK",IF(A1357="200","CN",IF(A1357="300","TW","홀세일")))</f>
        <v>홀세일</v>
      </c>
      <c r="C1357" s="94" t="s">
        <v>656</v>
      </c>
      <c r="D1357" s="95" t="n">
        <v>20</v>
      </c>
      <c r="E1357" s="95" t="n">
        <v>69000</v>
      </c>
      <c r="F1357" s="95" t="n">
        <v>16854</v>
      </c>
      <c r="G1357" s="34" t="n">
        <v>3.49</v>
      </c>
      <c r="H1357" s="34" t="n">
        <v>18.4</v>
      </c>
      <c r="J1357" s="95" t="n">
        <f aca="false">IF(N(E1357)&gt;0,E1357,IF(N(F1357)&gt;0,F1357*가정!$B$5,0))</f>
        <v>69000</v>
      </c>
      <c r="K1357" s="95" t="n">
        <f aca="false">IF(N(F1357)&gt;0,F1357,IF(N(E1357)&gt;0,E1357/가정!$B$5,0))</f>
        <v>16854</v>
      </c>
      <c r="L1357" s="95" t="n">
        <f aca="false">IF(B1357="CN",IF(N(I1357)&gt;0,I1357*가정!$B$3,K1357*(1+가정!$B$6)),IF(N(H1357)&gt;0,H1357*가정!$B$3,J1357*가정!$B$4))</f>
        <v>25075.152</v>
      </c>
      <c r="M1357" s="95" t="n">
        <f aca="false">D1357*J1357</f>
        <v>1380000</v>
      </c>
      <c r="N1357" s="95" t="n">
        <f aca="false">D1357*K1357</f>
        <v>337080</v>
      </c>
      <c r="O1357" s="95" t="n">
        <f aca="false">D1357*L1357</f>
        <v>501503.04</v>
      </c>
      <c r="P1357" s="34" t="str">
        <f aca="false">TRIM(IF(N(E1357)&lt;=0,"택가보정 ","")&amp;IF(N(F1357)&lt;=0,"원가보정 ","")&amp;IF(AND(B1357&lt;&gt;"CN",N(H1357)&lt;=0),"공급가보정 ","")&amp;IF(AND(B1357="CN",N(I1357)&lt;=0),"중국공급가=원가+마진 ",""))</f>
        <v/>
      </c>
    </row>
    <row r="1358" customFormat="false" ht="15" hidden="false" customHeight="true" outlineLevel="0" collapsed="false">
      <c r="A1358" s="94" t="s">
        <v>1688</v>
      </c>
      <c r="B1358" s="34" t="str">
        <f aca="false">IF(A1358="100","HK",IF(A1358="200","CN",IF(A1358="300","TW","홀세일")))</f>
        <v>홀세일</v>
      </c>
      <c r="C1358" s="94" t="s">
        <v>656</v>
      </c>
      <c r="D1358" s="95" t="n">
        <v>50</v>
      </c>
      <c r="E1358" s="95" t="n">
        <v>69000</v>
      </c>
      <c r="F1358" s="95" t="n">
        <v>16854</v>
      </c>
      <c r="G1358" s="34" t="n">
        <v>3.49</v>
      </c>
      <c r="H1358" s="34" t="n">
        <v>18.4</v>
      </c>
      <c r="J1358" s="95" t="n">
        <f aca="false">IF(N(E1358)&gt;0,E1358,IF(N(F1358)&gt;0,F1358*가정!$B$5,0))</f>
        <v>69000</v>
      </c>
      <c r="K1358" s="95" t="n">
        <f aca="false">IF(N(F1358)&gt;0,F1358,IF(N(E1358)&gt;0,E1358/가정!$B$5,0))</f>
        <v>16854</v>
      </c>
      <c r="L1358" s="95" t="n">
        <f aca="false">IF(B1358="CN",IF(N(I1358)&gt;0,I1358*가정!$B$3,K1358*(1+가정!$B$6)),IF(N(H1358)&gt;0,H1358*가정!$B$3,J1358*가정!$B$4))</f>
        <v>25075.152</v>
      </c>
      <c r="M1358" s="95" t="n">
        <f aca="false">D1358*J1358</f>
        <v>3450000</v>
      </c>
      <c r="N1358" s="95" t="n">
        <f aca="false">D1358*K1358</f>
        <v>842700</v>
      </c>
      <c r="O1358" s="95" t="n">
        <f aca="false">D1358*L1358</f>
        <v>1253757.6</v>
      </c>
      <c r="P1358" s="34" t="str">
        <f aca="false">TRIM(IF(N(E1358)&lt;=0,"택가보정 ","")&amp;IF(N(F1358)&lt;=0,"원가보정 ","")&amp;IF(AND(B1358&lt;&gt;"CN",N(H1358)&lt;=0),"공급가보정 ","")&amp;IF(AND(B1358="CN",N(I1358)&lt;=0),"중국공급가=원가+마진 ",""))</f>
        <v/>
      </c>
    </row>
    <row r="1359" customFormat="false" ht="15" hidden="false" customHeight="true" outlineLevel="0" collapsed="false">
      <c r="A1359" s="94" t="s">
        <v>1692</v>
      </c>
      <c r="B1359" s="34" t="str">
        <f aca="false">IF(A1359="100","HK",IF(A1359="200","CN",IF(A1359="300","TW","홀세일")))</f>
        <v>홀세일</v>
      </c>
      <c r="C1359" s="94" t="s">
        <v>656</v>
      </c>
      <c r="D1359" s="95" t="n">
        <v>61</v>
      </c>
      <c r="E1359" s="95" t="n">
        <v>69000</v>
      </c>
      <c r="F1359" s="95" t="n">
        <v>16854</v>
      </c>
      <c r="G1359" s="34" t="n">
        <v>3.49</v>
      </c>
      <c r="H1359" s="34" t="n">
        <v>18.4</v>
      </c>
      <c r="J1359" s="95" t="n">
        <f aca="false">IF(N(E1359)&gt;0,E1359,IF(N(F1359)&gt;0,F1359*가정!$B$5,0))</f>
        <v>69000</v>
      </c>
      <c r="K1359" s="95" t="n">
        <f aca="false">IF(N(F1359)&gt;0,F1359,IF(N(E1359)&gt;0,E1359/가정!$B$5,0))</f>
        <v>16854</v>
      </c>
      <c r="L1359" s="95" t="n">
        <f aca="false">IF(B1359="CN",IF(N(I1359)&gt;0,I1359*가정!$B$3,K1359*(1+가정!$B$6)),IF(N(H1359)&gt;0,H1359*가정!$B$3,J1359*가정!$B$4))</f>
        <v>25075.152</v>
      </c>
      <c r="M1359" s="95" t="n">
        <f aca="false">D1359*J1359</f>
        <v>4209000</v>
      </c>
      <c r="N1359" s="95" t="n">
        <f aca="false">D1359*K1359</f>
        <v>1028094</v>
      </c>
      <c r="O1359" s="95" t="n">
        <f aca="false">D1359*L1359</f>
        <v>1529584.272</v>
      </c>
      <c r="P1359" s="34" t="str">
        <f aca="false">TRIM(IF(N(E1359)&lt;=0,"택가보정 ","")&amp;IF(N(F1359)&lt;=0,"원가보정 ","")&amp;IF(AND(B1359&lt;&gt;"CN",N(H1359)&lt;=0),"공급가보정 ","")&amp;IF(AND(B1359="CN",N(I1359)&lt;=0),"중국공급가=원가+마진 ",""))</f>
        <v/>
      </c>
    </row>
    <row r="1360" customFormat="false" ht="15" hidden="false" customHeight="true" outlineLevel="0" collapsed="false">
      <c r="A1360" s="94" t="s">
        <v>1690</v>
      </c>
      <c r="B1360" s="34" t="str">
        <f aca="false">IF(A1360="100","HK",IF(A1360="200","CN",IF(A1360="300","TW","홀세일")))</f>
        <v>홀세일</v>
      </c>
      <c r="C1360" s="94" t="s">
        <v>656</v>
      </c>
      <c r="D1360" s="95" t="n">
        <v>96</v>
      </c>
      <c r="E1360" s="95" t="n">
        <v>69000</v>
      </c>
      <c r="F1360" s="95" t="n">
        <v>16854</v>
      </c>
      <c r="G1360" s="34" t="n">
        <v>3.49</v>
      </c>
      <c r="H1360" s="34" t="n">
        <v>18.4</v>
      </c>
      <c r="J1360" s="95" t="n">
        <f aca="false">IF(N(E1360)&gt;0,E1360,IF(N(F1360)&gt;0,F1360*가정!$B$5,0))</f>
        <v>69000</v>
      </c>
      <c r="K1360" s="95" t="n">
        <f aca="false">IF(N(F1360)&gt;0,F1360,IF(N(E1360)&gt;0,E1360/가정!$B$5,0))</f>
        <v>16854</v>
      </c>
      <c r="L1360" s="95" t="n">
        <f aca="false">IF(B1360="CN",IF(N(I1360)&gt;0,I1360*가정!$B$3,K1360*(1+가정!$B$6)),IF(N(H1360)&gt;0,H1360*가정!$B$3,J1360*가정!$B$4))</f>
        <v>25075.152</v>
      </c>
      <c r="M1360" s="95" t="n">
        <f aca="false">D1360*J1360</f>
        <v>6624000</v>
      </c>
      <c r="N1360" s="95" t="n">
        <f aca="false">D1360*K1360</f>
        <v>1617984</v>
      </c>
      <c r="O1360" s="95" t="n">
        <f aca="false">D1360*L1360</f>
        <v>2407214.592</v>
      </c>
      <c r="P1360" s="34" t="str">
        <f aca="false">TRIM(IF(N(E1360)&lt;=0,"택가보정 ","")&amp;IF(N(F1360)&lt;=0,"원가보정 ","")&amp;IF(AND(B1360&lt;&gt;"CN",N(H1360)&lt;=0),"공급가보정 ","")&amp;IF(AND(B1360="CN",N(I1360)&lt;=0),"중국공급가=원가+마진 ",""))</f>
        <v/>
      </c>
    </row>
    <row r="1361" customFormat="false" ht="15" hidden="false" customHeight="true" outlineLevel="0" collapsed="false">
      <c r="A1361" s="94" t="s">
        <v>1687</v>
      </c>
      <c r="B1361" s="34" t="str">
        <f aca="false">IF(A1361="100","HK",IF(A1361="200","CN",IF(A1361="300","TW","홀세일")))</f>
        <v>홀세일</v>
      </c>
      <c r="C1361" s="94" t="s">
        <v>1462</v>
      </c>
      <c r="D1361" s="95" t="n">
        <v>45</v>
      </c>
      <c r="E1361" s="95" t="n">
        <v>69000</v>
      </c>
      <c r="F1361" s="95" t="n">
        <v>16878</v>
      </c>
      <c r="G1361" s="34" t="n">
        <v>3.49</v>
      </c>
      <c r="H1361" s="34" t="n">
        <v>18.4</v>
      </c>
      <c r="J1361" s="95" t="n">
        <f aca="false">IF(N(E1361)&gt;0,E1361,IF(N(F1361)&gt;0,F1361*가정!$B$5,0))</f>
        <v>69000</v>
      </c>
      <c r="K1361" s="95" t="n">
        <f aca="false">IF(N(F1361)&gt;0,F1361,IF(N(E1361)&gt;0,E1361/가정!$B$5,0))</f>
        <v>16878</v>
      </c>
      <c r="L1361" s="95" t="n">
        <f aca="false">IF(B1361="CN",IF(N(I1361)&gt;0,I1361*가정!$B$3,K1361*(1+가정!$B$6)),IF(N(H1361)&gt;0,H1361*가정!$B$3,J1361*가정!$B$4))</f>
        <v>25075.152</v>
      </c>
      <c r="M1361" s="95" t="n">
        <f aca="false">D1361*J1361</f>
        <v>3105000</v>
      </c>
      <c r="N1361" s="95" t="n">
        <f aca="false">D1361*K1361</f>
        <v>759510</v>
      </c>
      <c r="O1361" s="95" t="n">
        <f aca="false">D1361*L1361</f>
        <v>1128381.84</v>
      </c>
      <c r="P1361" s="34" t="str">
        <f aca="false">TRIM(IF(N(E1361)&lt;=0,"택가보정 ","")&amp;IF(N(F1361)&lt;=0,"원가보정 ","")&amp;IF(AND(B1361&lt;&gt;"CN",N(H1361)&lt;=0),"공급가보정 ","")&amp;IF(AND(B1361="CN",N(I1361)&lt;=0),"중국공급가=원가+마진 ",""))</f>
        <v/>
      </c>
    </row>
    <row r="1362" customFormat="false" ht="15" hidden="false" customHeight="true" outlineLevel="0" collapsed="false">
      <c r="A1362" s="94" t="s">
        <v>1692</v>
      </c>
      <c r="B1362" s="34" t="str">
        <f aca="false">IF(A1362="100","HK",IF(A1362="200","CN",IF(A1362="300","TW","홀세일")))</f>
        <v>홀세일</v>
      </c>
      <c r="C1362" s="94" t="s">
        <v>1462</v>
      </c>
      <c r="D1362" s="95" t="n">
        <v>152</v>
      </c>
      <c r="E1362" s="95" t="n">
        <v>69000</v>
      </c>
      <c r="F1362" s="95" t="n">
        <v>16878</v>
      </c>
      <c r="G1362" s="34" t="n">
        <v>3.49</v>
      </c>
      <c r="H1362" s="34" t="n">
        <v>18.4</v>
      </c>
      <c r="J1362" s="95" t="n">
        <f aca="false">IF(N(E1362)&gt;0,E1362,IF(N(F1362)&gt;0,F1362*가정!$B$5,0))</f>
        <v>69000</v>
      </c>
      <c r="K1362" s="95" t="n">
        <f aca="false">IF(N(F1362)&gt;0,F1362,IF(N(E1362)&gt;0,E1362/가정!$B$5,0))</f>
        <v>16878</v>
      </c>
      <c r="L1362" s="95" t="n">
        <f aca="false">IF(B1362="CN",IF(N(I1362)&gt;0,I1362*가정!$B$3,K1362*(1+가정!$B$6)),IF(N(H1362)&gt;0,H1362*가정!$B$3,J1362*가정!$B$4))</f>
        <v>25075.152</v>
      </c>
      <c r="M1362" s="95" t="n">
        <f aca="false">D1362*J1362</f>
        <v>10488000</v>
      </c>
      <c r="N1362" s="95" t="n">
        <f aca="false">D1362*K1362</f>
        <v>2565456</v>
      </c>
      <c r="O1362" s="95" t="n">
        <f aca="false">D1362*L1362</f>
        <v>3811423.104</v>
      </c>
      <c r="P1362" s="34" t="str">
        <f aca="false">TRIM(IF(N(E1362)&lt;=0,"택가보정 ","")&amp;IF(N(F1362)&lt;=0,"원가보정 ","")&amp;IF(AND(B1362&lt;&gt;"CN",N(H1362)&lt;=0),"공급가보정 ","")&amp;IF(AND(B1362="CN",N(I1362)&lt;=0),"중국공급가=원가+마진 ",""))</f>
        <v/>
      </c>
    </row>
    <row r="1363" customFormat="false" ht="15" hidden="false" customHeight="true" outlineLevel="0" collapsed="false">
      <c r="A1363" s="94" t="s">
        <v>1686</v>
      </c>
      <c r="B1363" s="34" t="str">
        <f aca="false">IF(A1363="100","HK",IF(A1363="200","CN",IF(A1363="300","TW","홀세일")))</f>
        <v>TW</v>
      </c>
      <c r="C1363" s="94" t="s">
        <v>672</v>
      </c>
      <c r="D1363" s="95" t="n">
        <v>300</v>
      </c>
      <c r="E1363" s="95" t="n">
        <v>99000</v>
      </c>
      <c r="F1363" s="95" t="n">
        <v>19075</v>
      </c>
      <c r="G1363" s="34" t="n">
        <v>4.45</v>
      </c>
      <c r="H1363" s="34" t="n">
        <v>26.3</v>
      </c>
      <c r="J1363" s="95" t="n">
        <f aca="false">IF(N(E1363)&gt;0,E1363,IF(N(F1363)&gt;0,F1363*가정!$B$5,0))</f>
        <v>99000</v>
      </c>
      <c r="K1363" s="95" t="n">
        <f aca="false">IF(N(F1363)&gt;0,F1363,IF(N(E1363)&gt;0,E1363/가정!$B$5,0))</f>
        <v>19075</v>
      </c>
      <c r="L1363" s="95" t="n">
        <f aca="false">IF(B1363="CN",IF(N(I1363)&gt;0,I1363*가정!$B$3,K1363*(1+가정!$B$6)),IF(N(H1363)&gt;0,H1363*가정!$B$3,J1363*가정!$B$4))</f>
        <v>35841.114</v>
      </c>
      <c r="M1363" s="95" t="n">
        <f aca="false">D1363*J1363</f>
        <v>29700000</v>
      </c>
      <c r="N1363" s="95" t="n">
        <f aca="false">D1363*K1363</f>
        <v>5722500</v>
      </c>
      <c r="O1363" s="95" t="n">
        <f aca="false">D1363*L1363</f>
        <v>10752334.2</v>
      </c>
      <c r="P1363" s="34" t="str">
        <f aca="false">TRIM(IF(N(E1363)&lt;=0,"택가보정 ","")&amp;IF(N(F1363)&lt;=0,"원가보정 ","")&amp;IF(AND(B1363&lt;&gt;"CN",N(H1363)&lt;=0),"공급가보정 ","")&amp;IF(AND(B1363="CN",N(I1363)&lt;=0),"중국공급가=원가+마진 ",""))</f>
        <v/>
      </c>
    </row>
    <row r="1364" customFormat="false" ht="15" hidden="false" customHeight="true" outlineLevel="0" collapsed="false">
      <c r="A1364" s="94" t="s">
        <v>1687</v>
      </c>
      <c r="B1364" s="34" t="str">
        <f aca="false">IF(A1364="100","HK",IF(A1364="200","CN",IF(A1364="300","TW","홀세일")))</f>
        <v>홀세일</v>
      </c>
      <c r="C1364" s="94" t="s">
        <v>672</v>
      </c>
      <c r="D1364" s="95" t="n">
        <v>25</v>
      </c>
      <c r="E1364" s="95" t="n">
        <v>99000</v>
      </c>
      <c r="F1364" s="95" t="n">
        <v>19075</v>
      </c>
      <c r="G1364" s="34" t="n">
        <v>4.45</v>
      </c>
      <c r="H1364" s="34" t="n">
        <v>26.3</v>
      </c>
      <c r="J1364" s="95" t="n">
        <f aca="false">IF(N(E1364)&gt;0,E1364,IF(N(F1364)&gt;0,F1364*가정!$B$5,0))</f>
        <v>99000</v>
      </c>
      <c r="K1364" s="95" t="n">
        <f aca="false">IF(N(F1364)&gt;0,F1364,IF(N(E1364)&gt;0,E1364/가정!$B$5,0))</f>
        <v>19075</v>
      </c>
      <c r="L1364" s="95" t="n">
        <f aca="false">IF(B1364="CN",IF(N(I1364)&gt;0,I1364*가정!$B$3,K1364*(1+가정!$B$6)),IF(N(H1364)&gt;0,H1364*가정!$B$3,J1364*가정!$B$4))</f>
        <v>35841.114</v>
      </c>
      <c r="M1364" s="95" t="n">
        <f aca="false">D1364*J1364</f>
        <v>2475000</v>
      </c>
      <c r="N1364" s="95" t="n">
        <f aca="false">D1364*K1364</f>
        <v>476875</v>
      </c>
      <c r="O1364" s="95" t="n">
        <f aca="false">D1364*L1364</f>
        <v>896027.85</v>
      </c>
      <c r="P1364" s="34" t="str">
        <f aca="false">TRIM(IF(N(E1364)&lt;=0,"택가보정 ","")&amp;IF(N(F1364)&lt;=0,"원가보정 ","")&amp;IF(AND(B1364&lt;&gt;"CN",N(H1364)&lt;=0),"공급가보정 ","")&amp;IF(AND(B1364="CN",N(I1364)&lt;=0),"중국공급가=원가+마진 ",""))</f>
        <v/>
      </c>
    </row>
    <row r="1365" customFormat="false" ht="15" hidden="false" customHeight="true" outlineLevel="0" collapsed="false">
      <c r="A1365" s="94" t="s">
        <v>1688</v>
      </c>
      <c r="B1365" s="34" t="str">
        <f aca="false">IF(A1365="100","HK",IF(A1365="200","CN",IF(A1365="300","TW","홀세일")))</f>
        <v>홀세일</v>
      </c>
      <c r="C1365" s="94" t="s">
        <v>672</v>
      </c>
      <c r="D1365" s="95" t="n">
        <v>40</v>
      </c>
      <c r="E1365" s="95" t="n">
        <v>99000</v>
      </c>
      <c r="F1365" s="95" t="n">
        <v>19075</v>
      </c>
      <c r="G1365" s="34" t="n">
        <v>4.45</v>
      </c>
      <c r="H1365" s="34" t="n">
        <v>26.3</v>
      </c>
      <c r="J1365" s="95" t="n">
        <f aca="false">IF(N(E1365)&gt;0,E1365,IF(N(F1365)&gt;0,F1365*가정!$B$5,0))</f>
        <v>99000</v>
      </c>
      <c r="K1365" s="95" t="n">
        <f aca="false">IF(N(F1365)&gt;0,F1365,IF(N(E1365)&gt;0,E1365/가정!$B$5,0))</f>
        <v>19075</v>
      </c>
      <c r="L1365" s="95" t="n">
        <f aca="false">IF(B1365="CN",IF(N(I1365)&gt;0,I1365*가정!$B$3,K1365*(1+가정!$B$6)),IF(N(H1365)&gt;0,H1365*가정!$B$3,J1365*가정!$B$4))</f>
        <v>35841.114</v>
      </c>
      <c r="M1365" s="95" t="n">
        <f aca="false">D1365*J1365</f>
        <v>3960000</v>
      </c>
      <c r="N1365" s="95" t="n">
        <f aca="false">D1365*K1365</f>
        <v>763000</v>
      </c>
      <c r="O1365" s="95" t="n">
        <f aca="false">D1365*L1365</f>
        <v>1433644.56</v>
      </c>
      <c r="P1365" s="34" t="str">
        <f aca="false">TRIM(IF(N(E1365)&lt;=0,"택가보정 ","")&amp;IF(N(F1365)&lt;=0,"원가보정 ","")&amp;IF(AND(B1365&lt;&gt;"CN",N(H1365)&lt;=0),"공급가보정 ","")&amp;IF(AND(B1365="CN",N(I1365)&lt;=0),"중국공급가=원가+마진 ",""))</f>
        <v/>
      </c>
    </row>
    <row r="1366" customFormat="false" ht="15" hidden="false" customHeight="true" outlineLevel="0" collapsed="false">
      <c r="A1366" s="94" t="s">
        <v>1684</v>
      </c>
      <c r="B1366" s="34" t="str">
        <f aca="false">IF(A1366="100","HK",IF(A1366="200","CN",IF(A1366="300","TW","홀세일")))</f>
        <v>HK</v>
      </c>
      <c r="C1366" s="94" t="s">
        <v>658</v>
      </c>
      <c r="D1366" s="95" t="n">
        <v>300</v>
      </c>
      <c r="E1366" s="95" t="n">
        <v>79000</v>
      </c>
      <c r="F1366" s="95" t="n">
        <v>19588</v>
      </c>
      <c r="G1366" s="34" t="n">
        <v>3.71</v>
      </c>
      <c r="H1366" s="34" t="n">
        <v>21</v>
      </c>
      <c r="J1366" s="95" t="n">
        <f aca="false">IF(N(E1366)&gt;0,E1366,IF(N(F1366)&gt;0,F1366*가정!$B$5,0))</f>
        <v>79000</v>
      </c>
      <c r="K1366" s="95" t="n">
        <f aca="false">IF(N(F1366)&gt;0,F1366,IF(N(E1366)&gt;0,E1366/가정!$B$5,0))</f>
        <v>19588</v>
      </c>
      <c r="L1366" s="95" t="n">
        <f aca="false">IF(B1366="CN",IF(N(I1366)&gt;0,I1366*가정!$B$3,K1366*(1+가정!$B$6)),IF(N(H1366)&gt;0,H1366*가정!$B$3,J1366*가정!$B$4))</f>
        <v>28618.38</v>
      </c>
      <c r="M1366" s="95" t="n">
        <f aca="false">D1366*J1366</f>
        <v>23700000</v>
      </c>
      <c r="N1366" s="95" t="n">
        <f aca="false">D1366*K1366</f>
        <v>5876400</v>
      </c>
      <c r="O1366" s="95" t="n">
        <f aca="false">D1366*L1366</f>
        <v>8585514</v>
      </c>
      <c r="P1366" s="34" t="str">
        <f aca="false">TRIM(IF(N(E1366)&lt;=0,"택가보정 ","")&amp;IF(N(F1366)&lt;=0,"원가보정 ","")&amp;IF(AND(B1366&lt;&gt;"CN",N(H1366)&lt;=0),"공급가보정 ","")&amp;IF(AND(B1366="CN",N(I1366)&lt;=0),"중국공급가=원가+마진 ",""))</f>
        <v/>
      </c>
    </row>
    <row r="1367" customFormat="false" ht="15.75" hidden="false" customHeight="true" outlineLevel="0" collapsed="false">
      <c r="A1367" s="94" t="s">
        <v>1685</v>
      </c>
      <c r="B1367" s="34" t="str">
        <f aca="false">IF(A1367="100","HK",IF(A1367="200","CN",IF(A1367="300","TW","홀세일")))</f>
        <v>CN</v>
      </c>
      <c r="C1367" s="94" t="s">
        <v>658</v>
      </c>
      <c r="D1367" s="95" t="n">
        <v>102</v>
      </c>
      <c r="E1367" s="95" t="n">
        <v>79000</v>
      </c>
      <c r="F1367" s="95" t="n">
        <v>19588</v>
      </c>
      <c r="G1367" s="34" t="n">
        <v>3.71</v>
      </c>
      <c r="H1367" s="34" t="n">
        <v>21</v>
      </c>
      <c r="J1367" s="95" t="n">
        <f aca="false">IF(N(E1367)&gt;0,E1367,IF(N(F1367)&gt;0,F1367*가정!$B$5,0))</f>
        <v>79000</v>
      </c>
      <c r="K1367" s="95" t="n">
        <f aca="false">IF(N(F1367)&gt;0,F1367,IF(N(E1367)&gt;0,E1367/가정!$B$5,0))</f>
        <v>19588</v>
      </c>
      <c r="L1367" s="95" t="n">
        <f aca="false">IF(B1367="CN",IF(N(I1367)&gt;0,I1367*가정!$B$3,K1367*(1+가정!$B$6)),IF(N(H1367)&gt;0,H1367*가정!$B$3,J1367*가정!$B$4))</f>
        <v>20567.4</v>
      </c>
      <c r="M1367" s="95" t="n">
        <f aca="false">D1367*J1367</f>
        <v>8058000</v>
      </c>
      <c r="N1367" s="95" t="n">
        <f aca="false">D1367*K1367</f>
        <v>1997976</v>
      </c>
      <c r="O1367" s="95" t="n">
        <f aca="false">D1367*L1367</f>
        <v>2097874.8</v>
      </c>
      <c r="P1367" s="34" t="str">
        <f aca="false">TRIM(IF(N(E1367)&lt;=0,"택가보정 ","")&amp;IF(N(F1367)&lt;=0,"원가보정 ","")&amp;IF(AND(B1367&lt;&gt;"CN",N(H1367)&lt;=0),"공급가보정 ","")&amp;IF(AND(B1367="CN",N(I1367)&lt;=0),"중국공급가=원가+마진 ",""))</f>
        <v>중국공급가=원가+마진</v>
      </c>
    </row>
    <row r="1368" customFormat="false" ht="15" hidden="false" customHeight="true" outlineLevel="0" collapsed="false">
      <c r="A1368" s="94" t="s">
        <v>1686</v>
      </c>
      <c r="B1368" s="34" t="str">
        <f aca="false">IF(A1368="100","HK",IF(A1368="200","CN",IF(A1368="300","TW","홀세일")))</f>
        <v>TW</v>
      </c>
      <c r="C1368" s="94" t="s">
        <v>658</v>
      </c>
      <c r="D1368" s="95" t="n">
        <v>180</v>
      </c>
      <c r="E1368" s="95" t="n">
        <v>79000</v>
      </c>
      <c r="F1368" s="95" t="n">
        <v>19588</v>
      </c>
      <c r="G1368" s="34" t="n">
        <v>3.71</v>
      </c>
      <c r="H1368" s="34" t="n">
        <v>21</v>
      </c>
      <c r="J1368" s="95" t="n">
        <f aca="false">IF(N(E1368)&gt;0,E1368,IF(N(F1368)&gt;0,F1368*가정!$B$5,0))</f>
        <v>79000</v>
      </c>
      <c r="K1368" s="95" t="n">
        <f aca="false">IF(N(F1368)&gt;0,F1368,IF(N(E1368)&gt;0,E1368/가정!$B$5,0))</f>
        <v>19588</v>
      </c>
      <c r="L1368" s="95" t="n">
        <f aca="false">IF(B1368="CN",IF(N(I1368)&gt;0,I1368*가정!$B$3,K1368*(1+가정!$B$6)),IF(N(H1368)&gt;0,H1368*가정!$B$3,J1368*가정!$B$4))</f>
        <v>28618.38</v>
      </c>
      <c r="M1368" s="95" t="n">
        <f aca="false">D1368*J1368</f>
        <v>14220000</v>
      </c>
      <c r="N1368" s="95" t="n">
        <f aca="false">D1368*K1368</f>
        <v>3525840</v>
      </c>
      <c r="O1368" s="95" t="n">
        <f aca="false">D1368*L1368</f>
        <v>5151308.4</v>
      </c>
      <c r="P1368" s="34" t="str">
        <f aca="false">TRIM(IF(N(E1368)&lt;=0,"택가보정 ","")&amp;IF(N(F1368)&lt;=0,"원가보정 ","")&amp;IF(AND(B1368&lt;&gt;"CN",N(H1368)&lt;=0),"공급가보정 ","")&amp;IF(AND(B1368="CN",N(I1368)&lt;=0),"중국공급가=원가+마진 ",""))</f>
        <v/>
      </c>
    </row>
    <row r="1369" customFormat="false" ht="15" hidden="false" customHeight="true" outlineLevel="0" collapsed="false">
      <c r="A1369" s="94" t="s">
        <v>1688</v>
      </c>
      <c r="B1369" s="34" t="str">
        <f aca="false">IF(A1369="100","HK",IF(A1369="200","CN",IF(A1369="300","TW","홀세일")))</f>
        <v>홀세일</v>
      </c>
      <c r="C1369" s="94" t="s">
        <v>658</v>
      </c>
      <c r="D1369" s="95" t="n">
        <v>20</v>
      </c>
      <c r="E1369" s="95" t="n">
        <v>79000</v>
      </c>
      <c r="F1369" s="95" t="n">
        <v>19588</v>
      </c>
      <c r="G1369" s="34" t="n">
        <v>3.71</v>
      </c>
      <c r="H1369" s="34" t="n">
        <v>21</v>
      </c>
      <c r="J1369" s="95" t="n">
        <f aca="false">IF(N(E1369)&gt;0,E1369,IF(N(F1369)&gt;0,F1369*가정!$B$5,0))</f>
        <v>79000</v>
      </c>
      <c r="K1369" s="95" t="n">
        <f aca="false">IF(N(F1369)&gt;0,F1369,IF(N(E1369)&gt;0,E1369/가정!$B$5,0))</f>
        <v>19588</v>
      </c>
      <c r="L1369" s="95" t="n">
        <f aca="false">IF(B1369="CN",IF(N(I1369)&gt;0,I1369*가정!$B$3,K1369*(1+가정!$B$6)),IF(N(H1369)&gt;0,H1369*가정!$B$3,J1369*가정!$B$4))</f>
        <v>28618.38</v>
      </c>
      <c r="M1369" s="95" t="n">
        <f aca="false">D1369*J1369</f>
        <v>1580000</v>
      </c>
      <c r="N1369" s="95" t="n">
        <f aca="false">D1369*K1369</f>
        <v>391760</v>
      </c>
      <c r="O1369" s="95" t="n">
        <f aca="false">D1369*L1369</f>
        <v>572367.6</v>
      </c>
      <c r="P1369" s="34" t="str">
        <f aca="false">TRIM(IF(N(E1369)&lt;=0,"택가보정 ","")&amp;IF(N(F1369)&lt;=0,"원가보정 ","")&amp;IF(AND(B1369&lt;&gt;"CN",N(H1369)&lt;=0),"공급가보정 ","")&amp;IF(AND(B1369="CN",N(I1369)&lt;=0),"중국공급가=원가+마진 ",""))</f>
        <v/>
      </c>
    </row>
    <row r="1370" customFormat="false" ht="15" hidden="false" customHeight="true" outlineLevel="0" collapsed="false">
      <c r="A1370" s="94" t="s">
        <v>1689</v>
      </c>
      <c r="B1370" s="34" t="str">
        <f aca="false">IF(A1370="100","HK",IF(A1370="200","CN",IF(A1370="300","TW","홀세일")))</f>
        <v>홀세일</v>
      </c>
      <c r="C1370" s="94" t="s">
        <v>658</v>
      </c>
      <c r="D1370" s="95" t="n">
        <v>20</v>
      </c>
      <c r="E1370" s="95" t="n">
        <v>79000</v>
      </c>
      <c r="F1370" s="95" t="n">
        <v>19588</v>
      </c>
      <c r="G1370" s="34" t="n">
        <v>3.71</v>
      </c>
      <c r="H1370" s="34" t="n">
        <v>21</v>
      </c>
      <c r="J1370" s="95" t="n">
        <f aca="false">IF(N(E1370)&gt;0,E1370,IF(N(F1370)&gt;0,F1370*가정!$B$5,0))</f>
        <v>79000</v>
      </c>
      <c r="K1370" s="95" t="n">
        <f aca="false">IF(N(F1370)&gt;0,F1370,IF(N(E1370)&gt;0,E1370/가정!$B$5,0))</f>
        <v>19588</v>
      </c>
      <c r="L1370" s="95" t="n">
        <f aca="false">IF(B1370="CN",IF(N(I1370)&gt;0,I1370*가정!$B$3,K1370*(1+가정!$B$6)),IF(N(H1370)&gt;0,H1370*가정!$B$3,J1370*가정!$B$4))</f>
        <v>28618.38</v>
      </c>
      <c r="M1370" s="95" t="n">
        <f aca="false">D1370*J1370</f>
        <v>1580000</v>
      </c>
      <c r="N1370" s="95" t="n">
        <f aca="false">D1370*K1370</f>
        <v>391760</v>
      </c>
      <c r="O1370" s="95" t="n">
        <f aca="false">D1370*L1370</f>
        <v>572367.6</v>
      </c>
      <c r="P1370" s="34" t="str">
        <f aca="false">TRIM(IF(N(E1370)&lt;=0,"택가보정 ","")&amp;IF(N(F1370)&lt;=0,"원가보정 ","")&amp;IF(AND(B1370&lt;&gt;"CN",N(H1370)&lt;=0),"공급가보정 ","")&amp;IF(AND(B1370="CN",N(I1370)&lt;=0),"중국공급가=원가+마진 ",""))</f>
        <v/>
      </c>
    </row>
    <row r="1371" customFormat="false" ht="15" hidden="false" customHeight="true" outlineLevel="0" collapsed="false">
      <c r="A1371" s="94" t="s">
        <v>1689</v>
      </c>
      <c r="B1371" s="34" t="str">
        <f aca="false">IF(A1371="100","HK",IF(A1371="200","CN",IF(A1371="300","TW","홀세일")))</f>
        <v>홀세일</v>
      </c>
      <c r="C1371" s="94" t="s">
        <v>658</v>
      </c>
      <c r="D1371" s="95" t="n">
        <v>20</v>
      </c>
      <c r="E1371" s="95" t="n">
        <v>79000</v>
      </c>
      <c r="F1371" s="95" t="n">
        <v>19588</v>
      </c>
      <c r="G1371" s="34" t="n">
        <v>3.71</v>
      </c>
      <c r="H1371" s="34" t="n">
        <v>21</v>
      </c>
      <c r="J1371" s="95" t="n">
        <f aca="false">IF(N(E1371)&gt;0,E1371,IF(N(F1371)&gt;0,F1371*가정!$B$5,0))</f>
        <v>79000</v>
      </c>
      <c r="K1371" s="95" t="n">
        <f aca="false">IF(N(F1371)&gt;0,F1371,IF(N(E1371)&gt;0,E1371/가정!$B$5,0))</f>
        <v>19588</v>
      </c>
      <c r="L1371" s="95" t="n">
        <f aca="false">IF(B1371="CN",IF(N(I1371)&gt;0,I1371*가정!$B$3,K1371*(1+가정!$B$6)),IF(N(H1371)&gt;0,H1371*가정!$B$3,J1371*가정!$B$4))</f>
        <v>28618.38</v>
      </c>
      <c r="M1371" s="95" t="n">
        <f aca="false">D1371*J1371</f>
        <v>1580000</v>
      </c>
      <c r="N1371" s="95" t="n">
        <f aca="false">D1371*K1371</f>
        <v>391760</v>
      </c>
      <c r="O1371" s="95" t="n">
        <f aca="false">D1371*L1371</f>
        <v>572367.6</v>
      </c>
      <c r="P1371" s="34" t="str">
        <f aca="false">TRIM(IF(N(E1371)&lt;=0,"택가보정 ","")&amp;IF(N(F1371)&lt;=0,"원가보정 ","")&amp;IF(AND(B1371&lt;&gt;"CN",N(H1371)&lt;=0),"공급가보정 ","")&amp;IF(AND(B1371="CN",N(I1371)&lt;=0),"중국공급가=원가+마진 ",""))</f>
        <v/>
      </c>
    </row>
    <row r="1372" customFormat="false" ht="15" hidden="false" customHeight="true" outlineLevel="0" collapsed="false">
      <c r="A1372" s="94" t="s">
        <v>1684</v>
      </c>
      <c r="B1372" s="34" t="str">
        <f aca="false">IF(A1372="100","HK",IF(A1372="200","CN",IF(A1372="300","TW","홀세일")))</f>
        <v>HK</v>
      </c>
      <c r="C1372" s="94" t="s">
        <v>1013</v>
      </c>
      <c r="D1372" s="95" t="n">
        <v>500</v>
      </c>
      <c r="E1372" s="95" t="n">
        <v>89000</v>
      </c>
      <c r="F1372" s="95" t="n">
        <v>18545</v>
      </c>
      <c r="G1372" s="34" t="n">
        <v>4.13</v>
      </c>
      <c r="H1372" s="34" t="n">
        <v>23.7</v>
      </c>
      <c r="J1372" s="95" t="n">
        <f aca="false">IF(N(E1372)&gt;0,E1372,IF(N(F1372)&gt;0,F1372*가정!$B$5,0))</f>
        <v>89000</v>
      </c>
      <c r="K1372" s="95" t="n">
        <f aca="false">IF(N(F1372)&gt;0,F1372,IF(N(E1372)&gt;0,E1372/가정!$B$5,0))</f>
        <v>18545</v>
      </c>
      <c r="L1372" s="95" t="n">
        <f aca="false">IF(B1372="CN",IF(N(I1372)&gt;0,I1372*가정!$B$3,K1372*(1+가정!$B$6)),IF(N(H1372)&gt;0,H1372*가정!$B$3,J1372*가정!$B$4))</f>
        <v>32297.886</v>
      </c>
      <c r="M1372" s="95" t="n">
        <f aca="false">D1372*J1372</f>
        <v>44500000</v>
      </c>
      <c r="N1372" s="95" t="n">
        <f aca="false">D1372*K1372</f>
        <v>9272500</v>
      </c>
      <c r="O1372" s="95" t="n">
        <f aca="false">D1372*L1372</f>
        <v>16148943</v>
      </c>
      <c r="P1372" s="34" t="str">
        <f aca="false">TRIM(IF(N(E1372)&lt;=0,"택가보정 ","")&amp;IF(N(F1372)&lt;=0,"원가보정 ","")&amp;IF(AND(B1372&lt;&gt;"CN",N(H1372)&lt;=0),"공급가보정 ","")&amp;IF(AND(B1372="CN",N(I1372)&lt;=0),"중국공급가=원가+마진 ",""))</f>
        <v/>
      </c>
    </row>
    <row r="1373" customFormat="false" ht="15" hidden="false" customHeight="true" outlineLevel="0" collapsed="false">
      <c r="A1373" s="94" t="s">
        <v>1688</v>
      </c>
      <c r="B1373" s="34" t="str">
        <f aca="false">IF(A1373="100","HK",IF(A1373="200","CN",IF(A1373="300","TW","홀세일")))</f>
        <v>홀세일</v>
      </c>
      <c r="C1373" s="94" t="s">
        <v>1013</v>
      </c>
      <c r="D1373" s="95" t="n">
        <v>50</v>
      </c>
      <c r="E1373" s="95" t="n">
        <v>89000</v>
      </c>
      <c r="F1373" s="95" t="n">
        <v>18545</v>
      </c>
      <c r="G1373" s="34" t="n">
        <v>4.13</v>
      </c>
      <c r="H1373" s="34" t="n">
        <v>23.7</v>
      </c>
      <c r="J1373" s="95" t="n">
        <f aca="false">IF(N(E1373)&gt;0,E1373,IF(N(F1373)&gt;0,F1373*가정!$B$5,0))</f>
        <v>89000</v>
      </c>
      <c r="K1373" s="95" t="n">
        <f aca="false">IF(N(F1373)&gt;0,F1373,IF(N(E1373)&gt;0,E1373/가정!$B$5,0))</f>
        <v>18545</v>
      </c>
      <c r="L1373" s="95" t="n">
        <f aca="false">IF(B1373="CN",IF(N(I1373)&gt;0,I1373*가정!$B$3,K1373*(1+가정!$B$6)),IF(N(H1373)&gt;0,H1373*가정!$B$3,J1373*가정!$B$4))</f>
        <v>32297.886</v>
      </c>
      <c r="M1373" s="95" t="n">
        <f aca="false">D1373*J1373</f>
        <v>4450000</v>
      </c>
      <c r="N1373" s="95" t="n">
        <f aca="false">D1373*K1373</f>
        <v>927250</v>
      </c>
      <c r="O1373" s="95" t="n">
        <f aca="false">D1373*L1373</f>
        <v>1614894.3</v>
      </c>
      <c r="P1373" s="34" t="str">
        <f aca="false">TRIM(IF(N(E1373)&lt;=0,"택가보정 ","")&amp;IF(N(F1373)&lt;=0,"원가보정 ","")&amp;IF(AND(B1373&lt;&gt;"CN",N(H1373)&lt;=0),"공급가보정 ","")&amp;IF(AND(B1373="CN",N(I1373)&lt;=0),"중국공급가=원가+마진 ",""))</f>
        <v/>
      </c>
    </row>
    <row r="1374" customFormat="false" ht="15" hidden="false" customHeight="true" outlineLevel="0" collapsed="false">
      <c r="A1374" s="94" t="s">
        <v>1692</v>
      </c>
      <c r="B1374" s="34" t="str">
        <f aca="false">IF(A1374="100","HK",IF(A1374="200","CN",IF(A1374="300","TW","홀세일")))</f>
        <v>홀세일</v>
      </c>
      <c r="C1374" s="94" t="s">
        <v>1013</v>
      </c>
      <c r="D1374" s="95" t="n">
        <v>92</v>
      </c>
      <c r="E1374" s="95" t="n">
        <v>89000</v>
      </c>
      <c r="F1374" s="95" t="n">
        <v>18545</v>
      </c>
      <c r="G1374" s="34" t="n">
        <v>4.13</v>
      </c>
      <c r="H1374" s="34" t="n">
        <v>23.7</v>
      </c>
      <c r="J1374" s="95" t="n">
        <f aca="false">IF(N(E1374)&gt;0,E1374,IF(N(F1374)&gt;0,F1374*가정!$B$5,0))</f>
        <v>89000</v>
      </c>
      <c r="K1374" s="95" t="n">
        <f aca="false">IF(N(F1374)&gt;0,F1374,IF(N(E1374)&gt;0,E1374/가정!$B$5,0))</f>
        <v>18545</v>
      </c>
      <c r="L1374" s="95" t="n">
        <f aca="false">IF(B1374="CN",IF(N(I1374)&gt;0,I1374*가정!$B$3,K1374*(1+가정!$B$6)),IF(N(H1374)&gt;0,H1374*가정!$B$3,J1374*가정!$B$4))</f>
        <v>32297.886</v>
      </c>
      <c r="M1374" s="95" t="n">
        <f aca="false">D1374*J1374</f>
        <v>8188000</v>
      </c>
      <c r="N1374" s="95" t="n">
        <f aca="false">D1374*K1374</f>
        <v>1706140</v>
      </c>
      <c r="O1374" s="95" t="n">
        <f aca="false">D1374*L1374</f>
        <v>2971405.512</v>
      </c>
      <c r="P1374" s="34" t="str">
        <f aca="false">TRIM(IF(N(E1374)&lt;=0,"택가보정 ","")&amp;IF(N(F1374)&lt;=0,"원가보정 ","")&amp;IF(AND(B1374&lt;&gt;"CN",N(H1374)&lt;=0),"공급가보정 ","")&amp;IF(AND(B1374="CN",N(I1374)&lt;=0),"중국공급가=원가+마진 ",""))</f>
        <v/>
      </c>
    </row>
    <row r="1375" customFormat="false" ht="15" hidden="false" customHeight="true" outlineLevel="0" collapsed="false">
      <c r="A1375" s="94" t="s">
        <v>1690</v>
      </c>
      <c r="B1375" s="34" t="str">
        <f aca="false">IF(A1375="100","HK",IF(A1375="200","CN",IF(A1375="300","TW","홀세일")))</f>
        <v>홀세일</v>
      </c>
      <c r="C1375" s="94" t="s">
        <v>1013</v>
      </c>
      <c r="D1375" s="95" t="n">
        <v>48</v>
      </c>
      <c r="E1375" s="95" t="n">
        <v>89000</v>
      </c>
      <c r="F1375" s="95" t="n">
        <v>18545</v>
      </c>
      <c r="G1375" s="34" t="n">
        <v>4.13</v>
      </c>
      <c r="H1375" s="34" t="n">
        <v>23.7</v>
      </c>
      <c r="J1375" s="95" t="n">
        <f aca="false">IF(N(E1375)&gt;0,E1375,IF(N(F1375)&gt;0,F1375*가정!$B$5,0))</f>
        <v>89000</v>
      </c>
      <c r="K1375" s="95" t="n">
        <f aca="false">IF(N(F1375)&gt;0,F1375,IF(N(E1375)&gt;0,E1375/가정!$B$5,0))</f>
        <v>18545</v>
      </c>
      <c r="L1375" s="95" t="n">
        <f aca="false">IF(B1375="CN",IF(N(I1375)&gt;0,I1375*가정!$B$3,K1375*(1+가정!$B$6)),IF(N(H1375)&gt;0,H1375*가정!$B$3,J1375*가정!$B$4))</f>
        <v>32297.886</v>
      </c>
      <c r="M1375" s="95" t="n">
        <f aca="false">D1375*J1375</f>
        <v>4272000</v>
      </c>
      <c r="N1375" s="95" t="n">
        <f aca="false">D1375*K1375</f>
        <v>890160</v>
      </c>
      <c r="O1375" s="95" t="n">
        <f aca="false">D1375*L1375</f>
        <v>1550298.528</v>
      </c>
      <c r="P1375" s="34" t="str">
        <f aca="false">TRIM(IF(N(E1375)&lt;=0,"택가보정 ","")&amp;IF(N(F1375)&lt;=0,"원가보정 ","")&amp;IF(AND(B1375&lt;&gt;"CN",N(H1375)&lt;=0),"공급가보정 ","")&amp;IF(AND(B1375="CN",N(I1375)&lt;=0),"중국공급가=원가+마진 ",""))</f>
        <v/>
      </c>
    </row>
    <row r="1376" customFormat="false" ht="15" hidden="false" customHeight="true" outlineLevel="0" collapsed="false">
      <c r="A1376" s="94" t="s">
        <v>1684</v>
      </c>
      <c r="B1376" s="34" t="str">
        <f aca="false">IF(A1376="100","HK",IF(A1376="200","CN",IF(A1376="300","TW","홀세일")))</f>
        <v>HK</v>
      </c>
      <c r="C1376" s="94" t="s">
        <v>660</v>
      </c>
      <c r="D1376" s="95" t="n">
        <v>550</v>
      </c>
      <c r="E1376" s="95" t="n">
        <v>79000</v>
      </c>
      <c r="F1376" s="95" t="n">
        <v>17927</v>
      </c>
      <c r="G1376" s="34" t="n">
        <v>3.84</v>
      </c>
      <c r="H1376" s="34" t="n">
        <v>21</v>
      </c>
      <c r="J1376" s="95" t="n">
        <f aca="false">IF(N(E1376)&gt;0,E1376,IF(N(F1376)&gt;0,F1376*가정!$B$5,0))</f>
        <v>79000</v>
      </c>
      <c r="K1376" s="95" t="n">
        <f aca="false">IF(N(F1376)&gt;0,F1376,IF(N(E1376)&gt;0,E1376/가정!$B$5,0))</f>
        <v>17927</v>
      </c>
      <c r="L1376" s="95" t="n">
        <f aca="false">IF(B1376="CN",IF(N(I1376)&gt;0,I1376*가정!$B$3,K1376*(1+가정!$B$6)),IF(N(H1376)&gt;0,H1376*가정!$B$3,J1376*가정!$B$4))</f>
        <v>28618.38</v>
      </c>
      <c r="M1376" s="95" t="n">
        <f aca="false">D1376*J1376</f>
        <v>43450000</v>
      </c>
      <c r="N1376" s="95" t="n">
        <f aca="false">D1376*K1376</f>
        <v>9859850</v>
      </c>
      <c r="O1376" s="95" t="n">
        <f aca="false">D1376*L1376</f>
        <v>15740109</v>
      </c>
      <c r="P1376" s="34" t="str">
        <f aca="false">TRIM(IF(N(E1376)&lt;=0,"택가보정 ","")&amp;IF(N(F1376)&lt;=0,"원가보정 ","")&amp;IF(AND(B1376&lt;&gt;"CN",N(H1376)&lt;=0),"공급가보정 ","")&amp;IF(AND(B1376="CN",N(I1376)&lt;=0),"중국공급가=원가+마진 ",""))</f>
        <v/>
      </c>
    </row>
    <row r="1377" customFormat="false" ht="15.75" hidden="false" customHeight="true" outlineLevel="0" collapsed="false">
      <c r="A1377" s="94" t="s">
        <v>1685</v>
      </c>
      <c r="B1377" s="34" t="str">
        <f aca="false">IF(A1377="100","HK",IF(A1377="200","CN",IF(A1377="300","TW","홀세일")))</f>
        <v>CN</v>
      </c>
      <c r="C1377" s="94" t="s">
        <v>660</v>
      </c>
      <c r="D1377" s="95" t="n">
        <v>553</v>
      </c>
      <c r="E1377" s="95" t="n">
        <v>79000</v>
      </c>
      <c r="F1377" s="95" t="n">
        <v>17927</v>
      </c>
      <c r="G1377" s="34" t="n">
        <v>3.84</v>
      </c>
      <c r="H1377" s="34" t="n">
        <v>21</v>
      </c>
      <c r="J1377" s="95" t="n">
        <f aca="false">IF(N(E1377)&gt;0,E1377,IF(N(F1377)&gt;0,F1377*가정!$B$5,0))</f>
        <v>79000</v>
      </c>
      <c r="K1377" s="95" t="n">
        <f aca="false">IF(N(F1377)&gt;0,F1377,IF(N(E1377)&gt;0,E1377/가정!$B$5,0))</f>
        <v>17927</v>
      </c>
      <c r="L1377" s="95" t="n">
        <f aca="false">IF(B1377="CN",IF(N(I1377)&gt;0,I1377*가정!$B$3,K1377*(1+가정!$B$6)),IF(N(H1377)&gt;0,H1377*가정!$B$3,J1377*가정!$B$4))</f>
        <v>18823.35</v>
      </c>
      <c r="M1377" s="95" t="n">
        <f aca="false">D1377*J1377</f>
        <v>43687000</v>
      </c>
      <c r="N1377" s="95" t="n">
        <f aca="false">D1377*K1377</f>
        <v>9913631</v>
      </c>
      <c r="O1377" s="95" t="n">
        <f aca="false">D1377*L1377</f>
        <v>10409312.55</v>
      </c>
      <c r="P1377" s="34" t="str">
        <f aca="false">TRIM(IF(N(E1377)&lt;=0,"택가보정 ","")&amp;IF(N(F1377)&lt;=0,"원가보정 ","")&amp;IF(AND(B1377&lt;&gt;"CN",N(H1377)&lt;=0),"공급가보정 ","")&amp;IF(AND(B1377="CN",N(I1377)&lt;=0),"중국공급가=원가+마진 ",""))</f>
        <v>중국공급가=원가+마진</v>
      </c>
    </row>
    <row r="1378" customFormat="false" ht="15.75" hidden="false" customHeight="true" outlineLevel="0" collapsed="false">
      <c r="A1378" s="94" t="s">
        <v>1685</v>
      </c>
      <c r="B1378" s="34" t="str">
        <f aca="false">IF(A1378="100","HK",IF(A1378="200","CN",IF(A1378="300","TW","홀세일")))</f>
        <v>CN</v>
      </c>
      <c r="C1378" s="94" t="s">
        <v>660</v>
      </c>
      <c r="D1378" s="95" t="n">
        <v>553</v>
      </c>
      <c r="E1378" s="95" t="n">
        <v>79000</v>
      </c>
      <c r="F1378" s="95" t="n">
        <v>17927</v>
      </c>
      <c r="G1378" s="34" t="n">
        <v>3.84</v>
      </c>
      <c r="H1378" s="34" t="n">
        <v>21</v>
      </c>
      <c r="J1378" s="95" t="n">
        <f aca="false">IF(N(E1378)&gt;0,E1378,IF(N(F1378)&gt;0,F1378*가정!$B$5,0))</f>
        <v>79000</v>
      </c>
      <c r="K1378" s="95" t="n">
        <f aca="false">IF(N(F1378)&gt;0,F1378,IF(N(E1378)&gt;0,E1378/가정!$B$5,0))</f>
        <v>17927</v>
      </c>
      <c r="L1378" s="95" t="n">
        <f aca="false">IF(B1378="CN",IF(N(I1378)&gt;0,I1378*가정!$B$3,K1378*(1+가정!$B$6)),IF(N(H1378)&gt;0,H1378*가정!$B$3,J1378*가정!$B$4))</f>
        <v>18823.35</v>
      </c>
      <c r="M1378" s="95" t="n">
        <f aca="false">D1378*J1378</f>
        <v>43687000</v>
      </c>
      <c r="N1378" s="95" t="n">
        <f aca="false">D1378*K1378</f>
        <v>9913631</v>
      </c>
      <c r="O1378" s="95" t="n">
        <f aca="false">D1378*L1378</f>
        <v>10409312.55</v>
      </c>
      <c r="P1378" s="34" t="str">
        <f aca="false">TRIM(IF(N(E1378)&lt;=0,"택가보정 ","")&amp;IF(N(F1378)&lt;=0,"원가보정 ","")&amp;IF(AND(B1378&lt;&gt;"CN",N(H1378)&lt;=0),"공급가보정 ","")&amp;IF(AND(B1378="CN",N(I1378)&lt;=0),"중국공급가=원가+마진 ",""))</f>
        <v>중국공급가=원가+마진</v>
      </c>
    </row>
    <row r="1379" customFormat="false" ht="15" hidden="false" customHeight="true" outlineLevel="0" collapsed="false">
      <c r="A1379" s="94" t="s">
        <v>1686</v>
      </c>
      <c r="B1379" s="34" t="str">
        <f aca="false">IF(A1379="100","HK",IF(A1379="200","CN",IF(A1379="300","TW","홀세일")))</f>
        <v>TW</v>
      </c>
      <c r="C1379" s="94" t="s">
        <v>660</v>
      </c>
      <c r="D1379" s="95" t="n">
        <v>350</v>
      </c>
      <c r="E1379" s="95" t="n">
        <v>79000</v>
      </c>
      <c r="F1379" s="95" t="n">
        <v>17927</v>
      </c>
      <c r="G1379" s="34" t="n">
        <v>3.84</v>
      </c>
      <c r="H1379" s="34" t="n">
        <v>21</v>
      </c>
      <c r="J1379" s="95" t="n">
        <f aca="false">IF(N(E1379)&gt;0,E1379,IF(N(F1379)&gt;0,F1379*가정!$B$5,0))</f>
        <v>79000</v>
      </c>
      <c r="K1379" s="95" t="n">
        <f aca="false">IF(N(F1379)&gt;0,F1379,IF(N(E1379)&gt;0,E1379/가정!$B$5,0))</f>
        <v>17927</v>
      </c>
      <c r="L1379" s="95" t="n">
        <f aca="false">IF(B1379="CN",IF(N(I1379)&gt;0,I1379*가정!$B$3,K1379*(1+가정!$B$6)),IF(N(H1379)&gt;0,H1379*가정!$B$3,J1379*가정!$B$4))</f>
        <v>28618.38</v>
      </c>
      <c r="M1379" s="95" t="n">
        <f aca="false">D1379*J1379</f>
        <v>27650000</v>
      </c>
      <c r="N1379" s="95" t="n">
        <f aca="false">D1379*K1379</f>
        <v>6274450</v>
      </c>
      <c r="O1379" s="95" t="n">
        <f aca="false">D1379*L1379</f>
        <v>10016433</v>
      </c>
      <c r="P1379" s="34" t="str">
        <f aca="false">TRIM(IF(N(E1379)&lt;=0,"택가보정 ","")&amp;IF(N(F1379)&lt;=0,"원가보정 ","")&amp;IF(AND(B1379&lt;&gt;"CN",N(H1379)&lt;=0),"공급가보정 ","")&amp;IF(AND(B1379="CN",N(I1379)&lt;=0),"중국공급가=원가+마진 ",""))</f>
        <v/>
      </c>
    </row>
    <row r="1380" customFormat="false" ht="15" hidden="false" customHeight="true" outlineLevel="0" collapsed="false">
      <c r="A1380" s="94" t="s">
        <v>1688</v>
      </c>
      <c r="B1380" s="34" t="str">
        <f aca="false">IF(A1380="100","HK",IF(A1380="200","CN",IF(A1380="300","TW","홀세일")))</f>
        <v>홀세일</v>
      </c>
      <c r="C1380" s="94" t="s">
        <v>660</v>
      </c>
      <c r="D1380" s="95" t="n">
        <v>10</v>
      </c>
      <c r="E1380" s="95" t="n">
        <v>79000</v>
      </c>
      <c r="F1380" s="95" t="n">
        <v>17927</v>
      </c>
      <c r="G1380" s="34" t="n">
        <v>3.84</v>
      </c>
      <c r="H1380" s="34" t="n">
        <v>21</v>
      </c>
      <c r="J1380" s="95" t="n">
        <f aca="false">IF(N(E1380)&gt;0,E1380,IF(N(F1380)&gt;0,F1380*가정!$B$5,0))</f>
        <v>79000</v>
      </c>
      <c r="K1380" s="95" t="n">
        <f aca="false">IF(N(F1380)&gt;0,F1380,IF(N(E1380)&gt;0,E1380/가정!$B$5,0))</f>
        <v>17927</v>
      </c>
      <c r="L1380" s="95" t="n">
        <f aca="false">IF(B1380="CN",IF(N(I1380)&gt;0,I1380*가정!$B$3,K1380*(1+가정!$B$6)),IF(N(H1380)&gt;0,H1380*가정!$B$3,J1380*가정!$B$4))</f>
        <v>28618.38</v>
      </c>
      <c r="M1380" s="95" t="n">
        <f aca="false">D1380*J1380</f>
        <v>790000</v>
      </c>
      <c r="N1380" s="95" t="n">
        <f aca="false">D1380*K1380</f>
        <v>179270</v>
      </c>
      <c r="O1380" s="95" t="n">
        <f aca="false">D1380*L1380</f>
        <v>286183.8</v>
      </c>
      <c r="P1380" s="34" t="str">
        <f aca="false">TRIM(IF(N(E1380)&lt;=0,"택가보정 ","")&amp;IF(N(F1380)&lt;=0,"원가보정 ","")&amp;IF(AND(B1380&lt;&gt;"CN",N(H1380)&lt;=0),"공급가보정 ","")&amp;IF(AND(B1380="CN",N(I1380)&lt;=0),"중국공급가=원가+마진 ",""))</f>
        <v/>
      </c>
    </row>
    <row r="1381" customFormat="false" ht="15" hidden="false" customHeight="true" outlineLevel="0" collapsed="false">
      <c r="A1381" s="94" t="s">
        <v>1692</v>
      </c>
      <c r="B1381" s="34" t="str">
        <f aca="false">IF(A1381="100","HK",IF(A1381="200","CN",IF(A1381="300","TW","홀세일")))</f>
        <v>홀세일</v>
      </c>
      <c r="C1381" s="94" t="s">
        <v>660</v>
      </c>
      <c r="D1381" s="95" t="n">
        <v>443</v>
      </c>
      <c r="E1381" s="95" t="n">
        <v>79000</v>
      </c>
      <c r="F1381" s="95" t="n">
        <v>17927</v>
      </c>
      <c r="G1381" s="34" t="n">
        <v>3.84</v>
      </c>
      <c r="H1381" s="34" t="n">
        <v>21</v>
      </c>
      <c r="J1381" s="95" t="n">
        <f aca="false">IF(N(E1381)&gt;0,E1381,IF(N(F1381)&gt;0,F1381*가정!$B$5,0))</f>
        <v>79000</v>
      </c>
      <c r="K1381" s="95" t="n">
        <f aca="false">IF(N(F1381)&gt;0,F1381,IF(N(E1381)&gt;0,E1381/가정!$B$5,0))</f>
        <v>17927</v>
      </c>
      <c r="L1381" s="95" t="n">
        <f aca="false">IF(B1381="CN",IF(N(I1381)&gt;0,I1381*가정!$B$3,K1381*(1+가정!$B$6)),IF(N(H1381)&gt;0,H1381*가정!$B$3,J1381*가정!$B$4))</f>
        <v>28618.38</v>
      </c>
      <c r="M1381" s="95" t="n">
        <f aca="false">D1381*J1381</f>
        <v>34997000</v>
      </c>
      <c r="N1381" s="95" t="n">
        <f aca="false">D1381*K1381</f>
        <v>7941661</v>
      </c>
      <c r="O1381" s="95" t="n">
        <f aca="false">D1381*L1381</f>
        <v>12677942.34</v>
      </c>
      <c r="P1381" s="34" t="str">
        <f aca="false">TRIM(IF(N(E1381)&lt;=0,"택가보정 ","")&amp;IF(N(F1381)&lt;=0,"원가보정 ","")&amp;IF(AND(B1381&lt;&gt;"CN",N(H1381)&lt;=0),"공급가보정 ","")&amp;IF(AND(B1381="CN",N(I1381)&lt;=0),"중국공급가=원가+마진 ",""))</f>
        <v/>
      </c>
    </row>
    <row r="1382" customFormat="false" ht="15" hidden="false" customHeight="true" outlineLevel="0" collapsed="false">
      <c r="A1382" s="94" t="s">
        <v>1690</v>
      </c>
      <c r="B1382" s="34" t="str">
        <f aca="false">IF(A1382="100","HK",IF(A1382="200","CN",IF(A1382="300","TW","홀세일")))</f>
        <v>홀세일</v>
      </c>
      <c r="C1382" s="94" t="s">
        <v>660</v>
      </c>
      <c r="D1382" s="95" t="n">
        <v>48</v>
      </c>
      <c r="E1382" s="95" t="n">
        <v>79000</v>
      </c>
      <c r="F1382" s="95" t="n">
        <v>17927</v>
      </c>
      <c r="G1382" s="34" t="n">
        <v>3.84</v>
      </c>
      <c r="H1382" s="34" t="n">
        <v>21</v>
      </c>
      <c r="J1382" s="95" t="n">
        <f aca="false">IF(N(E1382)&gt;0,E1382,IF(N(F1382)&gt;0,F1382*가정!$B$5,0))</f>
        <v>79000</v>
      </c>
      <c r="K1382" s="95" t="n">
        <f aca="false">IF(N(F1382)&gt;0,F1382,IF(N(E1382)&gt;0,E1382/가정!$B$5,0))</f>
        <v>17927</v>
      </c>
      <c r="L1382" s="95" t="n">
        <f aca="false">IF(B1382="CN",IF(N(I1382)&gt;0,I1382*가정!$B$3,K1382*(1+가정!$B$6)),IF(N(H1382)&gt;0,H1382*가정!$B$3,J1382*가정!$B$4))</f>
        <v>28618.38</v>
      </c>
      <c r="M1382" s="95" t="n">
        <f aca="false">D1382*J1382</f>
        <v>3792000</v>
      </c>
      <c r="N1382" s="95" t="n">
        <f aca="false">D1382*K1382</f>
        <v>860496</v>
      </c>
      <c r="O1382" s="95" t="n">
        <f aca="false">D1382*L1382</f>
        <v>1373682.24</v>
      </c>
      <c r="P1382" s="34" t="str">
        <f aca="false">TRIM(IF(N(E1382)&lt;=0,"택가보정 ","")&amp;IF(N(F1382)&lt;=0,"원가보정 ","")&amp;IF(AND(B1382&lt;&gt;"CN",N(H1382)&lt;=0),"공급가보정 ","")&amp;IF(AND(B1382="CN",N(I1382)&lt;=0),"중국공급가=원가+마진 ",""))</f>
        <v/>
      </c>
    </row>
    <row r="1383" customFormat="false" ht="15" hidden="false" customHeight="true" outlineLevel="0" collapsed="false">
      <c r="A1383" s="94" t="s">
        <v>1692</v>
      </c>
      <c r="B1383" s="34" t="str">
        <f aca="false">IF(A1383="100","HK",IF(A1383="200","CN",IF(A1383="300","TW","홀세일")))</f>
        <v>홀세일</v>
      </c>
      <c r="C1383" s="94" t="s">
        <v>1464</v>
      </c>
      <c r="D1383" s="95" t="n">
        <v>92</v>
      </c>
      <c r="E1383" s="95" t="n">
        <v>79000</v>
      </c>
      <c r="F1383" s="95" t="n">
        <v>15133</v>
      </c>
      <c r="G1383" s="34" t="n">
        <v>4.45</v>
      </c>
      <c r="H1383" s="34" t="n">
        <v>21</v>
      </c>
      <c r="J1383" s="95" t="n">
        <f aca="false">IF(N(E1383)&gt;0,E1383,IF(N(F1383)&gt;0,F1383*가정!$B$5,0))</f>
        <v>79000</v>
      </c>
      <c r="K1383" s="95" t="n">
        <f aca="false">IF(N(F1383)&gt;0,F1383,IF(N(E1383)&gt;0,E1383/가정!$B$5,0))</f>
        <v>15133</v>
      </c>
      <c r="L1383" s="95" t="n">
        <f aca="false">IF(B1383="CN",IF(N(I1383)&gt;0,I1383*가정!$B$3,K1383*(1+가정!$B$6)),IF(N(H1383)&gt;0,H1383*가정!$B$3,J1383*가정!$B$4))</f>
        <v>28618.38</v>
      </c>
      <c r="M1383" s="95" t="n">
        <f aca="false">D1383*J1383</f>
        <v>7268000</v>
      </c>
      <c r="N1383" s="95" t="n">
        <f aca="false">D1383*K1383</f>
        <v>1392236</v>
      </c>
      <c r="O1383" s="95" t="n">
        <f aca="false">D1383*L1383</f>
        <v>2632890.96</v>
      </c>
      <c r="P1383" s="34" t="str">
        <f aca="false">TRIM(IF(N(E1383)&lt;=0,"택가보정 ","")&amp;IF(N(F1383)&lt;=0,"원가보정 ","")&amp;IF(AND(B1383&lt;&gt;"CN",N(H1383)&lt;=0),"공급가보정 ","")&amp;IF(AND(B1383="CN",N(I1383)&lt;=0),"중국공급가=원가+마진 ",""))</f>
        <v/>
      </c>
    </row>
    <row r="1384" customFormat="false" ht="15" hidden="false" customHeight="true" outlineLevel="0" collapsed="false">
      <c r="A1384" s="94" t="s">
        <v>1686</v>
      </c>
      <c r="B1384" s="34" t="str">
        <f aca="false">IF(A1384="100","HK",IF(A1384="200","CN",IF(A1384="300","TW","홀세일")))</f>
        <v>TW</v>
      </c>
      <c r="C1384" s="94" t="s">
        <v>662</v>
      </c>
      <c r="D1384" s="95" t="n">
        <v>300</v>
      </c>
      <c r="E1384" s="95" t="n">
        <v>69000</v>
      </c>
      <c r="F1384" s="95" t="n">
        <v>14737</v>
      </c>
      <c r="G1384" s="34" t="n">
        <v>4.02</v>
      </c>
      <c r="H1384" s="34" t="n">
        <v>18.4</v>
      </c>
      <c r="J1384" s="95" t="n">
        <f aca="false">IF(N(E1384)&gt;0,E1384,IF(N(F1384)&gt;0,F1384*가정!$B$5,0))</f>
        <v>69000</v>
      </c>
      <c r="K1384" s="95" t="n">
        <f aca="false">IF(N(F1384)&gt;0,F1384,IF(N(E1384)&gt;0,E1384/가정!$B$5,0))</f>
        <v>14737</v>
      </c>
      <c r="L1384" s="95" t="n">
        <f aca="false">IF(B1384="CN",IF(N(I1384)&gt;0,I1384*가정!$B$3,K1384*(1+가정!$B$6)),IF(N(H1384)&gt;0,H1384*가정!$B$3,J1384*가정!$B$4))</f>
        <v>25075.152</v>
      </c>
      <c r="M1384" s="95" t="n">
        <f aca="false">D1384*J1384</f>
        <v>20700000</v>
      </c>
      <c r="N1384" s="95" t="n">
        <f aca="false">D1384*K1384</f>
        <v>4421100</v>
      </c>
      <c r="O1384" s="95" t="n">
        <f aca="false">D1384*L1384</f>
        <v>7522545.6</v>
      </c>
      <c r="P1384" s="34" t="str">
        <f aca="false">TRIM(IF(N(E1384)&lt;=0,"택가보정 ","")&amp;IF(N(F1384)&lt;=0,"원가보정 ","")&amp;IF(AND(B1384&lt;&gt;"CN",N(H1384)&lt;=0),"공급가보정 ","")&amp;IF(AND(B1384="CN",N(I1384)&lt;=0),"중국공급가=원가+마진 ",""))</f>
        <v/>
      </c>
    </row>
    <row r="1385" customFormat="false" ht="15" hidden="false" customHeight="true" outlineLevel="0" collapsed="false">
      <c r="A1385" s="94" t="s">
        <v>1688</v>
      </c>
      <c r="B1385" s="34" t="str">
        <f aca="false">IF(A1385="100","HK",IF(A1385="200","CN",IF(A1385="300","TW","홀세일")))</f>
        <v>홀세일</v>
      </c>
      <c r="C1385" s="94" t="s">
        <v>662</v>
      </c>
      <c r="D1385" s="95" t="n">
        <v>40</v>
      </c>
      <c r="E1385" s="95" t="n">
        <v>69000</v>
      </c>
      <c r="F1385" s="95" t="n">
        <v>14737</v>
      </c>
      <c r="G1385" s="34" t="n">
        <v>4.02</v>
      </c>
      <c r="H1385" s="34" t="n">
        <v>18.4</v>
      </c>
      <c r="J1385" s="95" t="n">
        <f aca="false">IF(N(E1385)&gt;0,E1385,IF(N(F1385)&gt;0,F1385*가정!$B$5,0))</f>
        <v>69000</v>
      </c>
      <c r="K1385" s="95" t="n">
        <f aca="false">IF(N(F1385)&gt;0,F1385,IF(N(E1385)&gt;0,E1385/가정!$B$5,0))</f>
        <v>14737</v>
      </c>
      <c r="L1385" s="95" t="n">
        <f aca="false">IF(B1385="CN",IF(N(I1385)&gt;0,I1385*가정!$B$3,K1385*(1+가정!$B$6)),IF(N(H1385)&gt;0,H1385*가정!$B$3,J1385*가정!$B$4))</f>
        <v>25075.152</v>
      </c>
      <c r="M1385" s="95" t="n">
        <f aca="false">D1385*J1385</f>
        <v>2760000</v>
      </c>
      <c r="N1385" s="95" t="n">
        <f aca="false">D1385*K1385</f>
        <v>589480</v>
      </c>
      <c r="O1385" s="95" t="n">
        <f aca="false">D1385*L1385</f>
        <v>1003006.08</v>
      </c>
      <c r="P1385" s="34" t="str">
        <f aca="false">TRIM(IF(N(E1385)&lt;=0,"택가보정 ","")&amp;IF(N(F1385)&lt;=0,"원가보정 ","")&amp;IF(AND(B1385&lt;&gt;"CN",N(H1385)&lt;=0),"공급가보정 ","")&amp;IF(AND(B1385="CN",N(I1385)&lt;=0),"중국공급가=원가+마진 ",""))</f>
        <v/>
      </c>
    </row>
    <row r="1386" customFormat="false" ht="15" hidden="false" customHeight="true" outlineLevel="0" collapsed="false">
      <c r="A1386" s="94" t="s">
        <v>1692</v>
      </c>
      <c r="B1386" s="34" t="str">
        <f aca="false">IF(A1386="100","HK",IF(A1386="200","CN",IF(A1386="300","TW","홀세일")))</f>
        <v>홀세일</v>
      </c>
      <c r="C1386" s="94" t="s">
        <v>662</v>
      </c>
      <c r="D1386" s="95" t="n">
        <v>92</v>
      </c>
      <c r="E1386" s="95" t="n">
        <v>69000</v>
      </c>
      <c r="F1386" s="95" t="n">
        <v>14737</v>
      </c>
      <c r="G1386" s="34" t="n">
        <v>4.02</v>
      </c>
      <c r="H1386" s="34" t="n">
        <v>18.4</v>
      </c>
      <c r="J1386" s="95" t="n">
        <f aca="false">IF(N(E1386)&gt;0,E1386,IF(N(F1386)&gt;0,F1386*가정!$B$5,0))</f>
        <v>69000</v>
      </c>
      <c r="K1386" s="95" t="n">
        <f aca="false">IF(N(F1386)&gt;0,F1386,IF(N(E1386)&gt;0,E1386/가정!$B$5,0))</f>
        <v>14737</v>
      </c>
      <c r="L1386" s="95" t="n">
        <f aca="false">IF(B1386="CN",IF(N(I1386)&gt;0,I1386*가정!$B$3,K1386*(1+가정!$B$6)),IF(N(H1386)&gt;0,H1386*가정!$B$3,J1386*가정!$B$4))</f>
        <v>25075.152</v>
      </c>
      <c r="M1386" s="95" t="n">
        <f aca="false">D1386*J1386</f>
        <v>6348000</v>
      </c>
      <c r="N1386" s="95" t="n">
        <f aca="false">D1386*K1386</f>
        <v>1355804</v>
      </c>
      <c r="O1386" s="95" t="n">
        <f aca="false">D1386*L1386</f>
        <v>2306913.984</v>
      </c>
      <c r="P1386" s="34" t="str">
        <f aca="false">TRIM(IF(N(E1386)&lt;=0,"택가보정 ","")&amp;IF(N(F1386)&lt;=0,"원가보정 ","")&amp;IF(AND(B1386&lt;&gt;"CN",N(H1386)&lt;=0),"공급가보정 ","")&amp;IF(AND(B1386="CN",N(I1386)&lt;=0),"중국공급가=원가+마진 ",""))</f>
        <v/>
      </c>
    </row>
    <row r="1387" customFormat="false" ht="15" hidden="false" customHeight="true" outlineLevel="0" collapsed="false">
      <c r="A1387" s="94" t="s">
        <v>1684</v>
      </c>
      <c r="B1387" s="34" t="str">
        <f aca="false">IF(A1387="100","HK",IF(A1387="200","CN",IF(A1387="300","TW","홀세일")))</f>
        <v>HK</v>
      </c>
      <c r="C1387" s="94" t="s">
        <v>664</v>
      </c>
      <c r="D1387" s="95" t="n">
        <v>300</v>
      </c>
      <c r="E1387" s="95" t="n">
        <v>69000</v>
      </c>
      <c r="F1387" s="95" t="n">
        <v>14584</v>
      </c>
      <c r="G1387" s="34" t="n">
        <v>4.07</v>
      </c>
      <c r="H1387" s="34" t="n">
        <v>18.4</v>
      </c>
      <c r="J1387" s="95" t="n">
        <f aca="false">IF(N(E1387)&gt;0,E1387,IF(N(F1387)&gt;0,F1387*가정!$B$5,0))</f>
        <v>69000</v>
      </c>
      <c r="K1387" s="95" t="n">
        <f aca="false">IF(N(F1387)&gt;0,F1387,IF(N(E1387)&gt;0,E1387/가정!$B$5,0))</f>
        <v>14584</v>
      </c>
      <c r="L1387" s="95" t="n">
        <f aca="false">IF(B1387="CN",IF(N(I1387)&gt;0,I1387*가정!$B$3,K1387*(1+가정!$B$6)),IF(N(H1387)&gt;0,H1387*가정!$B$3,J1387*가정!$B$4))</f>
        <v>25075.152</v>
      </c>
      <c r="M1387" s="95" t="n">
        <f aca="false">D1387*J1387</f>
        <v>20700000</v>
      </c>
      <c r="N1387" s="95" t="n">
        <f aca="false">D1387*K1387</f>
        <v>4375200</v>
      </c>
      <c r="O1387" s="95" t="n">
        <f aca="false">D1387*L1387</f>
        <v>7522545.6</v>
      </c>
      <c r="P1387" s="34" t="str">
        <f aca="false">TRIM(IF(N(E1387)&lt;=0,"택가보정 ","")&amp;IF(N(F1387)&lt;=0,"원가보정 ","")&amp;IF(AND(B1387&lt;&gt;"CN",N(H1387)&lt;=0),"공급가보정 ","")&amp;IF(AND(B1387="CN",N(I1387)&lt;=0),"중국공급가=원가+마진 ",""))</f>
        <v/>
      </c>
    </row>
    <row r="1388" customFormat="false" ht="15.75" hidden="false" customHeight="true" outlineLevel="0" collapsed="false">
      <c r="A1388" s="94" t="s">
        <v>1685</v>
      </c>
      <c r="B1388" s="34" t="str">
        <f aca="false">IF(A1388="100","HK",IF(A1388="200","CN",IF(A1388="300","TW","홀세일")))</f>
        <v>CN</v>
      </c>
      <c r="C1388" s="94" t="s">
        <v>664</v>
      </c>
      <c r="D1388" s="95" t="n">
        <v>223</v>
      </c>
      <c r="E1388" s="95" t="n">
        <v>69000</v>
      </c>
      <c r="F1388" s="95" t="n">
        <v>14584</v>
      </c>
      <c r="G1388" s="34" t="n">
        <v>4.07</v>
      </c>
      <c r="H1388" s="34" t="n">
        <v>18.4</v>
      </c>
      <c r="J1388" s="95" t="n">
        <f aca="false">IF(N(E1388)&gt;0,E1388,IF(N(F1388)&gt;0,F1388*가정!$B$5,0))</f>
        <v>69000</v>
      </c>
      <c r="K1388" s="95" t="n">
        <f aca="false">IF(N(F1388)&gt;0,F1388,IF(N(E1388)&gt;0,E1388/가정!$B$5,0))</f>
        <v>14584</v>
      </c>
      <c r="L1388" s="95" t="n">
        <f aca="false">IF(B1388="CN",IF(N(I1388)&gt;0,I1388*가정!$B$3,K1388*(1+가정!$B$6)),IF(N(H1388)&gt;0,H1388*가정!$B$3,J1388*가정!$B$4))</f>
        <v>15313.2</v>
      </c>
      <c r="M1388" s="95" t="n">
        <f aca="false">D1388*J1388</f>
        <v>15387000</v>
      </c>
      <c r="N1388" s="95" t="n">
        <f aca="false">D1388*K1388</f>
        <v>3252232</v>
      </c>
      <c r="O1388" s="95" t="n">
        <f aca="false">D1388*L1388</f>
        <v>3414843.6</v>
      </c>
      <c r="P1388" s="34" t="str">
        <f aca="false">TRIM(IF(N(E1388)&lt;=0,"택가보정 ","")&amp;IF(N(F1388)&lt;=0,"원가보정 ","")&amp;IF(AND(B1388&lt;&gt;"CN",N(H1388)&lt;=0),"공급가보정 ","")&amp;IF(AND(B1388="CN",N(I1388)&lt;=0),"중국공급가=원가+마진 ",""))</f>
        <v>중국공급가=원가+마진</v>
      </c>
    </row>
    <row r="1389" customFormat="false" ht="15" hidden="false" customHeight="true" outlineLevel="0" collapsed="false">
      <c r="A1389" s="94" t="s">
        <v>1686</v>
      </c>
      <c r="B1389" s="34" t="str">
        <f aca="false">IF(A1389="100","HK",IF(A1389="200","CN",IF(A1389="300","TW","홀세일")))</f>
        <v>TW</v>
      </c>
      <c r="C1389" s="94" t="s">
        <v>664</v>
      </c>
      <c r="D1389" s="95" t="n">
        <v>4230</v>
      </c>
      <c r="E1389" s="95" t="n">
        <v>69000</v>
      </c>
      <c r="F1389" s="95" t="n">
        <v>14584</v>
      </c>
      <c r="G1389" s="34" t="n">
        <v>4.07</v>
      </c>
      <c r="H1389" s="34" t="n">
        <v>18.4</v>
      </c>
      <c r="J1389" s="95" t="n">
        <f aca="false">IF(N(E1389)&gt;0,E1389,IF(N(F1389)&gt;0,F1389*가정!$B$5,0))</f>
        <v>69000</v>
      </c>
      <c r="K1389" s="95" t="n">
        <f aca="false">IF(N(F1389)&gt;0,F1389,IF(N(E1389)&gt;0,E1389/가정!$B$5,0))</f>
        <v>14584</v>
      </c>
      <c r="L1389" s="95" t="n">
        <f aca="false">IF(B1389="CN",IF(N(I1389)&gt;0,I1389*가정!$B$3,K1389*(1+가정!$B$6)),IF(N(H1389)&gt;0,H1389*가정!$B$3,J1389*가정!$B$4))</f>
        <v>25075.152</v>
      </c>
      <c r="M1389" s="95" t="n">
        <f aca="false">D1389*J1389</f>
        <v>291870000</v>
      </c>
      <c r="N1389" s="95" t="n">
        <f aca="false">D1389*K1389</f>
        <v>61690320</v>
      </c>
      <c r="O1389" s="95" t="n">
        <f aca="false">D1389*L1389</f>
        <v>106067892.96</v>
      </c>
      <c r="P1389" s="34" t="str">
        <f aca="false">TRIM(IF(N(E1389)&lt;=0,"택가보정 ","")&amp;IF(N(F1389)&lt;=0,"원가보정 ","")&amp;IF(AND(B1389&lt;&gt;"CN",N(H1389)&lt;=0),"공급가보정 ","")&amp;IF(AND(B1389="CN",N(I1389)&lt;=0),"중국공급가=원가+마진 ",""))</f>
        <v/>
      </c>
    </row>
    <row r="1390" customFormat="false" ht="15" hidden="false" customHeight="true" outlineLevel="0" collapsed="false">
      <c r="A1390" s="94" t="s">
        <v>1684</v>
      </c>
      <c r="B1390" s="34" t="str">
        <f aca="false">IF(A1390="100","HK",IF(A1390="200","CN",IF(A1390="300","TW","홀세일")))</f>
        <v>HK</v>
      </c>
      <c r="C1390" s="94" t="s">
        <v>1015</v>
      </c>
      <c r="D1390" s="95" t="n">
        <v>350</v>
      </c>
      <c r="E1390" s="95" t="n">
        <v>49000</v>
      </c>
      <c r="F1390" s="95" t="n">
        <v>11771</v>
      </c>
      <c r="G1390" s="34" t="n">
        <v>3.59</v>
      </c>
      <c r="H1390" s="34" t="n">
        <v>13.1</v>
      </c>
      <c r="J1390" s="95" t="n">
        <f aca="false">IF(N(E1390)&gt;0,E1390,IF(N(F1390)&gt;0,F1390*가정!$B$5,0))</f>
        <v>49000</v>
      </c>
      <c r="K1390" s="95" t="n">
        <f aca="false">IF(N(F1390)&gt;0,F1390,IF(N(E1390)&gt;0,E1390/가정!$B$5,0))</f>
        <v>11771</v>
      </c>
      <c r="L1390" s="95" t="n">
        <f aca="false">IF(B1390="CN",IF(N(I1390)&gt;0,I1390*가정!$B$3,K1390*(1+가정!$B$6)),IF(N(H1390)&gt;0,H1390*가정!$B$3,J1390*가정!$B$4))</f>
        <v>17852.418</v>
      </c>
      <c r="M1390" s="95" t="n">
        <f aca="false">D1390*J1390</f>
        <v>17150000</v>
      </c>
      <c r="N1390" s="95" t="n">
        <f aca="false">D1390*K1390</f>
        <v>4119850</v>
      </c>
      <c r="O1390" s="95" t="n">
        <f aca="false">D1390*L1390</f>
        <v>6248346.3</v>
      </c>
      <c r="P1390" s="34" t="str">
        <f aca="false">TRIM(IF(N(E1390)&lt;=0,"택가보정 ","")&amp;IF(N(F1390)&lt;=0,"원가보정 ","")&amp;IF(AND(B1390&lt;&gt;"CN",N(H1390)&lt;=0),"공급가보정 ","")&amp;IF(AND(B1390="CN",N(I1390)&lt;=0),"중국공급가=원가+마진 ",""))</f>
        <v/>
      </c>
    </row>
    <row r="1391" customFormat="false" ht="15" hidden="false" customHeight="true" outlineLevel="0" collapsed="false">
      <c r="A1391" s="94" t="s">
        <v>1687</v>
      </c>
      <c r="B1391" s="34" t="str">
        <f aca="false">IF(A1391="100","HK",IF(A1391="200","CN",IF(A1391="300","TW","홀세일")))</f>
        <v>홀세일</v>
      </c>
      <c r="C1391" s="94" t="s">
        <v>1015</v>
      </c>
      <c r="D1391" s="95" t="n">
        <v>15</v>
      </c>
      <c r="E1391" s="95" t="n">
        <v>49000</v>
      </c>
      <c r="F1391" s="95" t="n">
        <v>11771</v>
      </c>
      <c r="G1391" s="34" t="n">
        <v>3.59</v>
      </c>
      <c r="H1391" s="34" t="n">
        <v>13.1</v>
      </c>
      <c r="J1391" s="95" t="n">
        <f aca="false">IF(N(E1391)&gt;0,E1391,IF(N(F1391)&gt;0,F1391*가정!$B$5,0))</f>
        <v>49000</v>
      </c>
      <c r="K1391" s="95" t="n">
        <f aca="false">IF(N(F1391)&gt;0,F1391,IF(N(E1391)&gt;0,E1391/가정!$B$5,0))</f>
        <v>11771</v>
      </c>
      <c r="L1391" s="95" t="n">
        <f aca="false">IF(B1391="CN",IF(N(I1391)&gt;0,I1391*가정!$B$3,K1391*(1+가정!$B$6)),IF(N(H1391)&gt;0,H1391*가정!$B$3,J1391*가정!$B$4))</f>
        <v>17852.418</v>
      </c>
      <c r="M1391" s="95" t="n">
        <f aca="false">D1391*J1391</f>
        <v>735000</v>
      </c>
      <c r="N1391" s="95" t="n">
        <f aca="false">D1391*K1391</f>
        <v>176565</v>
      </c>
      <c r="O1391" s="95" t="n">
        <f aca="false">D1391*L1391</f>
        <v>267786.27</v>
      </c>
      <c r="P1391" s="34" t="str">
        <f aca="false">TRIM(IF(N(E1391)&lt;=0,"택가보정 ","")&amp;IF(N(F1391)&lt;=0,"원가보정 ","")&amp;IF(AND(B1391&lt;&gt;"CN",N(H1391)&lt;=0),"공급가보정 ","")&amp;IF(AND(B1391="CN",N(I1391)&lt;=0),"중국공급가=원가+마진 ",""))</f>
        <v/>
      </c>
    </row>
    <row r="1392" customFormat="false" ht="15.75" hidden="false" customHeight="true" outlineLevel="0" collapsed="false">
      <c r="A1392" s="94" t="s">
        <v>1685</v>
      </c>
      <c r="B1392" s="34" t="str">
        <f aca="false">IF(A1392="100","HK",IF(A1392="200","CN",IF(A1392="300","TW","홀세일")))</f>
        <v>CN</v>
      </c>
      <c r="C1392" s="94" t="s">
        <v>1164</v>
      </c>
      <c r="D1392" s="95" t="n">
        <v>519</v>
      </c>
      <c r="E1392" s="95" t="n">
        <v>39000</v>
      </c>
      <c r="F1392" s="95" t="n">
        <v>10090</v>
      </c>
      <c r="G1392" s="34" t="n">
        <v>3.38</v>
      </c>
      <c r="H1392" s="34" t="n">
        <v>10.4</v>
      </c>
      <c r="J1392" s="95" t="n">
        <f aca="false">IF(N(E1392)&gt;0,E1392,IF(N(F1392)&gt;0,F1392*가정!$B$5,0))</f>
        <v>39000</v>
      </c>
      <c r="K1392" s="95" t="n">
        <f aca="false">IF(N(F1392)&gt;0,F1392,IF(N(E1392)&gt;0,E1392/가정!$B$5,0))</f>
        <v>10090</v>
      </c>
      <c r="L1392" s="95" t="n">
        <f aca="false">IF(B1392="CN",IF(N(I1392)&gt;0,I1392*가정!$B$3,K1392*(1+가정!$B$6)),IF(N(H1392)&gt;0,H1392*가정!$B$3,J1392*가정!$B$4))</f>
        <v>10594.5</v>
      </c>
      <c r="M1392" s="95" t="n">
        <f aca="false">D1392*J1392</f>
        <v>20241000</v>
      </c>
      <c r="N1392" s="95" t="n">
        <f aca="false">D1392*K1392</f>
        <v>5236710</v>
      </c>
      <c r="O1392" s="95" t="n">
        <f aca="false">D1392*L1392</f>
        <v>5498545.5</v>
      </c>
      <c r="P1392" s="34" t="str">
        <f aca="false">TRIM(IF(N(E1392)&lt;=0,"택가보정 ","")&amp;IF(N(F1392)&lt;=0,"원가보정 ","")&amp;IF(AND(B1392&lt;&gt;"CN",N(H1392)&lt;=0),"공급가보정 ","")&amp;IF(AND(B1392="CN",N(I1392)&lt;=0),"중국공급가=원가+마진 ",""))</f>
        <v>중국공급가=원가+마진</v>
      </c>
    </row>
    <row r="1393" customFormat="false" ht="15" hidden="false" customHeight="true" outlineLevel="0" collapsed="false">
      <c r="A1393" s="94" t="s">
        <v>1687</v>
      </c>
      <c r="B1393" s="34" t="str">
        <f aca="false">IF(A1393="100","HK",IF(A1393="200","CN",IF(A1393="300","TW","홀세일")))</f>
        <v>홀세일</v>
      </c>
      <c r="C1393" s="94" t="s">
        <v>1466</v>
      </c>
      <c r="D1393" s="95" t="n">
        <v>25</v>
      </c>
      <c r="E1393" s="95" t="n">
        <v>199000</v>
      </c>
      <c r="F1393" s="95" t="n">
        <v>43254</v>
      </c>
      <c r="G1393" s="34" t="n">
        <v>3.96</v>
      </c>
      <c r="H1393" s="34" t="n">
        <v>52.9</v>
      </c>
      <c r="J1393" s="95" t="n">
        <f aca="false">IF(N(E1393)&gt;0,E1393,IF(N(F1393)&gt;0,F1393*가정!$B$5,0))</f>
        <v>199000</v>
      </c>
      <c r="K1393" s="95" t="n">
        <f aca="false">IF(N(F1393)&gt;0,F1393,IF(N(E1393)&gt;0,E1393/가정!$B$5,0))</f>
        <v>43254</v>
      </c>
      <c r="L1393" s="95" t="n">
        <f aca="false">IF(B1393="CN",IF(N(I1393)&gt;0,I1393*가정!$B$3,K1393*(1+가정!$B$6)),IF(N(H1393)&gt;0,H1393*가정!$B$3,J1393*가정!$B$4))</f>
        <v>72091.062</v>
      </c>
      <c r="M1393" s="95" t="n">
        <f aca="false">D1393*J1393</f>
        <v>4975000</v>
      </c>
      <c r="N1393" s="95" t="n">
        <f aca="false">D1393*K1393</f>
        <v>1081350</v>
      </c>
      <c r="O1393" s="95" t="n">
        <f aca="false">D1393*L1393</f>
        <v>1802276.55</v>
      </c>
      <c r="P1393" s="34" t="str">
        <f aca="false">TRIM(IF(N(E1393)&lt;=0,"택가보정 ","")&amp;IF(N(F1393)&lt;=0,"원가보정 ","")&amp;IF(AND(B1393&lt;&gt;"CN",N(H1393)&lt;=0),"공급가보정 ","")&amp;IF(AND(B1393="CN",N(I1393)&lt;=0),"중국공급가=원가+마진 ",""))</f>
        <v/>
      </c>
    </row>
    <row r="1394" customFormat="false" ht="15" hidden="false" customHeight="true" outlineLevel="0" collapsed="false">
      <c r="A1394" s="94" t="s">
        <v>1692</v>
      </c>
      <c r="B1394" s="34" t="str">
        <f aca="false">IF(A1394="100","HK",IF(A1394="200","CN",IF(A1394="300","TW","홀세일")))</f>
        <v>홀세일</v>
      </c>
      <c r="C1394" s="94" t="s">
        <v>1466</v>
      </c>
      <c r="D1394" s="95" t="n">
        <v>122</v>
      </c>
      <c r="E1394" s="95" t="n">
        <v>199000</v>
      </c>
      <c r="F1394" s="95" t="n">
        <v>43254</v>
      </c>
      <c r="G1394" s="34" t="n">
        <v>3.96</v>
      </c>
      <c r="H1394" s="34" t="n">
        <v>52.9</v>
      </c>
      <c r="J1394" s="95" t="n">
        <f aca="false">IF(N(E1394)&gt;0,E1394,IF(N(F1394)&gt;0,F1394*가정!$B$5,0))</f>
        <v>199000</v>
      </c>
      <c r="K1394" s="95" t="n">
        <f aca="false">IF(N(F1394)&gt;0,F1394,IF(N(E1394)&gt;0,E1394/가정!$B$5,0))</f>
        <v>43254</v>
      </c>
      <c r="L1394" s="95" t="n">
        <f aca="false">IF(B1394="CN",IF(N(I1394)&gt;0,I1394*가정!$B$3,K1394*(1+가정!$B$6)),IF(N(H1394)&gt;0,H1394*가정!$B$3,J1394*가정!$B$4))</f>
        <v>72091.062</v>
      </c>
      <c r="M1394" s="95" t="n">
        <f aca="false">D1394*J1394</f>
        <v>24278000</v>
      </c>
      <c r="N1394" s="95" t="n">
        <f aca="false">D1394*K1394</f>
        <v>5276988</v>
      </c>
      <c r="O1394" s="95" t="n">
        <f aca="false">D1394*L1394</f>
        <v>8795109.564</v>
      </c>
      <c r="P1394" s="34" t="str">
        <f aca="false">TRIM(IF(N(E1394)&lt;=0,"택가보정 ","")&amp;IF(N(F1394)&lt;=0,"원가보정 ","")&amp;IF(AND(B1394&lt;&gt;"CN",N(H1394)&lt;=0),"공급가보정 ","")&amp;IF(AND(B1394="CN",N(I1394)&lt;=0),"중국공급가=원가+마진 ",""))</f>
        <v/>
      </c>
    </row>
    <row r="1395" customFormat="false" ht="15" hidden="false" customHeight="true" outlineLevel="0" collapsed="false">
      <c r="A1395" s="94" t="s">
        <v>1684</v>
      </c>
      <c r="B1395" s="34" t="str">
        <f aca="false">IF(A1395="100","HK",IF(A1395="200","CN",IF(A1395="300","TW","홀세일")))</f>
        <v>HK</v>
      </c>
      <c r="C1395" s="94" t="s">
        <v>666</v>
      </c>
      <c r="D1395" s="95" t="n">
        <v>550</v>
      </c>
      <c r="E1395" s="95" t="n">
        <v>79000</v>
      </c>
      <c r="F1395" s="95" t="n">
        <v>17524</v>
      </c>
      <c r="G1395" s="34" t="n">
        <v>3.95</v>
      </c>
      <c r="H1395" s="34" t="n">
        <v>21</v>
      </c>
      <c r="J1395" s="95" t="n">
        <f aca="false">IF(N(E1395)&gt;0,E1395,IF(N(F1395)&gt;0,F1395*가정!$B$5,0))</f>
        <v>79000</v>
      </c>
      <c r="K1395" s="95" t="n">
        <f aca="false">IF(N(F1395)&gt;0,F1395,IF(N(E1395)&gt;0,E1395/가정!$B$5,0))</f>
        <v>17524</v>
      </c>
      <c r="L1395" s="95" t="n">
        <f aca="false">IF(B1395="CN",IF(N(I1395)&gt;0,I1395*가정!$B$3,K1395*(1+가정!$B$6)),IF(N(H1395)&gt;0,H1395*가정!$B$3,J1395*가정!$B$4))</f>
        <v>28618.38</v>
      </c>
      <c r="M1395" s="95" t="n">
        <f aca="false">D1395*J1395</f>
        <v>43450000</v>
      </c>
      <c r="N1395" s="95" t="n">
        <f aca="false">D1395*K1395</f>
        <v>9638200</v>
      </c>
      <c r="O1395" s="95" t="n">
        <f aca="false">D1395*L1395</f>
        <v>15740109</v>
      </c>
      <c r="P1395" s="34" t="str">
        <f aca="false">TRIM(IF(N(E1395)&lt;=0,"택가보정 ","")&amp;IF(N(F1395)&lt;=0,"원가보정 ","")&amp;IF(AND(B1395&lt;&gt;"CN",N(H1395)&lt;=0),"공급가보정 ","")&amp;IF(AND(B1395="CN",N(I1395)&lt;=0),"중국공급가=원가+마진 ",""))</f>
        <v/>
      </c>
    </row>
    <row r="1396" customFormat="false" ht="15" hidden="false" customHeight="true" outlineLevel="0" collapsed="false">
      <c r="A1396" s="94" t="s">
        <v>1686</v>
      </c>
      <c r="B1396" s="34" t="str">
        <f aca="false">IF(A1396="100","HK",IF(A1396="200","CN",IF(A1396="300","TW","홀세일")))</f>
        <v>TW</v>
      </c>
      <c r="C1396" s="94" t="s">
        <v>666</v>
      </c>
      <c r="D1396" s="95" t="n">
        <v>600</v>
      </c>
      <c r="E1396" s="95" t="n">
        <v>79000</v>
      </c>
      <c r="F1396" s="95" t="n">
        <v>17524</v>
      </c>
      <c r="G1396" s="34" t="n">
        <v>3.95</v>
      </c>
      <c r="H1396" s="34" t="n">
        <v>21</v>
      </c>
      <c r="J1396" s="95" t="n">
        <f aca="false">IF(N(E1396)&gt;0,E1396,IF(N(F1396)&gt;0,F1396*가정!$B$5,0))</f>
        <v>79000</v>
      </c>
      <c r="K1396" s="95" t="n">
        <f aca="false">IF(N(F1396)&gt;0,F1396,IF(N(E1396)&gt;0,E1396/가정!$B$5,0))</f>
        <v>17524</v>
      </c>
      <c r="L1396" s="95" t="n">
        <f aca="false">IF(B1396="CN",IF(N(I1396)&gt;0,I1396*가정!$B$3,K1396*(1+가정!$B$6)),IF(N(H1396)&gt;0,H1396*가정!$B$3,J1396*가정!$B$4))</f>
        <v>28618.38</v>
      </c>
      <c r="M1396" s="95" t="n">
        <f aca="false">D1396*J1396</f>
        <v>47400000</v>
      </c>
      <c r="N1396" s="95" t="n">
        <f aca="false">D1396*K1396</f>
        <v>10514400</v>
      </c>
      <c r="O1396" s="95" t="n">
        <f aca="false">D1396*L1396</f>
        <v>17171028</v>
      </c>
      <c r="P1396" s="34" t="str">
        <f aca="false">TRIM(IF(N(E1396)&lt;=0,"택가보정 ","")&amp;IF(N(F1396)&lt;=0,"원가보정 ","")&amp;IF(AND(B1396&lt;&gt;"CN",N(H1396)&lt;=0),"공급가보정 ","")&amp;IF(AND(B1396="CN",N(I1396)&lt;=0),"중국공급가=원가+마진 ",""))</f>
        <v/>
      </c>
    </row>
    <row r="1397" customFormat="false" ht="15" hidden="false" customHeight="true" outlineLevel="0" collapsed="false">
      <c r="A1397" s="94" t="s">
        <v>1687</v>
      </c>
      <c r="B1397" s="34" t="str">
        <f aca="false">IF(A1397="100","HK",IF(A1397="200","CN",IF(A1397="300","TW","홀세일")))</f>
        <v>홀세일</v>
      </c>
      <c r="C1397" s="94" t="s">
        <v>666</v>
      </c>
      <c r="D1397" s="95" t="n">
        <v>10</v>
      </c>
      <c r="E1397" s="95" t="n">
        <v>79000</v>
      </c>
      <c r="F1397" s="95" t="n">
        <v>17524</v>
      </c>
      <c r="G1397" s="34" t="n">
        <v>3.95</v>
      </c>
      <c r="H1397" s="34" t="n">
        <v>21</v>
      </c>
      <c r="J1397" s="95" t="n">
        <f aca="false">IF(N(E1397)&gt;0,E1397,IF(N(F1397)&gt;0,F1397*가정!$B$5,0))</f>
        <v>79000</v>
      </c>
      <c r="K1397" s="95" t="n">
        <f aca="false">IF(N(F1397)&gt;0,F1397,IF(N(E1397)&gt;0,E1397/가정!$B$5,0))</f>
        <v>17524</v>
      </c>
      <c r="L1397" s="95" t="n">
        <f aca="false">IF(B1397="CN",IF(N(I1397)&gt;0,I1397*가정!$B$3,K1397*(1+가정!$B$6)),IF(N(H1397)&gt;0,H1397*가정!$B$3,J1397*가정!$B$4))</f>
        <v>28618.38</v>
      </c>
      <c r="M1397" s="95" t="n">
        <f aca="false">D1397*J1397</f>
        <v>790000</v>
      </c>
      <c r="N1397" s="95" t="n">
        <f aca="false">D1397*K1397</f>
        <v>175240</v>
      </c>
      <c r="O1397" s="95" t="n">
        <f aca="false">D1397*L1397</f>
        <v>286183.8</v>
      </c>
      <c r="P1397" s="34" t="str">
        <f aca="false">TRIM(IF(N(E1397)&lt;=0,"택가보정 ","")&amp;IF(N(F1397)&lt;=0,"원가보정 ","")&amp;IF(AND(B1397&lt;&gt;"CN",N(H1397)&lt;=0),"공급가보정 ","")&amp;IF(AND(B1397="CN",N(I1397)&lt;=0),"중국공급가=원가+마진 ",""))</f>
        <v/>
      </c>
    </row>
    <row r="1398" customFormat="false" ht="15" hidden="false" customHeight="true" outlineLevel="0" collapsed="false">
      <c r="A1398" s="94" t="s">
        <v>1692</v>
      </c>
      <c r="B1398" s="34" t="str">
        <f aca="false">IF(A1398="100","HK",IF(A1398="200","CN",IF(A1398="300","TW","홀세일")))</f>
        <v>홀세일</v>
      </c>
      <c r="C1398" s="94" t="s">
        <v>666</v>
      </c>
      <c r="D1398" s="95" t="n">
        <v>123</v>
      </c>
      <c r="E1398" s="95" t="n">
        <v>79000</v>
      </c>
      <c r="F1398" s="95" t="n">
        <v>17524</v>
      </c>
      <c r="G1398" s="34" t="n">
        <v>3.95</v>
      </c>
      <c r="H1398" s="34" t="n">
        <v>21</v>
      </c>
      <c r="J1398" s="95" t="n">
        <f aca="false">IF(N(E1398)&gt;0,E1398,IF(N(F1398)&gt;0,F1398*가정!$B$5,0))</f>
        <v>79000</v>
      </c>
      <c r="K1398" s="95" t="n">
        <f aca="false">IF(N(F1398)&gt;0,F1398,IF(N(E1398)&gt;0,E1398/가정!$B$5,0))</f>
        <v>17524</v>
      </c>
      <c r="L1398" s="95" t="n">
        <f aca="false">IF(B1398="CN",IF(N(I1398)&gt;0,I1398*가정!$B$3,K1398*(1+가정!$B$6)),IF(N(H1398)&gt;0,H1398*가정!$B$3,J1398*가정!$B$4))</f>
        <v>28618.38</v>
      </c>
      <c r="M1398" s="95" t="n">
        <f aca="false">D1398*J1398</f>
        <v>9717000</v>
      </c>
      <c r="N1398" s="95" t="n">
        <f aca="false">D1398*K1398</f>
        <v>2155452</v>
      </c>
      <c r="O1398" s="95" t="n">
        <f aca="false">D1398*L1398</f>
        <v>3520060.74</v>
      </c>
      <c r="P1398" s="34" t="str">
        <f aca="false">TRIM(IF(N(E1398)&lt;=0,"택가보정 ","")&amp;IF(N(F1398)&lt;=0,"원가보정 ","")&amp;IF(AND(B1398&lt;&gt;"CN",N(H1398)&lt;=0),"공급가보정 ","")&amp;IF(AND(B1398="CN",N(I1398)&lt;=0),"중국공급가=원가+마진 ",""))</f>
        <v/>
      </c>
    </row>
    <row r="1399" customFormat="false" ht="15" hidden="false" customHeight="true" outlineLevel="0" collapsed="false">
      <c r="A1399" s="94" t="s">
        <v>1684</v>
      </c>
      <c r="B1399" s="34" t="str">
        <f aca="false">IF(A1399="100","HK",IF(A1399="200","CN",IF(A1399="300","TW","홀세일")))</f>
        <v>HK</v>
      </c>
      <c r="C1399" s="94" t="s">
        <v>668</v>
      </c>
      <c r="D1399" s="95" t="n">
        <v>250</v>
      </c>
      <c r="E1399" s="95" t="n">
        <v>59000</v>
      </c>
      <c r="F1399" s="95" t="n">
        <v>15500</v>
      </c>
      <c r="G1399" s="34" t="n">
        <v>3.28</v>
      </c>
      <c r="H1399" s="34" t="n">
        <v>15.7</v>
      </c>
      <c r="J1399" s="95" t="n">
        <f aca="false">IF(N(E1399)&gt;0,E1399,IF(N(F1399)&gt;0,F1399*가정!$B$5,0))</f>
        <v>59000</v>
      </c>
      <c r="K1399" s="95" t="n">
        <f aca="false">IF(N(F1399)&gt;0,F1399,IF(N(E1399)&gt;0,E1399/가정!$B$5,0))</f>
        <v>15500</v>
      </c>
      <c r="L1399" s="95" t="n">
        <f aca="false">IF(B1399="CN",IF(N(I1399)&gt;0,I1399*가정!$B$3,K1399*(1+가정!$B$6)),IF(N(H1399)&gt;0,H1399*가정!$B$3,J1399*가정!$B$4))</f>
        <v>21395.646</v>
      </c>
      <c r="M1399" s="95" t="n">
        <f aca="false">D1399*J1399</f>
        <v>14750000</v>
      </c>
      <c r="N1399" s="95" t="n">
        <f aca="false">D1399*K1399</f>
        <v>3875000</v>
      </c>
      <c r="O1399" s="95" t="n">
        <f aca="false">D1399*L1399</f>
        <v>5348911.5</v>
      </c>
      <c r="P1399" s="34" t="str">
        <f aca="false">TRIM(IF(N(E1399)&lt;=0,"택가보정 ","")&amp;IF(N(F1399)&lt;=0,"원가보정 ","")&amp;IF(AND(B1399&lt;&gt;"CN",N(H1399)&lt;=0),"공급가보정 ","")&amp;IF(AND(B1399="CN",N(I1399)&lt;=0),"중국공급가=원가+마진 ",""))</f>
        <v/>
      </c>
    </row>
    <row r="1400" customFormat="false" ht="15" hidden="false" customHeight="true" outlineLevel="0" collapsed="false">
      <c r="A1400" s="94" t="s">
        <v>1686</v>
      </c>
      <c r="B1400" s="34" t="str">
        <f aca="false">IF(A1400="100","HK",IF(A1400="200","CN",IF(A1400="300","TW","홀세일")))</f>
        <v>TW</v>
      </c>
      <c r="C1400" s="94" t="s">
        <v>668</v>
      </c>
      <c r="D1400" s="95" t="n">
        <v>350</v>
      </c>
      <c r="E1400" s="95" t="n">
        <v>59000</v>
      </c>
      <c r="F1400" s="95" t="n">
        <v>15500</v>
      </c>
      <c r="G1400" s="34" t="n">
        <v>3.28</v>
      </c>
      <c r="H1400" s="34" t="n">
        <v>15.7</v>
      </c>
      <c r="J1400" s="95" t="n">
        <f aca="false">IF(N(E1400)&gt;0,E1400,IF(N(F1400)&gt;0,F1400*가정!$B$5,0))</f>
        <v>59000</v>
      </c>
      <c r="K1400" s="95" t="n">
        <f aca="false">IF(N(F1400)&gt;0,F1400,IF(N(E1400)&gt;0,E1400/가정!$B$5,0))</f>
        <v>15500</v>
      </c>
      <c r="L1400" s="95" t="n">
        <f aca="false">IF(B1400="CN",IF(N(I1400)&gt;0,I1400*가정!$B$3,K1400*(1+가정!$B$6)),IF(N(H1400)&gt;0,H1400*가정!$B$3,J1400*가정!$B$4))</f>
        <v>21395.646</v>
      </c>
      <c r="M1400" s="95" t="n">
        <f aca="false">D1400*J1400</f>
        <v>20650000</v>
      </c>
      <c r="N1400" s="95" t="n">
        <f aca="false">D1400*K1400</f>
        <v>5425000</v>
      </c>
      <c r="O1400" s="95" t="n">
        <f aca="false">D1400*L1400</f>
        <v>7488476.1</v>
      </c>
      <c r="P1400" s="34" t="str">
        <f aca="false">TRIM(IF(N(E1400)&lt;=0,"택가보정 ","")&amp;IF(N(F1400)&lt;=0,"원가보정 ","")&amp;IF(AND(B1400&lt;&gt;"CN",N(H1400)&lt;=0),"공급가보정 ","")&amp;IF(AND(B1400="CN",N(I1400)&lt;=0),"중국공급가=원가+마진 ",""))</f>
        <v/>
      </c>
    </row>
    <row r="1401" customFormat="false" ht="15" hidden="false" customHeight="true" outlineLevel="0" collapsed="false">
      <c r="A1401" s="94" t="s">
        <v>1688</v>
      </c>
      <c r="B1401" s="34" t="str">
        <f aca="false">IF(A1401="100","HK",IF(A1401="200","CN",IF(A1401="300","TW","홀세일")))</f>
        <v>홀세일</v>
      </c>
      <c r="C1401" s="94" t="s">
        <v>668</v>
      </c>
      <c r="D1401" s="95" t="n">
        <v>10</v>
      </c>
      <c r="E1401" s="95" t="n">
        <v>59000</v>
      </c>
      <c r="F1401" s="95" t="n">
        <v>15500</v>
      </c>
      <c r="G1401" s="34" t="n">
        <v>3.28</v>
      </c>
      <c r="H1401" s="34" t="n">
        <v>15.7</v>
      </c>
      <c r="J1401" s="95" t="n">
        <f aca="false">IF(N(E1401)&gt;0,E1401,IF(N(F1401)&gt;0,F1401*가정!$B$5,0))</f>
        <v>59000</v>
      </c>
      <c r="K1401" s="95" t="n">
        <f aca="false">IF(N(F1401)&gt;0,F1401,IF(N(E1401)&gt;0,E1401/가정!$B$5,0))</f>
        <v>15500</v>
      </c>
      <c r="L1401" s="95" t="n">
        <f aca="false">IF(B1401="CN",IF(N(I1401)&gt;0,I1401*가정!$B$3,K1401*(1+가정!$B$6)),IF(N(H1401)&gt;0,H1401*가정!$B$3,J1401*가정!$B$4))</f>
        <v>21395.646</v>
      </c>
      <c r="M1401" s="95" t="n">
        <f aca="false">D1401*J1401</f>
        <v>590000</v>
      </c>
      <c r="N1401" s="95" t="n">
        <f aca="false">D1401*K1401</f>
        <v>155000</v>
      </c>
      <c r="O1401" s="95" t="n">
        <f aca="false">D1401*L1401</f>
        <v>213956.46</v>
      </c>
      <c r="P1401" s="34" t="str">
        <f aca="false">TRIM(IF(N(E1401)&lt;=0,"택가보정 ","")&amp;IF(N(F1401)&lt;=0,"원가보정 ","")&amp;IF(AND(B1401&lt;&gt;"CN",N(H1401)&lt;=0),"공급가보정 ","")&amp;IF(AND(B1401="CN",N(I1401)&lt;=0),"중국공급가=원가+마진 ",""))</f>
        <v/>
      </c>
    </row>
    <row r="1402" customFormat="false" ht="15" hidden="false" customHeight="true" outlineLevel="0" collapsed="false">
      <c r="A1402" s="94" t="s">
        <v>1692</v>
      </c>
      <c r="B1402" s="34" t="str">
        <f aca="false">IF(A1402="100","HK",IF(A1402="200","CN",IF(A1402="300","TW","홀세일")))</f>
        <v>홀세일</v>
      </c>
      <c r="C1402" s="94" t="s">
        <v>668</v>
      </c>
      <c r="D1402" s="95" t="n">
        <v>31</v>
      </c>
      <c r="E1402" s="95" t="n">
        <v>59000</v>
      </c>
      <c r="F1402" s="95" t="n">
        <v>15500</v>
      </c>
      <c r="G1402" s="34" t="n">
        <v>3.28</v>
      </c>
      <c r="H1402" s="34" t="n">
        <v>15.7</v>
      </c>
      <c r="J1402" s="95" t="n">
        <f aca="false">IF(N(E1402)&gt;0,E1402,IF(N(F1402)&gt;0,F1402*가정!$B$5,0))</f>
        <v>59000</v>
      </c>
      <c r="K1402" s="95" t="n">
        <f aca="false">IF(N(F1402)&gt;0,F1402,IF(N(E1402)&gt;0,E1402/가정!$B$5,0))</f>
        <v>15500</v>
      </c>
      <c r="L1402" s="95" t="n">
        <f aca="false">IF(B1402="CN",IF(N(I1402)&gt;0,I1402*가정!$B$3,K1402*(1+가정!$B$6)),IF(N(H1402)&gt;0,H1402*가정!$B$3,J1402*가정!$B$4))</f>
        <v>21395.646</v>
      </c>
      <c r="M1402" s="95" t="n">
        <f aca="false">D1402*J1402</f>
        <v>1829000</v>
      </c>
      <c r="N1402" s="95" t="n">
        <f aca="false">D1402*K1402</f>
        <v>480500</v>
      </c>
      <c r="O1402" s="95" t="n">
        <f aca="false">D1402*L1402</f>
        <v>663265.026</v>
      </c>
      <c r="P1402" s="34" t="str">
        <f aca="false">TRIM(IF(N(E1402)&lt;=0,"택가보정 ","")&amp;IF(N(F1402)&lt;=0,"원가보정 ","")&amp;IF(AND(B1402&lt;&gt;"CN",N(H1402)&lt;=0),"공급가보정 ","")&amp;IF(AND(B1402="CN",N(I1402)&lt;=0),"중국공급가=원가+마진 ",""))</f>
        <v/>
      </c>
    </row>
    <row r="1403" customFormat="false" ht="15" hidden="false" customHeight="true" outlineLevel="0" collapsed="false">
      <c r="A1403" s="94" t="s">
        <v>1689</v>
      </c>
      <c r="B1403" s="34" t="str">
        <f aca="false">IF(A1403="100","HK",IF(A1403="200","CN",IF(A1403="300","TW","홀세일")))</f>
        <v>홀세일</v>
      </c>
      <c r="C1403" s="94" t="s">
        <v>668</v>
      </c>
      <c r="D1403" s="95" t="n">
        <v>30</v>
      </c>
      <c r="E1403" s="95" t="n">
        <v>59000</v>
      </c>
      <c r="F1403" s="95" t="n">
        <v>15500</v>
      </c>
      <c r="G1403" s="34" t="n">
        <v>3.28</v>
      </c>
      <c r="H1403" s="34" t="n">
        <v>15.7</v>
      </c>
      <c r="J1403" s="95" t="n">
        <f aca="false">IF(N(E1403)&gt;0,E1403,IF(N(F1403)&gt;0,F1403*가정!$B$5,0))</f>
        <v>59000</v>
      </c>
      <c r="K1403" s="95" t="n">
        <f aca="false">IF(N(F1403)&gt;0,F1403,IF(N(E1403)&gt;0,E1403/가정!$B$5,0))</f>
        <v>15500</v>
      </c>
      <c r="L1403" s="95" t="n">
        <f aca="false">IF(B1403="CN",IF(N(I1403)&gt;0,I1403*가정!$B$3,K1403*(1+가정!$B$6)),IF(N(H1403)&gt;0,H1403*가정!$B$3,J1403*가정!$B$4))</f>
        <v>21395.646</v>
      </c>
      <c r="M1403" s="95" t="n">
        <f aca="false">D1403*J1403</f>
        <v>1770000</v>
      </c>
      <c r="N1403" s="95" t="n">
        <f aca="false">D1403*K1403</f>
        <v>465000</v>
      </c>
      <c r="O1403" s="95" t="n">
        <f aca="false">D1403*L1403</f>
        <v>641869.38</v>
      </c>
      <c r="P1403" s="34" t="str">
        <f aca="false">TRIM(IF(N(E1403)&lt;=0,"택가보정 ","")&amp;IF(N(F1403)&lt;=0,"원가보정 ","")&amp;IF(AND(B1403&lt;&gt;"CN",N(H1403)&lt;=0),"공급가보정 ","")&amp;IF(AND(B1403="CN",N(I1403)&lt;=0),"중국공급가=원가+마진 ",""))</f>
        <v/>
      </c>
    </row>
    <row r="1404" customFormat="false" ht="15" hidden="false" customHeight="true" outlineLevel="0" collapsed="false">
      <c r="A1404" s="94" t="s">
        <v>1689</v>
      </c>
      <c r="B1404" s="34" t="str">
        <f aca="false">IF(A1404="100","HK",IF(A1404="200","CN",IF(A1404="300","TW","홀세일")))</f>
        <v>홀세일</v>
      </c>
      <c r="C1404" s="94" t="s">
        <v>668</v>
      </c>
      <c r="D1404" s="95" t="n">
        <v>30</v>
      </c>
      <c r="E1404" s="95" t="n">
        <v>59000</v>
      </c>
      <c r="F1404" s="95" t="n">
        <v>15500</v>
      </c>
      <c r="G1404" s="34" t="n">
        <v>3.28</v>
      </c>
      <c r="H1404" s="34" t="n">
        <v>15.7</v>
      </c>
      <c r="J1404" s="95" t="n">
        <f aca="false">IF(N(E1404)&gt;0,E1404,IF(N(F1404)&gt;0,F1404*가정!$B$5,0))</f>
        <v>59000</v>
      </c>
      <c r="K1404" s="95" t="n">
        <f aca="false">IF(N(F1404)&gt;0,F1404,IF(N(E1404)&gt;0,E1404/가정!$B$5,0))</f>
        <v>15500</v>
      </c>
      <c r="L1404" s="95" t="n">
        <f aca="false">IF(B1404="CN",IF(N(I1404)&gt;0,I1404*가정!$B$3,K1404*(1+가정!$B$6)),IF(N(H1404)&gt;0,H1404*가정!$B$3,J1404*가정!$B$4))</f>
        <v>21395.646</v>
      </c>
      <c r="M1404" s="95" t="n">
        <f aca="false">D1404*J1404</f>
        <v>1770000</v>
      </c>
      <c r="N1404" s="95" t="n">
        <f aca="false">D1404*K1404</f>
        <v>465000</v>
      </c>
      <c r="O1404" s="95" t="n">
        <f aca="false">D1404*L1404</f>
        <v>641869.38</v>
      </c>
      <c r="P1404" s="34" t="str">
        <f aca="false">TRIM(IF(N(E1404)&lt;=0,"택가보정 ","")&amp;IF(N(F1404)&lt;=0,"원가보정 ","")&amp;IF(AND(B1404&lt;&gt;"CN",N(H1404)&lt;=0),"공급가보정 ","")&amp;IF(AND(B1404="CN",N(I1404)&lt;=0),"중국공급가=원가+마진 ",""))</f>
        <v/>
      </c>
    </row>
    <row r="1405" customFormat="false" ht="15" hidden="false" customHeight="true" outlineLevel="0" collapsed="false">
      <c r="A1405" s="94" t="s">
        <v>1686</v>
      </c>
      <c r="B1405" s="34" t="str">
        <f aca="false">IF(A1405="100","HK",IF(A1405="200","CN",IF(A1405="300","TW","홀세일")))</f>
        <v>TW</v>
      </c>
      <c r="C1405" s="94" t="s">
        <v>674</v>
      </c>
      <c r="D1405" s="95" t="n">
        <v>350</v>
      </c>
      <c r="E1405" s="95" t="n">
        <v>79000</v>
      </c>
      <c r="F1405" s="95" t="n">
        <v>19301</v>
      </c>
      <c r="G1405" s="34" t="n">
        <v>3.53</v>
      </c>
      <c r="H1405" s="34" t="n">
        <v>21</v>
      </c>
      <c r="J1405" s="95" t="n">
        <f aca="false">IF(N(E1405)&gt;0,E1405,IF(N(F1405)&gt;0,F1405*가정!$B$5,0))</f>
        <v>79000</v>
      </c>
      <c r="K1405" s="95" t="n">
        <f aca="false">IF(N(F1405)&gt;0,F1405,IF(N(E1405)&gt;0,E1405/가정!$B$5,0))</f>
        <v>19301</v>
      </c>
      <c r="L1405" s="95" t="n">
        <f aca="false">IF(B1405="CN",IF(N(I1405)&gt;0,I1405*가정!$B$3,K1405*(1+가정!$B$6)),IF(N(H1405)&gt;0,H1405*가정!$B$3,J1405*가정!$B$4))</f>
        <v>28618.38</v>
      </c>
      <c r="M1405" s="95" t="n">
        <f aca="false">D1405*J1405</f>
        <v>27650000</v>
      </c>
      <c r="N1405" s="95" t="n">
        <f aca="false">D1405*K1405</f>
        <v>6755350</v>
      </c>
      <c r="O1405" s="95" t="n">
        <f aca="false">D1405*L1405</f>
        <v>10016433</v>
      </c>
      <c r="P1405" s="34" t="str">
        <f aca="false">TRIM(IF(N(E1405)&lt;=0,"택가보정 ","")&amp;IF(N(F1405)&lt;=0,"원가보정 ","")&amp;IF(AND(B1405&lt;&gt;"CN",N(H1405)&lt;=0),"공급가보정 ","")&amp;IF(AND(B1405="CN",N(I1405)&lt;=0),"중국공급가=원가+마진 ",""))</f>
        <v/>
      </c>
    </row>
    <row r="1406" customFormat="false" ht="15" hidden="false" customHeight="true" outlineLevel="0" collapsed="false">
      <c r="A1406" s="94" t="s">
        <v>1688</v>
      </c>
      <c r="B1406" s="34" t="str">
        <f aca="false">IF(A1406="100","HK",IF(A1406="200","CN",IF(A1406="300","TW","홀세일")))</f>
        <v>홀세일</v>
      </c>
      <c r="C1406" s="94" t="s">
        <v>674</v>
      </c>
      <c r="D1406" s="95" t="n">
        <v>5</v>
      </c>
      <c r="E1406" s="95" t="n">
        <v>79000</v>
      </c>
      <c r="F1406" s="95" t="n">
        <v>19301</v>
      </c>
      <c r="G1406" s="34" t="n">
        <v>3.53</v>
      </c>
      <c r="H1406" s="34" t="n">
        <v>21</v>
      </c>
      <c r="J1406" s="95" t="n">
        <f aca="false">IF(N(E1406)&gt;0,E1406,IF(N(F1406)&gt;0,F1406*가정!$B$5,0))</f>
        <v>79000</v>
      </c>
      <c r="K1406" s="95" t="n">
        <f aca="false">IF(N(F1406)&gt;0,F1406,IF(N(E1406)&gt;0,E1406/가정!$B$5,0))</f>
        <v>19301</v>
      </c>
      <c r="L1406" s="95" t="n">
        <f aca="false">IF(B1406="CN",IF(N(I1406)&gt;0,I1406*가정!$B$3,K1406*(1+가정!$B$6)),IF(N(H1406)&gt;0,H1406*가정!$B$3,J1406*가정!$B$4))</f>
        <v>28618.38</v>
      </c>
      <c r="M1406" s="95" t="n">
        <f aca="false">D1406*J1406</f>
        <v>395000</v>
      </c>
      <c r="N1406" s="95" t="n">
        <f aca="false">D1406*K1406</f>
        <v>96505</v>
      </c>
      <c r="O1406" s="95" t="n">
        <f aca="false">D1406*L1406</f>
        <v>143091.9</v>
      </c>
      <c r="P1406" s="34" t="str">
        <f aca="false">TRIM(IF(N(E1406)&lt;=0,"택가보정 ","")&amp;IF(N(F1406)&lt;=0,"원가보정 ","")&amp;IF(AND(B1406&lt;&gt;"CN",N(H1406)&lt;=0),"공급가보정 ","")&amp;IF(AND(B1406="CN",N(I1406)&lt;=0),"중국공급가=원가+마진 ",""))</f>
        <v/>
      </c>
    </row>
    <row r="1407" customFormat="false" ht="15" hidden="false" customHeight="true" outlineLevel="0" collapsed="false">
      <c r="A1407" s="94" t="s">
        <v>1692</v>
      </c>
      <c r="B1407" s="34" t="str">
        <f aca="false">IF(A1407="100","HK",IF(A1407="200","CN",IF(A1407="300","TW","홀세일")))</f>
        <v>홀세일</v>
      </c>
      <c r="C1407" s="94" t="s">
        <v>674</v>
      </c>
      <c r="D1407" s="95" t="n">
        <v>92</v>
      </c>
      <c r="E1407" s="95" t="n">
        <v>79000</v>
      </c>
      <c r="F1407" s="95" t="n">
        <v>19301</v>
      </c>
      <c r="G1407" s="34" t="n">
        <v>3.53</v>
      </c>
      <c r="H1407" s="34" t="n">
        <v>21</v>
      </c>
      <c r="J1407" s="95" t="n">
        <f aca="false">IF(N(E1407)&gt;0,E1407,IF(N(F1407)&gt;0,F1407*가정!$B$5,0))</f>
        <v>79000</v>
      </c>
      <c r="K1407" s="95" t="n">
        <f aca="false">IF(N(F1407)&gt;0,F1407,IF(N(E1407)&gt;0,E1407/가정!$B$5,0))</f>
        <v>19301</v>
      </c>
      <c r="L1407" s="95" t="n">
        <f aca="false">IF(B1407="CN",IF(N(I1407)&gt;0,I1407*가정!$B$3,K1407*(1+가정!$B$6)),IF(N(H1407)&gt;0,H1407*가정!$B$3,J1407*가정!$B$4))</f>
        <v>28618.38</v>
      </c>
      <c r="M1407" s="95" t="n">
        <f aca="false">D1407*J1407</f>
        <v>7268000</v>
      </c>
      <c r="N1407" s="95" t="n">
        <f aca="false">D1407*K1407</f>
        <v>1775692</v>
      </c>
      <c r="O1407" s="95" t="n">
        <f aca="false">D1407*L1407</f>
        <v>2632890.96</v>
      </c>
      <c r="P1407" s="34" t="str">
        <f aca="false">TRIM(IF(N(E1407)&lt;=0,"택가보정 ","")&amp;IF(N(F1407)&lt;=0,"원가보정 ","")&amp;IF(AND(B1407&lt;&gt;"CN",N(H1407)&lt;=0),"공급가보정 ","")&amp;IF(AND(B1407="CN",N(I1407)&lt;=0),"중국공급가=원가+마진 ",""))</f>
        <v/>
      </c>
    </row>
    <row r="1408" customFormat="false" ht="15" hidden="false" customHeight="true" outlineLevel="0" collapsed="false">
      <c r="A1408" s="94" t="s">
        <v>1691</v>
      </c>
      <c r="B1408" s="34" t="str">
        <f aca="false">IF(A1408="100","HK",IF(A1408="200","CN",IF(A1408="300","TW","홀세일")))</f>
        <v>홀세일</v>
      </c>
      <c r="C1408" s="94" t="s">
        <v>674</v>
      </c>
      <c r="D1408" s="95" t="n">
        <v>300</v>
      </c>
      <c r="E1408" s="95" t="n">
        <v>79000</v>
      </c>
      <c r="F1408" s="95" t="n">
        <v>19301</v>
      </c>
      <c r="G1408" s="34" t="n">
        <v>3.53</v>
      </c>
      <c r="H1408" s="34" t="n">
        <v>21</v>
      </c>
      <c r="J1408" s="95" t="n">
        <f aca="false">IF(N(E1408)&gt;0,E1408,IF(N(F1408)&gt;0,F1408*가정!$B$5,0))</f>
        <v>79000</v>
      </c>
      <c r="K1408" s="95" t="n">
        <f aca="false">IF(N(F1408)&gt;0,F1408,IF(N(E1408)&gt;0,E1408/가정!$B$5,0))</f>
        <v>19301</v>
      </c>
      <c r="L1408" s="95" t="n">
        <f aca="false">IF(B1408="CN",IF(N(I1408)&gt;0,I1408*가정!$B$3,K1408*(1+가정!$B$6)),IF(N(H1408)&gt;0,H1408*가정!$B$3,J1408*가정!$B$4))</f>
        <v>28618.38</v>
      </c>
      <c r="M1408" s="95" t="n">
        <f aca="false">D1408*J1408</f>
        <v>23700000</v>
      </c>
      <c r="N1408" s="95" t="n">
        <f aca="false">D1408*K1408</f>
        <v>5790300</v>
      </c>
      <c r="O1408" s="95" t="n">
        <f aca="false">D1408*L1408</f>
        <v>8585514</v>
      </c>
      <c r="P1408" s="34" t="str">
        <f aca="false">TRIM(IF(N(E1408)&lt;=0,"택가보정 ","")&amp;IF(N(F1408)&lt;=0,"원가보정 ","")&amp;IF(AND(B1408&lt;&gt;"CN",N(H1408)&lt;=0),"공급가보정 ","")&amp;IF(AND(B1408="CN",N(I1408)&lt;=0),"중국공급가=원가+마진 ",""))</f>
        <v/>
      </c>
    </row>
    <row r="1409" customFormat="false" ht="15" hidden="false" customHeight="true" outlineLevel="0" collapsed="false">
      <c r="A1409" s="94" t="s">
        <v>1687</v>
      </c>
      <c r="B1409" s="34" t="str">
        <f aca="false">IF(A1409="100","HK",IF(A1409="200","CN",IF(A1409="300","TW","홀세일")))</f>
        <v>홀세일</v>
      </c>
      <c r="C1409" s="94" t="s">
        <v>1472</v>
      </c>
      <c r="D1409" s="95" t="n">
        <v>15</v>
      </c>
      <c r="E1409" s="95" t="n">
        <v>69000</v>
      </c>
      <c r="F1409" s="95" t="n">
        <v>16564</v>
      </c>
      <c r="G1409" s="34" t="n">
        <v>3.55</v>
      </c>
      <c r="H1409" s="34" t="n">
        <v>18.4</v>
      </c>
      <c r="J1409" s="95" t="n">
        <f aca="false">IF(N(E1409)&gt;0,E1409,IF(N(F1409)&gt;0,F1409*가정!$B$5,0))</f>
        <v>69000</v>
      </c>
      <c r="K1409" s="95" t="n">
        <f aca="false">IF(N(F1409)&gt;0,F1409,IF(N(E1409)&gt;0,E1409/가정!$B$5,0))</f>
        <v>16564</v>
      </c>
      <c r="L1409" s="95" t="n">
        <f aca="false">IF(B1409="CN",IF(N(I1409)&gt;0,I1409*가정!$B$3,K1409*(1+가정!$B$6)),IF(N(H1409)&gt;0,H1409*가정!$B$3,J1409*가정!$B$4))</f>
        <v>25075.152</v>
      </c>
      <c r="M1409" s="95" t="n">
        <f aca="false">D1409*J1409</f>
        <v>1035000</v>
      </c>
      <c r="N1409" s="95" t="n">
        <f aca="false">D1409*K1409</f>
        <v>248460</v>
      </c>
      <c r="O1409" s="95" t="n">
        <f aca="false">D1409*L1409</f>
        <v>376127.28</v>
      </c>
      <c r="P1409" s="34" t="str">
        <f aca="false">TRIM(IF(N(E1409)&lt;=0,"택가보정 ","")&amp;IF(N(F1409)&lt;=0,"원가보정 ","")&amp;IF(AND(B1409&lt;&gt;"CN",N(H1409)&lt;=0),"공급가보정 ","")&amp;IF(AND(B1409="CN",N(I1409)&lt;=0),"중국공급가=원가+마진 ",""))</f>
        <v/>
      </c>
    </row>
    <row r="1410" customFormat="false" ht="15" hidden="false" customHeight="true" outlineLevel="0" collapsed="false">
      <c r="A1410" s="94" t="s">
        <v>1692</v>
      </c>
      <c r="B1410" s="34" t="str">
        <f aca="false">IF(A1410="100","HK",IF(A1410="200","CN",IF(A1410="300","TW","홀세일")))</f>
        <v>홀세일</v>
      </c>
      <c r="C1410" s="94" t="s">
        <v>1472</v>
      </c>
      <c r="D1410" s="95" t="n">
        <v>262</v>
      </c>
      <c r="E1410" s="95" t="n">
        <v>69000</v>
      </c>
      <c r="F1410" s="95" t="n">
        <v>16564</v>
      </c>
      <c r="G1410" s="34" t="n">
        <v>3.55</v>
      </c>
      <c r="H1410" s="34" t="n">
        <v>18.4</v>
      </c>
      <c r="J1410" s="95" t="n">
        <f aca="false">IF(N(E1410)&gt;0,E1410,IF(N(F1410)&gt;0,F1410*가정!$B$5,0))</f>
        <v>69000</v>
      </c>
      <c r="K1410" s="95" t="n">
        <f aca="false">IF(N(F1410)&gt;0,F1410,IF(N(E1410)&gt;0,E1410/가정!$B$5,0))</f>
        <v>16564</v>
      </c>
      <c r="L1410" s="95" t="n">
        <f aca="false">IF(B1410="CN",IF(N(I1410)&gt;0,I1410*가정!$B$3,K1410*(1+가정!$B$6)),IF(N(H1410)&gt;0,H1410*가정!$B$3,J1410*가정!$B$4))</f>
        <v>25075.152</v>
      </c>
      <c r="M1410" s="95" t="n">
        <f aca="false">D1410*J1410</f>
        <v>18078000</v>
      </c>
      <c r="N1410" s="95" t="n">
        <f aca="false">D1410*K1410</f>
        <v>4339768</v>
      </c>
      <c r="O1410" s="95" t="n">
        <f aca="false">D1410*L1410</f>
        <v>6569689.824</v>
      </c>
      <c r="P1410" s="34" t="str">
        <f aca="false">TRIM(IF(N(E1410)&lt;=0,"택가보정 ","")&amp;IF(N(F1410)&lt;=0,"원가보정 ","")&amp;IF(AND(B1410&lt;&gt;"CN",N(H1410)&lt;=0),"공급가보정 ","")&amp;IF(AND(B1410="CN",N(I1410)&lt;=0),"중국공급가=원가+마진 ",""))</f>
        <v/>
      </c>
    </row>
    <row r="1411" customFormat="false" ht="15" hidden="false" customHeight="true" outlineLevel="0" collapsed="false">
      <c r="A1411" s="94" t="s">
        <v>1684</v>
      </c>
      <c r="B1411" s="34" t="str">
        <f aca="false">IF(A1411="100","HK",IF(A1411="200","CN",IF(A1411="300","TW","홀세일")))</f>
        <v>HK</v>
      </c>
      <c r="C1411" s="94" t="s">
        <v>1017</v>
      </c>
      <c r="D1411" s="95" t="n">
        <v>350</v>
      </c>
      <c r="E1411" s="95" t="n">
        <v>79000</v>
      </c>
      <c r="F1411" s="95" t="n">
        <v>20018</v>
      </c>
      <c r="G1411" s="34" t="n">
        <v>3.44</v>
      </c>
      <c r="H1411" s="34" t="n">
        <v>21</v>
      </c>
      <c r="J1411" s="95" t="n">
        <f aca="false">IF(N(E1411)&gt;0,E1411,IF(N(F1411)&gt;0,F1411*가정!$B$5,0))</f>
        <v>79000</v>
      </c>
      <c r="K1411" s="95" t="n">
        <f aca="false">IF(N(F1411)&gt;0,F1411,IF(N(E1411)&gt;0,E1411/가정!$B$5,0))</f>
        <v>20018</v>
      </c>
      <c r="L1411" s="95" t="n">
        <f aca="false">IF(B1411="CN",IF(N(I1411)&gt;0,I1411*가정!$B$3,K1411*(1+가정!$B$6)),IF(N(H1411)&gt;0,H1411*가정!$B$3,J1411*가정!$B$4))</f>
        <v>28618.38</v>
      </c>
      <c r="M1411" s="95" t="n">
        <f aca="false">D1411*J1411</f>
        <v>27650000</v>
      </c>
      <c r="N1411" s="95" t="n">
        <f aca="false">D1411*K1411</f>
        <v>7006300</v>
      </c>
      <c r="O1411" s="95" t="n">
        <f aca="false">D1411*L1411</f>
        <v>10016433</v>
      </c>
      <c r="P1411" s="34" t="str">
        <f aca="false">TRIM(IF(N(E1411)&lt;=0,"택가보정 ","")&amp;IF(N(F1411)&lt;=0,"원가보정 ","")&amp;IF(AND(B1411&lt;&gt;"CN",N(H1411)&lt;=0),"공급가보정 ","")&amp;IF(AND(B1411="CN",N(I1411)&lt;=0),"중국공급가=원가+마진 ",""))</f>
        <v/>
      </c>
    </row>
    <row r="1412" customFormat="false" ht="15" hidden="false" customHeight="true" outlineLevel="0" collapsed="false">
      <c r="A1412" s="94" t="s">
        <v>1692</v>
      </c>
      <c r="B1412" s="34" t="str">
        <f aca="false">IF(A1412="100","HK",IF(A1412="200","CN",IF(A1412="300","TW","홀세일")))</f>
        <v>홀세일</v>
      </c>
      <c r="C1412" s="94" t="s">
        <v>1017</v>
      </c>
      <c r="D1412" s="95" t="n">
        <v>61</v>
      </c>
      <c r="E1412" s="95" t="n">
        <v>79000</v>
      </c>
      <c r="F1412" s="95" t="n">
        <v>20018</v>
      </c>
      <c r="G1412" s="34" t="n">
        <v>3.44</v>
      </c>
      <c r="H1412" s="34" t="n">
        <v>21</v>
      </c>
      <c r="J1412" s="95" t="n">
        <f aca="false">IF(N(E1412)&gt;0,E1412,IF(N(F1412)&gt;0,F1412*가정!$B$5,0))</f>
        <v>79000</v>
      </c>
      <c r="K1412" s="95" t="n">
        <f aca="false">IF(N(F1412)&gt;0,F1412,IF(N(E1412)&gt;0,E1412/가정!$B$5,0))</f>
        <v>20018</v>
      </c>
      <c r="L1412" s="95" t="n">
        <f aca="false">IF(B1412="CN",IF(N(I1412)&gt;0,I1412*가정!$B$3,K1412*(1+가정!$B$6)),IF(N(H1412)&gt;0,H1412*가정!$B$3,J1412*가정!$B$4))</f>
        <v>28618.38</v>
      </c>
      <c r="M1412" s="95" t="n">
        <f aca="false">D1412*J1412</f>
        <v>4819000</v>
      </c>
      <c r="N1412" s="95" t="n">
        <f aca="false">D1412*K1412</f>
        <v>1221098</v>
      </c>
      <c r="O1412" s="95" t="n">
        <f aca="false">D1412*L1412</f>
        <v>1745721.18</v>
      </c>
      <c r="P1412" s="34" t="str">
        <f aca="false">TRIM(IF(N(E1412)&lt;=0,"택가보정 ","")&amp;IF(N(F1412)&lt;=0,"원가보정 ","")&amp;IF(AND(B1412&lt;&gt;"CN",N(H1412)&lt;=0),"공급가보정 ","")&amp;IF(AND(B1412="CN",N(I1412)&lt;=0),"중국공급가=원가+마진 ",""))</f>
        <v/>
      </c>
    </row>
    <row r="1413" customFormat="false" ht="15" hidden="false" customHeight="true" outlineLevel="0" collapsed="false">
      <c r="A1413" s="94" t="s">
        <v>1689</v>
      </c>
      <c r="B1413" s="34" t="str">
        <f aca="false">IF(A1413="100","HK",IF(A1413="200","CN",IF(A1413="300","TW","홀세일")))</f>
        <v>홀세일</v>
      </c>
      <c r="C1413" s="94" t="s">
        <v>1017</v>
      </c>
      <c r="D1413" s="95" t="n">
        <v>20</v>
      </c>
      <c r="E1413" s="95" t="n">
        <v>79000</v>
      </c>
      <c r="F1413" s="95" t="n">
        <v>20018</v>
      </c>
      <c r="G1413" s="34" t="n">
        <v>3.44</v>
      </c>
      <c r="H1413" s="34" t="n">
        <v>21</v>
      </c>
      <c r="J1413" s="95" t="n">
        <f aca="false">IF(N(E1413)&gt;0,E1413,IF(N(F1413)&gt;0,F1413*가정!$B$5,0))</f>
        <v>79000</v>
      </c>
      <c r="K1413" s="95" t="n">
        <f aca="false">IF(N(F1413)&gt;0,F1413,IF(N(E1413)&gt;0,E1413/가정!$B$5,0))</f>
        <v>20018</v>
      </c>
      <c r="L1413" s="95" t="n">
        <f aca="false">IF(B1413="CN",IF(N(I1413)&gt;0,I1413*가정!$B$3,K1413*(1+가정!$B$6)),IF(N(H1413)&gt;0,H1413*가정!$B$3,J1413*가정!$B$4))</f>
        <v>28618.38</v>
      </c>
      <c r="M1413" s="95" t="n">
        <f aca="false">D1413*J1413</f>
        <v>1580000</v>
      </c>
      <c r="N1413" s="95" t="n">
        <f aca="false">D1413*K1413</f>
        <v>400360</v>
      </c>
      <c r="O1413" s="95" t="n">
        <f aca="false">D1413*L1413</f>
        <v>572367.6</v>
      </c>
      <c r="P1413" s="34" t="str">
        <f aca="false">TRIM(IF(N(E1413)&lt;=0,"택가보정 ","")&amp;IF(N(F1413)&lt;=0,"원가보정 ","")&amp;IF(AND(B1413&lt;&gt;"CN",N(H1413)&lt;=0),"공급가보정 ","")&amp;IF(AND(B1413="CN",N(I1413)&lt;=0),"중국공급가=원가+마진 ",""))</f>
        <v/>
      </c>
    </row>
    <row r="1414" customFormat="false" ht="15" hidden="false" customHeight="true" outlineLevel="0" collapsed="false">
      <c r="A1414" s="94" t="s">
        <v>1689</v>
      </c>
      <c r="B1414" s="34" t="str">
        <f aca="false">IF(A1414="100","HK",IF(A1414="200","CN",IF(A1414="300","TW","홀세일")))</f>
        <v>홀세일</v>
      </c>
      <c r="C1414" s="94" t="s">
        <v>1017</v>
      </c>
      <c r="D1414" s="95" t="n">
        <v>20</v>
      </c>
      <c r="E1414" s="95" t="n">
        <v>79000</v>
      </c>
      <c r="F1414" s="95" t="n">
        <v>20018</v>
      </c>
      <c r="G1414" s="34" t="n">
        <v>3.44</v>
      </c>
      <c r="H1414" s="34" t="n">
        <v>21</v>
      </c>
      <c r="J1414" s="95" t="n">
        <f aca="false">IF(N(E1414)&gt;0,E1414,IF(N(F1414)&gt;0,F1414*가정!$B$5,0))</f>
        <v>79000</v>
      </c>
      <c r="K1414" s="95" t="n">
        <f aca="false">IF(N(F1414)&gt;0,F1414,IF(N(E1414)&gt;0,E1414/가정!$B$5,0))</f>
        <v>20018</v>
      </c>
      <c r="L1414" s="95" t="n">
        <f aca="false">IF(B1414="CN",IF(N(I1414)&gt;0,I1414*가정!$B$3,K1414*(1+가정!$B$6)),IF(N(H1414)&gt;0,H1414*가정!$B$3,J1414*가정!$B$4))</f>
        <v>28618.38</v>
      </c>
      <c r="M1414" s="95" t="n">
        <f aca="false">D1414*J1414</f>
        <v>1580000</v>
      </c>
      <c r="N1414" s="95" t="n">
        <f aca="false">D1414*K1414</f>
        <v>400360</v>
      </c>
      <c r="O1414" s="95" t="n">
        <f aca="false">D1414*L1414</f>
        <v>572367.6</v>
      </c>
      <c r="P1414" s="34" t="str">
        <f aca="false">TRIM(IF(N(E1414)&lt;=0,"택가보정 ","")&amp;IF(N(F1414)&lt;=0,"원가보정 ","")&amp;IF(AND(B1414&lt;&gt;"CN",N(H1414)&lt;=0),"공급가보정 ","")&amp;IF(AND(B1414="CN",N(I1414)&lt;=0),"중국공급가=원가+마진 ",""))</f>
        <v/>
      </c>
    </row>
    <row r="1415" customFormat="false" ht="15" hidden="false" customHeight="true" outlineLevel="0" collapsed="false">
      <c r="A1415" s="94" t="s">
        <v>1684</v>
      </c>
      <c r="B1415" s="34" t="str">
        <f aca="false">IF(A1415="100","HK",IF(A1415="200","CN",IF(A1415="300","TW","홀세일")))</f>
        <v>HK</v>
      </c>
      <c r="C1415" s="94" t="s">
        <v>670</v>
      </c>
      <c r="D1415" s="95" t="n">
        <v>350</v>
      </c>
      <c r="E1415" s="95" t="n">
        <v>69000</v>
      </c>
      <c r="F1415" s="95" t="n">
        <v>17274</v>
      </c>
      <c r="G1415" s="34" t="n">
        <v>3.43</v>
      </c>
      <c r="H1415" s="34" t="n">
        <v>18.4</v>
      </c>
      <c r="J1415" s="95" t="n">
        <f aca="false">IF(N(E1415)&gt;0,E1415,IF(N(F1415)&gt;0,F1415*가정!$B$5,0))</f>
        <v>69000</v>
      </c>
      <c r="K1415" s="95" t="n">
        <f aca="false">IF(N(F1415)&gt;0,F1415,IF(N(E1415)&gt;0,E1415/가정!$B$5,0))</f>
        <v>17274</v>
      </c>
      <c r="L1415" s="95" t="n">
        <f aca="false">IF(B1415="CN",IF(N(I1415)&gt;0,I1415*가정!$B$3,K1415*(1+가정!$B$6)),IF(N(H1415)&gt;0,H1415*가정!$B$3,J1415*가정!$B$4))</f>
        <v>25075.152</v>
      </c>
      <c r="M1415" s="95" t="n">
        <f aca="false">D1415*J1415</f>
        <v>24150000</v>
      </c>
      <c r="N1415" s="95" t="n">
        <f aca="false">D1415*K1415</f>
        <v>6045900</v>
      </c>
      <c r="O1415" s="95" t="n">
        <f aca="false">D1415*L1415</f>
        <v>8776303.2</v>
      </c>
      <c r="P1415" s="34" t="str">
        <f aca="false">TRIM(IF(N(E1415)&lt;=0,"택가보정 ","")&amp;IF(N(F1415)&lt;=0,"원가보정 ","")&amp;IF(AND(B1415&lt;&gt;"CN",N(H1415)&lt;=0),"공급가보정 ","")&amp;IF(AND(B1415="CN",N(I1415)&lt;=0),"중국공급가=원가+마진 ",""))</f>
        <v/>
      </c>
    </row>
    <row r="1416" customFormat="false" ht="15.75" hidden="false" customHeight="true" outlineLevel="0" collapsed="false">
      <c r="A1416" s="94" t="s">
        <v>1685</v>
      </c>
      <c r="B1416" s="34" t="str">
        <f aca="false">IF(A1416="100","HK",IF(A1416="200","CN",IF(A1416="300","TW","홀세일")))</f>
        <v>CN</v>
      </c>
      <c r="C1416" s="94" t="s">
        <v>670</v>
      </c>
      <c r="D1416" s="95" t="n">
        <v>123</v>
      </c>
      <c r="E1416" s="95" t="n">
        <v>69000</v>
      </c>
      <c r="F1416" s="95" t="n">
        <v>17274</v>
      </c>
      <c r="G1416" s="34" t="n">
        <v>3.43</v>
      </c>
      <c r="H1416" s="34" t="n">
        <v>18.4</v>
      </c>
      <c r="J1416" s="95" t="n">
        <f aca="false">IF(N(E1416)&gt;0,E1416,IF(N(F1416)&gt;0,F1416*가정!$B$5,0))</f>
        <v>69000</v>
      </c>
      <c r="K1416" s="95" t="n">
        <f aca="false">IF(N(F1416)&gt;0,F1416,IF(N(E1416)&gt;0,E1416/가정!$B$5,0))</f>
        <v>17274</v>
      </c>
      <c r="L1416" s="95" t="n">
        <f aca="false">IF(B1416="CN",IF(N(I1416)&gt;0,I1416*가정!$B$3,K1416*(1+가정!$B$6)),IF(N(H1416)&gt;0,H1416*가정!$B$3,J1416*가정!$B$4))</f>
        <v>18137.7</v>
      </c>
      <c r="M1416" s="95" t="n">
        <f aca="false">D1416*J1416</f>
        <v>8487000</v>
      </c>
      <c r="N1416" s="95" t="n">
        <f aca="false">D1416*K1416</f>
        <v>2124702</v>
      </c>
      <c r="O1416" s="95" t="n">
        <f aca="false">D1416*L1416</f>
        <v>2230937.1</v>
      </c>
      <c r="P1416" s="34" t="str">
        <f aca="false">TRIM(IF(N(E1416)&lt;=0,"택가보정 ","")&amp;IF(N(F1416)&lt;=0,"원가보정 ","")&amp;IF(AND(B1416&lt;&gt;"CN",N(H1416)&lt;=0),"공급가보정 ","")&amp;IF(AND(B1416="CN",N(I1416)&lt;=0),"중국공급가=원가+마진 ",""))</f>
        <v>중국공급가=원가+마진</v>
      </c>
    </row>
    <row r="1417" customFormat="false" ht="15" hidden="false" customHeight="true" outlineLevel="0" collapsed="false">
      <c r="A1417" s="94" t="s">
        <v>1686</v>
      </c>
      <c r="B1417" s="34" t="str">
        <f aca="false">IF(A1417="100","HK",IF(A1417="200","CN",IF(A1417="300","TW","홀세일")))</f>
        <v>TW</v>
      </c>
      <c r="C1417" s="94" t="s">
        <v>670</v>
      </c>
      <c r="D1417" s="95" t="n">
        <v>200</v>
      </c>
      <c r="E1417" s="95" t="n">
        <v>69000</v>
      </c>
      <c r="F1417" s="95" t="n">
        <v>17274</v>
      </c>
      <c r="G1417" s="34" t="n">
        <v>3.43</v>
      </c>
      <c r="H1417" s="34" t="n">
        <v>18.4</v>
      </c>
      <c r="J1417" s="95" t="n">
        <f aca="false">IF(N(E1417)&gt;0,E1417,IF(N(F1417)&gt;0,F1417*가정!$B$5,0))</f>
        <v>69000</v>
      </c>
      <c r="K1417" s="95" t="n">
        <f aca="false">IF(N(F1417)&gt;0,F1417,IF(N(E1417)&gt;0,E1417/가정!$B$5,0))</f>
        <v>17274</v>
      </c>
      <c r="L1417" s="95" t="n">
        <f aca="false">IF(B1417="CN",IF(N(I1417)&gt;0,I1417*가정!$B$3,K1417*(1+가정!$B$6)),IF(N(H1417)&gt;0,H1417*가정!$B$3,J1417*가정!$B$4))</f>
        <v>25075.152</v>
      </c>
      <c r="M1417" s="95" t="n">
        <f aca="false">D1417*J1417</f>
        <v>13800000</v>
      </c>
      <c r="N1417" s="95" t="n">
        <f aca="false">D1417*K1417</f>
        <v>3454800</v>
      </c>
      <c r="O1417" s="95" t="n">
        <f aca="false">D1417*L1417</f>
        <v>5015030.4</v>
      </c>
      <c r="P1417" s="34" t="str">
        <f aca="false">TRIM(IF(N(E1417)&lt;=0,"택가보정 ","")&amp;IF(N(F1417)&lt;=0,"원가보정 ","")&amp;IF(AND(B1417&lt;&gt;"CN",N(H1417)&lt;=0),"공급가보정 ","")&amp;IF(AND(B1417="CN",N(I1417)&lt;=0),"중국공급가=원가+마진 ",""))</f>
        <v/>
      </c>
    </row>
    <row r="1418" customFormat="false" ht="15" hidden="false" customHeight="true" outlineLevel="0" collapsed="false">
      <c r="A1418" s="94" t="s">
        <v>1688</v>
      </c>
      <c r="B1418" s="34" t="str">
        <f aca="false">IF(A1418="100","HK",IF(A1418="200","CN",IF(A1418="300","TW","홀세일")))</f>
        <v>홀세일</v>
      </c>
      <c r="C1418" s="94" t="s">
        <v>670</v>
      </c>
      <c r="D1418" s="95" t="n">
        <v>20</v>
      </c>
      <c r="E1418" s="95" t="n">
        <v>69000</v>
      </c>
      <c r="F1418" s="95" t="n">
        <v>17274</v>
      </c>
      <c r="G1418" s="34" t="n">
        <v>3.43</v>
      </c>
      <c r="H1418" s="34" t="n">
        <v>18.4</v>
      </c>
      <c r="J1418" s="95" t="n">
        <f aca="false">IF(N(E1418)&gt;0,E1418,IF(N(F1418)&gt;0,F1418*가정!$B$5,0))</f>
        <v>69000</v>
      </c>
      <c r="K1418" s="95" t="n">
        <f aca="false">IF(N(F1418)&gt;0,F1418,IF(N(E1418)&gt;0,E1418/가정!$B$5,0))</f>
        <v>17274</v>
      </c>
      <c r="L1418" s="95" t="n">
        <f aca="false">IF(B1418="CN",IF(N(I1418)&gt;0,I1418*가정!$B$3,K1418*(1+가정!$B$6)),IF(N(H1418)&gt;0,H1418*가정!$B$3,J1418*가정!$B$4))</f>
        <v>25075.152</v>
      </c>
      <c r="M1418" s="95" t="n">
        <f aca="false">D1418*J1418</f>
        <v>1380000</v>
      </c>
      <c r="N1418" s="95" t="n">
        <f aca="false">D1418*K1418</f>
        <v>345480</v>
      </c>
      <c r="O1418" s="95" t="n">
        <f aca="false">D1418*L1418</f>
        <v>501503.04</v>
      </c>
      <c r="P1418" s="34" t="str">
        <f aca="false">TRIM(IF(N(E1418)&lt;=0,"택가보정 ","")&amp;IF(N(F1418)&lt;=0,"원가보정 ","")&amp;IF(AND(B1418&lt;&gt;"CN",N(H1418)&lt;=0),"공급가보정 ","")&amp;IF(AND(B1418="CN",N(I1418)&lt;=0),"중국공급가=원가+마진 ",""))</f>
        <v/>
      </c>
    </row>
    <row r="1419" customFormat="false" ht="15" hidden="false" customHeight="true" outlineLevel="0" collapsed="false">
      <c r="A1419" s="94" t="s">
        <v>1689</v>
      </c>
      <c r="B1419" s="34" t="str">
        <f aca="false">IF(A1419="100","HK",IF(A1419="200","CN",IF(A1419="300","TW","홀세일")))</f>
        <v>홀세일</v>
      </c>
      <c r="C1419" s="94" t="s">
        <v>670</v>
      </c>
      <c r="D1419" s="95" t="n">
        <v>20</v>
      </c>
      <c r="E1419" s="95" t="n">
        <v>69000</v>
      </c>
      <c r="F1419" s="95" t="n">
        <v>17274</v>
      </c>
      <c r="G1419" s="34" t="n">
        <v>3.43</v>
      </c>
      <c r="H1419" s="34" t="n">
        <v>18.4</v>
      </c>
      <c r="J1419" s="95" t="n">
        <f aca="false">IF(N(E1419)&gt;0,E1419,IF(N(F1419)&gt;0,F1419*가정!$B$5,0))</f>
        <v>69000</v>
      </c>
      <c r="K1419" s="95" t="n">
        <f aca="false">IF(N(F1419)&gt;0,F1419,IF(N(E1419)&gt;0,E1419/가정!$B$5,0))</f>
        <v>17274</v>
      </c>
      <c r="L1419" s="95" t="n">
        <f aca="false">IF(B1419="CN",IF(N(I1419)&gt;0,I1419*가정!$B$3,K1419*(1+가정!$B$6)),IF(N(H1419)&gt;0,H1419*가정!$B$3,J1419*가정!$B$4))</f>
        <v>25075.152</v>
      </c>
      <c r="M1419" s="95" t="n">
        <f aca="false">D1419*J1419</f>
        <v>1380000</v>
      </c>
      <c r="N1419" s="95" t="n">
        <f aca="false">D1419*K1419</f>
        <v>345480</v>
      </c>
      <c r="O1419" s="95" t="n">
        <f aca="false">D1419*L1419</f>
        <v>501503.04</v>
      </c>
      <c r="P1419" s="34" t="str">
        <f aca="false">TRIM(IF(N(E1419)&lt;=0,"택가보정 ","")&amp;IF(N(F1419)&lt;=0,"원가보정 ","")&amp;IF(AND(B1419&lt;&gt;"CN",N(H1419)&lt;=0),"공급가보정 ","")&amp;IF(AND(B1419="CN",N(I1419)&lt;=0),"중국공급가=원가+마진 ",""))</f>
        <v/>
      </c>
    </row>
    <row r="1420" customFormat="false" ht="15" hidden="false" customHeight="true" outlineLevel="0" collapsed="false">
      <c r="A1420" s="94" t="s">
        <v>1689</v>
      </c>
      <c r="B1420" s="34" t="str">
        <f aca="false">IF(A1420="100","HK",IF(A1420="200","CN",IF(A1420="300","TW","홀세일")))</f>
        <v>홀세일</v>
      </c>
      <c r="C1420" s="94" t="s">
        <v>670</v>
      </c>
      <c r="D1420" s="95" t="n">
        <v>20</v>
      </c>
      <c r="E1420" s="95" t="n">
        <v>69000</v>
      </c>
      <c r="F1420" s="95" t="n">
        <v>17274</v>
      </c>
      <c r="G1420" s="34" t="n">
        <v>3.43</v>
      </c>
      <c r="H1420" s="34" t="n">
        <v>18.4</v>
      </c>
      <c r="J1420" s="95" t="n">
        <f aca="false">IF(N(E1420)&gt;0,E1420,IF(N(F1420)&gt;0,F1420*가정!$B$5,0))</f>
        <v>69000</v>
      </c>
      <c r="K1420" s="95" t="n">
        <f aca="false">IF(N(F1420)&gt;0,F1420,IF(N(E1420)&gt;0,E1420/가정!$B$5,0))</f>
        <v>17274</v>
      </c>
      <c r="L1420" s="95" t="n">
        <f aca="false">IF(B1420="CN",IF(N(I1420)&gt;0,I1420*가정!$B$3,K1420*(1+가정!$B$6)),IF(N(H1420)&gt;0,H1420*가정!$B$3,J1420*가정!$B$4))</f>
        <v>25075.152</v>
      </c>
      <c r="M1420" s="95" t="n">
        <f aca="false">D1420*J1420</f>
        <v>1380000</v>
      </c>
      <c r="N1420" s="95" t="n">
        <f aca="false">D1420*K1420</f>
        <v>345480</v>
      </c>
      <c r="O1420" s="95" t="n">
        <f aca="false">D1420*L1420</f>
        <v>501503.04</v>
      </c>
      <c r="P1420" s="34" t="str">
        <f aca="false">TRIM(IF(N(E1420)&lt;=0,"택가보정 ","")&amp;IF(N(F1420)&lt;=0,"원가보정 ","")&amp;IF(AND(B1420&lt;&gt;"CN",N(H1420)&lt;=0),"공급가보정 ","")&amp;IF(AND(B1420="CN",N(I1420)&lt;=0),"중국공급가=원가+마진 ",""))</f>
        <v/>
      </c>
    </row>
    <row r="1421" customFormat="false" ht="15" hidden="false" customHeight="true" outlineLevel="0" collapsed="false">
      <c r="A1421" s="94" t="s">
        <v>1690</v>
      </c>
      <c r="B1421" s="34" t="str">
        <f aca="false">IF(A1421="100","HK",IF(A1421="200","CN",IF(A1421="300","TW","홀세일")))</f>
        <v>홀세일</v>
      </c>
      <c r="C1421" s="94" t="s">
        <v>670</v>
      </c>
      <c r="D1421" s="95" t="n">
        <v>48</v>
      </c>
      <c r="E1421" s="95" t="n">
        <v>69000</v>
      </c>
      <c r="F1421" s="95" t="n">
        <v>17274</v>
      </c>
      <c r="G1421" s="34" t="n">
        <v>3.43</v>
      </c>
      <c r="H1421" s="34" t="n">
        <v>18.4</v>
      </c>
      <c r="J1421" s="95" t="n">
        <f aca="false">IF(N(E1421)&gt;0,E1421,IF(N(F1421)&gt;0,F1421*가정!$B$5,0))</f>
        <v>69000</v>
      </c>
      <c r="K1421" s="95" t="n">
        <f aca="false">IF(N(F1421)&gt;0,F1421,IF(N(E1421)&gt;0,E1421/가정!$B$5,0))</f>
        <v>17274</v>
      </c>
      <c r="L1421" s="95" t="n">
        <f aca="false">IF(B1421="CN",IF(N(I1421)&gt;0,I1421*가정!$B$3,K1421*(1+가정!$B$6)),IF(N(H1421)&gt;0,H1421*가정!$B$3,J1421*가정!$B$4))</f>
        <v>25075.152</v>
      </c>
      <c r="M1421" s="95" t="n">
        <f aca="false">D1421*J1421</f>
        <v>3312000</v>
      </c>
      <c r="N1421" s="95" t="n">
        <f aca="false">D1421*K1421</f>
        <v>829152</v>
      </c>
      <c r="O1421" s="95" t="n">
        <f aca="false">D1421*L1421</f>
        <v>1203607.296</v>
      </c>
      <c r="P1421" s="34" t="str">
        <f aca="false">TRIM(IF(N(E1421)&lt;=0,"택가보정 ","")&amp;IF(N(F1421)&lt;=0,"원가보정 ","")&amp;IF(AND(B1421&lt;&gt;"CN",N(H1421)&lt;=0),"공급가보정 ","")&amp;IF(AND(B1421="CN",N(I1421)&lt;=0),"중국공급가=원가+마진 ",""))</f>
        <v/>
      </c>
    </row>
    <row r="1422" customFormat="false" ht="15" hidden="false" customHeight="true" outlineLevel="0" collapsed="false">
      <c r="A1422" s="94" t="s">
        <v>1684</v>
      </c>
      <c r="B1422" s="34" t="str">
        <f aca="false">IF(A1422="100","HK",IF(A1422="200","CN",IF(A1422="300","TW","홀세일")))</f>
        <v>HK</v>
      </c>
      <c r="C1422" s="94" t="s">
        <v>1019</v>
      </c>
      <c r="D1422" s="95" t="n">
        <v>100</v>
      </c>
      <c r="E1422" s="95" t="n">
        <v>39000</v>
      </c>
      <c r="F1422" s="95" t="n">
        <v>9311</v>
      </c>
      <c r="G1422" s="34" t="n">
        <v>2.55</v>
      </c>
      <c r="H1422" s="34" t="n">
        <v>10.4</v>
      </c>
      <c r="J1422" s="95" t="n">
        <f aca="false">IF(N(E1422)&gt;0,E1422,IF(N(F1422)&gt;0,F1422*가정!$B$5,0))</f>
        <v>39000</v>
      </c>
      <c r="K1422" s="95" t="n">
        <f aca="false">IF(N(F1422)&gt;0,F1422,IF(N(E1422)&gt;0,E1422/가정!$B$5,0))</f>
        <v>9311</v>
      </c>
      <c r="L1422" s="95" t="n">
        <f aca="false">IF(B1422="CN",IF(N(I1422)&gt;0,I1422*가정!$B$3,K1422*(1+가정!$B$6)),IF(N(H1422)&gt;0,H1422*가정!$B$3,J1422*가정!$B$4))</f>
        <v>14172.912</v>
      </c>
      <c r="M1422" s="95" t="n">
        <f aca="false">D1422*J1422</f>
        <v>3900000</v>
      </c>
      <c r="N1422" s="95" t="n">
        <f aca="false">D1422*K1422</f>
        <v>931100</v>
      </c>
      <c r="O1422" s="95" t="n">
        <f aca="false">D1422*L1422</f>
        <v>1417291.2</v>
      </c>
      <c r="P1422" s="34" t="str">
        <f aca="false">TRIM(IF(N(E1422)&lt;=0,"택가보정 ","")&amp;IF(N(F1422)&lt;=0,"원가보정 ","")&amp;IF(AND(B1422&lt;&gt;"CN",N(H1422)&lt;=0),"공급가보정 ","")&amp;IF(AND(B1422="CN",N(I1422)&lt;=0),"중국공급가=원가+마진 ",""))</f>
        <v/>
      </c>
    </row>
    <row r="1423" customFormat="false" ht="15" hidden="false" customHeight="true" outlineLevel="0" collapsed="false">
      <c r="A1423" s="94" t="s">
        <v>1692</v>
      </c>
      <c r="B1423" s="34" t="str">
        <f aca="false">IF(A1423="100","HK",IF(A1423="200","CN",IF(A1423="300","TW","홀세일")))</f>
        <v>홀세일</v>
      </c>
      <c r="C1423" s="94" t="s">
        <v>1019</v>
      </c>
      <c r="D1423" s="95" t="n">
        <v>190</v>
      </c>
      <c r="E1423" s="95" t="n">
        <v>39000</v>
      </c>
      <c r="F1423" s="95" t="n">
        <v>9311</v>
      </c>
      <c r="G1423" s="34" t="n">
        <v>2.55</v>
      </c>
      <c r="H1423" s="34" t="n">
        <v>10.4</v>
      </c>
      <c r="J1423" s="95" t="n">
        <f aca="false">IF(N(E1423)&gt;0,E1423,IF(N(F1423)&gt;0,F1423*가정!$B$5,0))</f>
        <v>39000</v>
      </c>
      <c r="K1423" s="95" t="n">
        <f aca="false">IF(N(F1423)&gt;0,F1423,IF(N(E1423)&gt;0,E1423/가정!$B$5,0))</f>
        <v>9311</v>
      </c>
      <c r="L1423" s="95" t="n">
        <f aca="false">IF(B1423="CN",IF(N(I1423)&gt;0,I1423*가정!$B$3,K1423*(1+가정!$B$6)),IF(N(H1423)&gt;0,H1423*가정!$B$3,J1423*가정!$B$4))</f>
        <v>14172.912</v>
      </c>
      <c r="M1423" s="95" t="n">
        <f aca="false">D1423*J1423</f>
        <v>7410000</v>
      </c>
      <c r="N1423" s="95" t="n">
        <f aca="false">D1423*K1423</f>
        <v>1769090</v>
      </c>
      <c r="O1423" s="95" t="n">
        <f aca="false">D1423*L1423</f>
        <v>2692853.28</v>
      </c>
      <c r="P1423" s="34" t="str">
        <f aca="false">TRIM(IF(N(E1423)&lt;=0,"택가보정 ","")&amp;IF(N(F1423)&lt;=0,"원가보정 ","")&amp;IF(AND(B1423&lt;&gt;"CN",N(H1423)&lt;=0),"공급가보정 ","")&amp;IF(AND(B1423="CN",N(I1423)&lt;=0),"중국공급가=원가+마진 ",""))</f>
        <v/>
      </c>
    </row>
    <row r="1424" customFormat="false" ht="15" hidden="false" customHeight="true" outlineLevel="0" collapsed="false">
      <c r="A1424" s="94" t="s">
        <v>1684</v>
      </c>
      <c r="B1424" s="34" t="str">
        <f aca="false">IF(A1424="100","HK",IF(A1424="200","CN",IF(A1424="300","TW","홀세일")))</f>
        <v>HK</v>
      </c>
      <c r="C1424" s="94" t="s">
        <v>1021</v>
      </c>
      <c r="D1424" s="95" t="n">
        <v>100</v>
      </c>
      <c r="E1424" s="95" t="n">
        <v>49000</v>
      </c>
      <c r="F1424" s="95" t="n">
        <v>12043</v>
      </c>
      <c r="G1424" s="34" t="n">
        <v>1.98</v>
      </c>
      <c r="H1424" s="34" t="n">
        <v>13.1</v>
      </c>
      <c r="J1424" s="95" t="n">
        <f aca="false">IF(N(E1424)&gt;0,E1424,IF(N(F1424)&gt;0,F1424*가정!$B$5,0))</f>
        <v>49000</v>
      </c>
      <c r="K1424" s="95" t="n">
        <f aca="false">IF(N(F1424)&gt;0,F1424,IF(N(E1424)&gt;0,E1424/가정!$B$5,0))</f>
        <v>12043</v>
      </c>
      <c r="L1424" s="95" t="n">
        <f aca="false">IF(B1424="CN",IF(N(I1424)&gt;0,I1424*가정!$B$3,K1424*(1+가정!$B$6)),IF(N(H1424)&gt;0,H1424*가정!$B$3,J1424*가정!$B$4))</f>
        <v>17852.418</v>
      </c>
      <c r="M1424" s="95" t="n">
        <f aca="false">D1424*J1424</f>
        <v>4900000</v>
      </c>
      <c r="N1424" s="95" t="n">
        <f aca="false">D1424*K1424</f>
        <v>1204300</v>
      </c>
      <c r="O1424" s="95" t="n">
        <f aca="false">D1424*L1424</f>
        <v>1785241.8</v>
      </c>
      <c r="P1424" s="34" t="str">
        <f aca="false">TRIM(IF(N(E1424)&lt;=0,"택가보정 ","")&amp;IF(N(F1424)&lt;=0,"원가보정 ","")&amp;IF(AND(B1424&lt;&gt;"CN",N(H1424)&lt;=0),"공급가보정 ","")&amp;IF(AND(B1424="CN",N(I1424)&lt;=0),"중국공급가=원가+마진 ",""))</f>
        <v/>
      </c>
    </row>
    <row r="1425" customFormat="false" ht="15" hidden="false" customHeight="true" outlineLevel="0" collapsed="false">
      <c r="A1425" s="94" t="s">
        <v>1692</v>
      </c>
      <c r="B1425" s="34" t="str">
        <f aca="false">IF(A1425="100","HK",IF(A1425="200","CN",IF(A1425="300","TW","홀세일")))</f>
        <v>홀세일</v>
      </c>
      <c r="C1425" s="94" t="s">
        <v>1021</v>
      </c>
      <c r="D1425" s="95" t="n">
        <v>190</v>
      </c>
      <c r="E1425" s="95" t="n">
        <v>49000</v>
      </c>
      <c r="F1425" s="95" t="n">
        <v>12043</v>
      </c>
      <c r="G1425" s="34" t="n">
        <v>1.98</v>
      </c>
      <c r="H1425" s="34" t="n">
        <v>13.1</v>
      </c>
      <c r="J1425" s="95" t="n">
        <f aca="false">IF(N(E1425)&gt;0,E1425,IF(N(F1425)&gt;0,F1425*가정!$B$5,0))</f>
        <v>49000</v>
      </c>
      <c r="K1425" s="95" t="n">
        <f aca="false">IF(N(F1425)&gt;0,F1425,IF(N(E1425)&gt;0,E1425/가정!$B$5,0))</f>
        <v>12043</v>
      </c>
      <c r="L1425" s="95" t="n">
        <f aca="false">IF(B1425="CN",IF(N(I1425)&gt;0,I1425*가정!$B$3,K1425*(1+가정!$B$6)),IF(N(H1425)&gt;0,H1425*가정!$B$3,J1425*가정!$B$4))</f>
        <v>17852.418</v>
      </c>
      <c r="M1425" s="95" t="n">
        <f aca="false">D1425*J1425</f>
        <v>9310000</v>
      </c>
      <c r="N1425" s="95" t="n">
        <f aca="false">D1425*K1425</f>
        <v>2288170</v>
      </c>
      <c r="O1425" s="95" t="n">
        <f aca="false">D1425*L1425</f>
        <v>3391959.42</v>
      </c>
      <c r="P1425" s="34" t="str">
        <f aca="false">TRIM(IF(N(E1425)&lt;=0,"택가보정 ","")&amp;IF(N(F1425)&lt;=0,"원가보정 ","")&amp;IF(AND(B1425&lt;&gt;"CN",N(H1425)&lt;=0),"공급가보정 ","")&amp;IF(AND(B1425="CN",N(I1425)&lt;=0),"중국공급가=원가+마진 ",""))</f>
        <v/>
      </c>
    </row>
    <row r="1426" customFormat="false" ht="15" hidden="false" customHeight="true" outlineLevel="0" collapsed="false">
      <c r="A1426" s="94" t="s">
        <v>1692</v>
      </c>
      <c r="B1426" s="34" t="str">
        <f aca="false">IF(A1426="100","HK",IF(A1426="200","CN",IF(A1426="300","TW","홀세일")))</f>
        <v>홀세일</v>
      </c>
      <c r="C1426" s="94" t="s">
        <v>1468</v>
      </c>
      <c r="D1426" s="95" t="n">
        <v>190</v>
      </c>
      <c r="E1426" s="95" t="n">
        <v>59000</v>
      </c>
      <c r="F1426" s="95" t="n">
        <v>13538</v>
      </c>
      <c r="G1426" s="34" t="n">
        <v>2.35</v>
      </c>
      <c r="H1426" s="34" t="n">
        <v>15.7</v>
      </c>
      <c r="J1426" s="95" t="n">
        <f aca="false">IF(N(E1426)&gt;0,E1426,IF(N(F1426)&gt;0,F1426*가정!$B$5,0))</f>
        <v>59000</v>
      </c>
      <c r="K1426" s="95" t="n">
        <f aca="false">IF(N(F1426)&gt;0,F1426,IF(N(E1426)&gt;0,E1426/가정!$B$5,0))</f>
        <v>13538</v>
      </c>
      <c r="L1426" s="95" t="n">
        <f aca="false">IF(B1426="CN",IF(N(I1426)&gt;0,I1426*가정!$B$3,K1426*(1+가정!$B$6)),IF(N(H1426)&gt;0,H1426*가정!$B$3,J1426*가정!$B$4))</f>
        <v>21395.646</v>
      </c>
      <c r="M1426" s="95" t="n">
        <f aca="false">D1426*J1426</f>
        <v>11210000</v>
      </c>
      <c r="N1426" s="95" t="n">
        <f aca="false">D1426*K1426</f>
        <v>2572220</v>
      </c>
      <c r="O1426" s="95" t="n">
        <f aca="false">D1426*L1426</f>
        <v>4065172.74</v>
      </c>
      <c r="P1426" s="34" t="str">
        <f aca="false">TRIM(IF(N(E1426)&lt;=0,"택가보정 ","")&amp;IF(N(F1426)&lt;=0,"원가보정 ","")&amp;IF(AND(B1426&lt;&gt;"CN",N(H1426)&lt;=0),"공급가보정 ","")&amp;IF(AND(B1426="CN",N(I1426)&lt;=0),"중국공급가=원가+마진 ",""))</f>
        <v/>
      </c>
    </row>
    <row r="1427" customFormat="false" ht="15" hidden="false" customHeight="true" outlineLevel="0" collapsed="false">
      <c r="A1427" s="94" t="s">
        <v>1684</v>
      </c>
      <c r="B1427" s="34" t="str">
        <f aca="false">IF(A1427="100","HK",IF(A1427="200","CN",IF(A1427="300","TW","홀세일")))</f>
        <v>HK</v>
      </c>
      <c r="C1427" s="94" t="s">
        <v>1023</v>
      </c>
      <c r="D1427" s="95" t="n">
        <v>80</v>
      </c>
      <c r="E1427" s="95" t="n">
        <v>59000</v>
      </c>
      <c r="F1427" s="95" t="n">
        <v>15231</v>
      </c>
      <c r="G1427" s="34" t="n">
        <v>2.95</v>
      </c>
      <c r="H1427" s="34" t="n">
        <v>15.7</v>
      </c>
      <c r="J1427" s="95" t="n">
        <f aca="false">IF(N(E1427)&gt;0,E1427,IF(N(F1427)&gt;0,F1427*가정!$B$5,0))</f>
        <v>59000</v>
      </c>
      <c r="K1427" s="95" t="n">
        <f aca="false">IF(N(F1427)&gt;0,F1427,IF(N(E1427)&gt;0,E1427/가정!$B$5,0))</f>
        <v>15231</v>
      </c>
      <c r="L1427" s="95" t="n">
        <f aca="false">IF(B1427="CN",IF(N(I1427)&gt;0,I1427*가정!$B$3,K1427*(1+가정!$B$6)),IF(N(H1427)&gt;0,H1427*가정!$B$3,J1427*가정!$B$4))</f>
        <v>21395.646</v>
      </c>
      <c r="M1427" s="95" t="n">
        <f aca="false">D1427*J1427</f>
        <v>4720000</v>
      </c>
      <c r="N1427" s="95" t="n">
        <f aca="false">D1427*K1427</f>
        <v>1218480</v>
      </c>
      <c r="O1427" s="95" t="n">
        <f aca="false">D1427*L1427</f>
        <v>1711651.68</v>
      </c>
      <c r="P1427" s="34" t="str">
        <f aca="false">TRIM(IF(N(E1427)&lt;=0,"택가보정 ","")&amp;IF(N(F1427)&lt;=0,"원가보정 ","")&amp;IF(AND(B1427&lt;&gt;"CN",N(H1427)&lt;=0),"공급가보정 ","")&amp;IF(AND(B1427="CN",N(I1427)&lt;=0),"중국공급가=원가+마진 ",""))</f>
        <v/>
      </c>
    </row>
    <row r="1428" customFormat="false" ht="15.75" hidden="false" customHeight="true" outlineLevel="0" collapsed="false">
      <c r="A1428" s="94" t="s">
        <v>1685</v>
      </c>
      <c r="B1428" s="34" t="str">
        <f aca="false">IF(A1428="100","HK",IF(A1428="200","CN",IF(A1428="300","TW","홀세일")))</f>
        <v>CN</v>
      </c>
      <c r="C1428" s="94" t="s">
        <v>1023</v>
      </c>
      <c r="D1428" s="95" t="n">
        <v>112</v>
      </c>
      <c r="E1428" s="95" t="n">
        <v>59000</v>
      </c>
      <c r="F1428" s="95" t="n">
        <v>15231</v>
      </c>
      <c r="G1428" s="34" t="n">
        <v>2.95</v>
      </c>
      <c r="H1428" s="34" t="n">
        <v>15.7</v>
      </c>
      <c r="J1428" s="95" t="n">
        <f aca="false">IF(N(E1428)&gt;0,E1428,IF(N(F1428)&gt;0,F1428*가정!$B$5,0))</f>
        <v>59000</v>
      </c>
      <c r="K1428" s="95" t="n">
        <f aca="false">IF(N(F1428)&gt;0,F1428,IF(N(E1428)&gt;0,E1428/가정!$B$5,0))</f>
        <v>15231</v>
      </c>
      <c r="L1428" s="95" t="n">
        <f aca="false">IF(B1428="CN",IF(N(I1428)&gt;0,I1428*가정!$B$3,K1428*(1+가정!$B$6)),IF(N(H1428)&gt;0,H1428*가정!$B$3,J1428*가정!$B$4))</f>
        <v>15992.55</v>
      </c>
      <c r="M1428" s="95" t="n">
        <f aca="false">D1428*J1428</f>
        <v>6608000</v>
      </c>
      <c r="N1428" s="95" t="n">
        <f aca="false">D1428*K1428</f>
        <v>1705872</v>
      </c>
      <c r="O1428" s="95" t="n">
        <f aca="false">D1428*L1428</f>
        <v>1791165.6</v>
      </c>
      <c r="P1428" s="34" t="str">
        <f aca="false">TRIM(IF(N(E1428)&lt;=0,"택가보정 ","")&amp;IF(N(F1428)&lt;=0,"원가보정 ","")&amp;IF(AND(B1428&lt;&gt;"CN",N(H1428)&lt;=0),"공급가보정 ","")&amp;IF(AND(B1428="CN",N(I1428)&lt;=0),"중국공급가=원가+마진 ",""))</f>
        <v>중국공급가=원가+마진</v>
      </c>
    </row>
    <row r="1429" customFormat="false" ht="15" hidden="false" customHeight="true" outlineLevel="0" collapsed="false">
      <c r="A1429" s="94" t="s">
        <v>1692</v>
      </c>
      <c r="B1429" s="34" t="str">
        <f aca="false">IF(A1429="100","HK",IF(A1429="200","CN",IF(A1429="300","TW","홀세일")))</f>
        <v>홀세일</v>
      </c>
      <c r="C1429" s="94" t="s">
        <v>1023</v>
      </c>
      <c r="D1429" s="95" t="n">
        <v>90</v>
      </c>
      <c r="E1429" s="95" t="n">
        <v>59000</v>
      </c>
      <c r="F1429" s="95" t="n">
        <v>15231</v>
      </c>
      <c r="G1429" s="34" t="n">
        <v>2.95</v>
      </c>
      <c r="H1429" s="34" t="n">
        <v>15.7</v>
      </c>
      <c r="J1429" s="95" t="n">
        <f aca="false">IF(N(E1429)&gt;0,E1429,IF(N(F1429)&gt;0,F1429*가정!$B$5,0))</f>
        <v>59000</v>
      </c>
      <c r="K1429" s="95" t="n">
        <f aca="false">IF(N(F1429)&gt;0,F1429,IF(N(E1429)&gt;0,E1429/가정!$B$5,0))</f>
        <v>15231</v>
      </c>
      <c r="L1429" s="95" t="n">
        <f aca="false">IF(B1429="CN",IF(N(I1429)&gt;0,I1429*가정!$B$3,K1429*(1+가정!$B$6)),IF(N(H1429)&gt;0,H1429*가정!$B$3,J1429*가정!$B$4))</f>
        <v>21395.646</v>
      </c>
      <c r="M1429" s="95" t="n">
        <f aca="false">D1429*J1429</f>
        <v>5310000</v>
      </c>
      <c r="N1429" s="95" t="n">
        <f aca="false">D1429*K1429</f>
        <v>1370790</v>
      </c>
      <c r="O1429" s="95" t="n">
        <f aca="false">D1429*L1429</f>
        <v>1925608.14</v>
      </c>
      <c r="P1429" s="34" t="str">
        <f aca="false">TRIM(IF(N(E1429)&lt;=0,"택가보정 ","")&amp;IF(N(F1429)&lt;=0,"원가보정 ","")&amp;IF(AND(B1429&lt;&gt;"CN",N(H1429)&lt;=0),"공급가보정 ","")&amp;IF(AND(B1429="CN",N(I1429)&lt;=0),"중국공급가=원가+마진 ",""))</f>
        <v/>
      </c>
    </row>
    <row r="1430" customFormat="false" ht="15" hidden="false" customHeight="true" outlineLevel="0" collapsed="false">
      <c r="A1430" s="94" t="s">
        <v>1684</v>
      </c>
      <c r="B1430" s="34" t="str">
        <f aca="false">IF(A1430="100","HK",IF(A1430="200","CN",IF(A1430="300","TW","홀세일")))</f>
        <v>HK</v>
      </c>
      <c r="C1430" s="94" t="s">
        <v>678</v>
      </c>
      <c r="D1430" s="95" t="n">
        <v>530</v>
      </c>
      <c r="E1430" s="95" t="n">
        <v>39000</v>
      </c>
      <c r="F1430" s="95" t="n">
        <v>8927</v>
      </c>
      <c r="G1430" s="34" t="n">
        <v>3.66</v>
      </c>
      <c r="H1430" s="34" t="n">
        <v>10.4</v>
      </c>
      <c r="J1430" s="95" t="n">
        <f aca="false">IF(N(E1430)&gt;0,E1430,IF(N(F1430)&gt;0,F1430*가정!$B$5,0))</f>
        <v>39000</v>
      </c>
      <c r="K1430" s="95" t="n">
        <f aca="false">IF(N(F1430)&gt;0,F1430,IF(N(E1430)&gt;0,E1430/가정!$B$5,0))</f>
        <v>8927</v>
      </c>
      <c r="L1430" s="95" t="n">
        <f aca="false">IF(B1430="CN",IF(N(I1430)&gt;0,I1430*가정!$B$3,K1430*(1+가정!$B$6)),IF(N(H1430)&gt;0,H1430*가정!$B$3,J1430*가정!$B$4))</f>
        <v>14172.912</v>
      </c>
      <c r="M1430" s="95" t="n">
        <f aca="false">D1430*J1430</f>
        <v>20670000</v>
      </c>
      <c r="N1430" s="95" t="n">
        <f aca="false">D1430*K1430</f>
        <v>4731310</v>
      </c>
      <c r="O1430" s="95" t="n">
        <f aca="false">D1430*L1430</f>
        <v>7511643.36</v>
      </c>
      <c r="P1430" s="34" t="str">
        <f aca="false">TRIM(IF(N(E1430)&lt;=0,"택가보정 ","")&amp;IF(N(F1430)&lt;=0,"원가보정 ","")&amp;IF(AND(B1430&lt;&gt;"CN",N(H1430)&lt;=0),"공급가보정 ","")&amp;IF(AND(B1430="CN",N(I1430)&lt;=0),"중국공급가=원가+마진 ",""))</f>
        <v/>
      </c>
    </row>
    <row r="1431" customFormat="false" ht="15.75" hidden="false" customHeight="true" outlineLevel="0" collapsed="false">
      <c r="A1431" s="94" t="s">
        <v>1685</v>
      </c>
      <c r="B1431" s="34" t="str">
        <f aca="false">IF(A1431="100","HK",IF(A1431="200","CN",IF(A1431="300","TW","홀세일")))</f>
        <v>CN</v>
      </c>
      <c r="C1431" s="94" t="s">
        <v>678</v>
      </c>
      <c r="D1431" s="95" t="n">
        <v>474</v>
      </c>
      <c r="E1431" s="95" t="n">
        <v>39000</v>
      </c>
      <c r="F1431" s="95" t="n">
        <v>8927</v>
      </c>
      <c r="G1431" s="34" t="n">
        <v>3.66</v>
      </c>
      <c r="H1431" s="34" t="n">
        <v>10.4</v>
      </c>
      <c r="J1431" s="95" t="n">
        <f aca="false">IF(N(E1431)&gt;0,E1431,IF(N(F1431)&gt;0,F1431*가정!$B$5,0))</f>
        <v>39000</v>
      </c>
      <c r="K1431" s="95" t="n">
        <f aca="false">IF(N(F1431)&gt;0,F1431,IF(N(E1431)&gt;0,E1431/가정!$B$5,0))</f>
        <v>8927</v>
      </c>
      <c r="L1431" s="95" t="n">
        <f aca="false">IF(B1431="CN",IF(N(I1431)&gt;0,I1431*가정!$B$3,K1431*(1+가정!$B$6)),IF(N(H1431)&gt;0,H1431*가정!$B$3,J1431*가정!$B$4))</f>
        <v>9373.35</v>
      </c>
      <c r="M1431" s="95" t="n">
        <f aca="false">D1431*J1431</f>
        <v>18486000</v>
      </c>
      <c r="N1431" s="95" t="n">
        <f aca="false">D1431*K1431</f>
        <v>4231398</v>
      </c>
      <c r="O1431" s="95" t="n">
        <f aca="false">D1431*L1431</f>
        <v>4442967.9</v>
      </c>
      <c r="P1431" s="34" t="str">
        <f aca="false">TRIM(IF(N(E1431)&lt;=0,"택가보정 ","")&amp;IF(N(F1431)&lt;=0,"원가보정 ","")&amp;IF(AND(B1431&lt;&gt;"CN",N(H1431)&lt;=0),"공급가보정 ","")&amp;IF(AND(B1431="CN",N(I1431)&lt;=0),"중국공급가=원가+마진 ",""))</f>
        <v>중국공급가=원가+마진</v>
      </c>
    </row>
    <row r="1432" customFormat="false" ht="15" hidden="false" customHeight="true" outlineLevel="0" collapsed="false">
      <c r="A1432" s="94" t="s">
        <v>1686</v>
      </c>
      <c r="B1432" s="34" t="str">
        <f aca="false">IF(A1432="100","HK",IF(A1432="200","CN",IF(A1432="300","TW","홀세일")))</f>
        <v>TW</v>
      </c>
      <c r="C1432" s="94" t="s">
        <v>678</v>
      </c>
      <c r="D1432" s="95" t="n">
        <v>690</v>
      </c>
      <c r="E1432" s="95" t="n">
        <v>39000</v>
      </c>
      <c r="F1432" s="95" t="n">
        <v>8927</v>
      </c>
      <c r="G1432" s="34" t="n">
        <v>3.66</v>
      </c>
      <c r="H1432" s="34" t="n">
        <v>10.4</v>
      </c>
      <c r="J1432" s="95" t="n">
        <f aca="false">IF(N(E1432)&gt;0,E1432,IF(N(F1432)&gt;0,F1432*가정!$B$5,0))</f>
        <v>39000</v>
      </c>
      <c r="K1432" s="95" t="n">
        <f aca="false">IF(N(F1432)&gt;0,F1432,IF(N(E1432)&gt;0,E1432/가정!$B$5,0))</f>
        <v>8927</v>
      </c>
      <c r="L1432" s="95" t="n">
        <f aca="false">IF(B1432="CN",IF(N(I1432)&gt;0,I1432*가정!$B$3,K1432*(1+가정!$B$6)),IF(N(H1432)&gt;0,H1432*가정!$B$3,J1432*가정!$B$4))</f>
        <v>14172.912</v>
      </c>
      <c r="M1432" s="95" t="n">
        <f aca="false">D1432*J1432</f>
        <v>26910000</v>
      </c>
      <c r="N1432" s="95" t="n">
        <f aca="false">D1432*K1432</f>
        <v>6159630</v>
      </c>
      <c r="O1432" s="95" t="n">
        <f aca="false">D1432*L1432</f>
        <v>9779309.28</v>
      </c>
      <c r="P1432" s="34" t="str">
        <f aca="false">TRIM(IF(N(E1432)&lt;=0,"택가보정 ","")&amp;IF(N(F1432)&lt;=0,"원가보정 ","")&amp;IF(AND(B1432&lt;&gt;"CN",N(H1432)&lt;=0),"공급가보정 ","")&amp;IF(AND(B1432="CN",N(I1432)&lt;=0),"중국공급가=원가+마진 ",""))</f>
        <v/>
      </c>
    </row>
    <row r="1433" customFormat="false" ht="15" hidden="false" customHeight="true" outlineLevel="0" collapsed="false">
      <c r="A1433" s="94" t="s">
        <v>1687</v>
      </c>
      <c r="B1433" s="34" t="str">
        <f aca="false">IF(A1433="100","HK",IF(A1433="200","CN",IF(A1433="300","TW","홀세일")))</f>
        <v>홀세일</v>
      </c>
      <c r="C1433" s="94" t="s">
        <v>678</v>
      </c>
      <c r="D1433" s="95" t="n">
        <v>140</v>
      </c>
      <c r="E1433" s="95" t="n">
        <v>39000</v>
      </c>
      <c r="F1433" s="95" t="n">
        <v>8927</v>
      </c>
      <c r="G1433" s="34" t="n">
        <v>3.66</v>
      </c>
      <c r="H1433" s="34" t="n">
        <v>10.4</v>
      </c>
      <c r="J1433" s="95" t="n">
        <f aca="false">IF(N(E1433)&gt;0,E1433,IF(N(F1433)&gt;0,F1433*가정!$B$5,0))</f>
        <v>39000</v>
      </c>
      <c r="K1433" s="95" t="n">
        <f aca="false">IF(N(F1433)&gt;0,F1433,IF(N(E1433)&gt;0,E1433/가정!$B$5,0))</f>
        <v>8927</v>
      </c>
      <c r="L1433" s="95" t="n">
        <f aca="false">IF(B1433="CN",IF(N(I1433)&gt;0,I1433*가정!$B$3,K1433*(1+가정!$B$6)),IF(N(H1433)&gt;0,H1433*가정!$B$3,J1433*가정!$B$4))</f>
        <v>14172.912</v>
      </c>
      <c r="M1433" s="95" t="n">
        <f aca="false">D1433*J1433</f>
        <v>5460000</v>
      </c>
      <c r="N1433" s="95" t="n">
        <f aca="false">D1433*K1433</f>
        <v>1249780</v>
      </c>
      <c r="O1433" s="95" t="n">
        <f aca="false">D1433*L1433</f>
        <v>1984207.68</v>
      </c>
      <c r="P1433" s="34" t="str">
        <f aca="false">TRIM(IF(N(E1433)&lt;=0,"택가보정 ","")&amp;IF(N(F1433)&lt;=0,"원가보정 ","")&amp;IF(AND(B1433&lt;&gt;"CN",N(H1433)&lt;=0),"공급가보정 ","")&amp;IF(AND(B1433="CN",N(I1433)&lt;=0),"중국공급가=원가+마진 ",""))</f>
        <v/>
      </c>
    </row>
    <row r="1434" customFormat="false" ht="15" hidden="false" customHeight="true" outlineLevel="0" collapsed="false">
      <c r="A1434" s="94" t="s">
        <v>1688</v>
      </c>
      <c r="B1434" s="34" t="str">
        <f aca="false">IF(A1434="100","HK",IF(A1434="200","CN",IF(A1434="300","TW","홀세일")))</f>
        <v>홀세일</v>
      </c>
      <c r="C1434" s="94" t="s">
        <v>678</v>
      </c>
      <c r="D1434" s="95" t="n">
        <v>180</v>
      </c>
      <c r="E1434" s="95" t="n">
        <v>39000</v>
      </c>
      <c r="F1434" s="95" t="n">
        <v>8927</v>
      </c>
      <c r="G1434" s="34" t="n">
        <v>3.66</v>
      </c>
      <c r="H1434" s="34" t="n">
        <v>10.4</v>
      </c>
      <c r="J1434" s="95" t="n">
        <f aca="false">IF(N(E1434)&gt;0,E1434,IF(N(F1434)&gt;0,F1434*가정!$B$5,0))</f>
        <v>39000</v>
      </c>
      <c r="K1434" s="95" t="n">
        <f aca="false">IF(N(F1434)&gt;0,F1434,IF(N(E1434)&gt;0,E1434/가정!$B$5,0))</f>
        <v>8927</v>
      </c>
      <c r="L1434" s="95" t="n">
        <f aca="false">IF(B1434="CN",IF(N(I1434)&gt;0,I1434*가정!$B$3,K1434*(1+가정!$B$6)),IF(N(H1434)&gt;0,H1434*가정!$B$3,J1434*가정!$B$4))</f>
        <v>14172.912</v>
      </c>
      <c r="M1434" s="95" t="n">
        <f aca="false">D1434*J1434</f>
        <v>7020000</v>
      </c>
      <c r="N1434" s="95" t="n">
        <f aca="false">D1434*K1434</f>
        <v>1606860</v>
      </c>
      <c r="O1434" s="95" t="n">
        <f aca="false">D1434*L1434</f>
        <v>2551124.16</v>
      </c>
      <c r="P1434" s="34" t="str">
        <f aca="false">TRIM(IF(N(E1434)&lt;=0,"택가보정 ","")&amp;IF(N(F1434)&lt;=0,"원가보정 ","")&amp;IF(AND(B1434&lt;&gt;"CN",N(H1434)&lt;=0),"공급가보정 ","")&amp;IF(AND(B1434="CN",N(I1434)&lt;=0),"중국공급가=원가+마진 ",""))</f>
        <v/>
      </c>
    </row>
    <row r="1435" customFormat="false" ht="15" hidden="false" customHeight="true" outlineLevel="0" collapsed="false">
      <c r="A1435" s="94" t="s">
        <v>1692</v>
      </c>
      <c r="B1435" s="34" t="str">
        <f aca="false">IF(A1435="100","HK",IF(A1435="200","CN",IF(A1435="300","TW","홀세일")))</f>
        <v>홀세일</v>
      </c>
      <c r="C1435" s="94" t="s">
        <v>678</v>
      </c>
      <c r="D1435" s="95" t="n">
        <v>203</v>
      </c>
      <c r="E1435" s="95" t="n">
        <v>39000</v>
      </c>
      <c r="F1435" s="95" t="n">
        <v>8927</v>
      </c>
      <c r="G1435" s="34" t="n">
        <v>3.66</v>
      </c>
      <c r="H1435" s="34" t="n">
        <v>10.4</v>
      </c>
      <c r="J1435" s="95" t="n">
        <f aca="false">IF(N(E1435)&gt;0,E1435,IF(N(F1435)&gt;0,F1435*가정!$B$5,0))</f>
        <v>39000</v>
      </c>
      <c r="K1435" s="95" t="n">
        <f aca="false">IF(N(F1435)&gt;0,F1435,IF(N(E1435)&gt;0,E1435/가정!$B$5,0))</f>
        <v>8927</v>
      </c>
      <c r="L1435" s="95" t="n">
        <f aca="false">IF(B1435="CN",IF(N(I1435)&gt;0,I1435*가정!$B$3,K1435*(1+가정!$B$6)),IF(N(H1435)&gt;0,H1435*가정!$B$3,J1435*가정!$B$4))</f>
        <v>14172.912</v>
      </c>
      <c r="M1435" s="95" t="n">
        <f aca="false">D1435*J1435</f>
        <v>7917000</v>
      </c>
      <c r="N1435" s="95" t="n">
        <f aca="false">D1435*K1435</f>
        <v>1812181</v>
      </c>
      <c r="O1435" s="95" t="n">
        <f aca="false">D1435*L1435</f>
        <v>2877101.136</v>
      </c>
      <c r="P1435" s="34" t="str">
        <f aca="false">TRIM(IF(N(E1435)&lt;=0,"택가보정 ","")&amp;IF(N(F1435)&lt;=0,"원가보정 ","")&amp;IF(AND(B1435&lt;&gt;"CN",N(H1435)&lt;=0),"공급가보정 ","")&amp;IF(AND(B1435="CN",N(I1435)&lt;=0),"중국공급가=원가+마진 ",""))</f>
        <v/>
      </c>
    </row>
    <row r="1436" customFormat="false" ht="15" hidden="false" customHeight="true" outlineLevel="0" collapsed="false">
      <c r="A1436" s="94" t="s">
        <v>1689</v>
      </c>
      <c r="B1436" s="34" t="str">
        <f aca="false">IF(A1436="100","HK",IF(A1436="200","CN",IF(A1436="300","TW","홀세일")))</f>
        <v>홀세일</v>
      </c>
      <c r="C1436" s="94" t="s">
        <v>678</v>
      </c>
      <c r="D1436" s="95" t="n">
        <v>90</v>
      </c>
      <c r="E1436" s="95" t="n">
        <v>39000</v>
      </c>
      <c r="F1436" s="95" t="n">
        <v>8927</v>
      </c>
      <c r="G1436" s="34" t="n">
        <v>3.66</v>
      </c>
      <c r="H1436" s="34" t="n">
        <v>10.4</v>
      </c>
      <c r="J1436" s="95" t="n">
        <f aca="false">IF(N(E1436)&gt;0,E1436,IF(N(F1436)&gt;0,F1436*가정!$B$5,0))</f>
        <v>39000</v>
      </c>
      <c r="K1436" s="95" t="n">
        <f aca="false">IF(N(F1436)&gt;0,F1436,IF(N(E1436)&gt;0,E1436/가정!$B$5,0))</f>
        <v>8927</v>
      </c>
      <c r="L1436" s="95" t="n">
        <f aca="false">IF(B1436="CN",IF(N(I1436)&gt;0,I1436*가정!$B$3,K1436*(1+가정!$B$6)),IF(N(H1436)&gt;0,H1436*가정!$B$3,J1436*가정!$B$4))</f>
        <v>14172.912</v>
      </c>
      <c r="M1436" s="95" t="n">
        <f aca="false">D1436*J1436</f>
        <v>3510000</v>
      </c>
      <c r="N1436" s="95" t="n">
        <f aca="false">D1436*K1436</f>
        <v>803430</v>
      </c>
      <c r="O1436" s="95" t="n">
        <f aca="false">D1436*L1436</f>
        <v>1275562.08</v>
      </c>
      <c r="P1436" s="34" t="str">
        <f aca="false">TRIM(IF(N(E1436)&lt;=0,"택가보정 ","")&amp;IF(N(F1436)&lt;=0,"원가보정 ","")&amp;IF(AND(B1436&lt;&gt;"CN",N(H1436)&lt;=0),"공급가보정 ","")&amp;IF(AND(B1436="CN",N(I1436)&lt;=0),"중국공급가=원가+마진 ",""))</f>
        <v/>
      </c>
    </row>
    <row r="1437" customFormat="false" ht="15" hidden="false" customHeight="true" outlineLevel="0" collapsed="false">
      <c r="A1437" s="94" t="s">
        <v>1690</v>
      </c>
      <c r="B1437" s="34" t="str">
        <f aca="false">IF(A1437="100","HK",IF(A1437="200","CN",IF(A1437="300","TW","홀세일")))</f>
        <v>홀세일</v>
      </c>
      <c r="C1437" s="94" t="s">
        <v>678</v>
      </c>
      <c r="D1437" s="95" t="n">
        <v>168</v>
      </c>
      <c r="E1437" s="95" t="n">
        <v>39000</v>
      </c>
      <c r="F1437" s="95" t="n">
        <v>8927</v>
      </c>
      <c r="G1437" s="34" t="n">
        <v>3.66</v>
      </c>
      <c r="H1437" s="34" t="n">
        <v>10.4</v>
      </c>
      <c r="J1437" s="95" t="n">
        <f aca="false">IF(N(E1437)&gt;0,E1437,IF(N(F1437)&gt;0,F1437*가정!$B$5,0))</f>
        <v>39000</v>
      </c>
      <c r="K1437" s="95" t="n">
        <f aca="false">IF(N(F1437)&gt;0,F1437,IF(N(E1437)&gt;0,E1437/가정!$B$5,0))</f>
        <v>8927</v>
      </c>
      <c r="L1437" s="95" t="n">
        <f aca="false">IF(B1437="CN",IF(N(I1437)&gt;0,I1437*가정!$B$3,K1437*(1+가정!$B$6)),IF(N(H1437)&gt;0,H1437*가정!$B$3,J1437*가정!$B$4))</f>
        <v>14172.912</v>
      </c>
      <c r="M1437" s="95" t="n">
        <f aca="false">D1437*J1437</f>
        <v>6552000</v>
      </c>
      <c r="N1437" s="95" t="n">
        <f aca="false">D1437*K1437</f>
        <v>1499736</v>
      </c>
      <c r="O1437" s="95" t="n">
        <f aca="false">D1437*L1437</f>
        <v>2381049.216</v>
      </c>
      <c r="P1437" s="34" t="str">
        <f aca="false">TRIM(IF(N(E1437)&lt;=0,"택가보정 ","")&amp;IF(N(F1437)&lt;=0,"원가보정 ","")&amp;IF(AND(B1437&lt;&gt;"CN",N(H1437)&lt;=0),"공급가보정 ","")&amp;IF(AND(B1437="CN",N(I1437)&lt;=0),"중국공급가=원가+마진 ",""))</f>
        <v/>
      </c>
    </row>
    <row r="1438" customFormat="false" ht="15" hidden="false" customHeight="true" outlineLevel="0" collapsed="false">
      <c r="A1438" s="94" t="s">
        <v>1684</v>
      </c>
      <c r="B1438" s="34" t="str">
        <f aca="false">IF(A1438="100","HK",IF(A1438="200","CN",IF(A1438="300","TW","홀세일")))</f>
        <v>HK</v>
      </c>
      <c r="C1438" s="94" t="s">
        <v>680</v>
      </c>
      <c r="D1438" s="95" t="n">
        <v>470</v>
      </c>
      <c r="E1438" s="95" t="n">
        <v>39000</v>
      </c>
      <c r="F1438" s="95" t="n">
        <v>8619</v>
      </c>
      <c r="G1438" s="34" t="n">
        <v>3.81</v>
      </c>
      <c r="H1438" s="34" t="n">
        <v>10.4</v>
      </c>
      <c r="I1438" s="34" t="n">
        <v>7.5</v>
      </c>
      <c r="J1438" s="95" t="n">
        <f aca="false">IF(N(E1438)&gt;0,E1438,IF(N(F1438)&gt;0,F1438*가정!$B$5,0))</f>
        <v>39000</v>
      </c>
      <c r="K1438" s="95" t="n">
        <f aca="false">IF(N(F1438)&gt;0,F1438,IF(N(E1438)&gt;0,E1438/가정!$B$5,0))</f>
        <v>8619</v>
      </c>
      <c r="L1438" s="95" t="n">
        <f aca="false">IF(B1438="CN",IF(N(I1438)&gt;0,I1438*가정!$B$3,K1438*(1+가정!$B$6)),IF(N(H1438)&gt;0,H1438*가정!$B$3,J1438*가정!$B$4))</f>
        <v>14172.912</v>
      </c>
      <c r="M1438" s="95" t="n">
        <f aca="false">D1438*J1438</f>
        <v>18330000</v>
      </c>
      <c r="N1438" s="95" t="n">
        <f aca="false">D1438*K1438</f>
        <v>4050930</v>
      </c>
      <c r="O1438" s="95" t="n">
        <f aca="false">D1438*L1438</f>
        <v>6661268.64</v>
      </c>
      <c r="P1438" s="34" t="str">
        <f aca="false">TRIM(IF(N(E1438)&lt;=0,"택가보정 ","")&amp;IF(N(F1438)&lt;=0,"원가보정 ","")&amp;IF(AND(B1438&lt;&gt;"CN",N(H1438)&lt;=0),"공급가보정 ","")&amp;IF(AND(B1438="CN",N(I1438)&lt;=0),"중국공급가=원가+마진 ",""))</f>
        <v/>
      </c>
    </row>
    <row r="1439" customFormat="false" ht="15" hidden="false" customHeight="true" outlineLevel="0" collapsed="false">
      <c r="A1439" s="94" t="s">
        <v>1685</v>
      </c>
      <c r="B1439" s="34" t="str">
        <f aca="false">IF(A1439="100","HK",IF(A1439="200","CN",IF(A1439="300","TW","홀세일")))</f>
        <v>CN</v>
      </c>
      <c r="C1439" s="94" t="s">
        <v>680</v>
      </c>
      <c r="D1439" s="95" t="n">
        <v>803</v>
      </c>
      <c r="E1439" s="95" t="n">
        <v>39000</v>
      </c>
      <c r="F1439" s="95" t="n">
        <v>8619</v>
      </c>
      <c r="G1439" s="34" t="n">
        <v>3.81</v>
      </c>
      <c r="H1439" s="34" t="n">
        <v>10.4</v>
      </c>
      <c r="I1439" s="34" t="n">
        <v>7.5</v>
      </c>
      <c r="J1439" s="95" t="n">
        <f aca="false">IF(N(E1439)&gt;0,E1439,IF(N(F1439)&gt;0,F1439*가정!$B$5,0))</f>
        <v>39000</v>
      </c>
      <c r="K1439" s="95" t="n">
        <f aca="false">IF(N(F1439)&gt;0,F1439,IF(N(E1439)&gt;0,E1439/가정!$B$5,0))</f>
        <v>8619</v>
      </c>
      <c r="L1439" s="95" t="n">
        <f aca="false">IF(B1439="CN",IF(N(I1439)&gt;0,I1439*가정!$B$3,K1439*(1+가정!$B$6)),IF(N(H1439)&gt;0,H1439*가정!$B$3,J1439*가정!$B$4))</f>
        <v>10220.85</v>
      </c>
      <c r="M1439" s="95" t="n">
        <f aca="false">D1439*J1439</f>
        <v>31317000</v>
      </c>
      <c r="N1439" s="95" t="n">
        <f aca="false">D1439*K1439</f>
        <v>6921057</v>
      </c>
      <c r="O1439" s="95" t="n">
        <f aca="false">D1439*L1439</f>
        <v>8207342.55</v>
      </c>
      <c r="P1439" s="34" t="str">
        <f aca="false">TRIM(IF(N(E1439)&lt;=0,"택가보정 ","")&amp;IF(N(F1439)&lt;=0,"원가보정 ","")&amp;IF(AND(B1439&lt;&gt;"CN",N(H1439)&lt;=0),"공급가보정 ","")&amp;IF(AND(B1439="CN",N(I1439)&lt;=0),"중국공급가=원가+마진 ",""))</f>
        <v/>
      </c>
    </row>
    <row r="1440" customFormat="false" ht="15" hidden="false" customHeight="true" outlineLevel="0" collapsed="false">
      <c r="A1440" s="94" t="s">
        <v>1686</v>
      </c>
      <c r="B1440" s="34" t="str">
        <f aca="false">IF(A1440="100","HK",IF(A1440="200","CN",IF(A1440="300","TW","홀세일")))</f>
        <v>TW</v>
      </c>
      <c r="C1440" s="94" t="s">
        <v>680</v>
      </c>
      <c r="D1440" s="95" t="n">
        <v>550</v>
      </c>
      <c r="E1440" s="95" t="n">
        <v>39000</v>
      </c>
      <c r="F1440" s="95" t="n">
        <v>8619</v>
      </c>
      <c r="G1440" s="34" t="n">
        <v>3.81</v>
      </c>
      <c r="H1440" s="34" t="n">
        <v>10.4</v>
      </c>
      <c r="I1440" s="34" t="n">
        <v>7.5</v>
      </c>
      <c r="J1440" s="95" t="n">
        <f aca="false">IF(N(E1440)&gt;0,E1440,IF(N(F1440)&gt;0,F1440*가정!$B$5,0))</f>
        <v>39000</v>
      </c>
      <c r="K1440" s="95" t="n">
        <f aca="false">IF(N(F1440)&gt;0,F1440,IF(N(E1440)&gt;0,E1440/가정!$B$5,0))</f>
        <v>8619</v>
      </c>
      <c r="L1440" s="95" t="n">
        <f aca="false">IF(B1440="CN",IF(N(I1440)&gt;0,I1440*가정!$B$3,K1440*(1+가정!$B$6)),IF(N(H1440)&gt;0,H1440*가정!$B$3,J1440*가정!$B$4))</f>
        <v>14172.912</v>
      </c>
      <c r="M1440" s="95" t="n">
        <f aca="false">D1440*J1440</f>
        <v>21450000</v>
      </c>
      <c r="N1440" s="95" t="n">
        <f aca="false">D1440*K1440</f>
        <v>4740450</v>
      </c>
      <c r="O1440" s="95" t="n">
        <f aca="false">D1440*L1440</f>
        <v>7795101.6</v>
      </c>
      <c r="P1440" s="34" t="str">
        <f aca="false">TRIM(IF(N(E1440)&lt;=0,"택가보정 ","")&amp;IF(N(F1440)&lt;=0,"원가보정 ","")&amp;IF(AND(B1440&lt;&gt;"CN",N(H1440)&lt;=0),"공급가보정 ","")&amp;IF(AND(B1440="CN",N(I1440)&lt;=0),"중국공급가=원가+마진 ",""))</f>
        <v/>
      </c>
    </row>
    <row r="1441" customFormat="false" ht="15" hidden="false" customHeight="true" outlineLevel="0" collapsed="false">
      <c r="A1441" s="94" t="s">
        <v>1687</v>
      </c>
      <c r="B1441" s="34" t="str">
        <f aca="false">IF(A1441="100","HK",IF(A1441="200","CN",IF(A1441="300","TW","홀세일")))</f>
        <v>홀세일</v>
      </c>
      <c r="C1441" s="94" t="s">
        <v>680</v>
      </c>
      <c r="D1441" s="95" t="n">
        <v>80</v>
      </c>
      <c r="E1441" s="95" t="n">
        <v>39000</v>
      </c>
      <c r="F1441" s="95" t="n">
        <v>8619</v>
      </c>
      <c r="G1441" s="34" t="n">
        <v>3.81</v>
      </c>
      <c r="H1441" s="34" t="n">
        <v>10.4</v>
      </c>
      <c r="I1441" s="34" t="n">
        <v>7.5</v>
      </c>
      <c r="J1441" s="95" t="n">
        <f aca="false">IF(N(E1441)&gt;0,E1441,IF(N(F1441)&gt;0,F1441*가정!$B$5,0))</f>
        <v>39000</v>
      </c>
      <c r="K1441" s="95" t="n">
        <f aca="false">IF(N(F1441)&gt;0,F1441,IF(N(E1441)&gt;0,E1441/가정!$B$5,0))</f>
        <v>8619</v>
      </c>
      <c r="L1441" s="95" t="n">
        <f aca="false">IF(B1441="CN",IF(N(I1441)&gt;0,I1441*가정!$B$3,K1441*(1+가정!$B$6)),IF(N(H1441)&gt;0,H1441*가정!$B$3,J1441*가정!$B$4))</f>
        <v>14172.912</v>
      </c>
      <c r="M1441" s="95" t="n">
        <f aca="false">D1441*J1441</f>
        <v>3120000</v>
      </c>
      <c r="N1441" s="95" t="n">
        <f aca="false">D1441*K1441</f>
        <v>689520</v>
      </c>
      <c r="O1441" s="95" t="n">
        <f aca="false">D1441*L1441</f>
        <v>1133832.96</v>
      </c>
      <c r="P1441" s="34" t="str">
        <f aca="false">TRIM(IF(N(E1441)&lt;=0,"택가보정 ","")&amp;IF(N(F1441)&lt;=0,"원가보정 ","")&amp;IF(AND(B1441&lt;&gt;"CN",N(H1441)&lt;=0),"공급가보정 ","")&amp;IF(AND(B1441="CN",N(I1441)&lt;=0),"중국공급가=원가+마진 ",""))</f>
        <v/>
      </c>
    </row>
    <row r="1442" customFormat="false" ht="15" hidden="false" customHeight="true" outlineLevel="0" collapsed="false">
      <c r="A1442" s="94" t="s">
        <v>1688</v>
      </c>
      <c r="B1442" s="34" t="str">
        <f aca="false">IF(A1442="100","HK",IF(A1442="200","CN",IF(A1442="300","TW","홀세일")))</f>
        <v>홀세일</v>
      </c>
      <c r="C1442" s="94" t="s">
        <v>680</v>
      </c>
      <c r="D1442" s="95" t="n">
        <v>140</v>
      </c>
      <c r="E1442" s="95" t="n">
        <v>39000</v>
      </c>
      <c r="F1442" s="95" t="n">
        <v>8619</v>
      </c>
      <c r="G1442" s="34" t="n">
        <v>3.81</v>
      </c>
      <c r="H1442" s="34" t="n">
        <v>10.4</v>
      </c>
      <c r="I1442" s="34" t="n">
        <v>7.5</v>
      </c>
      <c r="J1442" s="95" t="n">
        <f aca="false">IF(N(E1442)&gt;0,E1442,IF(N(F1442)&gt;0,F1442*가정!$B$5,0))</f>
        <v>39000</v>
      </c>
      <c r="K1442" s="95" t="n">
        <f aca="false">IF(N(F1442)&gt;0,F1442,IF(N(E1442)&gt;0,E1442/가정!$B$5,0))</f>
        <v>8619</v>
      </c>
      <c r="L1442" s="95" t="n">
        <f aca="false">IF(B1442="CN",IF(N(I1442)&gt;0,I1442*가정!$B$3,K1442*(1+가정!$B$6)),IF(N(H1442)&gt;0,H1442*가정!$B$3,J1442*가정!$B$4))</f>
        <v>14172.912</v>
      </c>
      <c r="M1442" s="95" t="n">
        <f aca="false">D1442*J1442</f>
        <v>5460000</v>
      </c>
      <c r="N1442" s="95" t="n">
        <f aca="false">D1442*K1442</f>
        <v>1206660</v>
      </c>
      <c r="O1442" s="95" t="n">
        <f aca="false">D1442*L1442</f>
        <v>1984207.68</v>
      </c>
      <c r="P1442" s="34" t="str">
        <f aca="false">TRIM(IF(N(E1442)&lt;=0,"택가보정 ","")&amp;IF(N(F1442)&lt;=0,"원가보정 ","")&amp;IF(AND(B1442&lt;&gt;"CN",N(H1442)&lt;=0),"공급가보정 ","")&amp;IF(AND(B1442="CN",N(I1442)&lt;=0),"중국공급가=원가+마진 ",""))</f>
        <v/>
      </c>
    </row>
    <row r="1443" customFormat="false" ht="15" hidden="false" customHeight="true" outlineLevel="0" collapsed="false">
      <c r="A1443" s="94" t="s">
        <v>1692</v>
      </c>
      <c r="B1443" s="34" t="str">
        <f aca="false">IF(A1443="100","HK",IF(A1443="200","CN",IF(A1443="300","TW","홀세일")))</f>
        <v>홀세일</v>
      </c>
      <c r="C1443" s="94" t="s">
        <v>680</v>
      </c>
      <c r="D1443" s="95" t="n">
        <v>642</v>
      </c>
      <c r="E1443" s="95" t="n">
        <v>39000</v>
      </c>
      <c r="F1443" s="95" t="n">
        <v>8619</v>
      </c>
      <c r="G1443" s="34" t="n">
        <v>3.81</v>
      </c>
      <c r="H1443" s="34" t="n">
        <v>10.4</v>
      </c>
      <c r="I1443" s="34" t="n">
        <v>7.5</v>
      </c>
      <c r="J1443" s="95" t="n">
        <f aca="false">IF(N(E1443)&gt;0,E1443,IF(N(F1443)&gt;0,F1443*가정!$B$5,0))</f>
        <v>39000</v>
      </c>
      <c r="K1443" s="95" t="n">
        <f aca="false">IF(N(F1443)&gt;0,F1443,IF(N(E1443)&gt;0,E1443/가정!$B$5,0))</f>
        <v>8619</v>
      </c>
      <c r="L1443" s="95" t="n">
        <f aca="false">IF(B1443="CN",IF(N(I1443)&gt;0,I1443*가정!$B$3,K1443*(1+가정!$B$6)),IF(N(H1443)&gt;0,H1443*가정!$B$3,J1443*가정!$B$4))</f>
        <v>14172.912</v>
      </c>
      <c r="M1443" s="95" t="n">
        <f aca="false">D1443*J1443</f>
        <v>25038000</v>
      </c>
      <c r="N1443" s="95" t="n">
        <f aca="false">D1443*K1443</f>
        <v>5533398</v>
      </c>
      <c r="O1443" s="95" t="n">
        <f aca="false">D1443*L1443</f>
        <v>9099009.504</v>
      </c>
      <c r="P1443" s="34" t="str">
        <f aca="false">TRIM(IF(N(E1443)&lt;=0,"택가보정 ","")&amp;IF(N(F1443)&lt;=0,"원가보정 ","")&amp;IF(AND(B1443&lt;&gt;"CN",N(H1443)&lt;=0),"공급가보정 ","")&amp;IF(AND(B1443="CN",N(I1443)&lt;=0),"중국공급가=원가+마진 ",""))</f>
        <v/>
      </c>
    </row>
    <row r="1444" customFormat="false" ht="15" hidden="false" customHeight="true" outlineLevel="0" collapsed="false">
      <c r="A1444" s="94" t="s">
        <v>1689</v>
      </c>
      <c r="B1444" s="34" t="str">
        <f aca="false">IF(A1444="100","HK",IF(A1444="200","CN",IF(A1444="300","TW","홀세일")))</f>
        <v>홀세일</v>
      </c>
      <c r="C1444" s="94" t="s">
        <v>680</v>
      </c>
      <c r="D1444" s="95" t="n">
        <v>105</v>
      </c>
      <c r="E1444" s="95" t="n">
        <v>39000</v>
      </c>
      <c r="F1444" s="95" t="n">
        <v>8619</v>
      </c>
      <c r="G1444" s="34" t="n">
        <v>3.81</v>
      </c>
      <c r="H1444" s="34" t="n">
        <v>10.4</v>
      </c>
      <c r="I1444" s="34" t="n">
        <v>7.5</v>
      </c>
      <c r="J1444" s="95" t="n">
        <f aca="false">IF(N(E1444)&gt;0,E1444,IF(N(F1444)&gt;0,F1444*가정!$B$5,0))</f>
        <v>39000</v>
      </c>
      <c r="K1444" s="95" t="n">
        <f aca="false">IF(N(F1444)&gt;0,F1444,IF(N(E1444)&gt;0,E1444/가정!$B$5,0))</f>
        <v>8619</v>
      </c>
      <c r="L1444" s="95" t="n">
        <f aca="false">IF(B1444="CN",IF(N(I1444)&gt;0,I1444*가정!$B$3,K1444*(1+가정!$B$6)),IF(N(H1444)&gt;0,H1444*가정!$B$3,J1444*가정!$B$4))</f>
        <v>14172.912</v>
      </c>
      <c r="M1444" s="95" t="n">
        <f aca="false">D1444*J1444</f>
        <v>4095000</v>
      </c>
      <c r="N1444" s="95" t="n">
        <f aca="false">D1444*K1444</f>
        <v>904995</v>
      </c>
      <c r="O1444" s="95" t="n">
        <f aca="false">D1444*L1444</f>
        <v>1488155.76</v>
      </c>
      <c r="P1444" s="34" t="str">
        <f aca="false">TRIM(IF(N(E1444)&lt;=0,"택가보정 ","")&amp;IF(N(F1444)&lt;=0,"원가보정 ","")&amp;IF(AND(B1444&lt;&gt;"CN",N(H1444)&lt;=0),"공급가보정 ","")&amp;IF(AND(B1444="CN",N(I1444)&lt;=0),"중국공급가=원가+마진 ",""))</f>
        <v/>
      </c>
    </row>
    <row r="1445" customFormat="false" ht="15.75" hidden="false" customHeight="true" outlineLevel="0" collapsed="false">
      <c r="A1445" s="94" t="s">
        <v>1685</v>
      </c>
      <c r="B1445" s="34" t="str">
        <f aca="false">IF(A1445="100","HK",IF(A1445="200","CN",IF(A1445="300","TW","홀세일")))</f>
        <v>CN</v>
      </c>
      <c r="C1445" s="94" t="s">
        <v>682</v>
      </c>
      <c r="D1445" s="95" t="n">
        <v>182</v>
      </c>
      <c r="E1445" s="95" t="n">
        <v>49000</v>
      </c>
      <c r="F1445" s="95" t="n">
        <v>11098</v>
      </c>
      <c r="G1445" s="34" t="n">
        <v>3.68</v>
      </c>
      <c r="H1445" s="34" t="n">
        <v>13.1</v>
      </c>
      <c r="J1445" s="95" t="n">
        <f aca="false">IF(N(E1445)&gt;0,E1445,IF(N(F1445)&gt;0,F1445*가정!$B$5,0))</f>
        <v>49000</v>
      </c>
      <c r="K1445" s="95" t="n">
        <f aca="false">IF(N(F1445)&gt;0,F1445,IF(N(E1445)&gt;0,E1445/가정!$B$5,0))</f>
        <v>11098</v>
      </c>
      <c r="L1445" s="95" t="n">
        <f aca="false">IF(B1445="CN",IF(N(I1445)&gt;0,I1445*가정!$B$3,K1445*(1+가정!$B$6)),IF(N(H1445)&gt;0,H1445*가정!$B$3,J1445*가정!$B$4))</f>
        <v>11652.9</v>
      </c>
      <c r="M1445" s="95" t="n">
        <f aca="false">D1445*J1445</f>
        <v>8918000</v>
      </c>
      <c r="N1445" s="95" t="n">
        <f aca="false">D1445*K1445</f>
        <v>2019836</v>
      </c>
      <c r="O1445" s="95" t="n">
        <f aca="false">D1445*L1445</f>
        <v>2120827.8</v>
      </c>
      <c r="P1445" s="34" t="str">
        <f aca="false">TRIM(IF(N(E1445)&lt;=0,"택가보정 ","")&amp;IF(N(F1445)&lt;=0,"원가보정 ","")&amp;IF(AND(B1445&lt;&gt;"CN",N(H1445)&lt;=0),"공급가보정 ","")&amp;IF(AND(B1445="CN",N(I1445)&lt;=0),"중국공급가=원가+마진 ",""))</f>
        <v>중국공급가=원가+마진</v>
      </c>
    </row>
    <row r="1446" customFormat="false" ht="15" hidden="false" customHeight="true" outlineLevel="0" collapsed="false">
      <c r="A1446" s="94" t="s">
        <v>1686</v>
      </c>
      <c r="B1446" s="34" t="str">
        <f aca="false">IF(A1446="100","HK",IF(A1446="200","CN",IF(A1446="300","TW","홀세일")))</f>
        <v>TW</v>
      </c>
      <c r="C1446" s="94" t="s">
        <v>682</v>
      </c>
      <c r="D1446" s="95" t="n">
        <v>250</v>
      </c>
      <c r="E1446" s="95" t="n">
        <v>49000</v>
      </c>
      <c r="F1446" s="95" t="n">
        <v>11098</v>
      </c>
      <c r="G1446" s="34" t="n">
        <v>3.68</v>
      </c>
      <c r="H1446" s="34" t="n">
        <v>13.1</v>
      </c>
      <c r="J1446" s="95" t="n">
        <f aca="false">IF(N(E1446)&gt;0,E1446,IF(N(F1446)&gt;0,F1446*가정!$B$5,0))</f>
        <v>49000</v>
      </c>
      <c r="K1446" s="95" t="n">
        <f aca="false">IF(N(F1446)&gt;0,F1446,IF(N(E1446)&gt;0,E1446/가정!$B$5,0))</f>
        <v>11098</v>
      </c>
      <c r="L1446" s="95" t="n">
        <f aca="false">IF(B1446="CN",IF(N(I1446)&gt;0,I1446*가정!$B$3,K1446*(1+가정!$B$6)),IF(N(H1446)&gt;0,H1446*가정!$B$3,J1446*가정!$B$4))</f>
        <v>17852.418</v>
      </c>
      <c r="M1446" s="95" t="n">
        <f aca="false">D1446*J1446</f>
        <v>12250000</v>
      </c>
      <c r="N1446" s="95" t="n">
        <f aca="false">D1446*K1446</f>
        <v>2774500</v>
      </c>
      <c r="O1446" s="95" t="n">
        <f aca="false">D1446*L1446</f>
        <v>4463104.5</v>
      </c>
      <c r="P1446" s="34" t="str">
        <f aca="false">TRIM(IF(N(E1446)&lt;=0,"택가보정 ","")&amp;IF(N(F1446)&lt;=0,"원가보정 ","")&amp;IF(AND(B1446&lt;&gt;"CN",N(H1446)&lt;=0),"공급가보정 ","")&amp;IF(AND(B1446="CN",N(I1446)&lt;=0),"중국공급가=원가+마진 ",""))</f>
        <v/>
      </c>
    </row>
    <row r="1447" customFormat="false" ht="15" hidden="false" customHeight="true" outlineLevel="0" collapsed="false">
      <c r="A1447" s="94" t="s">
        <v>1687</v>
      </c>
      <c r="B1447" s="34" t="str">
        <f aca="false">IF(A1447="100","HK",IF(A1447="200","CN",IF(A1447="300","TW","홀세일")))</f>
        <v>홀세일</v>
      </c>
      <c r="C1447" s="94" t="s">
        <v>682</v>
      </c>
      <c r="D1447" s="95" t="n">
        <v>40</v>
      </c>
      <c r="E1447" s="95" t="n">
        <v>49000</v>
      </c>
      <c r="F1447" s="95" t="n">
        <v>11098</v>
      </c>
      <c r="G1447" s="34" t="n">
        <v>3.68</v>
      </c>
      <c r="H1447" s="34" t="n">
        <v>13.1</v>
      </c>
      <c r="J1447" s="95" t="n">
        <f aca="false">IF(N(E1447)&gt;0,E1447,IF(N(F1447)&gt;0,F1447*가정!$B$5,0))</f>
        <v>49000</v>
      </c>
      <c r="K1447" s="95" t="n">
        <f aca="false">IF(N(F1447)&gt;0,F1447,IF(N(E1447)&gt;0,E1447/가정!$B$5,0))</f>
        <v>11098</v>
      </c>
      <c r="L1447" s="95" t="n">
        <f aca="false">IF(B1447="CN",IF(N(I1447)&gt;0,I1447*가정!$B$3,K1447*(1+가정!$B$6)),IF(N(H1447)&gt;0,H1447*가정!$B$3,J1447*가정!$B$4))</f>
        <v>17852.418</v>
      </c>
      <c r="M1447" s="95" t="n">
        <f aca="false">D1447*J1447</f>
        <v>1960000</v>
      </c>
      <c r="N1447" s="95" t="n">
        <f aca="false">D1447*K1447</f>
        <v>443920</v>
      </c>
      <c r="O1447" s="95" t="n">
        <f aca="false">D1447*L1447</f>
        <v>714096.72</v>
      </c>
      <c r="P1447" s="34" t="str">
        <f aca="false">TRIM(IF(N(E1447)&lt;=0,"택가보정 ","")&amp;IF(N(F1447)&lt;=0,"원가보정 ","")&amp;IF(AND(B1447&lt;&gt;"CN",N(H1447)&lt;=0),"공급가보정 ","")&amp;IF(AND(B1447="CN",N(I1447)&lt;=0),"중국공급가=원가+마진 ",""))</f>
        <v/>
      </c>
    </row>
    <row r="1448" customFormat="false" ht="15" hidden="false" customHeight="true" outlineLevel="0" collapsed="false">
      <c r="A1448" s="94" t="s">
        <v>1689</v>
      </c>
      <c r="B1448" s="34" t="str">
        <f aca="false">IF(A1448="100","HK",IF(A1448="200","CN",IF(A1448="300","TW","홀세일")))</f>
        <v>홀세일</v>
      </c>
      <c r="C1448" s="94" t="s">
        <v>682</v>
      </c>
      <c r="D1448" s="95" t="n">
        <v>65</v>
      </c>
      <c r="E1448" s="95" t="n">
        <v>49000</v>
      </c>
      <c r="F1448" s="95" t="n">
        <v>11098</v>
      </c>
      <c r="G1448" s="34" t="n">
        <v>3.68</v>
      </c>
      <c r="H1448" s="34" t="n">
        <v>13.1</v>
      </c>
      <c r="J1448" s="95" t="n">
        <f aca="false">IF(N(E1448)&gt;0,E1448,IF(N(F1448)&gt;0,F1448*가정!$B$5,0))</f>
        <v>49000</v>
      </c>
      <c r="K1448" s="95" t="n">
        <f aca="false">IF(N(F1448)&gt;0,F1448,IF(N(E1448)&gt;0,E1448/가정!$B$5,0))</f>
        <v>11098</v>
      </c>
      <c r="L1448" s="95" t="n">
        <f aca="false">IF(B1448="CN",IF(N(I1448)&gt;0,I1448*가정!$B$3,K1448*(1+가정!$B$6)),IF(N(H1448)&gt;0,H1448*가정!$B$3,J1448*가정!$B$4))</f>
        <v>17852.418</v>
      </c>
      <c r="M1448" s="95" t="n">
        <f aca="false">D1448*J1448</f>
        <v>3185000</v>
      </c>
      <c r="N1448" s="95" t="n">
        <f aca="false">D1448*K1448</f>
        <v>721370</v>
      </c>
      <c r="O1448" s="95" t="n">
        <f aca="false">D1448*L1448</f>
        <v>1160407.17</v>
      </c>
      <c r="P1448" s="34" t="str">
        <f aca="false">TRIM(IF(N(E1448)&lt;=0,"택가보정 ","")&amp;IF(N(F1448)&lt;=0,"원가보정 ","")&amp;IF(AND(B1448&lt;&gt;"CN",N(H1448)&lt;=0),"공급가보정 ","")&amp;IF(AND(B1448="CN",N(I1448)&lt;=0),"중국공급가=원가+마진 ",""))</f>
        <v/>
      </c>
    </row>
    <row r="1449" customFormat="false" ht="15" hidden="false" customHeight="true" outlineLevel="0" collapsed="false">
      <c r="A1449" s="94" t="s">
        <v>1684</v>
      </c>
      <c r="B1449" s="34" t="str">
        <f aca="false">IF(A1449="100","HK",IF(A1449="200","CN",IF(A1449="300","TW","홀세일")))</f>
        <v>HK</v>
      </c>
      <c r="C1449" s="94" t="s">
        <v>1025</v>
      </c>
      <c r="D1449" s="95" t="n">
        <v>200</v>
      </c>
      <c r="E1449" s="95" t="n">
        <v>49000</v>
      </c>
      <c r="F1449" s="95" t="n">
        <v>12064</v>
      </c>
      <c r="G1449" s="34" t="n">
        <v>3.37</v>
      </c>
      <c r="H1449" s="34" t="n">
        <v>13.1</v>
      </c>
      <c r="J1449" s="95" t="n">
        <f aca="false">IF(N(E1449)&gt;0,E1449,IF(N(F1449)&gt;0,F1449*가정!$B$5,0))</f>
        <v>49000</v>
      </c>
      <c r="K1449" s="95" t="n">
        <f aca="false">IF(N(F1449)&gt;0,F1449,IF(N(E1449)&gt;0,E1449/가정!$B$5,0))</f>
        <v>12064</v>
      </c>
      <c r="L1449" s="95" t="n">
        <f aca="false">IF(B1449="CN",IF(N(I1449)&gt;0,I1449*가정!$B$3,K1449*(1+가정!$B$6)),IF(N(H1449)&gt;0,H1449*가정!$B$3,J1449*가정!$B$4))</f>
        <v>17852.418</v>
      </c>
      <c r="M1449" s="95" t="n">
        <f aca="false">D1449*J1449</f>
        <v>9800000</v>
      </c>
      <c r="N1449" s="95" t="n">
        <f aca="false">D1449*K1449</f>
        <v>2412800</v>
      </c>
      <c r="O1449" s="95" t="n">
        <f aca="false">D1449*L1449</f>
        <v>3570483.6</v>
      </c>
      <c r="P1449" s="34" t="str">
        <f aca="false">TRIM(IF(N(E1449)&lt;=0,"택가보정 ","")&amp;IF(N(F1449)&lt;=0,"원가보정 ","")&amp;IF(AND(B1449&lt;&gt;"CN",N(H1449)&lt;=0),"공급가보정 ","")&amp;IF(AND(B1449="CN",N(I1449)&lt;=0),"중국공급가=원가+마진 ",""))</f>
        <v/>
      </c>
    </row>
    <row r="1450" customFormat="false" ht="15" hidden="false" customHeight="true" outlineLevel="0" collapsed="false">
      <c r="A1450" s="94" t="s">
        <v>1687</v>
      </c>
      <c r="B1450" s="34" t="str">
        <f aca="false">IF(A1450="100","HK",IF(A1450="200","CN",IF(A1450="300","TW","홀세일")))</f>
        <v>홀세일</v>
      </c>
      <c r="C1450" s="94" t="s">
        <v>1025</v>
      </c>
      <c r="D1450" s="95" t="n">
        <v>40</v>
      </c>
      <c r="E1450" s="95" t="n">
        <v>49000</v>
      </c>
      <c r="F1450" s="95" t="n">
        <v>12064</v>
      </c>
      <c r="G1450" s="34" t="n">
        <v>3.37</v>
      </c>
      <c r="H1450" s="34" t="n">
        <v>13.1</v>
      </c>
      <c r="J1450" s="95" t="n">
        <f aca="false">IF(N(E1450)&gt;0,E1450,IF(N(F1450)&gt;0,F1450*가정!$B$5,0))</f>
        <v>49000</v>
      </c>
      <c r="K1450" s="95" t="n">
        <f aca="false">IF(N(F1450)&gt;0,F1450,IF(N(E1450)&gt;0,E1450/가정!$B$5,0))</f>
        <v>12064</v>
      </c>
      <c r="L1450" s="95" t="n">
        <f aca="false">IF(B1450="CN",IF(N(I1450)&gt;0,I1450*가정!$B$3,K1450*(1+가정!$B$6)),IF(N(H1450)&gt;0,H1450*가정!$B$3,J1450*가정!$B$4))</f>
        <v>17852.418</v>
      </c>
      <c r="M1450" s="95" t="n">
        <f aca="false">D1450*J1450</f>
        <v>1960000</v>
      </c>
      <c r="N1450" s="95" t="n">
        <f aca="false">D1450*K1450</f>
        <v>482560</v>
      </c>
      <c r="O1450" s="95" t="n">
        <f aca="false">D1450*L1450</f>
        <v>714096.72</v>
      </c>
      <c r="P1450" s="34" t="str">
        <f aca="false">TRIM(IF(N(E1450)&lt;=0,"택가보정 ","")&amp;IF(N(F1450)&lt;=0,"원가보정 ","")&amp;IF(AND(B1450&lt;&gt;"CN",N(H1450)&lt;=0),"공급가보정 ","")&amp;IF(AND(B1450="CN",N(I1450)&lt;=0),"중국공급가=원가+마진 ",""))</f>
        <v/>
      </c>
    </row>
    <row r="1451" customFormat="false" ht="15" hidden="false" customHeight="true" outlineLevel="0" collapsed="false">
      <c r="A1451" s="94" t="s">
        <v>1689</v>
      </c>
      <c r="B1451" s="34" t="str">
        <f aca="false">IF(A1451="100","HK",IF(A1451="200","CN",IF(A1451="300","TW","홀세일")))</f>
        <v>홀세일</v>
      </c>
      <c r="C1451" s="94" t="s">
        <v>1025</v>
      </c>
      <c r="D1451" s="95" t="n">
        <v>25</v>
      </c>
      <c r="E1451" s="95" t="n">
        <v>49000</v>
      </c>
      <c r="F1451" s="95" t="n">
        <v>12064</v>
      </c>
      <c r="G1451" s="34" t="n">
        <v>3.37</v>
      </c>
      <c r="H1451" s="34" t="n">
        <v>13.1</v>
      </c>
      <c r="J1451" s="95" t="n">
        <f aca="false">IF(N(E1451)&gt;0,E1451,IF(N(F1451)&gt;0,F1451*가정!$B$5,0))</f>
        <v>49000</v>
      </c>
      <c r="K1451" s="95" t="n">
        <f aca="false">IF(N(F1451)&gt;0,F1451,IF(N(E1451)&gt;0,E1451/가정!$B$5,0))</f>
        <v>12064</v>
      </c>
      <c r="L1451" s="95" t="n">
        <f aca="false">IF(B1451="CN",IF(N(I1451)&gt;0,I1451*가정!$B$3,K1451*(1+가정!$B$6)),IF(N(H1451)&gt;0,H1451*가정!$B$3,J1451*가정!$B$4))</f>
        <v>17852.418</v>
      </c>
      <c r="M1451" s="95" t="n">
        <f aca="false">D1451*J1451</f>
        <v>1225000</v>
      </c>
      <c r="N1451" s="95" t="n">
        <f aca="false">D1451*K1451</f>
        <v>301600</v>
      </c>
      <c r="O1451" s="95" t="n">
        <f aca="false">D1451*L1451</f>
        <v>446310.45</v>
      </c>
      <c r="P1451" s="34" t="str">
        <f aca="false">TRIM(IF(N(E1451)&lt;=0,"택가보정 ","")&amp;IF(N(F1451)&lt;=0,"원가보정 ","")&amp;IF(AND(B1451&lt;&gt;"CN",N(H1451)&lt;=0),"공급가보정 ","")&amp;IF(AND(B1451="CN",N(I1451)&lt;=0),"중국공급가=원가+마진 ",""))</f>
        <v/>
      </c>
    </row>
    <row r="1452" customFormat="false" ht="15.75" hidden="false" customHeight="true" outlineLevel="0" collapsed="false">
      <c r="A1452" s="94" t="s">
        <v>1685</v>
      </c>
      <c r="B1452" s="34" t="str">
        <f aca="false">IF(A1452="100","HK",IF(A1452="200","CN",IF(A1452="300","TW","홀세일")))</f>
        <v>CN</v>
      </c>
      <c r="C1452" s="94" t="s">
        <v>684</v>
      </c>
      <c r="D1452" s="95" t="n">
        <v>162</v>
      </c>
      <c r="E1452" s="95" t="n">
        <v>59000</v>
      </c>
      <c r="F1452" s="95" t="n">
        <v>13378</v>
      </c>
      <c r="G1452" s="34" t="n">
        <v>3.69</v>
      </c>
      <c r="H1452" s="34" t="n">
        <v>15.7</v>
      </c>
      <c r="J1452" s="95" t="n">
        <f aca="false">IF(N(E1452)&gt;0,E1452,IF(N(F1452)&gt;0,F1452*가정!$B$5,0))</f>
        <v>59000</v>
      </c>
      <c r="K1452" s="95" t="n">
        <f aca="false">IF(N(F1452)&gt;0,F1452,IF(N(E1452)&gt;0,E1452/가정!$B$5,0))</f>
        <v>13378</v>
      </c>
      <c r="L1452" s="95" t="n">
        <f aca="false">IF(B1452="CN",IF(N(I1452)&gt;0,I1452*가정!$B$3,K1452*(1+가정!$B$6)),IF(N(H1452)&gt;0,H1452*가정!$B$3,J1452*가정!$B$4))</f>
        <v>14046.9</v>
      </c>
      <c r="M1452" s="95" t="n">
        <f aca="false">D1452*J1452</f>
        <v>9558000</v>
      </c>
      <c r="N1452" s="95" t="n">
        <f aca="false">D1452*K1452</f>
        <v>2167236</v>
      </c>
      <c r="O1452" s="95" t="n">
        <f aca="false">D1452*L1452</f>
        <v>2275597.8</v>
      </c>
      <c r="P1452" s="34" t="str">
        <f aca="false">TRIM(IF(N(E1452)&lt;=0,"택가보정 ","")&amp;IF(N(F1452)&lt;=0,"원가보정 ","")&amp;IF(AND(B1452&lt;&gt;"CN",N(H1452)&lt;=0),"공급가보정 ","")&amp;IF(AND(B1452="CN",N(I1452)&lt;=0),"중국공급가=원가+마진 ",""))</f>
        <v>중국공급가=원가+마진</v>
      </c>
    </row>
    <row r="1453" customFormat="false" ht="15" hidden="false" customHeight="true" outlineLevel="0" collapsed="false">
      <c r="A1453" s="94" t="s">
        <v>1686</v>
      </c>
      <c r="B1453" s="34" t="str">
        <f aca="false">IF(A1453="100","HK",IF(A1453="200","CN",IF(A1453="300","TW","홀세일")))</f>
        <v>TW</v>
      </c>
      <c r="C1453" s="94" t="s">
        <v>684</v>
      </c>
      <c r="D1453" s="95" t="n">
        <v>350</v>
      </c>
      <c r="E1453" s="95" t="n">
        <v>59000</v>
      </c>
      <c r="F1453" s="95" t="n">
        <v>13378</v>
      </c>
      <c r="G1453" s="34" t="n">
        <v>3.69</v>
      </c>
      <c r="H1453" s="34" t="n">
        <v>15.7</v>
      </c>
      <c r="J1453" s="95" t="n">
        <f aca="false">IF(N(E1453)&gt;0,E1453,IF(N(F1453)&gt;0,F1453*가정!$B$5,0))</f>
        <v>59000</v>
      </c>
      <c r="K1453" s="95" t="n">
        <f aca="false">IF(N(F1453)&gt;0,F1453,IF(N(E1453)&gt;0,E1453/가정!$B$5,0))</f>
        <v>13378</v>
      </c>
      <c r="L1453" s="95" t="n">
        <f aca="false">IF(B1453="CN",IF(N(I1453)&gt;0,I1453*가정!$B$3,K1453*(1+가정!$B$6)),IF(N(H1453)&gt;0,H1453*가정!$B$3,J1453*가정!$B$4))</f>
        <v>21395.646</v>
      </c>
      <c r="M1453" s="95" t="n">
        <f aca="false">D1453*J1453</f>
        <v>20650000</v>
      </c>
      <c r="N1453" s="95" t="n">
        <f aca="false">D1453*K1453</f>
        <v>4682300</v>
      </c>
      <c r="O1453" s="95" t="n">
        <f aca="false">D1453*L1453</f>
        <v>7488476.1</v>
      </c>
      <c r="P1453" s="34" t="str">
        <f aca="false">TRIM(IF(N(E1453)&lt;=0,"택가보정 ","")&amp;IF(N(F1453)&lt;=0,"원가보정 ","")&amp;IF(AND(B1453&lt;&gt;"CN",N(H1453)&lt;=0),"공급가보정 ","")&amp;IF(AND(B1453="CN",N(I1453)&lt;=0),"중국공급가=원가+마진 ",""))</f>
        <v/>
      </c>
    </row>
    <row r="1454" customFormat="false" ht="15" hidden="false" customHeight="true" outlineLevel="0" collapsed="false">
      <c r="A1454" s="94" t="s">
        <v>1687</v>
      </c>
      <c r="B1454" s="34" t="str">
        <f aca="false">IF(A1454="100","HK",IF(A1454="200","CN",IF(A1454="300","TW","홀세일")))</f>
        <v>홀세일</v>
      </c>
      <c r="C1454" s="94" t="s">
        <v>684</v>
      </c>
      <c r="D1454" s="95" t="n">
        <v>130</v>
      </c>
      <c r="E1454" s="95" t="n">
        <v>59000</v>
      </c>
      <c r="F1454" s="95" t="n">
        <v>13378</v>
      </c>
      <c r="G1454" s="34" t="n">
        <v>3.69</v>
      </c>
      <c r="H1454" s="34" t="n">
        <v>15.7</v>
      </c>
      <c r="J1454" s="95" t="n">
        <f aca="false">IF(N(E1454)&gt;0,E1454,IF(N(F1454)&gt;0,F1454*가정!$B$5,0))</f>
        <v>59000</v>
      </c>
      <c r="K1454" s="95" t="n">
        <f aca="false">IF(N(F1454)&gt;0,F1454,IF(N(E1454)&gt;0,E1454/가정!$B$5,0))</f>
        <v>13378</v>
      </c>
      <c r="L1454" s="95" t="n">
        <f aca="false">IF(B1454="CN",IF(N(I1454)&gt;0,I1454*가정!$B$3,K1454*(1+가정!$B$6)),IF(N(H1454)&gt;0,H1454*가정!$B$3,J1454*가정!$B$4))</f>
        <v>21395.646</v>
      </c>
      <c r="M1454" s="95" t="n">
        <f aca="false">D1454*J1454</f>
        <v>7670000</v>
      </c>
      <c r="N1454" s="95" t="n">
        <f aca="false">D1454*K1454</f>
        <v>1739140</v>
      </c>
      <c r="O1454" s="95" t="n">
        <f aca="false">D1454*L1454</f>
        <v>2781433.98</v>
      </c>
      <c r="P1454" s="34" t="str">
        <f aca="false">TRIM(IF(N(E1454)&lt;=0,"택가보정 ","")&amp;IF(N(F1454)&lt;=0,"원가보정 ","")&amp;IF(AND(B1454&lt;&gt;"CN",N(H1454)&lt;=0),"공급가보정 ","")&amp;IF(AND(B1454="CN",N(I1454)&lt;=0),"중국공급가=원가+마진 ",""))</f>
        <v/>
      </c>
    </row>
    <row r="1455" customFormat="false" ht="15" hidden="false" customHeight="true" outlineLevel="0" collapsed="false">
      <c r="A1455" s="94" t="s">
        <v>1692</v>
      </c>
      <c r="B1455" s="34" t="str">
        <f aca="false">IF(A1455="100","HK",IF(A1455="200","CN",IF(A1455="300","TW","홀세일")))</f>
        <v>홀세일</v>
      </c>
      <c r="C1455" s="94" t="s">
        <v>684</v>
      </c>
      <c r="D1455" s="95" t="n">
        <v>843</v>
      </c>
      <c r="E1455" s="95" t="n">
        <v>59000</v>
      </c>
      <c r="F1455" s="95" t="n">
        <v>13378</v>
      </c>
      <c r="G1455" s="34" t="n">
        <v>3.69</v>
      </c>
      <c r="H1455" s="34" t="n">
        <v>15.7</v>
      </c>
      <c r="J1455" s="95" t="n">
        <f aca="false">IF(N(E1455)&gt;0,E1455,IF(N(F1455)&gt;0,F1455*가정!$B$5,0))</f>
        <v>59000</v>
      </c>
      <c r="K1455" s="95" t="n">
        <f aca="false">IF(N(F1455)&gt;0,F1455,IF(N(E1455)&gt;0,E1455/가정!$B$5,0))</f>
        <v>13378</v>
      </c>
      <c r="L1455" s="95" t="n">
        <f aca="false">IF(B1455="CN",IF(N(I1455)&gt;0,I1455*가정!$B$3,K1455*(1+가정!$B$6)),IF(N(H1455)&gt;0,H1455*가정!$B$3,J1455*가정!$B$4))</f>
        <v>21395.646</v>
      </c>
      <c r="M1455" s="95" t="n">
        <f aca="false">D1455*J1455</f>
        <v>49737000</v>
      </c>
      <c r="N1455" s="95" t="n">
        <f aca="false">D1455*K1455</f>
        <v>11277654</v>
      </c>
      <c r="O1455" s="95" t="n">
        <f aca="false">D1455*L1455</f>
        <v>18036529.578</v>
      </c>
      <c r="P1455" s="34" t="str">
        <f aca="false">TRIM(IF(N(E1455)&lt;=0,"택가보정 ","")&amp;IF(N(F1455)&lt;=0,"원가보정 ","")&amp;IF(AND(B1455&lt;&gt;"CN",N(H1455)&lt;=0),"공급가보정 ","")&amp;IF(AND(B1455="CN",N(I1455)&lt;=0),"중국공급가=원가+마진 ",""))</f>
        <v/>
      </c>
    </row>
    <row r="1456" customFormat="false" ht="15" hidden="false" customHeight="true" outlineLevel="0" collapsed="false">
      <c r="A1456" s="94" t="s">
        <v>1689</v>
      </c>
      <c r="B1456" s="34" t="str">
        <f aca="false">IF(A1456="100","HK",IF(A1456="200","CN",IF(A1456="300","TW","홀세일")))</f>
        <v>홀세일</v>
      </c>
      <c r="C1456" s="94" t="s">
        <v>684</v>
      </c>
      <c r="D1456" s="95" t="n">
        <v>70</v>
      </c>
      <c r="E1456" s="95" t="n">
        <v>59000</v>
      </c>
      <c r="F1456" s="95" t="n">
        <v>13378</v>
      </c>
      <c r="G1456" s="34" t="n">
        <v>3.69</v>
      </c>
      <c r="H1456" s="34" t="n">
        <v>15.7</v>
      </c>
      <c r="J1456" s="95" t="n">
        <f aca="false">IF(N(E1456)&gt;0,E1456,IF(N(F1456)&gt;0,F1456*가정!$B$5,0))</f>
        <v>59000</v>
      </c>
      <c r="K1456" s="95" t="n">
        <f aca="false">IF(N(F1456)&gt;0,F1456,IF(N(E1456)&gt;0,E1456/가정!$B$5,0))</f>
        <v>13378</v>
      </c>
      <c r="L1456" s="95" t="n">
        <f aca="false">IF(B1456="CN",IF(N(I1456)&gt;0,I1456*가정!$B$3,K1456*(1+가정!$B$6)),IF(N(H1456)&gt;0,H1456*가정!$B$3,J1456*가정!$B$4))</f>
        <v>21395.646</v>
      </c>
      <c r="M1456" s="95" t="n">
        <f aca="false">D1456*J1456</f>
        <v>4130000</v>
      </c>
      <c r="N1456" s="95" t="n">
        <f aca="false">D1456*K1456</f>
        <v>936460</v>
      </c>
      <c r="O1456" s="95" t="n">
        <f aca="false">D1456*L1456</f>
        <v>1497695.22</v>
      </c>
      <c r="P1456" s="34" t="str">
        <f aca="false">TRIM(IF(N(E1456)&lt;=0,"택가보정 ","")&amp;IF(N(F1456)&lt;=0,"원가보정 ","")&amp;IF(AND(B1456&lt;&gt;"CN",N(H1456)&lt;=0),"공급가보정 ","")&amp;IF(AND(B1456="CN",N(I1456)&lt;=0),"중국공급가=원가+마진 ",""))</f>
        <v/>
      </c>
    </row>
    <row r="1457" customFormat="false" ht="15" hidden="false" customHeight="true" outlineLevel="0" collapsed="false">
      <c r="A1457" s="94" t="s">
        <v>1689</v>
      </c>
      <c r="B1457" s="34" t="str">
        <f aca="false">IF(A1457="100","HK",IF(A1457="200","CN",IF(A1457="300","TW","홀세일")))</f>
        <v>홀세일</v>
      </c>
      <c r="C1457" s="94" t="s">
        <v>684</v>
      </c>
      <c r="D1457" s="95" t="n">
        <v>70</v>
      </c>
      <c r="E1457" s="95" t="n">
        <v>59000</v>
      </c>
      <c r="F1457" s="95" t="n">
        <v>13378</v>
      </c>
      <c r="G1457" s="34" t="n">
        <v>3.69</v>
      </c>
      <c r="H1457" s="34" t="n">
        <v>15.7</v>
      </c>
      <c r="J1457" s="95" t="n">
        <f aca="false">IF(N(E1457)&gt;0,E1457,IF(N(F1457)&gt;0,F1457*가정!$B$5,0))</f>
        <v>59000</v>
      </c>
      <c r="K1457" s="95" t="n">
        <f aca="false">IF(N(F1457)&gt;0,F1457,IF(N(E1457)&gt;0,E1457/가정!$B$5,0))</f>
        <v>13378</v>
      </c>
      <c r="L1457" s="95" t="n">
        <f aca="false">IF(B1457="CN",IF(N(I1457)&gt;0,I1457*가정!$B$3,K1457*(1+가정!$B$6)),IF(N(H1457)&gt;0,H1457*가정!$B$3,J1457*가정!$B$4))</f>
        <v>21395.646</v>
      </c>
      <c r="M1457" s="95" t="n">
        <f aca="false">D1457*J1457</f>
        <v>4130000</v>
      </c>
      <c r="N1457" s="95" t="n">
        <f aca="false">D1457*K1457</f>
        <v>936460</v>
      </c>
      <c r="O1457" s="95" t="n">
        <f aca="false">D1457*L1457</f>
        <v>1497695.22</v>
      </c>
      <c r="P1457" s="34" t="str">
        <f aca="false">TRIM(IF(N(E1457)&lt;=0,"택가보정 ","")&amp;IF(N(F1457)&lt;=0,"원가보정 ","")&amp;IF(AND(B1457&lt;&gt;"CN",N(H1457)&lt;=0),"공급가보정 ","")&amp;IF(AND(B1457="CN",N(I1457)&lt;=0),"중국공급가=원가+마진 ",""))</f>
        <v/>
      </c>
    </row>
    <row r="1458" customFormat="false" ht="15" hidden="false" customHeight="true" outlineLevel="0" collapsed="false">
      <c r="A1458" s="94" t="s">
        <v>1690</v>
      </c>
      <c r="B1458" s="34" t="str">
        <f aca="false">IF(A1458="100","HK",IF(A1458="200","CN",IF(A1458="300","TW","홀세일")))</f>
        <v>홀세일</v>
      </c>
      <c r="C1458" s="94" t="s">
        <v>684</v>
      </c>
      <c r="D1458" s="95" t="n">
        <v>168</v>
      </c>
      <c r="E1458" s="95" t="n">
        <v>59000</v>
      </c>
      <c r="F1458" s="95" t="n">
        <v>13378</v>
      </c>
      <c r="G1458" s="34" t="n">
        <v>3.69</v>
      </c>
      <c r="H1458" s="34" t="n">
        <v>15.7</v>
      </c>
      <c r="J1458" s="95" t="n">
        <f aca="false">IF(N(E1458)&gt;0,E1458,IF(N(F1458)&gt;0,F1458*가정!$B$5,0))</f>
        <v>59000</v>
      </c>
      <c r="K1458" s="95" t="n">
        <f aca="false">IF(N(F1458)&gt;0,F1458,IF(N(E1458)&gt;0,E1458/가정!$B$5,0))</f>
        <v>13378</v>
      </c>
      <c r="L1458" s="95" t="n">
        <f aca="false">IF(B1458="CN",IF(N(I1458)&gt;0,I1458*가정!$B$3,K1458*(1+가정!$B$6)),IF(N(H1458)&gt;0,H1458*가정!$B$3,J1458*가정!$B$4))</f>
        <v>21395.646</v>
      </c>
      <c r="M1458" s="95" t="n">
        <f aca="false">D1458*J1458</f>
        <v>9912000</v>
      </c>
      <c r="N1458" s="95" t="n">
        <f aca="false">D1458*K1458</f>
        <v>2247504</v>
      </c>
      <c r="O1458" s="95" t="n">
        <f aca="false">D1458*L1458</f>
        <v>3594468.528</v>
      </c>
      <c r="P1458" s="34" t="str">
        <f aca="false">TRIM(IF(N(E1458)&lt;=0,"택가보정 ","")&amp;IF(N(F1458)&lt;=0,"원가보정 ","")&amp;IF(AND(B1458&lt;&gt;"CN",N(H1458)&lt;=0),"공급가보정 ","")&amp;IF(AND(B1458="CN",N(I1458)&lt;=0),"중국공급가=원가+마진 ",""))</f>
        <v/>
      </c>
    </row>
    <row r="1459" customFormat="false" ht="15" hidden="false" customHeight="true" outlineLevel="0" collapsed="false">
      <c r="A1459" s="94" t="s">
        <v>1684</v>
      </c>
      <c r="B1459" s="34" t="str">
        <f aca="false">IF(A1459="100","HK",IF(A1459="200","CN",IF(A1459="300","TW","홀세일")))</f>
        <v>HK</v>
      </c>
      <c r="C1459" s="94" t="s">
        <v>686</v>
      </c>
      <c r="D1459" s="95" t="n">
        <v>130</v>
      </c>
      <c r="E1459" s="95" t="n">
        <v>79000</v>
      </c>
      <c r="F1459" s="95" t="n">
        <v>19000</v>
      </c>
      <c r="G1459" s="34" t="n">
        <v>3.78</v>
      </c>
      <c r="H1459" s="34" t="n">
        <v>21</v>
      </c>
      <c r="J1459" s="95" t="n">
        <f aca="false">IF(N(E1459)&gt;0,E1459,IF(N(F1459)&gt;0,F1459*가정!$B$5,0))</f>
        <v>79000</v>
      </c>
      <c r="K1459" s="95" t="n">
        <f aca="false">IF(N(F1459)&gt;0,F1459,IF(N(E1459)&gt;0,E1459/가정!$B$5,0))</f>
        <v>19000</v>
      </c>
      <c r="L1459" s="95" t="n">
        <f aca="false">IF(B1459="CN",IF(N(I1459)&gt;0,I1459*가정!$B$3,K1459*(1+가정!$B$6)),IF(N(H1459)&gt;0,H1459*가정!$B$3,J1459*가정!$B$4))</f>
        <v>28618.38</v>
      </c>
      <c r="M1459" s="95" t="n">
        <f aca="false">D1459*J1459</f>
        <v>10270000</v>
      </c>
      <c r="N1459" s="95" t="n">
        <f aca="false">D1459*K1459</f>
        <v>2470000</v>
      </c>
      <c r="O1459" s="95" t="n">
        <f aca="false">D1459*L1459</f>
        <v>3720389.4</v>
      </c>
      <c r="P1459" s="34" t="str">
        <f aca="false">TRIM(IF(N(E1459)&lt;=0,"택가보정 ","")&amp;IF(N(F1459)&lt;=0,"원가보정 ","")&amp;IF(AND(B1459&lt;&gt;"CN",N(H1459)&lt;=0),"공급가보정 ","")&amp;IF(AND(B1459="CN",N(I1459)&lt;=0),"중국공급가=원가+마진 ",""))</f>
        <v/>
      </c>
    </row>
    <row r="1460" customFormat="false" ht="15.75" hidden="false" customHeight="true" outlineLevel="0" collapsed="false">
      <c r="A1460" s="94" t="s">
        <v>1685</v>
      </c>
      <c r="B1460" s="34" t="str">
        <f aca="false">IF(A1460="100","HK",IF(A1460="200","CN",IF(A1460="300","TW","홀세일")))</f>
        <v>CN</v>
      </c>
      <c r="C1460" s="94" t="s">
        <v>686</v>
      </c>
      <c r="D1460" s="95" t="n">
        <v>81</v>
      </c>
      <c r="E1460" s="95" t="n">
        <v>79000</v>
      </c>
      <c r="F1460" s="95" t="n">
        <v>19000</v>
      </c>
      <c r="G1460" s="34" t="n">
        <v>3.78</v>
      </c>
      <c r="H1460" s="34" t="n">
        <v>21</v>
      </c>
      <c r="J1460" s="95" t="n">
        <f aca="false">IF(N(E1460)&gt;0,E1460,IF(N(F1460)&gt;0,F1460*가정!$B$5,0))</f>
        <v>79000</v>
      </c>
      <c r="K1460" s="95" t="n">
        <f aca="false">IF(N(F1460)&gt;0,F1460,IF(N(E1460)&gt;0,E1460/가정!$B$5,0))</f>
        <v>19000</v>
      </c>
      <c r="L1460" s="95" t="n">
        <f aca="false">IF(B1460="CN",IF(N(I1460)&gt;0,I1460*가정!$B$3,K1460*(1+가정!$B$6)),IF(N(H1460)&gt;0,H1460*가정!$B$3,J1460*가정!$B$4))</f>
        <v>19950</v>
      </c>
      <c r="M1460" s="95" t="n">
        <f aca="false">D1460*J1460</f>
        <v>6399000</v>
      </c>
      <c r="N1460" s="95" t="n">
        <f aca="false">D1460*K1460</f>
        <v>1539000</v>
      </c>
      <c r="O1460" s="95" t="n">
        <f aca="false">D1460*L1460</f>
        <v>1615950</v>
      </c>
      <c r="P1460" s="34" t="str">
        <f aca="false">TRIM(IF(N(E1460)&lt;=0,"택가보정 ","")&amp;IF(N(F1460)&lt;=0,"원가보정 ","")&amp;IF(AND(B1460&lt;&gt;"CN",N(H1460)&lt;=0),"공급가보정 ","")&amp;IF(AND(B1460="CN",N(I1460)&lt;=0),"중국공급가=원가+마진 ",""))</f>
        <v>중국공급가=원가+마진</v>
      </c>
    </row>
    <row r="1461" customFormat="false" ht="15" hidden="false" customHeight="true" outlineLevel="0" collapsed="false">
      <c r="A1461" s="94" t="s">
        <v>1686</v>
      </c>
      <c r="B1461" s="34" t="str">
        <f aca="false">IF(A1461="100","HK",IF(A1461="200","CN",IF(A1461="300","TW","홀세일")))</f>
        <v>TW</v>
      </c>
      <c r="C1461" s="94" t="s">
        <v>686</v>
      </c>
      <c r="D1461" s="95" t="n">
        <v>250</v>
      </c>
      <c r="E1461" s="95" t="n">
        <v>79000</v>
      </c>
      <c r="F1461" s="95" t="n">
        <v>19000</v>
      </c>
      <c r="G1461" s="34" t="n">
        <v>3.78</v>
      </c>
      <c r="H1461" s="34" t="n">
        <v>21</v>
      </c>
      <c r="J1461" s="95" t="n">
        <f aca="false">IF(N(E1461)&gt;0,E1461,IF(N(F1461)&gt;0,F1461*가정!$B$5,0))</f>
        <v>79000</v>
      </c>
      <c r="K1461" s="95" t="n">
        <f aca="false">IF(N(F1461)&gt;0,F1461,IF(N(E1461)&gt;0,E1461/가정!$B$5,0))</f>
        <v>19000</v>
      </c>
      <c r="L1461" s="95" t="n">
        <f aca="false">IF(B1461="CN",IF(N(I1461)&gt;0,I1461*가정!$B$3,K1461*(1+가정!$B$6)),IF(N(H1461)&gt;0,H1461*가정!$B$3,J1461*가정!$B$4))</f>
        <v>28618.38</v>
      </c>
      <c r="M1461" s="95" t="n">
        <f aca="false">D1461*J1461</f>
        <v>19750000</v>
      </c>
      <c r="N1461" s="95" t="n">
        <f aca="false">D1461*K1461</f>
        <v>4750000</v>
      </c>
      <c r="O1461" s="95" t="n">
        <f aca="false">D1461*L1461</f>
        <v>7154595</v>
      </c>
      <c r="P1461" s="34" t="str">
        <f aca="false">TRIM(IF(N(E1461)&lt;=0,"택가보정 ","")&amp;IF(N(F1461)&lt;=0,"원가보정 ","")&amp;IF(AND(B1461&lt;&gt;"CN",N(H1461)&lt;=0),"공급가보정 ","")&amp;IF(AND(B1461="CN",N(I1461)&lt;=0),"중국공급가=원가+마진 ",""))</f>
        <v/>
      </c>
    </row>
    <row r="1462" customFormat="false" ht="15" hidden="false" customHeight="true" outlineLevel="0" collapsed="false">
      <c r="A1462" s="94" t="s">
        <v>1687</v>
      </c>
      <c r="B1462" s="34" t="str">
        <f aca="false">IF(A1462="100","HK",IF(A1462="200","CN",IF(A1462="300","TW","홀세일")))</f>
        <v>홀세일</v>
      </c>
      <c r="C1462" s="94" t="s">
        <v>686</v>
      </c>
      <c r="D1462" s="95" t="n">
        <v>40</v>
      </c>
      <c r="E1462" s="95" t="n">
        <v>79000</v>
      </c>
      <c r="F1462" s="95" t="n">
        <v>19000</v>
      </c>
      <c r="G1462" s="34" t="n">
        <v>3.78</v>
      </c>
      <c r="H1462" s="34" t="n">
        <v>21</v>
      </c>
      <c r="J1462" s="95" t="n">
        <f aca="false">IF(N(E1462)&gt;0,E1462,IF(N(F1462)&gt;0,F1462*가정!$B$5,0))</f>
        <v>79000</v>
      </c>
      <c r="K1462" s="95" t="n">
        <f aca="false">IF(N(F1462)&gt;0,F1462,IF(N(E1462)&gt;0,E1462/가정!$B$5,0))</f>
        <v>19000</v>
      </c>
      <c r="L1462" s="95" t="n">
        <f aca="false">IF(B1462="CN",IF(N(I1462)&gt;0,I1462*가정!$B$3,K1462*(1+가정!$B$6)),IF(N(H1462)&gt;0,H1462*가정!$B$3,J1462*가정!$B$4))</f>
        <v>28618.38</v>
      </c>
      <c r="M1462" s="95" t="n">
        <f aca="false">D1462*J1462</f>
        <v>3160000</v>
      </c>
      <c r="N1462" s="95" t="n">
        <f aca="false">D1462*K1462</f>
        <v>760000</v>
      </c>
      <c r="O1462" s="95" t="n">
        <f aca="false">D1462*L1462</f>
        <v>1144735.2</v>
      </c>
      <c r="P1462" s="34" t="str">
        <f aca="false">TRIM(IF(N(E1462)&lt;=0,"택가보정 ","")&amp;IF(N(F1462)&lt;=0,"원가보정 ","")&amp;IF(AND(B1462&lt;&gt;"CN",N(H1462)&lt;=0),"공급가보정 ","")&amp;IF(AND(B1462="CN",N(I1462)&lt;=0),"중국공급가=원가+마진 ",""))</f>
        <v/>
      </c>
    </row>
    <row r="1463" customFormat="false" ht="15" hidden="false" customHeight="true" outlineLevel="0" collapsed="false">
      <c r="A1463" s="94" t="s">
        <v>1688</v>
      </c>
      <c r="B1463" s="34" t="str">
        <f aca="false">IF(A1463="100","HK",IF(A1463="200","CN",IF(A1463="300","TW","홀세일")))</f>
        <v>홀세일</v>
      </c>
      <c r="C1463" s="94" t="s">
        <v>686</v>
      </c>
      <c r="D1463" s="95" t="n">
        <v>15</v>
      </c>
      <c r="E1463" s="95" t="n">
        <v>79000</v>
      </c>
      <c r="F1463" s="95" t="n">
        <v>19000</v>
      </c>
      <c r="G1463" s="34" t="n">
        <v>3.78</v>
      </c>
      <c r="H1463" s="34" t="n">
        <v>21</v>
      </c>
      <c r="J1463" s="95" t="n">
        <f aca="false">IF(N(E1463)&gt;0,E1463,IF(N(F1463)&gt;0,F1463*가정!$B$5,0))</f>
        <v>79000</v>
      </c>
      <c r="K1463" s="95" t="n">
        <f aca="false">IF(N(F1463)&gt;0,F1463,IF(N(E1463)&gt;0,E1463/가정!$B$5,0))</f>
        <v>19000</v>
      </c>
      <c r="L1463" s="95" t="n">
        <f aca="false">IF(B1463="CN",IF(N(I1463)&gt;0,I1463*가정!$B$3,K1463*(1+가정!$B$6)),IF(N(H1463)&gt;0,H1463*가정!$B$3,J1463*가정!$B$4))</f>
        <v>28618.38</v>
      </c>
      <c r="M1463" s="95" t="n">
        <f aca="false">D1463*J1463</f>
        <v>1185000</v>
      </c>
      <c r="N1463" s="95" t="n">
        <f aca="false">D1463*K1463</f>
        <v>285000</v>
      </c>
      <c r="O1463" s="95" t="n">
        <f aca="false">D1463*L1463</f>
        <v>429275.7</v>
      </c>
      <c r="P1463" s="34" t="str">
        <f aca="false">TRIM(IF(N(E1463)&lt;=0,"택가보정 ","")&amp;IF(N(F1463)&lt;=0,"원가보정 ","")&amp;IF(AND(B1463&lt;&gt;"CN",N(H1463)&lt;=0),"공급가보정 ","")&amp;IF(AND(B1463="CN",N(I1463)&lt;=0),"중국공급가=원가+마진 ",""))</f>
        <v/>
      </c>
    </row>
    <row r="1464" customFormat="false" ht="15" hidden="false" customHeight="true" outlineLevel="0" collapsed="false">
      <c r="A1464" s="94" t="s">
        <v>1692</v>
      </c>
      <c r="B1464" s="34" t="str">
        <f aca="false">IF(A1464="100","HK",IF(A1464="200","CN",IF(A1464="300","TW","홀세일")))</f>
        <v>홀세일</v>
      </c>
      <c r="C1464" s="94" t="s">
        <v>686</v>
      </c>
      <c r="D1464" s="95" t="n">
        <v>121</v>
      </c>
      <c r="E1464" s="95" t="n">
        <v>79000</v>
      </c>
      <c r="F1464" s="95" t="n">
        <v>19000</v>
      </c>
      <c r="G1464" s="34" t="n">
        <v>3.78</v>
      </c>
      <c r="H1464" s="34" t="n">
        <v>21</v>
      </c>
      <c r="J1464" s="95" t="n">
        <f aca="false">IF(N(E1464)&gt;0,E1464,IF(N(F1464)&gt;0,F1464*가정!$B$5,0))</f>
        <v>79000</v>
      </c>
      <c r="K1464" s="95" t="n">
        <f aca="false">IF(N(F1464)&gt;0,F1464,IF(N(E1464)&gt;0,E1464/가정!$B$5,0))</f>
        <v>19000</v>
      </c>
      <c r="L1464" s="95" t="n">
        <f aca="false">IF(B1464="CN",IF(N(I1464)&gt;0,I1464*가정!$B$3,K1464*(1+가정!$B$6)),IF(N(H1464)&gt;0,H1464*가정!$B$3,J1464*가정!$B$4))</f>
        <v>28618.38</v>
      </c>
      <c r="M1464" s="95" t="n">
        <f aca="false">D1464*J1464</f>
        <v>9559000</v>
      </c>
      <c r="N1464" s="95" t="n">
        <f aca="false">D1464*K1464</f>
        <v>2299000</v>
      </c>
      <c r="O1464" s="95" t="n">
        <f aca="false">D1464*L1464</f>
        <v>3462823.98</v>
      </c>
      <c r="P1464" s="34" t="str">
        <f aca="false">TRIM(IF(N(E1464)&lt;=0,"택가보정 ","")&amp;IF(N(F1464)&lt;=0,"원가보정 ","")&amp;IF(AND(B1464&lt;&gt;"CN",N(H1464)&lt;=0),"공급가보정 ","")&amp;IF(AND(B1464="CN",N(I1464)&lt;=0),"중국공급가=원가+마진 ",""))</f>
        <v/>
      </c>
    </row>
    <row r="1465" customFormat="false" ht="15" hidden="false" customHeight="true" outlineLevel="0" collapsed="false">
      <c r="A1465" s="94" t="s">
        <v>1689</v>
      </c>
      <c r="B1465" s="34" t="str">
        <f aca="false">IF(A1465="100","HK",IF(A1465="200","CN",IF(A1465="300","TW","홀세일")))</f>
        <v>홀세일</v>
      </c>
      <c r="C1465" s="94" t="s">
        <v>686</v>
      </c>
      <c r="D1465" s="95" t="n">
        <v>15</v>
      </c>
      <c r="E1465" s="95" t="n">
        <v>79000</v>
      </c>
      <c r="F1465" s="95" t="n">
        <v>19000</v>
      </c>
      <c r="G1465" s="34" t="n">
        <v>3.78</v>
      </c>
      <c r="H1465" s="34" t="n">
        <v>21</v>
      </c>
      <c r="J1465" s="95" t="n">
        <f aca="false">IF(N(E1465)&gt;0,E1465,IF(N(F1465)&gt;0,F1465*가정!$B$5,0))</f>
        <v>79000</v>
      </c>
      <c r="K1465" s="95" t="n">
        <f aca="false">IF(N(F1465)&gt;0,F1465,IF(N(E1465)&gt;0,E1465/가정!$B$5,0))</f>
        <v>19000</v>
      </c>
      <c r="L1465" s="95" t="n">
        <f aca="false">IF(B1465="CN",IF(N(I1465)&gt;0,I1465*가정!$B$3,K1465*(1+가정!$B$6)),IF(N(H1465)&gt;0,H1465*가정!$B$3,J1465*가정!$B$4))</f>
        <v>28618.38</v>
      </c>
      <c r="M1465" s="95" t="n">
        <f aca="false">D1465*J1465</f>
        <v>1185000</v>
      </c>
      <c r="N1465" s="95" t="n">
        <f aca="false">D1465*K1465</f>
        <v>285000</v>
      </c>
      <c r="O1465" s="95" t="n">
        <f aca="false">D1465*L1465</f>
        <v>429275.7</v>
      </c>
      <c r="P1465" s="34" t="str">
        <f aca="false">TRIM(IF(N(E1465)&lt;=0,"택가보정 ","")&amp;IF(N(F1465)&lt;=0,"원가보정 ","")&amp;IF(AND(B1465&lt;&gt;"CN",N(H1465)&lt;=0),"공급가보정 ","")&amp;IF(AND(B1465="CN",N(I1465)&lt;=0),"중국공급가=원가+마진 ",""))</f>
        <v/>
      </c>
    </row>
    <row r="1466" customFormat="false" ht="15" hidden="false" customHeight="true" outlineLevel="0" collapsed="false">
      <c r="A1466" s="94" t="s">
        <v>1689</v>
      </c>
      <c r="B1466" s="34" t="str">
        <f aca="false">IF(A1466="100","HK",IF(A1466="200","CN",IF(A1466="300","TW","홀세일")))</f>
        <v>홀세일</v>
      </c>
      <c r="C1466" s="94" t="s">
        <v>686</v>
      </c>
      <c r="D1466" s="95" t="n">
        <v>15</v>
      </c>
      <c r="E1466" s="95" t="n">
        <v>79000</v>
      </c>
      <c r="F1466" s="95" t="n">
        <v>19000</v>
      </c>
      <c r="G1466" s="34" t="n">
        <v>3.78</v>
      </c>
      <c r="H1466" s="34" t="n">
        <v>21</v>
      </c>
      <c r="J1466" s="95" t="n">
        <f aca="false">IF(N(E1466)&gt;0,E1466,IF(N(F1466)&gt;0,F1466*가정!$B$5,0))</f>
        <v>79000</v>
      </c>
      <c r="K1466" s="95" t="n">
        <f aca="false">IF(N(F1466)&gt;0,F1466,IF(N(E1466)&gt;0,E1466/가정!$B$5,0))</f>
        <v>19000</v>
      </c>
      <c r="L1466" s="95" t="n">
        <f aca="false">IF(B1466="CN",IF(N(I1466)&gt;0,I1466*가정!$B$3,K1466*(1+가정!$B$6)),IF(N(H1466)&gt;0,H1466*가정!$B$3,J1466*가정!$B$4))</f>
        <v>28618.38</v>
      </c>
      <c r="M1466" s="95" t="n">
        <f aca="false">D1466*J1466</f>
        <v>1185000</v>
      </c>
      <c r="N1466" s="95" t="n">
        <f aca="false">D1466*K1466</f>
        <v>285000</v>
      </c>
      <c r="O1466" s="95" t="n">
        <f aca="false">D1466*L1466</f>
        <v>429275.7</v>
      </c>
      <c r="P1466" s="34" t="str">
        <f aca="false">TRIM(IF(N(E1466)&lt;=0,"택가보정 ","")&amp;IF(N(F1466)&lt;=0,"원가보정 ","")&amp;IF(AND(B1466&lt;&gt;"CN",N(H1466)&lt;=0),"공급가보정 ","")&amp;IF(AND(B1466="CN",N(I1466)&lt;=0),"중국공급가=원가+마진 ",""))</f>
        <v/>
      </c>
    </row>
    <row r="1467" customFormat="false" ht="15" hidden="false" customHeight="true" outlineLevel="0" collapsed="false">
      <c r="A1467" s="94" t="s">
        <v>1684</v>
      </c>
      <c r="B1467" s="34" t="str">
        <f aca="false">IF(A1467="100","HK",IF(A1467="200","CN",IF(A1467="300","TW","홀세일")))</f>
        <v>HK</v>
      </c>
      <c r="C1467" s="94" t="s">
        <v>688</v>
      </c>
      <c r="D1467" s="95" t="n">
        <v>230</v>
      </c>
      <c r="E1467" s="95" t="n">
        <v>49000</v>
      </c>
      <c r="F1467" s="95" t="n">
        <v>11104</v>
      </c>
      <c r="G1467" s="34" t="n">
        <v>3.68</v>
      </c>
      <c r="H1467" s="34" t="n">
        <v>13.1</v>
      </c>
      <c r="J1467" s="95" t="n">
        <f aca="false">IF(N(E1467)&gt;0,E1467,IF(N(F1467)&gt;0,F1467*가정!$B$5,0))</f>
        <v>49000</v>
      </c>
      <c r="K1467" s="95" t="n">
        <f aca="false">IF(N(F1467)&gt;0,F1467,IF(N(E1467)&gt;0,E1467/가정!$B$5,0))</f>
        <v>11104</v>
      </c>
      <c r="L1467" s="95" t="n">
        <f aca="false">IF(B1467="CN",IF(N(I1467)&gt;0,I1467*가정!$B$3,K1467*(1+가정!$B$6)),IF(N(H1467)&gt;0,H1467*가정!$B$3,J1467*가정!$B$4))</f>
        <v>17852.418</v>
      </c>
      <c r="M1467" s="95" t="n">
        <f aca="false">D1467*J1467</f>
        <v>11270000</v>
      </c>
      <c r="N1467" s="95" t="n">
        <f aca="false">D1467*K1467</f>
        <v>2553920</v>
      </c>
      <c r="O1467" s="95" t="n">
        <f aca="false">D1467*L1467</f>
        <v>4106056.14</v>
      </c>
      <c r="P1467" s="34" t="str">
        <f aca="false">TRIM(IF(N(E1467)&lt;=0,"택가보정 ","")&amp;IF(N(F1467)&lt;=0,"원가보정 ","")&amp;IF(AND(B1467&lt;&gt;"CN",N(H1467)&lt;=0),"공급가보정 ","")&amp;IF(AND(B1467="CN",N(I1467)&lt;=0),"중국공급가=원가+마진 ",""))</f>
        <v/>
      </c>
    </row>
    <row r="1468" customFormat="false" ht="15" hidden="false" customHeight="true" outlineLevel="0" collapsed="false">
      <c r="A1468" s="94" t="s">
        <v>1686</v>
      </c>
      <c r="B1468" s="34" t="str">
        <f aca="false">IF(A1468="100","HK",IF(A1468="200","CN",IF(A1468="300","TW","홀세일")))</f>
        <v>TW</v>
      </c>
      <c r="C1468" s="94" t="s">
        <v>688</v>
      </c>
      <c r="D1468" s="95" t="n">
        <v>180</v>
      </c>
      <c r="E1468" s="95" t="n">
        <v>49000</v>
      </c>
      <c r="F1468" s="95" t="n">
        <v>11104</v>
      </c>
      <c r="G1468" s="34" t="n">
        <v>3.68</v>
      </c>
      <c r="H1468" s="34" t="n">
        <v>13.1</v>
      </c>
      <c r="J1468" s="95" t="n">
        <f aca="false">IF(N(E1468)&gt;0,E1468,IF(N(F1468)&gt;0,F1468*가정!$B$5,0))</f>
        <v>49000</v>
      </c>
      <c r="K1468" s="95" t="n">
        <f aca="false">IF(N(F1468)&gt;0,F1468,IF(N(E1468)&gt;0,E1468/가정!$B$5,0))</f>
        <v>11104</v>
      </c>
      <c r="L1468" s="95" t="n">
        <f aca="false">IF(B1468="CN",IF(N(I1468)&gt;0,I1468*가정!$B$3,K1468*(1+가정!$B$6)),IF(N(H1468)&gt;0,H1468*가정!$B$3,J1468*가정!$B$4))</f>
        <v>17852.418</v>
      </c>
      <c r="M1468" s="95" t="n">
        <f aca="false">D1468*J1468</f>
        <v>8820000</v>
      </c>
      <c r="N1468" s="95" t="n">
        <f aca="false">D1468*K1468</f>
        <v>1998720</v>
      </c>
      <c r="O1468" s="95" t="n">
        <f aca="false">D1468*L1468</f>
        <v>3213435.24</v>
      </c>
      <c r="P1468" s="34" t="str">
        <f aca="false">TRIM(IF(N(E1468)&lt;=0,"택가보정 ","")&amp;IF(N(F1468)&lt;=0,"원가보정 ","")&amp;IF(AND(B1468&lt;&gt;"CN",N(H1468)&lt;=0),"공급가보정 ","")&amp;IF(AND(B1468="CN",N(I1468)&lt;=0),"중국공급가=원가+마진 ",""))</f>
        <v/>
      </c>
    </row>
    <row r="1469" customFormat="false" ht="15" hidden="false" customHeight="true" outlineLevel="0" collapsed="false">
      <c r="A1469" s="94" t="s">
        <v>1687</v>
      </c>
      <c r="B1469" s="34" t="str">
        <f aca="false">IF(A1469="100","HK",IF(A1469="200","CN",IF(A1469="300","TW","홀세일")))</f>
        <v>홀세일</v>
      </c>
      <c r="C1469" s="94" t="s">
        <v>688</v>
      </c>
      <c r="D1469" s="95" t="n">
        <v>70</v>
      </c>
      <c r="E1469" s="95" t="n">
        <v>49000</v>
      </c>
      <c r="F1469" s="95" t="n">
        <v>11104</v>
      </c>
      <c r="G1469" s="34" t="n">
        <v>3.68</v>
      </c>
      <c r="H1469" s="34" t="n">
        <v>13.1</v>
      </c>
      <c r="J1469" s="95" t="n">
        <f aca="false">IF(N(E1469)&gt;0,E1469,IF(N(F1469)&gt;0,F1469*가정!$B$5,0))</f>
        <v>49000</v>
      </c>
      <c r="K1469" s="95" t="n">
        <f aca="false">IF(N(F1469)&gt;0,F1469,IF(N(E1469)&gt;0,E1469/가정!$B$5,0))</f>
        <v>11104</v>
      </c>
      <c r="L1469" s="95" t="n">
        <f aca="false">IF(B1469="CN",IF(N(I1469)&gt;0,I1469*가정!$B$3,K1469*(1+가정!$B$6)),IF(N(H1469)&gt;0,H1469*가정!$B$3,J1469*가정!$B$4))</f>
        <v>17852.418</v>
      </c>
      <c r="M1469" s="95" t="n">
        <f aca="false">D1469*J1469</f>
        <v>3430000</v>
      </c>
      <c r="N1469" s="95" t="n">
        <f aca="false">D1469*K1469</f>
        <v>777280</v>
      </c>
      <c r="O1469" s="95" t="n">
        <f aca="false">D1469*L1469</f>
        <v>1249669.26</v>
      </c>
      <c r="P1469" s="34" t="str">
        <f aca="false">TRIM(IF(N(E1469)&lt;=0,"택가보정 ","")&amp;IF(N(F1469)&lt;=0,"원가보정 ","")&amp;IF(AND(B1469&lt;&gt;"CN",N(H1469)&lt;=0),"공급가보정 ","")&amp;IF(AND(B1469="CN",N(I1469)&lt;=0),"중국공급가=원가+마진 ",""))</f>
        <v/>
      </c>
    </row>
    <row r="1470" customFormat="false" ht="15" hidden="false" customHeight="true" outlineLevel="0" collapsed="false">
      <c r="A1470" s="94" t="s">
        <v>1688</v>
      </c>
      <c r="B1470" s="34" t="str">
        <f aca="false">IF(A1470="100","HK",IF(A1470="200","CN",IF(A1470="300","TW","홀세일")))</f>
        <v>홀세일</v>
      </c>
      <c r="C1470" s="94" t="s">
        <v>688</v>
      </c>
      <c r="D1470" s="95" t="n">
        <v>30</v>
      </c>
      <c r="E1470" s="95" t="n">
        <v>49000</v>
      </c>
      <c r="F1470" s="95" t="n">
        <v>11104</v>
      </c>
      <c r="G1470" s="34" t="n">
        <v>3.68</v>
      </c>
      <c r="H1470" s="34" t="n">
        <v>13.1</v>
      </c>
      <c r="J1470" s="95" t="n">
        <f aca="false">IF(N(E1470)&gt;0,E1470,IF(N(F1470)&gt;0,F1470*가정!$B$5,0))</f>
        <v>49000</v>
      </c>
      <c r="K1470" s="95" t="n">
        <f aca="false">IF(N(F1470)&gt;0,F1470,IF(N(E1470)&gt;0,E1470/가정!$B$5,0))</f>
        <v>11104</v>
      </c>
      <c r="L1470" s="95" t="n">
        <f aca="false">IF(B1470="CN",IF(N(I1470)&gt;0,I1470*가정!$B$3,K1470*(1+가정!$B$6)),IF(N(H1470)&gt;0,H1470*가정!$B$3,J1470*가정!$B$4))</f>
        <v>17852.418</v>
      </c>
      <c r="M1470" s="95" t="n">
        <f aca="false">D1470*J1470</f>
        <v>1470000</v>
      </c>
      <c r="N1470" s="95" t="n">
        <f aca="false">D1470*K1470</f>
        <v>333120</v>
      </c>
      <c r="O1470" s="95" t="n">
        <f aca="false">D1470*L1470</f>
        <v>535572.54</v>
      </c>
      <c r="P1470" s="34" t="str">
        <f aca="false">TRIM(IF(N(E1470)&lt;=0,"택가보정 ","")&amp;IF(N(F1470)&lt;=0,"원가보정 ","")&amp;IF(AND(B1470&lt;&gt;"CN",N(H1470)&lt;=0),"공급가보정 ","")&amp;IF(AND(B1470="CN",N(I1470)&lt;=0),"중국공급가=원가+마진 ",""))</f>
        <v/>
      </c>
    </row>
    <row r="1471" customFormat="false" ht="15" hidden="false" customHeight="true" outlineLevel="0" collapsed="false">
      <c r="A1471" s="94" t="s">
        <v>1692</v>
      </c>
      <c r="B1471" s="34" t="str">
        <f aca="false">IF(A1471="100","HK",IF(A1471="200","CN",IF(A1471="300","TW","홀세일")))</f>
        <v>홀세일</v>
      </c>
      <c r="C1471" s="94" t="s">
        <v>688</v>
      </c>
      <c r="D1471" s="95" t="n">
        <v>61</v>
      </c>
      <c r="E1471" s="95" t="n">
        <v>49000</v>
      </c>
      <c r="F1471" s="95" t="n">
        <v>11104</v>
      </c>
      <c r="G1471" s="34" t="n">
        <v>3.68</v>
      </c>
      <c r="H1471" s="34" t="n">
        <v>13.1</v>
      </c>
      <c r="J1471" s="95" t="n">
        <f aca="false">IF(N(E1471)&gt;0,E1471,IF(N(F1471)&gt;0,F1471*가정!$B$5,0))</f>
        <v>49000</v>
      </c>
      <c r="K1471" s="95" t="n">
        <f aca="false">IF(N(F1471)&gt;0,F1471,IF(N(E1471)&gt;0,E1471/가정!$B$5,0))</f>
        <v>11104</v>
      </c>
      <c r="L1471" s="95" t="n">
        <f aca="false">IF(B1471="CN",IF(N(I1471)&gt;0,I1471*가정!$B$3,K1471*(1+가정!$B$6)),IF(N(H1471)&gt;0,H1471*가정!$B$3,J1471*가정!$B$4))</f>
        <v>17852.418</v>
      </c>
      <c r="M1471" s="95" t="n">
        <f aca="false">D1471*J1471</f>
        <v>2989000</v>
      </c>
      <c r="N1471" s="95" t="n">
        <f aca="false">D1471*K1471</f>
        <v>677344</v>
      </c>
      <c r="O1471" s="95" t="n">
        <f aca="false">D1471*L1471</f>
        <v>1088997.498</v>
      </c>
      <c r="P1471" s="34" t="str">
        <f aca="false">TRIM(IF(N(E1471)&lt;=0,"택가보정 ","")&amp;IF(N(F1471)&lt;=0,"원가보정 ","")&amp;IF(AND(B1471&lt;&gt;"CN",N(H1471)&lt;=0),"공급가보정 ","")&amp;IF(AND(B1471="CN",N(I1471)&lt;=0),"중국공급가=원가+마진 ",""))</f>
        <v/>
      </c>
    </row>
    <row r="1472" customFormat="false" ht="15" hidden="false" customHeight="true" outlineLevel="0" collapsed="false">
      <c r="A1472" s="94" t="s">
        <v>1690</v>
      </c>
      <c r="B1472" s="34" t="str">
        <f aca="false">IF(A1472="100","HK",IF(A1472="200","CN",IF(A1472="300","TW","홀세일")))</f>
        <v>홀세일</v>
      </c>
      <c r="C1472" s="94" t="s">
        <v>688</v>
      </c>
      <c r="D1472" s="95" t="n">
        <v>168</v>
      </c>
      <c r="E1472" s="95" t="n">
        <v>49000</v>
      </c>
      <c r="F1472" s="95" t="n">
        <v>11104</v>
      </c>
      <c r="G1472" s="34" t="n">
        <v>3.68</v>
      </c>
      <c r="H1472" s="34" t="n">
        <v>13.1</v>
      </c>
      <c r="J1472" s="95" t="n">
        <f aca="false">IF(N(E1472)&gt;0,E1472,IF(N(F1472)&gt;0,F1472*가정!$B$5,0))</f>
        <v>49000</v>
      </c>
      <c r="K1472" s="95" t="n">
        <f aca="false">IF(N(F1472)&gt;0,F1472,IF(N(E1472)&gt;0,E1472/가정!$B$5,0))</f>
        <v>11104</v>
      </c>
      <c r="L1472" s="95" t="n">
        <f aca="false">IF(B1472="CN",IF(N(I1472)&gt;0,I1472*가정!$B$3,K1472*(1+가정!$B$6)),IF(N(H1472)&gt;0,H1472*가정!$B$3,J1472*가정!$B$4))</f>
        <v>17852.418</v>
      </c>
      <c r="M1472" s="95" t="n">
        <f aca="false">D1472*J1472</f>
        <v>8232000</v>
      </c>
      <c r="N1472" s="95" t="n">
        <f aca="false">D1472*K1472</f>
        <v>1865472</v>
      </c>
      <c r="O1472" s="95" t="n">
        <f aca="false">D1472*L1472</f>
        <v>2999206.224</v>
      </c>
      <c r="P1472" s="34" t="str">
        <f aca="false">TRIM(IF(N(E1472)&lt;=0,"택가보정 ","")&amp;IF(N(F1472)&lt;=0,"원가보정 ","")&amp;IF(AND(B1472&lt;&gt;"CN",N(H1472)&lt;=0),"공급가보정 ","")&amp;IF(AND(B1472="CN",N(I1472)&lt;=0),"중국공급가=원가+마진 ",""))</f>
        <v/>
      </c>
    </row>
    <row r="1473" customFormat="false" ht="15" hidden="false" customHeight="true" outlineLevel="0" collapsed="false">
      <c r="A1473" s="94" t="s">
        <v>1688</v>
      </c>
      <c r="B1473" s="34" t="str">
        <f aca="false">IF(A1473="100","HK",IF(A1473="200","CN",IF(A1473="300","TW","홀세일")))</f>
        <v>홀세일</v>
      </c>
      <c r="C1473" s="94" t="s">
        <v>1405</v>
      </c>
      <c r="D1473" s="95" t="n">
        <v>20</v>
      </c>
      <c r="E1473" s="95" t="n">
        <v>79000</v>
      </c>
      <c r="F1473" s="95" t="n">
        <v>16700</v>
      </c>
      <c r="G1473" s="34" t="n">
        <v>3.91</v>
      </c>
      <c r="H1473" s="34" t="n">
        <v>21</v>
      </c>
      <c r="J1473" s="95" t="n">
        <f aca="false">IF(N(E1473)&gt;0,E1473,IF(N(F1473)&gt;0,F1473*가정!$B$5,0))</f>
        <v>79000</v>
      </c>
      <c r="K1473" s="95" t="n">
        <f aca="false">IF(N(F1473)&gt;0,F1473,IF(N(E1473)&gt;0,E1473/가정!$B$5,0))</f>
        <v>16700</v>
      </c>
      <c r="L1473" s="95" t="n">
        <f aca="false">IF(B1473="CN",IF(N(I1473)&gt;0,I1473*가정!$B$3,K1473*(1+가정!$B$6)),IF(N(H1473)&gt;0,H1473*가정!$B$3,J1473*가정!$B$4))</f>
        <v>28618.38</v>
      </c>
      <c r="M1473" s="95" t="n">
        <f aca="false">D1473*J1473</f>
        <v>1580000</v>
      </c>
      <c r="N1473" s="95" t="n">
        <f aca="false">D1473*K1473</f>
        <v>334000</v>
      </c>
      <c r="O1473" s="95" t="n">
        <f aca="false">D1473*L1473</f>
        <v>572367.6</v>
      </c>
      <c r="P1473" s="34" t="str">
        <f aca="false">TRIM(IF(N(E1473)&lt;=0,"택가보정 ","")&amp;IF(N(F1473)&lt;=0,"원가보정 ","")&amp;IF(AND(B1473&lt;&gt;"CN",N(H1473)&lt;=0),"공급가보정 ","")&amp;IF(AND(B1473="CN",N(I1473)&lt;=0),"중국공급가=원가+마진 ",""))</f>
        <v/>
      </c>
    </row>
    <row r="1474" customFormat="false" ht="15" hidden="false" customHeight="true" outlineLevel="0" collapsed="false">
      <c r="A1474" s="94" t="s">
        <v>1689</v>
      </c>
      <c r="B1474" s="34" t="str">
        <f aca="false">IF(A1474="100","HK",IF(A1474="200","CN",IF(A1474="300","TW","홀세일")))</f>
        <v>홀세일</v>
      </c>
      <c r="C1474" s="94" t="s">
        <v>1405</v>
      </c>
      <c r="D1474" s="95" t="n">
        <v>20</v>
      </c>
      <c r="E1474" s="95" t="n">
        <v>79000</v>
      </c>
      <c r="F1474" s="95" t="n">
        <v>16700</v>
      </c>
      <c r="G1474" s="34" t="n">
        <v>3.91</v>
      </c>
      <c r="H1474" s="34" t="n">
        <v>21</v>
      </c>
      <c r="J1474" s="95" t="n">
        <f aca="false">IF(N(E1474)&gt;0,E1474,IF(N(F1474)&gt;0,F1474*가정!$B$5,0))</f>
        <v>79000</v>
      </c>
      <c r="K1474" s="95" t="n">
        <f aca="false">IF(N(F1474)&gt;0,F1474,IF(N(E1474)&gt;0,E1474/가정!$B$5,0))</f>
        <v>16700</v>
      </c>
      <c r="L1474" s="95" t="n">
        <f aca="false">IF(B1474="CN",IF(N(I1474)&gt;0,I1474*가정!$B$3,K1474*(1+가정!$B$6)),IF(N(H1474)&gt;0,H1474*가정!$B$3,J1474*가정!$B$4))</f>
        <v>28618.38</v>
      </c>
      <c r="M1474" s="95" t="n">
        <f aca="false">D1474*J1474</f>
        <v>1580000</v>
      </c>
      <c r="N1474" s="95" t="n">
        <f aca="false">D1474*K1474</f>
        <v>334000</v>
      </c>
      <c r="O1474" s="95" t="n">
        <f aca="false">D1474*L1474</f>
        <v>572367.6</v>
      </c>
      <c r="P1474" s="34" t="str">
        <f aca="false">TRIM(IF(N(E1474)&lt;=0,"택가보정 ","")&amp;IF(N(F1474)&lt;=0,"원가보정 ","")&amp;IF(AND(B1474&lt;&gt;"CN",N(H1474)&lt;=0),"공급가보정 ","")&amp;IF(AND(B1474="CN",N(I1474)&lt;=0),"중국공급가=원가+마진 ",""))</f>
        <v/>
      </c>
    </row>
    <row r="1475" customFormat="false" ht="15" hidden="false" customHeight="true" outlineLevel="0" collapsed="false">
      <c r="A1475" s="94" t="s">
        <v>1689</v>
      </c>
      <c r="B1475" s="34" t="str">
        <f aca="false">IF(A1475="100","HK",IF(A1475="200","CN",IF(A1475="300","TW","홀세일")))</f>
        <v>홀세일</v>
      </c>
      <c r="C1475" s="94" t="s">
        <v>1405</v>
      </c>
      <c r="D1475" s="95" t="n">
        <v>20</v>
      </c>
      <c r="E1475" s="95" t="n">
        <v>79000</v>
      </c>
      <c r="F1475" s="95" t="n">
        <v>16700</v>
      </c>
      <c r="G1475" s="34" t="n">
        <v>3.91</v>
      </c>
      <c r="H1475" s="34" t="n">
        <v>21</v>
      </c>
      <c r="J1475" s="95" t="n">
        <f aca="false">IF(N(E1475)&gt;0,E1475,IF(N(F1475)&gt;0,F1475*가정!$B$5,0))</f>
        <v>79000</v>
      </c>
      <c r="K1475" s="95" t="n">
        <f aca="false">IF(N(F1475)&gt;0,F1475,IF(N(E1475)&gt;0,E1475/가정!$B$5,0))</f>
        <v>16700</v>
      </c>
      <c r="L1475" s="95" t="n">
        <f aca="false">IF(B1475="CN",IF(N(I1475)&gt;0,I1475*가정!$B$3,K1475*(1+가정!$B$6)),IF(N(H1475)&gt;0,H1475*가정!$B$3,J1475*가정!$B$4))</f>
        <v>28618.38</v>
      </c>
      <c r="M1475" s="95" t="n">
        <f aca="false">D1475*J1475</f>
        <v>1580000</v>
      </c>
      <c r="N1475" s="95" t="n">
        <f aca="false">D1475*K1475</f>
        <v>334000</v>
      </c>
      <c r="O1475" s="95" t="n">
        <f aca="false">D1475*L1475</f>
        <v>572367.6</v>
      </c>
      <c r="P1475" s="34" t="str">
        <f aca="false">TRIM(IF(N(E1475)&lt;=0,"택가보정 ","")&amp;IF(N(F1475)&lt;=0,"원가보정 ","")&amp;IF(AND(B1475&lt;&gt;"CN",N(H1475)&lt;=0),"공급가보정 ","")&amp;IF(AND(B1475="CN",N(I1475)&lt;=0),"중국공급가=원가+마진 ",""))</f>
        <v/>
      </c>
    </row>
    <row r="1476" customFormat="false" ht="15" hidden="false" customHeight="true" outlineLevel="0" collapsed="false">
      <c r="A1476" s="94" t="s">
        <v>1687</v>
      </c>
      <c r="B1476" s="34" t="str">
        <f aca="false">IF(A1476="100","HK",IF(A1476="200","CN",IF(A1476="300","TW","홀세일")))</f>
        <v>홀세일</v>
      </c>
      <c r="C1476" s="94" t="s">
        <v>1407</v>
      </c>
      <c r="D1476" s="95" t="n">
        <v>20</v>
      </c>
      <c r="E1476" s="95" t="n">
        <v>49000</v>
      </c>
      <c r="F1476" s="95" t="n">
        <v>9900</v>
      </c>
      <c r="G1476" s="34" t="n">
        <v>4.02</v>
      </c>
      <c r="H1476" s="34" t="n">
        <v>13.1</v>
      </c>
      <c r="J1476" s="95" t="n">
        <f aca="false">IF(N(E1476)&gt;0,E1476,IF(N(F1476)&gt;0,F1476*가정!$B$5,0))</f>
        <v>49000</v>
      </c>
      <c r="K1476" s="95" t="n">
        <f aca="false">IF(N(F1476)&gt;0,F1476,IF(N(E1476)&gt;0,E1476/가정!$B$5,0))</f>
        <v>9900</v>
      </c>
      <c r="L1476" s="95" t="n">
        <f aca="false">IF(B1476="CN",IF(N(I1476)&gt;0,I1476*가정!$B$3,K1476*(1+가정!$B$6)),IF(N(H1476)&gt;0,H1476*가정!$B$3,J1476*가정!$B$4))</f>
        <v>17852.418</v>
      </c>
      <c r="M1476" s="95" t="n">
        <f aca="false">D1476*J1476</f>
        <v>980000</v>
      </c>
      <c r="N1476" s="95" t="n">
        <f aca="false">D1476*K1476</f>
        <v>198000</v>
      </c>
      <c r="O1476" s="95" t="n">
        <f aca="false">D1476*L1476</f>
        <v>357048.36</v>
      </c>
      <c r="P1476" s="34" t="str">
        <f aca="false">TRIM(IF(N(E1476)&lt;=0,"택가보정 ","")&amp;IF(N(F1476)&lt;=0,"원가보정 ","")&amp;IF(AND(B1476&lt;&gt;"CN",N(H1476)&lt;=0),"공급가보정 ","")&amp;IF(AND(B1476="CN",N(I1476)&lt;=0),"중국공급가=원가+마진 ",""))</f>
        <v/>
      </c>
    </row>
    <row r="1477" customFormat="false" ht="15" hidden="false" customHeight="true" outlineLevel="0" collapsed="false">
      <c r="A1477" s="94" t="s">
        <v>1688</v>
      </c>
      <c r="B1477" s="34" t="str">
        <f aca="false">IF(A1477="100","HK",IF(A1477="200","CN",IF(A1477="300","TW","홀세일")))</f>
        <v>홀세일</v>
      </c>
      <c r="C1477" s="94" t="s">
        <v>1407</v>
      </c>
      <c r="D1477" s="95" t="n">
        <v>40</v>
      </c>
      <c r="E1477" s="95" t="n">
        <v>49000</v>
      </c>
      <c r="F1477" s="95" t="n">
        <v>9900</v>
      </c>
      <c r="G1477" s="34" t="n">
        <v>4.02</v>
      </c>
      <c r="H1477" s="34" t="n">
        <v>13.1</v>
      </c>
      <c r="J1477" s="95" t="n">
        <f aca="false">IF(N(E1477)&gt;0,E1477,IF(N(F1477)&gt;0,F1477*가정!$B$5,0))</f>
        <v>49000</v>
      </c>
      <c r="K1477" s="95" t="n">
        <f aca="false">IF(N(F1477)&gt;0,F1477,IF(N(E1477)&gt;0,E1477/가정!$B$5,0))</f>
        <v>9900</v>
      </c>
      <c r="L1477" s="95" t="n">
        <f aca="false">IF(B1477="CN",IF(N(I1477)&gt;0,I1477*가정!$B$3,K1477*(1+가정!$B$6)),IF(N(H1477)&gt;0,H1477*가정!$B$3,J1477*가정!$B$4))</f>
        <v>17852.418</v>
      </c>
      <c r="M1477" s="95" t="n">
        <f aca="false">D1477*J1477</f>
        <v>1960000</v>
      </c>
      <c r="N1477" s="95" t="n">
        <f aca="false">D1477*K1477</f>
        <v>396000</v>
      </c>
      <c r="O1477" s="95" t="n">
        <f aca="false">D1477*L1477</f>
        <v>714096.72</v>
      </c>
      <c r="P1477" s="34" t="str">
        <f aca="false">TRIM(IF(N(E1477)&lt;=0,"택가보정 ","")&amp;IF(N(F1477)&lt;=0,"원가보정 ","")&amp;IF(AND(B1477&lt;&gt;"CN",N(H1477)&lt;=0),"공급가보정 ","")&amp;IF(AND(B1477="CN",N(I1477)&lt;=0),"중국공급가=원가+마진 ",""))</f>
        <v/>
      </c>
    </row>
    <row r="1478" customFormat="false" ht="15" hidden="false" customHeight="true" outlineLevel="0" collapsed="false">
      <c r="A1478" s="94" t="s">
        <v>1690</v>
      </c>
      <c r="B1478" s="34" t="str">
        <f aca="false">IF(A1478="100","HK",IF(A1478="200","CN",IF(A1478="300","TW","홀세일")))</f>
        <v>홀세일</v>
      </c>
      <c r="C1478" s="94" t="s">
        <v>1407</v>
      </c>
      <c r="D1478" s="95" t="n">
        <v>288</v>
      </c>
      <c r="E1478" s="95" t="n">
        <v>49000</v>
      </c>
      <c r="F1478" s="95" t="n">
        <v>9900</v>
      </c>
      <c r="G1478" s="34" t="n">
        <v>4.02</v>
      </c>
      <c r="H1478" s="34" t="n">
        <v>13.1</v>
      </c>
      <c r="J1478" s="95" t="n">
        <f aca="false">IF(N(E1478)&gt;0,E1478,IF(N(F1478)&gt;0,F1478*가정!$B$5,0))</f>
        <v>49000</v>
      </c>
      <c r="K1478" s="95" t="n">
        <f aca="false">IF(N(F1478)&gt;0,F1478,IF(N(E1478)&gt;0,E1478/가정!$B$5,0))</f>
        <v>9900</v>
      </c>
      <c r="L1478" s="95" t="n">
        <f aca="false">IF(B1478="CN",IF(N(I1478)&gt;0,I1478*가정!$B$3,K1478*(1+가정!$B$6)),IF(N(H1478)&gt;0,H1478*가정!$B$3,J1478*가정!$B$4))</f>
        <v>17852.418</v>
      </c>
      <c r="M1478" s="95" t="n">
        <f aca="false">D1478*J1478</f>
        <v>14112000</v>
      </c>
      <c r="N1478" s="95" t="n">
        <f aca="false">D1478*K1478</f>
        <v>2851200</v>
      </c>
      <c r="O1478" s="95" t="n">
        <f aca="false">D1478*L1478</f>
        <v>5141496.384</v>
      </c>
      <c r="P1478" s="34" t="str">
        <f aca="false">TRIM(IF(N(E1478)&lt;=0,"택가보정 ","")&amp;IF(N(F1478)&lt;=0,"원가보정 ","")&amp;IF(AND(B1478&lt;&gt;"CN",N(H1478)&lt;=0),"공급가보정 ","")&amp;IF(AND(B1478="CN",N(I1478)&lt;=0),"중국공급가=원가+마진 ",""))</f>
        <v/>
      </c>
    </row>
    <row r="1479" customFormat="false" ht="15" hidden="false" customHeight="true" outlineLevel="0" collapsed="false">
      <c r="A1479" s="94" t="s">
        <v>1684</v>
      </c>
      <c r="B1479" s="34" t="str">
        <f aca="false">IF(A1479="100","HK",IF(A1479="200","CN",IF(A1479="300","TW","홀세일")))</f>
        <v>HK</v>
      </c>
      <c r="C1479" s="94" t="s">
        <v>690</v>
      </c>
      <c r="D1479" s="95" t="n">
        <v>200</v>
      </c>
      <c r="E1479" s="95" t="n">
        <v>59000</v>
      </c>
      <c r="F1479" s="95" t="n">
        <v>15386</v>
      </c>
      <c r="G1479" s="34" t="n">
        <v>3.25</v>
      </c>
      <c r="H1479" s="34" t="n">
        <v>15.7</v>
      </c>
      <c r="J1479" s="95" t="n">
        <f aca="false">IF(N(E1479)&gt;0,E1479,IF(N(F1479)&gt;0,F1479*가정!$B$5,0))</f>
        <v>59000</v>
      </c>
      <c r="K1479" s="95" t="n">
        <f aca="false">IF(N(F1479)&gt;0,F1479,IF(N(E1479)&gt;0,E1479/가정!$B$5,0))</f>
        <v>15386</v>
      </c>
      <c r="L1479" s="95" t="n">
        <f aca="false">IF(B1479="CN",IF(N(I1479)&gt;0,I1479*가정!$B$3,K1479*(1+가정!$B$6)),IF(N(H1479)&gt;0,H1479*가정!$B$3,J1479*가정!$B$4))</f>
        <v>21395.646</v>
      </c>
      <c r="M1479" s="95" t="n">
        <f aca="false">D1479*J1479</f>
        <v>11800000</v>
      </c>
      <c r="N1479" s="95" t="n">
        <f aca="false">D1479*K1479</f>
        <v>3077200</v>
      </c>
      <c r="O1479" s="95" t="n">
        <f aca="false">D1479*L1479</f>
        <v>4279129.2</v>
      </c>
      <c r="P1479" s="34" t="str">
        <f aca="false">TRIM(IF(N(E1479)&lt;=0,"택가보정 ","")&amp;IF(N(F1479)&lt;=0,"원가보정 ","")&amp;IF(AND(B1479&lt;&gt;"CN",N(H1479)&lt;=0),"공급가보정 ","")&amp;IF(AND(B1479="CN",N(I1479)&lt;=0),"중국공급가=원가+마진 ",""))</f>
        <v/>
      </c>
    </row>
    <row r="1480" customFormat="false" ht="15" hidden="false" customHeight="true" outlineLevel="0" collapsed="false">
      <c r="A1480" s="94" t="s">
        <v>1686</v>
      </c>
      <c r="B1480" s="34" t="str">
        <f aca="false">IF(A1480="100","HK",IF(A1480="200","CN",IF(A1480="300","TW","홀세일")))</f>
        <v>TW</v>
      </c>
      <c r="C1480" s="94" t="s">
        <v>690</v>
      </c>
      <c r="D1480" s="95" t="n">
        <v>150</v>
      </c>
      <c r="E1480" s="95" t="n">
        <v>59000</v>
      </c>
      <c r="F1480" s="95" t="n">
        <v>15386</v>
      </c>
      <c r="G1480" s="34" t="n">
        <v>3.25</v>
      </c>
      <c r="H1480" s="34" t="n">
        <v>15.7</v>
      </c>
      <c r="J1480" s="95" t="n">
        <f aca="false">IF(N(E1480)&gt;0,E1480,IF(N(F1480)&gt;0,F1480*가정!$B$5,0))</f>
        <v>59000</v>
      </c>
      <c r="K1480" s="95" t="n">
        <f aca="false">IF(N(F1480)&gt;0,F1480,IF(N(E1480)&gt;0,E1480/가정!$B$5,0))</f>
        <v>15386</v>
      </c>
      <c r="L1480" s="95" t="n">
        <f aca="false">IF(B1480="CN",IF(N(I1480)&gt;0,I1480*가정!$B$3,K1480*(1+가정!$B$6)),IF(N(H1480)&gt;0,H1480*가정!$B$3,J1480*가정!$B$4))</f>
        <v>21395.646</v>
      </c>
      <c r="M1480" s="95" t="n">
        <f aca="false">D1480*J1480</f>
        <v>8850000</v>
      </c>
      <c r="N1480" s="95" t="n">
        <f aca="false">D1480*K1480</f>
        <v>2307900</v>
      </c>
      <c r="O1480" s="95" t="n">
        <f aca="false">D1480*L1480</f>
        <v>3209346.9</v>
      </c>
      <c r="P1480" s="34" t="str">
        <f aca="false">TRIM(IF(N(E1480)&lt;=0,"택가보정 ","")&amp;IF(N(F1480)&lt;=0,"원가보정 ","")&amp;IF(AND(B1480&lt;&gt;"CN",N(H1480)&lt;=0),"공급가보정 ","")&amp;IF(AND(B1480="CN",N(I1480)&lt;=0),"중국공급가=원가+마진 ",""))</f>
        <v/>
      </c>
    </row>
    <row r="1481" customFormat="false" ht="15" hidden="false" customHeight="true" outlineLevel="0" collapsed="false">
      <c r="A1481" s="94" t="s">
        <v>1687</v>
      </c>
      <c r="B1481" s="34" t="str">
        <f aca="false">IF(A1481="100","HK",IF(A1481="200","CN",IF(A1481="300","TW","홀세일")))</f>
        <v>홀세일</v>
      </c>
      <c r="C1481" s="94" t="s">
        <v>690</v>
      </c>
      <c r="D1481" s="95" t="n">
        <v>65</v>
      </c>
      <c r="E1481" s="95" t="n">
        <v>59000</v>
      </c>
      <c r="F1481" s="95" t="n">
        <v>15386</v>
      </c>
      <c r="G1481" s="34" t="n">
        <v>3.25</v>
      </c>
      <c r="H1481" s="34" t="n">
        <v>15.7</v>
      </c>
      <c r="J1481" s="95" t="n">
        <f aca="false">IF(N(E1481)&gt;0,E1481,IF(N(F1481)&gt;0,F1481*가정!$B$5,0))</f>
        <v>59000</v>
      </c>
      <c r="K1481" s="95" t="n">
        <f aca="false">IF(N(F1481)&gt;0,F1481,IF(N(E1481)&gt;0,E1481/가정!$B$5,0))</f>
        <v>15386</v>
      </c>
      <c r="L1481" s="95" t="n">
        <f aca="false">IF(B1481="CN",IF(N(I1481)&gt;0,I1481*가정!$B$3,K1481*(1+가정!$B$6)),IF(N(H1481)&gt;0,H1481*가정!$B$3,J1481*가정!$B$4))</f>
        <v>21395.646</v>
      </c>
      <c r="M1481" s="95" t="n">
        <f aca="false">D1481*J1481</f>
        <v>3835000</v>
      </c>
      <c r="N1481" s="95" t="n">
        <f aca="false">D1481*K1481</f>
        <v>1000090</v>
      </c>
      <c r="O1481" s="95" t="n">
        <f aca="false">D1481*L1481</f>
        <v>1390716.99</v>
      </c>
      <c r="P1481" s="34" t="str">
        <f aca="false">TRIM(IF(N(E1481)&lt;=0,"택가보정 ","")&amp;IF(N(F1481)&lt;=0,"원가보정 ","")&amp;IF(AND(B1481&lt;&gt;"CN",N(H1481)&lt;=0),"공급가보정 ","")&amp;IF(AND(B1481="CN",N(I1481)&lt;=0),"중국공급가=원가+마진 ",""))</f>
        <v/>
      </c>
    </row>
    <row r="1482" customFormat="false" ht="15" hidden="false" customHeight="true" outlineLevel="0" collapsed="false">
      <c r="A1482" s="94" t="s">
        <v>1692</v>
      </c>
      <c r="B1482" s="34" t="str">
        <f aca="false">IF(A1482="100","HK",IF(A1482="200","CN",IF(A1482="300","TW","홀세일")))</f>
        <v>홀세일</v>
      </c>
      <c r="C1482" s="94" t="s">
        <v>690</v>
      </c>
      <c r="D1482" s="95" t="n">
        <v>122</v>
      </c>
      <c r="E1482" s="95" t="n">
        <v>59000</v>
      </c>
      <c r="F1482" s="95" t="n">
        <v>15386</v>
      </c>
      <c r="G1482" s="34" t="n">
        <v>3.25</v>
      </c>
      <c r="H1482" s="34" t="n">
        <v>15.7</v>
      </c>
      <c r="J1482" s="95" t="n">
        <f aca="false">IF(N(E1482)&gt;0,E1482,IF(N(F1482)&gt;0,F1482*가정!$B$5,0))</f>
        <v>59000</v>
      </c>
      <c r="K1482" s="95" t="n">
        <f aca="false">IF(N(F1482)&gt;0,F1482,IF(N(E1482)&gt;0,E1482/가정!$B$5,0))</f>
        <v>15386</v>
      </c>
      <c r="L1482" s="95" t="n">
        <f aca="false">IF(B1482="CN",IF(N(I1482)&gt;0,I1482*가정!$B$3,K1482*(1+가정!$B$6)),IF(N(H1482)&gt;0,H1482*가정!$B$3,J1482*가정!$B$4))</f>
        <v>21395.646</v>
      </c>
      <c r="M1482" s="95" t="n">
        <f aca="false">D1482*J1482</f>
        <v>7198000</v>
      </c>
      <c r="N1482" s="95" t="n">
        <f aca="false">D1482*K1482</f>
        <v>1877092</v>
      </c>
      <c r="O1482" s="95" t="n">
        <f aca="false">D1482*L1482</f>
        <v>2610268.812</v>
      </c>
      <c r="P1482" s="34" t="str">
        <f aca="false">TRIM(IF(N(E1482)&lt;=0,"택가보정 ","")&amp;IF(N(F1482)&lt;=0,"원가보정 ","")&amp;IF(AND(B1482&lt;&gt;"CN",N(H1482)&lt;=0),"공급가보정 ","")&amp;IF(AND(B1482="CN",N(I1482)&lt;=0),"중국공급가=원가+마진 ",""))</f>
        <v/>
      </c>
    </row>
    <row r="1483" customFormat="false" ht="15" hidden="false" customHeight="true" outlineLevel="0" collapsed="false">
      <c r="A1483" s="94" t="s">
        <v>1689</v>
      </c>
      <c r="B1483" s="34" t="str">
        <f aca="false">IF(A1483="100","HK",IF(A1483="200","CN",IF(A1483="300","TW","홀세일")))</f>
        <v>홀세일</v>
      </c>
      <c r="C1483" s="94" t="s">
        <v>690</v>
      </c>
      <c r="D1483" s="95" t="n">
        <v>10</v>
      </c>
      <c r="E1483" s="95" t="n">
        <v>59000</v>
      </c>
      <c r="F1483" s="95" t="n">
        <v>15386</v>
      </c>
      <c r="G1483" s="34" t="n">
        <v>3.25</v>
      </c>
      <c r="H1483" s="34" t="n">
        <v>15.7</v>
      </c>
      <c r="J1483" s="95" t="n">
        <f aca="false">IF(N(E1483)&gt;0,E1483,IF(N(F1483)&gt;0,F1483*가정!$B$5,0))</f>
        <v>59000</v>
      </c>
      <c r="K1483" s="95" t="n">
        <f aca="false">IF(N(F1483)&gt;0,F1483,IF(N(E1483)&gt;0,E1483/가정!$B$5,0))</f>
        <v>15386</v>
      </c>
      <c r="L1483" s="95" t="n">
        <f aca="false">IF(B1483="CN",IF(N(I1483)&gt;0,I1483*가정!$B$3,K1483*(1+가정!$B$6)),IF(N(H1483)&gt;0,H1483*가정!$B$3,J1483*가정!$B$4))</f>
        <v>21395.646</v>
      </c>
      <c r="M1483" s="95" t="n">
        <f aca="false">D1483*J1483</f>
        <v>590000</v>
      </c>
      <c r="N1483" s="95" t="n">
        <f aca="false">D1483*K1483</f>
        <v>153860</v>
      </c>
      <c r="O1483" s="95" t="n">
        <f aca="false">D1483*L1483</f>
        <v>213956.46</v>
      </c>
      <c r="P1483" s="34" t="str">
        <f aca="false">TRIM(IF(N(E1483)&lt;=0,"택가보정 ","")&amp;IF(N(F1483)&lt;=0,"원가보정 ","")&amp;IF(AND(B1483&lt;&gt;"CN",N(H1483)&lt;=0),"공급가보정 ","")&amp;IF(AND(B1483="CN",N(I1483)&lt;=0),"중국공급가=원가+마진 ",""))</f>
        <v/>
      </c>
    </row>
    <row r="1484" customFormat="false" ht="15" hidden="false" customHeight="true" outlineLevel="0" collapsed="false">
      <c r="A1484" s="94" t="s">
        <v>1689</v>
      </c>
      <c r="B1484" s="34" t="str">
        <f aca="false">IF(A1484="100","HK",IF(A1484="200","CN",IF(A1484="300","TW","홀세일")))</f>
        <v>홀세일</v>
      </c>
      <c r="C1484" s="94" t="s">
        <v>690</v>
      </c>
      <c r="D1484" s="95" t="n">
        <v>10</v>
      </c>
      <c r="E1484" s="95" t="n">
        <v>59000</v>
      </c>
      <c r="F1484" s="95" t="n">
        <v>15386</v>
      </c>
      <c r="G1484" s="34" t="n">
        <v>3.25</v>
      </c>
      <c r="H1484" s="34" t="n">
        <v>15.7</v>
      </c>
      <c r="J1484" s="95" t="n">
        <f aca="false">IF(N(E1484)&gt;0,E1484,IF(N(F1484)&gt;0,F1484*가정!$B$5,0))</f>
        <v>59000</v>
      </c>
      <c r="K1484" s="95" t="n">
        <f aca="false">IF(N(F1484)&gt;0,F1484,IF(N(E1484)&gt;0,E1484/가정!$B$5,0))</f>
        <v>15386</v>
      </c>
      <c r="L1484" s="95" t="n">
        <f aca="false">IF(B1484="CN",IF(N(I1484)&gt;0,I1484*가정!$B$3,K1484*(1+가정!$B$6)),IF(N(H1484)&gt;0,H1484*가정!$B$3,J1484*가정!$B$4))</f>
        <v>21395.646</v>
      </c>
      <c r="M1484" s="95" t="n">
        <f aca="false">D1484*J1484</f>
        <v>590000</v>
      </c>
      <c r="N1484" s="95" t="n">
        <f aca="false">D1484*K1484</f>
        <v>153860</v>
      </c>
      <c r="O1484" s="95" t="n">
        <f aca="false">D1484*L1484</f>
        <v>213956.46</v>
      </c>
      <c r="P1484" s="34" t="str">
        <f aca="false">TRIM(IF(N(E1484)&lt;=0,"택가보정 ","")&amp;IF(N(F1484)&lt;=0,"원가보정 ","")&amp;IF(AND(B1484&lt;&gt;"CN",N(H1484)&lt;=0),"공급가보정 ","")&amp;IF(AND(B1484="CN",N(I1484)&lt;=0),"중국공급가=원가+마진 ",""))</f>
        <v/>
      </c>
    </row>
    <row r="1485" customFormat="false" ht="15" hidden="false" customHeight="true" outlineLevel="0" collapsed="false">
      <c r="A1485" s="94" t="s">
        <v>1684</v>
      </c>
      <c r="B1485" s="34" t="str">
        <f aca="false">IF(A1485="100","HK",IF(A1485="200","CN",IF(A1485="300","TW","홀세일")))</f>
        <v>HK</v>
      </c>
      <c r="C1485" s="94" t="s">
        <v>1027</v>
      </c>
      <c r="D1485" s="95" t="n">
        <v>200</v>
      </c>
      <c r="E1485" s="95" t="n">
        <v>79000</v>
      </c>
      <c r="F1485" s="95" t="n">
        <v>17910</v>
      </c>
      <c r="G1485" s="34" t="n">
        <v>3.75</v>
      </c>
      <c r="H1485" s="34" t="n">
        <v>21</v>
      </c>
      <c r="J1485" s="95" t="n">
        <f aca="false">IF(N(E1485)&gt;0,E1485,IF(N(F1485)&gt;0,F1485*가정!$B$5,0))</f>
        <v>79000</v>
      </c>
      <c r="K1485" s="95" t="n">
        <f aca="false">IF(N(F1485)&gt;0,F1485,IF(N(E1485)&gt;0,E1485/가정!$B$5,0))</f>
        <v>17910</v>
      </c>
      <c r="L1485" s="95" t="n">
        <f aca="false">IF(B1485="CN",IF(N(I1485)&gt;0,I1485*가정!$B$3,K1485*(1+가정!$B$6)),IF(N(H1485)&gt;0,H1485*가정!$B$3,J1485*가정!$B$4))</f>
        <v>28618.38</v>
      </c>
      <c r="M1485" s="95" t="n">
        <f aca="false">D1485*J1485</f>
        <v>15800000</v>
      </c>
      <c r="N1485" s="95" t="n">
        <f aca="false">D1485*K1485</f>
        <v>3582000</v>
      </c>
      <c r="O1485" s="95" t="n">
        <f aca="false">D1485*L1485</f>
        <v>5723676</v>
      </c>
      <c r="P1485" s="34" t="str">
        <f aca="false">TRIM(IF(N(E1485)&lt;=0,"택가보정 ","")&amp;IF(N(F1485)&lt;=0,"원가보정 ","")&amp;IF(AND(B1485&lt;&gt;"CN",N(H1485)&lt;=0),"공급가보정 ","")&amp;IF(AND(B1485="CN",N(I1485)&lt;=0),"중국공급가=원가+마진 ",""))</f>
        <v/>
      </c>
    </row>
    <row r="1486" customFormat="false" ht="15.75" hidden="false" customHeight="true" outlineLevel="0" collapsed="false">
      <c r="A1486" s="94" t="s">
        <v>1685</v>
      </c>
      <c r="B1486" s="34" t="str">
        <f aca="false">IF(A1486="100","HK",IF(A1486="200","CN",IF(A1486="300","TW","홀세일")))</f>
        <v>CN</v>
      </c>
      <c r="C1486" s="94" t="s">
        <v>1027</v>
      </c>
      <c r="D1486" s="95" t="n">
        <v>141</v>
      </c>
      <c r="E1486" s="95" t="n">
        <v>79000</v>
      </c>
      <c r="F1486" s="95" t="n">
        <v>17910</v>
      </c>
      <c r="G1486" s="34" t="n">
        <v>3.75</v>
      </c>
      <c r="H1486" s="34" t="n">
        <v>21</v>
      </c>
      <c r="J1486" s="95" t="n">
        <f aca="false">IF(N(E1486)&gt;0,E1486,IF(N(F1486)&gt;0,F1486*가정!$B$5,0))</f>
        <v>79000</v>
      </c>
      <c r="K1486" s="95" t="n">
        <f aca="false">IF(N(F1486)&gt;0,F1486,IF(N(E1486)&gt;0,E1486/가정!$B$5,0))</f>
        <v>17910</v>
      </c>
      <c r="L1486" s="95" t="n">
        <f aca="false">IF(B1486="CN",IF(N(I1486)&gt;0,I1486*가정!$B$3,K1486*(1+가정!$B$6)),IF(N(H1486)&gt;0,H1486*가정!$B$3,J1486*가정!$B$4))</f>
        <v>18805.5</v>
      </c>
      <c r="M1486" s="95" t="n">
        <f aca="false">D1486*J1486</f>
        <v>11139000</v>
      </c>
      <c r="N1486" s="95" t="n">
        <f aca="false">D1486*K1486</f>
        <v>2525310</v>
      </c>
      <c r="O1486" s="95" t="n">
        <f aca="false">D1486*L1486</f>
        <v>2651575.5</v>
      </c>
      <c r="P1486" s="34" t="str">
        <f aca="false">TRIM(IF(N(E1486)&lt;=0,"택가보정 ","")&amp;IF(N(F1486)&lt;=0,"원가보정 ","")&amp;IF(AND(B1486&lt;&gt;"CN",N(H1486)&lt;=0),"공급가보정 ","")&amp;IF(AND(B1486="CN",N(I1486)&lt;=0),"중국공급가=원가+마진 ",""))</f>
        <v>중국공급가=원가+마진</v>
      </c>
    </row>
    <row r="1487" customFormat="false" ht="15" hidden="false" customHeight="true" outlineLevel="0" collapsed="false">
      <c r="A1487" s="94" t="s">
        <v>1687</v>
      </c>
      <c r="B1487" s="34" t="str">
        <f aca="false">IF(A1487="100","HK",IF(A1487="200","CN",IF(A1487="300","TW","홀세일")))</f>
        <v>홀세일</v>
      </c>
      <c r="C1487" s="94" t="s">
        <v>1027</v>
      </c>
      <c r="D1487" s="95" t="n">
        <v>70</v>
      </c>
      <c r="E1487" s="95" t="n">
        <v>79000</v>
      </c>
      <c r="F1487" s="95" t="n">
        <v>17910</v>
      </c>
      <c r="G1487" s="34" t="n">
        <v>3.75</v>
      </c>
      <c r="H1487" s="34" t="n">
        <v>21</v>
      </c>
      <c r="J1487" s="95" t="n">
        <f aca="false">IF(N(E1487)&gt;0,E1487,IF(N(F1487)&gt;0,F1487*가정!$B$5,0))</f>
        <v>79000</v>
      </c>
      <c r="K1487" s="95" t="n">
        <f aca="false">IF(N(F1487)&gt;0,F1487,IF(N(E1487)&gt;0,E1487/가정!$B$5,0))</f>
        <v>17910</v>
      </c>
      <c r="L1487" s="95" t="n">
        <f aca="false">IF(B1487="CN",IF(N(I1487)&gt;0,I1487*가정!$B$3,K1487*(1+가정!$B$6)),IF(N(H1487)&gt;0,H1487*가정!$B$3,J1487*가정!$B$4))</f>
        <v>28618.38</v>
      </c>
      <c r="M1487" s="95" t="n">
        <f aca="false">D1487*J1487</f>
        <v>5530000</v>
      </c>
      <c r="N1487" s="95" t="n">
        <f aca="false">D1487*K1487</f>
        <v>1253700</v>
      </c>
      <c r="O1487" s="95" t="n">
        <f aca="false">D1487*L1487</f>
        <v>2003286.6</v>
      </c>
      <c r="P1487" s="34" t="str">
        <f aca="false">TRIM(IF(N(E1487)&lt;=0,"택가보정 ","")&amp;IF(N(F1487)&lt;=0,"원가보정 ","")&amp;IF(AND(B1487&lt;&gt;"CN",N(H1487)&lt;=0),"공급가보정 ","")&amp;IF(AND(B1487="CN",N(I1487)&lt;=0),"중국공급가=원가+마진 ",""))</f>
        <v/>
      </c>
    </row>
    <row r="1488" customFormat="false" ht="15" hidden="false" customHeight="true" outlineLevel="0" collapsed="false">
      <c r="A1488" s="94" t="s">
        <v>1688</v>
      </c>
      <c r="B1488" s="34" t="str">
        <f aca="false">IF(A1488="100","HK",IF(A1488="200","CN",IF(A1488="300","TW","홀세일")))</f>
        <v>홀세일</v>
      </c>
      <c r="C1488" s="94" t="s">
        <v>1027</v>
      </c>
      <c r="D1488" s="95" t="n">
        <v>10</v>
      </c>
      <c r="E1488" s="95" t="n">
        <v>79000</v>
      </c>
      <c r="F1488" s="95" t="n">
        <v>17910</v>
      </c>
      <c r="G1488" s="34" t="n">
        <v>3.75</v>
      </c>
      <c r="H1488" s="34" t="n">
        <v>21</v>
      </c>
      <c r="J1488" s="95" t="n">
        <f aca="false">IF(N(E1488)&gt;0,E1488,IF(N(F1488)&gt;0,F1488*가정!$B$5,0))</f>
        <v>79000</v>
      </c>
      <c r="K1488" s="95" t="n">
        <f aca="false">IF(N(F1488)&gt;0,F1488,IF(N(E1488)&gt;0,E1488/가정!$B$5,0))</f>
        <v>17910</v>
      </c>
      <c r="L1488" s="95" t="n">
        <f aca="false">IF(B1488="CN",IF(N(I1488)&gt;0,I1488*가정!$B$3,K1488*(1+가정!$B$6)),IF(N(H1488)&gt;0,H1488*가정!$B$3,J1488*가정!$B$4))</f>
        <v>28618.38</v>
      </c>
      <c r="M1488" s="95" t="n">
        <f aca="false">D1488*J1488</f>
        <v>790000</v>
      </c>
      <c r="N1488" s="95" t="n">
        <f aca="false">D1488*K1488</f>
        <v>179100</v>
      </c>
      <c r="O1488" s="95" t="n">
        <f aca="false">D1488*L1488</f>
        <v>286183.8</v>
      </c>
      <c r="P1488" s="34" t="str">
        <f aca="false">TRIM(IF(N(E1488)&lt;=0,"택가보정 ","")&amp;IF(N(F1488)&lt;=0,"원가보정 ","")&amp;IF(AND(B1488&lt;&gt;"CN",N(H1488)&lt;=0),"공급가보정 ","")&amp;IF(AND(B1488="CN",N(I1488)&lt;=0),"중국공급가=원가+마진 ",""))</f>
        <v/>
      </c>
    </row>
    <row r="1489" customFormat="false" ht="15" hidden="false" customHeight="true" outlineLevel="0" collapsed="false">
      <c r="A1489" s="94" t="s">
        <v>1692</v>
      </c>
      <c r="B1489" s="34" t="str">
        <f aca="false">IF(A1489="100","HK",IF(A1489="200","CN",IF(A1489="300","TW","홀세일")))</f>
        <v>홀세일</v>
      </c>
      <c r="C1489" s="94" t="s">
        <v>1027</v>
      </c>
      <c r="D1489" s="95" t="n">
        <v>121</v>
      </c>
      <c r="E1489" s="95" t="n">
        <v>79000</v>
      </c>
      <c r="F1489" s="95" t="n">
        <v>17910</v>
      </c>
      <c r="G1489" s="34" t="n">
        <v>3.75</v>
      </c>
      <c r="H1489" s="34" t="n">
        <v>21</v>
      </c>
      <c r="J1489" s="95" t="n">
        <f aca="false">IF(N(E1489)&gt;0,E1489,IF(N(F1489)&gt;0,F1489*가정!$B$5,0))</f>
        <v>79000</v>
      </c>
      <c r="K1489" s="95" t="n">
        <f aca="false">IF(N(F1489)&gt;0,F1489,IF(N(E1489)&gt;0,E1489/가정!$B$5,0))</f>
        <v>17910</v>
      </c>
      <c r="L1489" s="95" t="n">
        <f aca="false">IF(B1489="CN",IF(N(I1489)&gt;0,I1489*가정!$B$3,K1489*(1+가정!$B$6)),IF(N(H1489)&gt;0,H1489*가정!$B$3,J1489*가정!$B$4))</f>
        <v>28618.38</v>
      </c>
      <c r="M1489" s="95" t="n">
        <f aca="false">D1489*J1489</f>
        <v>9559000</v>
      </c>
      <c r="N1489" s="95" t="n">
        <f aca="false">D1489*K1489</f>
        <v>2167110</v>
      </c>
      <c r="O1489" s="95" t="n">
        <f aca="false">D1489*L1489</f>
        <v>3462823.98</v>
      </c>
      <c r="P1489" s="34" t="str">
        <f aca="false">TRIM(IF(N(E1489)&lt;=0,"택가보정 ","")&amp;IF(N(F1489)&lt;=0,"원가보정 ","")&amp;IF(AND(B1489&lt;&gt;"CN",N(H1489)&lt;=0),"공급가보정 ","")&amp;IF(AND(B1489="CN",N(I1489)&lt;=0),"중국공급가=원가+마진 ",""))</f>
        <v/>
      </c>
    </row>
    <row r="1490" customFormat="false" ht="15" hidden="false" customHeight="true" outlineLevel="0" collapsed="false">
      <c r="A1490" s="94" t="s">
        <v>1689</v>
      </c>
      <c r="B1490" s="34" t="str">
        <f aca="false">IF(A1490="100","HK",IF(A1490="200","CN",IF(A1490="300","TW","홀세일")))</f>
        <v>홀세일</v>
      </c>
      <c r="C1490" s="94" t="s">
        <v>1027</v>
      </c>
      <c r="D1490" s="95" t="n">
        <v>10</v>
      </c>
      <c r="E1490" s="95" t="n">
        <v>79000</v>
      </c>
      <c r="F1490" s="95" t="n">
        <v>17910</v>
      </c>
      <c r="G1490" s="34" t="n">
        <v>3.75</v>
      </c>
      <c r="H1490" s="34" t="n">
        <v>21</v>
      </c>
      <c r="J1490" s="95" t="n">
        <f aca="false">IF(N(E1490)&gt;0,E1490,IF(N(F1490)&gt;0,F1490*가정!$B$5,0))</f>
        <v>79000</v>
      </c>
      <c r="K1490" s="95" t="n">
        <f aca="false">IF(N(F1490)&gt;0,F1490,IF(N(E1490)&gt;0,E1490/가정!$B$5,0))</f>
        <v>17910</v>
      </c>
      <c r="L1490" s="95" t="n">
        <f aca="false">IF(B1490="CN",IF(N(I1490)&gt;0,I1490*가정!$B$3,K1490*(1+가정!$B$6)),IF(N(H1490)&gt;0,H1490*가정!$B$3,J1490*가정!$B$4))</f>
        <v>28618.38</v>
      </c>
      <c r="M1490" s="95" t="n">
        <f aca="false">D1490*J1490</f>
        <v>790000</v>
      </c>
      <c r="N1490" s="95" t="n">
        <f aca="false">D1490*K1490</f>
        <v>179100</v>
      </c>
      <c r="O1490" s="95" t="n">
        <f aca="false">D1490*L1490</f>
        <v>286183.8</v>
      </c>
      <c r="P1490" s="34" t="str">
        <f aca="false">TRIM(IF(N(E1490)&lt;=0,"택가보정 ","")&amp;IF(N(F1490)&lt;=0,"원가보정 ","")&amp;IF(AND(B1490&lt;&gt;"CN",N(H1490)&lt;=0),"공급가보정 ","")&amp;IF(AND(B1490="CN",N(I1490)&lt;=0),"중국공급가=원가+마진 ",""))</f>
        <v/>
      </c>
    </row>
    <row r="1491" customFormat="false" ht="15" hidden="false" customHeight="true" outlineLevel="0" collapsed="false">
      <c r="A1491" s="94" t="s">
        <v>1689</v>
      </c>
      <c r="B1491" s="34" t="str">
        <f aca="false">IF(A1491="100","HK",IF(A1491="200","CN",IF(A1491="300","TW","홀세일")))</f>
        <v>홀세일</v>
      </c>
      <c r="C1491" s="94" t="s">
        <v>1027</v>
      </c>
      <c r="D1491" s="95" t="n">
        <v>10</v>
      </c>
      <c r="E1491" s="95" t="n">
        <v>79000</v>
      </c>
      <c r="F1491" s="95" t="n">
        <v>17910</v>
      </c>
      <c r="G1491" s="34" t="n">
        <v>3.75</v>
      </c>
      <c r="H1491" s="34" t="n">
        <v>21</v>
      </c>
      <c r="J1491" s="95" t="n">
        <f aca="false">IF(N(E1491)&gt;0,E1491,IF(N(F1491)&gt;0,F1491*가정!$B$5,0))</f>
        <v>79000</v>
      </c>
      <c r="K1491" s="95" t="n">
        <f aca="false">IF(N(F1491)&gt;0,F1491,IF(N(E1491)&gt;0,E1491/가정!$B$5,0))</f>
        <v>17910</v>
      </c>
      <c r="L1491" s="95" t="n">
        <f aca="false">IF(B1491="CN",IF(N(I1491)&gt;0,I1491*가정!$B$3,K1491*(1+가정!$B$6)),IF(N(H1491)&gt;0,H1491*가정!$B$3,J1491*가정!$B$4))</f>
        <v>28618.38</v>
      </c>
      <c r="M1491" s="95" t="n">
        <f aca="false">D1491*J1491</f>
        <v>790000</v>
      </c>
      <c r="N1491" s="95" t="n">
        <f aca="false">D1491*K1491</f>
        <v>179100</v>
      </c>
      <c r="O1491" s="95" t="n">
        <f aca="false">D1491*L1491</f>
        <v>286183.8</v>
      </c>
      <c r="P1491" s="34" t="str">
        <f aca="false">TRIM(IF(N(E1491)&lt;=0,"택가보정 ","")&amp;IF(N(F1491)&lt;=0,"원가보정 ","")&amp;IF(AND(B1491&lt;&gt;"CN",N(H1491)&lt;=0),"공급가보정 ","")&amp;IF(AND(B1491="CN",N(I1491)&lt;=0),"중국공급가=원가+마진 ",""))</f>
        <v/>
      </c>
    </row>
    <row r="1492" customFormat="false" ht="15" hidden="false" customHeight="true" outlineLevel="0" collapsed="false">
      <c r="A1492" s="94" t="s">
        <v>1690</v>
      </c>
      <c r="B1492" s="34" t="str">
        <f aca="false">IF(A1492="100","HK",IF(A1492="200","CN",IF(A1492="300","TW","홀세일")))</f>
        <v>홀세일</v>
      </c>
      <c r="C1492" s="94" t="s">
        <v>1027</v>
      </c>
      <c r="D1492" s="95" t="n">
        <v>96</v>
      </c>
      <c r="E1492" s="95" t="n">
        <v>79000</v>
      </c>
      <c r="F1492" s="95" t="n">
        <v>17910</v>
      </c>
      <c r="G1492" s="34" t="n">
        <v>3.75</v>
      </c>
      <c r="H1492" s="34" t="n">
        <v>21</v>
      </c>
      <c r="J1492" s="95" t="n">
        <f aca="false">IF(N(E1492)&gt;0,E1492,IF(N(F1492)&gt;0,F1492*가정!$B$5,0))</f>
        <v>79000</v>
      </c>
      <c r="K1492" s="95" t="n">
        <f aca="false">IF(N(F1492)&gt;0,F1492,IF(N(E1492)&gt;0,E1492/가정!$B$5,0))</f>
        <v>17910</v>
      </c>
      <c r="L1492" s="95" t="n">
        <f aca="false">IF(B1492="CN",IF(N(I1492)&gt;0,I1492*가정!$B$3,K1492*(1+가정!$B$6)),IF(N(H1492)&gt;0,H1492*가정!$B$3,J1492*가정!$B$4))</f>
        <v>28618.38</v>
      </c>
      <c r="M1492" s="95" t="n">
        <f aca="false">D1492*J1492</f>
        <v>7584000</v>
      </c>
      <c r="N1492" s="95" t="n">
        <f aca="false">D1492*K1492</f>
        <v>1719360</v>
      </c>
      <c r="O1492" s="95" t="n">
        <f aca="false">D1492*L1492</f>
        <v>2747364.48</v>
      </c>
      <c r="P1492" s="34" t="str">
        <f aca="false">TRIM(IF(N(E1492)&lt;=0,"택가보정 ","")&amp;IF(N(F1492)&lt;=0,"원가보정 ","")&amp;IF(AND(B1492&lt;&gt;"CN",N(H1492)&lt;=0),"공급가보정 ","")&amp;IF(AND(B1492="CN",N(I1492)&lt;=0),"중국공급가=원가+마진 ",""))</f>
        <v/>
      </c>
    </row>
    <row r="1493" customFormat="false" ht="15" hidden="false" customHeight="true" outlineLevel="0" collapsed="false">
      <c r="A1493" s="94" t="s">
        <v>1687</v>
      </c>
      <c r="B1493" s="34" t="str">
        <f aca="false">IF(A1493="100","HK",IF(A1493="200","CN",IF(A1493="300","TW","홀세일")))</f>
        <v>홀세일</v>
      </c>
      <c r="C1493" s="94" t="s">
        <v>1409</v>
      </c>
      <c r="D1493" s="95" t="n">
        <v>20</v>
      </c>
      <c r="E1493" s="95" t="n">
        <v>79000</v>
      </c>
      <c r="F1493" s="95" t="n">
        <v>17898</v>
      </c>
      <c r="G1493" s="34" t="n">
        <v>3.75</v>
      </c>
      <c r="H1493" s="34" t="n">
        <v>21</v>
      </c>
      <c r="J1493" s="95" t="n">
        <f aca="false">IF(N(E1493)&gt;0,E1493,IF(N(F1493)&gt;0,F1493*가정!$B$5,0))</f>
        <v>79000</v>
      </c>
      <c r="K1493" s="95" t="n">
        <f aca="false">IF(N(F1493)&gt;0,F1493,IF(N(E1493)&gt;0,E1493/가정!$B$5,0))</f>
        <v>17898</v>
      </c>
      <c r="L1493" s="95" t="n">
        <f aca="false">IF(B1493="CN",IF(N(I1493)&gt;0,I1493*가정!$B$3,K1493*(1+가정!$B$6)),IF(N(H1493)&gt;0,H1493*가정!$B$3,J1493*가정!$B$4))</f>
        <v>28618.38</v>
      </c>
      <c r="M1493" s="95" t="n">
        <f aca="false">D1493*J1493</f>
        <v>1580000</v>
      </c>
      <c r="N1493" s="95" t="n">
        <f aca="false">D1493*K1493</f>
        <v>357960</v>
      </c>
      <c r="O1493" s="95" t="n">
        <f aca="false">D1493*L1493</f>
        <v>572367.6</v>
      </c>
      <c r="P1493" s="34" t="str">
        <f aca="false">TRIM(IF(N(E1493)&lt;=0,"택가보정 ","")&amp;IF(N(F1493)&lt;=0,"원가보정 ","")&amp;IF(AND(B1493&lt;&gt;"CN",N(H1493)&lt;=0),"공급가보정 ","")&amp;IF(AND(B1493="CN",N(I1493)&lt;=0),"중국공급가=원가+마진 ",""))</f>
        <v/>
      </c>
    </row>
    <row r="1494" customFormat="false" ht="15" hidden="false" customHeight="true" outlineLevel="0" collapsed="false">
      <c r="A1494" s="94" t="s">
        <v>1688</v>
      </c>
      <c r="B1494" s="34" t="str">
        <f aca="false">IF(A1494="100","HK",IF(A1494="200","CN",IF(A1494="300","TW","홀세일")))</f>
        <v>홀세일</v>
      </c>
      <c r="C1494" s="94" t="s">
        <v>1409</v>
      </c>
      <c r="D1494" s="95" t="n">
        <v>60</v>
      </c>
      <c r="E1494" s="95" t="n">
        <v>79000</v>
      </c>
      <c r="F1494" s="95" t="n">
        <v>17898</v>
      </c>
      <c r="G1494" s="34" t="n">
        <v>3.75</v>
      </c>
      <c r="H1494" s="34" t="n">
        <v>21</v>
      </c>
      <c r="J1494" s="95" t="n">
        <f aca="false">IF(N(E1494)&gt;0,E1494,IF(N(F1494)&gt;0,F1494*가정!$B$5,0))</f>
        <v>79000</v>
      </c>
      <c r="K1494" s="95" t="n">
        <f aca="false">IF(N(F1494)&gt;0,F1494,IF(N(E1494)&gt;0,E1494/가정!$B$5,0))</f>
        <v>17898</v>
      </c>
      <c r="L1494" s="95" t="n">
        <f aca="false">IF(B1494="CN",IF(N(I1494)&gt;0,I1494*가정!$B$3,K1494*(1+가정!$B$6)),IF(N(H1494)&gt;0,H1494*가정!$B$3,J1494*가정!$B$4))</f>
        <v>28618.38</v>
      </c>
      <c r="M1494" s="95" t="n">
        <f aca="false">D1494*J1494</f>
        <v>4740000</v>
      </c>
      <c r="N1494" s="95" t="n">
        <f aca="false">D1494*K1494</f>
        <v>1073880</v>
      </c>
      <c r="O1494" s="95" t="n">
        <f aca="false">D1494*L1494</f>
        <v>1717102.8</v>
      </c>
      <c r="P1494" s="34" t="str">
        <f aca="false">TRIM(IF(N(E1494)&lt;=0,"택가보정 ","")&amp;IF(N(F1494)&lt;=0,"원가보정 ","")&amp;IF(AND(B1494&lt;&gt;"CN",N(H1494)&lt;=0),"공급가보정 ","")&amp;IF(AND(B1494="CN",N(I1494)&lt;=0),"중국공급가=원가+마진 ",""))</f>
        <v/>
      </c>
    </row>
    <row r="1495" customFormat="false" ht="15" hidden="false" customHeight="true" outlineLevel="0" collapsed="false">
      <c r="A1495" s="94" t="s">
        <v>1692</v>
      </c>
      <c r="B1495" s="34" t="str">
        <f aca="false">IF(A1495="100","HK",IF(A1495="200","CN",IF(A1495="300","TW","홀세일")))</f>
        <v>홀세일</v>
      </c>
      <c r="C1495" s="94" t="s">
        <v>1409</v>
      </c>
      <c r="D1495" s="95" t="n">
        <v>122</v>
      </c>
      <c r="E1495" s="95" t="n">
        <v>79000</v>
      </c>
      <c r="F1495" s="95" t="n">
        <v>17898</v>
      </c>
      <c r="G1495" s="34" t="n">
        <v>3.75</v>
      </c>
      <c r="H1495" s="34" t="n">
        <v>21</v>
      </c>
      <c r="J1495" s="95" t="n">
        <f aca="false">IF(N(E1495)&gt;0,E1495,IF(N(F1495)&gt;0,F1495*가정!$B$5,0))</f>
        <v>79000</v>
      </c>
      <c r="K1495" s="95" t="n">
        <f aca="false">IF(N(F1495)&gt;0,F1495,IF(N(E1495)&gt;0,E1495/가정!$B$5,0))</f>
        <v>17898</v>
      </c>
      <c r="L1495" s="95" t="n">
        <f aca="false">IF(B1495="CN",IF(N(I1495)&gt;0,I1495*가정!$B$3,K1495*(1+가정!$B$6)),IF(N(H1495)&gt;0,H1495*가정!$B$3,J1495*가정!$B$4))</f>
        <v>28618.38</v>
      </c>
      <c r="M1495" s="95" t="n">
        <f aca="false">D1495*J1495</f>
        <v>9638000</v>
      </c>
      <c r="N1495" s="95" t="n">
        <f aca="false">D1495*K1495</f>
        <v>2183556</v>
      </c>
      <c r="O1495" s="95" t="n">
        <f aca="false">D1495*L1495</f>
        <v>3491442.36</v>
      </c>
      <c r="P1495" s="34" t="str">
        <f aca="false">TRIM(IF(N(E1495)&lt;=0,"택가보정 ","")&amp;IF(N(F1495)&lt;=0,"원가보정 ","")&amp;IF(AND(B1495&lt;&gt;"CN",N(H1495)&lt;=0),"공급가보정 ","")&amp;IF(AND(B1495="CN",N(I1495)&lt;=0),"중국공급가=원가+마진 ",""))</f>
        <v/>
      </c>
    </row>
    <row r="1496" customFormat="false" ht="15" hidden="false" customHeight="true" outlineLevel="0" collapsed="false">
      <c r="A1496" s="94" t="s">
        <v>1689</v>
      </c>
      <c r="B1496" s="34" t="str">
        <f aca="false">IF(A1496="100","HK",IF(A1496="200","CN",IF(A1496="300","TW","홀세일")))</f>
        <v>홀세일</v>
      </c>
      <c r="C1496" s="94" t="s">
        <v>1409</v>
      </c>
      <c r="D1496" s="95" t="n">
        <v>10</v>
      </c>
      <c r="E1496" s="95" t="n">
        <v>79000</v>
      </c>
      <c r="F1496" s="95" t="n">
        <v>17898</v>
      </c>
      <c r="G1496" s="34" t="n">
        <v>3.75</v>
      </c>
      <c r="H1496" s="34" t="n">
        <v>21</v>
      </c>
      <c r="J1496" s="95" t="n">
        <f aca="false">IF(N(E1496)&gt;0,E1496,IF(N(F1496)&gt;0,F1496*가정!$B$5,0))</f>
        <v>79000</v>
      </c>
      <c r="K1496" s="95" t="n">
        <f aca="false">IF(N(F1496)&gt;0,F1496,IF(N(E1496)&gt;0,E1496/가정!$B$5,0))</f>
        <v>17898</v>
      </c>
      <c r="L1496" s="95" t="n">
        <f aca="false">IF(B1496="CN",IF(N(I1496)&gt;0,I1496*가정!$B$3,K1496*(1+가정!$B$6)),IF(N(H1496)&gt;0,H1496*가정!$B$3,J1496*가정!$B$4))</f>
        <v>28618.38</v>
      </c>
      <c r="M1496" s="95" t="n">
        <f aca="false">D1496*J1496</f>
        <v>790000</v>
      </c>
      <c r="N1496" s="95" t="n">
        <f aca="false">D1496*K1496</f>
        <v>178980</v>
      </c>
      <c r="O1496" s="95" t="n">
        <f aca="false">D1496*L1496</f>
        <v>286183.8</v>
      </c>
      <c r="P1496" s="34" t="str">
        <f aca="false">TRIM(IF(N(E1496)&lt;=0,"택가보정 ","")&amp;IF(N(F1496)&lt;=0,"원가보정 ","")&amp;IF(AND(B1496&lt;&gt;"CN",N(H1496)&lt;=0),"공급가보정 ","")&amp;IF(AND(B1496="CN",N(I1496)&lt;=0),"중국공급가=원가+마진 ",""))</f>
        <v/>
      </c>
    </row>
    <row r="1497" customFormat="false" ht="15" hidden="false" customHeight="true" outlineLevel="0" collapsed="false">
      <c r="A1497" s="94" t="s">
        <v>1689</v>
      </c>
      <c r="B1497" s="34" t="str">
        <f aca="false">IF(A1497="100","HK",IF(A1497="200","CN",IF(A1497="300","TW","홀세일")))</f>
        <v>홀세일</v>
      </c>
      <c r="C1497" s="94" t="s">
        <v>1409</v>
      </c>
      <c r="D1497" s="95" t="n">
        <v>10</v>
      </c>
      <c r="E1497" s="95" t="n">
        <v>79000</v>
      </c>
      <c r="F1497" s="95" t="n">
        <v>17898</v>
      </c>
      <c r="G1497" s="34" t="n">
        <v>3.75</v>
      </c>
      <c r="H1497" s="34" t="n">
        <v>21</v>
      </c>
      <c r="J1497" s="95" t="n">
        <f aca="false">IF(N(E1497)&gt;0,E1497,IF(N(F1497)&gt;0,F1497*가정!$B$5,0))</f>
        <v>79000</v>
      </c>
      <c r="K1497" s="95" t="n">
        <f aca="false">IF(N(F1497)&gt;0,F1497,IF(N(E1497)&gt;0,E1497/가정!$B$5,0))</f>
        <v>17898</v>
      </c>
      <c r="L1497" s="95" t="n">
        <f aca="false">IF(B1497="CN",IF(N(I1497)&gt;0,I1497*가정!$B$3,K1497*(1+가정!$B$6)),IF(N(H1497)&gt;0,H1497*가정!$B$3,J1497*가정!$B$4))</f>
        <v>28618.38</v>
      </c>
      <c r="M1497" s="95" t="n">
        <f aca="false">D1497*J1497</f>
        <v>790000</v>
      </c>
      <c r="N1497" s="95" t="n">
        <f aca="false">D1497*K1497</f>
        <v>178980</v>
      </c>
      <c r="O1497" s="95" t="n">
        <f aca="false">D1497*L1497</f>
        <v>286183.8</v>
      </c>
      <c r="P1497" s="34" t="str">
        <f aca="false">TRIM(IF(N(E1497)&lt;=0,"택가보정 ","")&amp;IF(N(F1497)&lt;=0,"원가보정 ","")&amp;IF(AND(B1497&lt;&gt;"CN",N(H1497)&lt;=0),"공급가보정 ","")&amp;IF(AND(B1497="CN",N(I1497)&lt;=0),"중국공급가=원가+마진 ",""))</f>
        <v/>
      </c>
    </row>
    <row r="1498" customFormat="false" ht="15" hidden="false" customHeight="true" outlineLevel="0" collapsed="false">
      <c r="A1498" s="94" t="s">
        <v>1691</v>
      </c>
      <c r="B1498" s="34" t="str">
        <f aca="false">IF(A1498="100","HK",IF(A1498="200","CN",IF(A1498="300","TW","홀세일")))</f>
        <v>홀세일</v>
      </c>
      <c r="C1498" s="94" t="s">
        <v>1409</v>
      </c>
      <c r="D1498" s="95" t="n">
        <v>200</v>
      </c>
      <c r="E1498" s="95" t="n">
        <v>79000</v>
      </c>
      <c r="F1498" s="95" t="n">
        <v>17898</v>
      </c>
      <c r="G1498" s="34" t="n">
        <v>3.75</v>
      </c>
      <c r="H1498" s="34" t="n">
        <v>21</v>
      </c>
      <c r="J1498" s="95" t="n">
        <f aca="false">IF(N(E1498)&gt;0,E1498,IF(N(F1498)&gt;0,F1498*가정!$B$5,0))</f>
        <v>79000</v>
      </c>
      <c r="K1498" s="95" t="n">
        <f aca="false">IF(N(F1498)&gt;0,F1498,IF(N(E1498)&gt;0,E1498/가정!$B$5,0))</f>
        <v>17898</v>
      </c>
      <c r="L1498" s="95" t="n">
        <f aca="false">IF(B1498="CN",IF(N(I1498)&gt;0,I1498*가정!$B$3,K1498*(1+가정!$B$6)),IF(N(H1498)&gt;0,H1498*가정!$B$3,J1498*가정!$B$4))</f>
        <v>28618.38</v>
      </c>
      <c r="M1498" s="95" t="n">
        <f aca="false">D1498*J1498</f>
        <v>15800000</v>
      </c>
      <c r="N1498" s="95" t="n">
        <f aca="false">D1498*K1498</f>
        <v>3579600</v>
      </c>
      <c r="O1498" s="95" t="n">
        <f aca="false">D1498*L1498</f>
        <v>5723676</v>
      </c>
      <c r="P1498" s="34" t="str">
        <f aca="false">TRIM(IF(N(E1498)&lt;=0,"택가보정 ","")&amp;IF(N(F1498)&lt;=0,"원가보정 ","")&amp;IF(AND(B1498&lt;&gt;"CN",N(H1498)&lt;=0),"공급가보정 ","")&amp;IF(AND(B1498="CN",N(I1498)&lt;=0),"중국공급가=원가+마진 ",""))</f>
        <v/>
      </c>
    </row>
    <row r="1499" customFormat="false" ht="15.75" hidden="false" customHeight="true" outlineLevel="0" collapsed="false">
      <c r="A1499" s="94" t="s">
        <v>1685</v>
      </c>
      <c r="B1499" s="34" t="str">
        <f aca="false">IF(A1499="100","HK",IF(A1499="200","CN",IF(A1499="300","TW","홀세일")))</f>
        <v>CN</v>
      </c>
      <c r="C1499" s="94" t="s">
        <v>1166</v>
      </c>
      <c r="D1499" s="95" t="n">
        <v>81</v>
      </c>
      <c r="E1499" s="95" t="n">
        <v>89000</v>
      </c>
      <c r="F1499" s="95" t="n">
        <v>23000</v>
      </c>
      <c r="G1499" s="34" t="n">
        <v>3.52</v>
      </c>
      <c r="H1499" s="34" t="n">
        <v>23.7</v>
      </c>
      <c r="J1499" s="95" t="n">
        <f aca="false">IF(N(E1499)&gt;0,E1499,IF(N(F1499)&gt;0,F1499*가정!$B$5,0))</f>
        <v>89000</v>
      </c>
      <c r="K1499" s="95" t="n">
        <f aca="false">IF(N(F1499)&gt;0,F1499,IF(N(E1499)&gt;0,E1499/가정!$B$5,0))</f>
        <v>23000</v>
      </c>
      <c r="L1499" s="95" t="n">
        <f aca="false">IF(B1499="CN",IF(N(I1499)&gt;0,I1499*가정!$B$3,K1499*(1+가정!$B$6)),IF(N(H1499)&gt;0,H1499*가정!$B$3,J1499*가정!$B$4))</f>
        <v>24150</v>
      </c>
      <c r="M1499" s="95" t="n">
        <f aca="false">D1499*J1499</f>
        <v>7209000</v>
      </c>
      <c r="N1499" s="95" t="n">
        <f aca="false">D1499*K1499</f>
        <v>1863000</v>
      </c>
      <c r="O1499" s="95" t="n">
        <f aca="false">D1499*L1499</f>
        <v>1956150</v>
      </c>
      <c r="P1499" s="34" t="str">
        <f aca="false">TRIM(IF(N(E1499)&lt;=0,"택가보정 ","")&amp;IF(N(F1499)&lt;=0,"원가보정 ","")&amp;IF(AND(B1499&lt;&gt;"CN",N(H1499)&lt;=0),"공급가보정 ","")&amp;IF(AND(B1499="CN",N(I1499)&lt;=0),"중국공급가=원가+마진 ",""))</f>
        <v>중국공급가=원가+마진</v>
      </c>
    </row>
    <row r="1500" customFormat="false" ht="15" hidden="false" customHeight="true" outlineLevel="0" collapsed="false">
      <c r="A1500" s="94" t="s">
        <v>1687</v>
      </c>
      <c r="B1500" s="34" t="str">
        <f aca="false">IF(A1500="100","HK",IF(A1500="200","CN",IF(A1500="300","TW","홀세일")))</f>
        <v>홀세일</v>
      </c>
      <c r="C1500" s="94" t="s">
        <v>1166</v>
      </c>
      <c r="D1500" s="95" t="n">
        <v>35</v>
      </c>
      <c r="E1500" s="95" t="n">
        <v>89000</v>
      </c>
      <c r="F1500" s="95" t="n">
        <v>23000</v>
      </c>
      <c r="G1500" s="34" t="n">
        <v>3.52</v>
      </c>
      <c r="H1500" s="34" t="n">
        <v>23.7</v>
      </c>
      <c r="J1500" s="95" t="n">
        <f aca="false">IF(N(E1500)&gt;0,E1500,IF(N(F1500)&gt;0,F1500*가정!$B$5,0))</f>
        <v>89000</v>
      </c>
      <c r="K1500" s="95" t="n">
        <f aca="false">IF(N(F1500)&gt;0,F1500,IF(N(E1500)&gt;0,E1500/가정!$B$5,0))</f>
        <v>23000</v>
      </c>
      <c r="L1500" s="95" t="n">
        <f aca="false">IF(B1500="CN",IF(N(I1500)&gt;0,I1500*가정!$B$3,K1500*(1+가정!$B$6)),IF(N(H1500)&gt;0,H1500*가정!$B$3,J1500*가정!$B$4))</f>
        <v>32297.886</v>
      </c>
      <c r="M1500" s="95" t="n">
        <f aca="false">D1500*J1500</f>
        <v>3115000</v>
      </c>
      <c r="N1500" s="95" t="n">
        <f aca="false">D1500*K1500</f>
        <v>805000</v>
      </c>
      <c r="O1500" s="95" t="n">
        <f aca="false">D1500*L1500</f>
        <v>1130426.01</v>
      </c>
      <c r="P1500" s="34" t="str">
        <f aca="false">TRIM(IF(N(E1500)&lt;=0,"택가보정 ","")&amp;IF(N(F1500)&lt;=0,"원가보정 ","")&amp;IF(AND(B1500&lt;&gt;"CN",N(H1500)&lt;=0),"공급가보정 ","")&amp;IF(AND(B1500="CN",N(I1500)&lt;=0),"중국공급가=원가+마진 ",""))</f>
        <v/>
      </c>
    </row>
    <row r="1501" customFormat="false" ht="15" hidden="false" customHeight="true" outlineLevel="0" collapsed="false">
      <c r="A1501" s="94" t="s">
        <v>1692</v>
      </c>
      <c r="B1501" s="34" t="str">
        <f aca="false">IF(A1501="100","HK",IF(A1501="200","CN",IF(A1501="300","TW","홀세일")))</f>
        <v>홀세일</v>
      </c>
      <c r="C1501" s="94" t="s">
        <v>1166</v>
      </c>
      <c r="D1501" s="95" t="n">
        <v>81</v>
      </c>
      <c r="E1501" s="95" t="n">
        <v>89000</v>
      </c>
      <c r="F1501" s="95" t="n">
        <v>23000</v>
      </c>
      <c r="G1501" s="34" t="n">
        <v>3.52</v>
      </c>
      <c r="H1501" s="34" t="n">
        <v>23.7</v>
      </c>
      <c r="J1501" s="95" t="n">
        <f aca="false">IF(N(E1501)&gt;0,E1501,IF(N(F1501)&gt;0,F1501*가정!$B$5,0))</f>
        <v>89000</v>
      </c>
      <c r="K1501" s="95" t="n">
        <f aca="false">IF(N(F1501)&gt;0,F1501,IF(N(E1501)&gt;0,E1501/가정!$B$5,0))</f>
        <v>23000</v>
      </c>
      <c r="L1501" s="95" t="n">
        <f aca="false">IF(B1501="CN",IF(N(I1501)&gt;0,I1501*가정!$B$3,K1501*(1+가정!$B$6)),IF(N(H1501)&gt;0,H1501*가정!$B$3,J1501*가정!$B$4))</f>
        <v>32297.886</v>
      </c>
      <c r="M1501" s="95" t="n">
        <f aca="false">D1501*J1501</f>
        <v>7209000</v>
      </c>
      <c r="N1501" s="95" t="n">
        <f aca="false">D1501*K1501</f>
        <v>1863000</v>
      </c>
      <c r="O1501" s="95" t="n">
        <f aca="false">D1501*L1501</f>
        <v>2616128.766</v>
      </c>
      <c r="P1501" s="34" t="str">
        <f aca="false">TRIM(IF(N(E1501)&lt;=0,"택가보정 ","")&amp;IF(N(F1501)&lt;=0,"원가보정 ","")&amp;IF(AND(B1501&lt;&gt;"CN",N(H1501)&lt;=0),"공급가보정 ","")&amp;IF(AND(B1501="CN",N(I1501)&lt;=0),"중국공급가=원가+마진 ",""))</f>
        <v/>
      </c>
    </row>
    <row r="1502" customFormat="false" ht="15" hidden="false" customHeight="true" outlineLevel="0" collapsed="false">
      <c r="A1502" s="94" t="s">
        <v>1689</v>
      </c>
      <c r="B1502" s="34" t="str">
        <f aca="false">IF(A1502="100","HK",IF(A1502="200","CN",IF(A1502="300","TW","홀세일")))</f>
        <v>홀세일</v>
      </c>
      <c r="C1502" s="94" t="s">
        <v>1166</v>
      </c>
      <c r="D1502" s="95" t="n">
        <v>10</v>
      </c>
      <c r="E1502" s="95" t="n">
        <v>89000</v>
      </c>
      <c r="F1502" s="95" t="n">
        <v>23000</v>
      </c>
      <c r="G1502" s="34" t="n">
        <v>3.52</v>
      </c>
      <c r="H1502" s="34" t="n">
        <v>23.7</v>
      </c>
      <c r="J1502" s="95" t="n">
        <f aca="false">IF(N(E1502)&gt;0,E1502,IF(N(F1502)&gt;0,F1502*가정!$B$5,0))</f>
        <v>89000</v>
      </c>
      <c r="K1502" s="95" t="n">
        <f aca="false">IF(N(F1502)&gt;0,F1502,IF(N(E1502)&gt;0,E1502/가정!$B$5,0))</f>
        <v>23000</v>
      </c>
      <c r="L1502" s="95" t="n">
        <f aca="false">IF(B1502="CN",IF(N(I1502)&gt;0,I1502*가정!$B$3,K1502*(1+가정!$B$6)),IF(N(H1502)&gt;0,H1502*가정!$B$3,J1502*가정!$B$4))</f>
        <v>32297.886</v>
      </c>
      <c r="M1502" s="95" t="n">
        <f aca="false">D1502*J1502</f>
        <v>890000</v>
      </c>
      <c r="N1502" s="95" t="n">
        <f aca="false">D1502*K1502</f>
        <v>230000</v>
      </c>
      <c r="O1502" s="95" t="n">
        <f aca="false">D1502*L1502</f>
        <v>322978.86</v>
      </c>
      <c r="P1502" s="34" t="str">
        <f aca="false">TRIM(IF(N(E1502)&lt;=0,"택가보정 ","")&amp;IF(N(F1502)&lt;=0,"원가보정 ","")&amp;IF(AND(B1502&lt;&gt;"CN",N(H1502)&lt;=0),"공급가보정 ","")&amp;IF(AND(B1502="CN",N(I1502)&lt;=0),"중국공급가=원가+마진 ",""))</f>
        <v/>
      </c>
    </row>
    <row r="1503" customFormat="false" ht="15" hidden="false" customHeight="true" outlineLevel="0" collapsed="false">
      <c r="A1503" s="94" t="s">
        <v>1689</v>
      </c>
      <c r="B1503" s="34" t="str">
        <f aca="false">IF(A1503="100","HK",IF(A1503="200","CN",IF(A1503="300","TW","홀세일")))</f>
        <v>홀세일</v>
      </c>
      <c r="C1503" s="94" t="s">
        <v>1166</v>
      </c>
      <c r="D1503" s="95" t="n">
        <v>10</v>
      </c>
      <c r="E1503" s="95" t="n">
        <v>89000</v>
      </c>
      <c r="F1503" s="95" t="n">
        <v>23000</v>
      </c>
      <c r="G1503" s="34" t="n">
        <v>3.52</v>
      </c>
      <c r="H1503" s="34" t="n">
        <v>23.7</v>
      </c>
      <c r="J1503" s="95" t="n">
        <f aca="false">IF(N(E1503)&gt;0,E1503,IF(N(F1503)&gt;0,F1503*가정!$B$5,0))</f>
        <v>89000</v>
      </c>
      <c r="K1503" s="95" t="n">
        <f aca="false">IF(N(F1503)&gt;0,F1503,IF(N(E1503)&gt;0,E1503/가정!$B$5,0))</f>
        <v>23000</v>
      </c>
      <c r="L1503" s="95" t="n">
        <f aca="false">IF(B1503="CN",IF(N(I1503)&gt;0,I1503*가정!$B$3,K1503*(1+가정!$B$6)),IF(N(H1503)&gt;0,H1503*가정!$B$3,J1503*가정!$B$4))</f>
        <v>32297.886</v>
      </c>
      <c r="M1503" s="95" t="n">
        <f aca="false">D1503*J1503</f>
        <v>890000</v>
      </c>
      <c r="N1503" s="95" t="n">
        <f aca="false">D1503*K1503</f>
        <v>230000</v>
      </c>
      <c r="O1503" s="95" t="n">
        <f aca="false">D1503*L1503</f>
        <v>322978.86</v>
      </c>
      <c r="P1503" s="34" t="str">
        <f aca="false">TRIM(IF(N(E1503)&lt;=0,"택가보정 ","")&amp;IF(N(F1503)&lt;=0,"원가보정 ","")&amp;IF(AND(B1503&lt;&gt;"CN",N(H1503)&lt;=0),"공급가보정 ","")&amp;IF(AND(B1503="CN",N(I1503)&lt;=0),"중국공급가=원가+마진 ",""))</f>
        <v/>
      </c>
    </row>
    <row r="1504" customFormat="false" ht="15" hidden="false" customHeight="true" outlineLevel="0" collapsed="false">
      <c r="A1504" s="94" t="s">
        <v>1690</v>
      </c>
      <c r="B1504" s="34" t="str">
        <f aca="false">IF(A1504="100","HK",IF(A1504="200","CN",IF(A1504="300","TW","홀세일")))</f>
        <v>홀세일</v>
      </c>
      <c r="C1504" s="94" t="s">
        <v>1166</v>
      </c>
      <c r="D1504" s="95" t="n">
        <v>96</v>
      </c>
      <c r="E1504" s="95" t="n">
        <v>89000</v>
      </c>
      <c r="F1504" s="95" t="n">
        <v>23000</v>
      </c>
      <c r="G1504" s="34" t="n">
        <v>3.52</v>
      </c>
      <c r="H1504" s="34" t="n">
        <v>23.7</v>
      </c>
      <c r="J1504" s="95" t="n">
        <f aca="false">IF(N(E1504)&gt;0,E1504,IF(N(F1504)&gt;0,F1504*가정!$B$5,0))</f>
        <v>89000</v>
      </c>
      <c r="K1504" s="95" t="n">
        <f aca="false">IF(N(F1504)&gt;0,F1504,IF(N(E1504)&gt;0,E1504/가정!$B$5,0))</f>
        <v>23000</v>
      </c>
      <c r="L1504" s="95" t="n">
        <f aca="false">IF(B1504="CN",IF(N(I1504)&gt;0,I1504*가정!$B$3,K1504*(1+가정!$B$6)),IF(N(H1504)&gt;0,H1504*가정!$B$3,J1504*가정!$B$4))</f>
        <v>32297.886</v>
      </c>
      <c r="M1504" s="95" t="n">
        <f aca="false">D1504*J1504</f>
        <v>8544000</v>
      </c>
      <c r="N1504" s="95" t="n">
        <f aca="false">D1504*K1504</f>
        <v>2208000</v>
      </c>
      <c r="O1504" s="95" t="n">
        <f aca="false">D1504*L1504</f>
        <v>3100597.056</v>
      </c>
      <c r="P1504" s="34" t="str">
        <f aca="false">TRIM(IF(N(E1504)&lt;=0,"택가보정 ","")&amp;IF(N(F1504)&lt;=0,"원가보정 ","")&amp;IF(AND(B1504&lt;&gt;"CN",N(H1504)&lt;=0),"공급가보정 ","")&amp;IF(AND(B1504="CN",N(I1504)&lt;=0),"중국공급가=원가+마진 ",""))</f>
        <v/>
      </c>
    </row>
    <row r="1505" customFormat="false" ht="15" hidden="false" customHeight="true" outlineLevel="0" collapsed="false">
      <c r="A1505" s="94" t="s">
        <v>1687</v>
      </c>
      <c r="B1505" s="34" t="str">
        <f aca="false">IF(A1505="100","HK",IF(A1505="200","CN",IF(A1505="300","TW","홀세일")))</f>
        <v>홀세일</v>
      </c>
      <c r="C1505" s="94" t="s">
        <v>1411</v>
      </c>
      <c r="D1505" s="95" t="n">
        <v>20</v>
      </c>
      <c r="E1505" s="95" t="n">
        <v>59000</v>
      </c>
      <c r="F1505" s="95" t="n">
        <v>14400</v>
      </c>
      <c r="G1505" s="34" t="n">
        <v>3.48</v>
      </c>
      <c r="H1505" s="34" t="n">
        <v>15.7</v>
      </c>
      <c r="J1505" s="95" t="n">
        <f aca="false">IF(N(E1505)&gt;0,E1505,IF(N(F1505)&gt;0,F1505*가정!$B$5,0))</f>
        <v>59000</v>
      </c>
      <c r="K1505" s="95" t="n">
        <f aca="false">IF(N(F1505)&gt;0,F1505,IF(N(E1505)&gt;0,E1505/가정!$B$5,0))</f>
        <v>14400</v>
      </c>
      <c r="L1505" s="95" t="n">
        <f aca="false">IF(B1505="CN",IF(N(I1505)&gt;0,I1505*가정!$B$3,K1505*(1+가정!$B$6)),IF(N(H1505)&gt;0,H1505*가정!$B$3,J1505*가정!$B$4))</f>
        <v>21395.646</v>
      </c>
      <c r="M1505" s="95" t="n">
        <f aca="false">D1505*J1505</f>
        <v>1180000</v>
      </c>
      <c r="N1505" s="95" t="n">
        <f aca="false">D1505*K1505</f>
        <v>288000</v>
      </c>
      <c r="O1505" s="95" t="n">
        <f aca="false">D1505*L1505</f>
        <v>427912.92</v>
      </c>
      <c r="P1505" s="34" t="str">
        <f aca="false">TRIM(IF(N(E1505)&lt;=0,"택가보정 ","")&amp;IF(N(F1505)&lt;=0,"원가보정 ","")&amp;IF(AND(B1505&lt;&gt;"CN",N(H1505)&lt;=0),"공급가보정 ","")&amp;IF(AND(B1505="CN",N(I1505)&lt;=0),"중국공급가=원가+마진 ",""))</f>
        <v/>
      </c>
    </row>
    <row r="1506" customFormat="false" ht="15" hidden="false" customHeight="true" outlineLevel="0" collapsed="false">
      <c r="A1506" s="94" t="s">
        <v>1688</v>
      </c>
      <c r="B1506" s="34" t="str">
        <f aca="false">IF(A1506="100","HK",IF(A1506="200","CN",IF(A1506="300","TW","홀세일")))</f>
        <v>홀세일</v>
      </c>
      <c r="C1506" s="94" t="s">
        <v>1411</v>
      </c>
      <c r="D1506" s="95" t="n">
        <v>20</v>
      </c>
      <c r="E1506" s="95" t="n">
        <v>59000</v>
      </c>
      <c r="F1506" s="95" t="n">
        <v>14400</v>
      </c>
      <c r="G1506" s="34" t="n">
        <v>3.48</v>
      </c>
      <c r="H1506" s="34" t="n">
        <v>15.7</v>
      </c>
      <c r="J1506" s="95" t="n">
        <f aca="false">IF(N(E1506)&gt;0,E1506,IF(N(F1506)&gt;0,F1506*가정!$B$5,0))</f>
        <v>59000</v>
      </c>
      <c r="K1506" s="95" t="n">
        <f aca="false">IF(N(F1506)&gt;0,F1506,IF(N(E1506)&gt;0,E1506/가정!$B$5,0))</f>
        <v>14400</v>
      </c>
      <c r="L1506" s="95" t="n">
        <f aca="false">IF(B1506="CN",IF(N(I1506)&gt;0,I1506*가정!$B$3,K1506*(1+가정!$B$6)),IF(N(H1506)&gt;0,H1506*가정!$B$3,J1506*가정!$B$4))</f>
        <v>21395.646</v>
      </c>
      <c r="M1506" s="95" t="n">
        <f aca="false">D1506*J1506</f>
        <v>1180000</v>
      </c>
      <c r="N1506" s="95" t="n">
        <f aca="false">D1506*K1506</f>
        <v>288000</v>
      </c>
      <c r="O1506" s="95" t="n">
        <f aca="false">D1506*L1506</f>
        <v>427912.92</v>
      </c>
      <c r="P1506" s="34" t="str">
        <f aca="false">TRIM(IF(N(E1506)&lt;=0,"택가보정 ","")&amp;IF(N(F1506)&lt;=0,"원가보정 ","")&amp;IF(AND(B1506&lt;&gt;"CN",N(H1506)&lt;=0),"공급가보정 ","")&amp;IF(AND(B1506="CN",N(I1506)&lt;=0),"중국공급가=원가+마진 ",""))</f>
        <v/>
      </c>
    </row>
    <row r="1507" customFormat="false" ht="15.75" hidden="false" customHeight="true" outlineLevel="0" collapsed="false">
      <c r="A1507" s="94" t="s">
        <v>1685</v>
      </c>
      <c r="B1507" s="34" t="str">
        <f aca="false">IF(A1507="100","HK",IF(A1507="200","CN",IF(A1507="300","TW","홀세일")))</f>
        <v>CN</v>
      </c>
      <c r="C1507" s="94" t="s">
        <v>692</v>
      </c>
      <c r="D1507" s="95" t="n">
        <v>162</v>
      </c>
      <c r="E1507" s="95" t="n">
        <v>79000</v>
      </c>
      <c r="F1507" s="95" t="n">
        <v>19947</v>
      </c>
      <c r="G1507" s="34" t="n">
        <v>3.48</v>
      </c>
      <c r="H1507" s="34" t="n">
        <v>21</v>
      </c>
      <c r="J1507" s="95" t="n">
        <f aca="false">IF(N(E1507)&gt;0,E1507,IF(N(F1507)&gt;0,F1507*가정!$B$5,0))</f>
        <v>79000</v>
      </c>
      <c r="K1507" s="95" t="n">
        <f aca="false">IF(N(F1507)&gt;0,F1507,IF(N(E1507)&gt;0,E1507/가정!$B$5,0))</f>
        <v>19947</v>
      </c>
      <c r="L1507" s="95" t="n">
        <f aca="false">IF(B1507="CN",IF(N(I1507)&gt;0,I1507*가정!$B$3,K1507*(1+가정!$B$6)),IF(N(H1507)&gt;0,H1507*가정!$B$3,J1507*가정!$B$4))</f>
        <v>20944.35</v>
      </c>
      <c r="M1507" s="95" t="n">
        <f aca="false">D1507*J1507</f>
        <v>12798000</v>
      </c>
      <c r="N1507" s="95" t="n">
        <f aca="false">D1507*K1507</f>
        <v>3231414</v>
      </c>
      <c r="O1507" s="95" t="n">
        <f aca="false">D1507*L1507</f>
        <v>3392984.7</v>
      </c>
      <c r="P1507" s="34" t="str">
        <f aca="false">TRIM(IF(N(E1507)&lt;=0,"택가보정 ","")&amp;IF(N(F1507)&lt;=0,"원가보정 ","")&amp;IF(AND(B1507&lt;&gt;"CN",N(H1507)&lt;=0),"공급가보정 ","")&amp;IF(AND(B1507="CN",N(I1507)&lt;=0),"중국공급가=원가+마진 ",""))</f>
        <v>중국공급가=원가+마진</v>
      </c>
    </row>
    <row r="1508" customFormat="false" ht="15" hidden="false" customHeight="true" outlineLevel="0" collapsed="false">
      <c r="A1508" s="94" t="s">
        <v>1686</v>
      </c>
      <c r="B1508" s="34" t="str">
        <f aca="false">IF(A1508="100","HK",IF(A1508="200","CN",IF(A1508="300","TW","홀세일")))</f>
        <v>TW</v>
      </c>
      <c r="C1508" s="94" t="s">
        <v>692</v>
      </c>
      <c r="D1508" s="95" t="n">
        <v>400</v>
      </c>
      <c r="E1508" s="95" t="n">
        <v>79000</v>
      </c>
      <c r="F1508" s="95" t="n">
        <v>19947</v>
      </c>
      <c r="G1508" s="34" t="n">
        <v>3.48</v>
      </c>
      <c r="H1508" s="34" t="n">
        <v>21</v>
      </c>
      <c r="J1508" s="95" t="n">
        <f aca="false">IF(N(E1508)&gt;0,E1508,IF(N(F1508)&gt;0,F1508*가정!$B$5,0))</f>
        <v>79000</v>
      </c>
      <c r="K1508" s="95" t="n">
        <f aca="false">IF(N(F1508)&gt;0,F1508,IF(N(E1508)&gt;0,E1508/가정!$B$5,0))</f>
        <v>19947</v>
      </c>
      <c r="L1508" s="95" t="n">
        <f aca="false">IF(B1508="CN",IF(N(I1508)&gt;0,I1508*가정!$B$3,K1508*(1+가정!$B$6)),IF(N(H1508)&gt;0,H1508*가정!$B$3,J1508*가정!$B$4))</f>
        <v>28618.38</v>
      </c>
      <c r="M1508" s="95" t="n">
        <f aca="false">D1508*J1508</f>
        <v>31600000</v>
      </c>
      <c r="N1508" s="95" t="n">
        <f aca="false">D1508*K1508</f>
        <v>7978800</v>
      </c>
      <c r="O1508" s="95" t="n">
        <f aca="false">D1508*L1508</f>
        <v>11447352</v>
      </c>
      <c r="P1508" s="34" t="str">
        <f aca="false">TRIM(IF(N(E1508)&lt;=0,"택가보정 ","")&amp;IF(N(F1508)&lt;=0,"원가보정 ","")&amp;IF(AND(B1508&lt;&gt;"CN",N(H1508)&lt;=0),"공급가보정 ","")&amp;IF(AND(B1508="CN",N(I1508)&lt;=0),"중국공급가=원가+마진 ",""))</f>
        <v/>
      </c>
    </row>
    <row r="1509" customFormat="false" ht="15" hidden="false" customHeight="true" outlineLevel="0" collapsed="false">
      <c r="A1509" s="94" t="s">
        <v>1687</v>
      </c>
      <c r="B1509" s="34" t="str">
        <f aca="false">IF(A1509="100","HK",IF(A1509="200","CN",IF(A1509="300","TW","홀세일")))</f>
        <v>홀세일</v>
      </c>
      <c r="C1509" s="94" t="s">
        <v>692</v>
      </c>
      <c r="D1509" s="95" t="n">
        <v>15</v>
      </c>
      <c r="E1509" s="95" t="n">
        <v>79000</v>
      </c>
      <c r="F1509" s="95" t="n">
        <v>19947</v>
      </c>
      <c r="G1509" s="34" t="n">
        <v>3.48</v>
      </c>
      <c r="H1509" s="34" t="n">
        <v>21</v>
      </c>
      <c r="J1509" s="95" t="n">
        <f aca="false">IF(N(E1509)&gt;0,E1509,IF(N(F1509)&gt;0,F1509*가정!$B$5,0))</f>
        <v>79000</v>
      </c>
      <c r="K1509" s="95" t="n">
        <f aca="false">IF(N(F1509)&gt;0,F1509,IF(N(E1509)&gt;0,E1509/가정!$B$5,0))</f>
        <v>19947</v>
      </c>
      <c r="L1509" s="95" t="n">
        <f aca="false">IF(B1509="CN",IF(N(I1509)&gt;0,I1509*가정!$B$3,K1509*(1+가정!$B$6)),IF(N(H1509)&gt;0,H1509*가정!$B$3,J1509*가정!$B$4))</f>
        <v>28618.38</v>
      </c>
      <c r="M1509" s="95" t="n">
        <f aca="false">D1509*J1509</f>
        <v>1185000</v>
      </c>
      <c r="N1509" s="95" t="n">
        <f aca="false">D1509*K1509</f>
        <v>299205</v>
      </c>
      <c r="O1509" s="95" t="n">
        <f aca="false">D1509*L1509</f>
        <v>429275.7</v>
      </c>
      <c r="P1509" s="34" t="str">
        <f aca="false">TRIM(IF(N(E1509)&lt;=0,"택가보정 ","")&amp;IF(N(F1509)&lt;=0,"원가보정 ","")&amp;IF(AND(B1509&lt;&gt;"CN",N(H1509)&lt;=0),"공급가보정 ","")&amp;IF(AND(B1509="CN",N(I1509)&lt;=0),"중국공급가=원가+마진 ",""))</f>
        <v/>
      </c>
    </row>
    <row r="1510" customFormat="false" ht="15" hidden="false" customHeight="true" outlineLevel="0" collapsed="false">
      <c r="A1510" s="94" t="s">
        <v>1688</v>
      </c>
      <c r="B1510" s="34" t="str">
        <f aca="false">IF(A1510="100","HK",IF(A1510="200","CN",IF(A1510="300","TW","홀세일")))</f>
        <v>홀세일</v>
      </c>
      <c r="C1510" s="94" t="s">
        <v>692</v>
      </c>
      <c r="D1510" s="95" t="n">
        <v>20</v>
      </c>
      <c r="E1510" s="95" t="n">
        <v>79000</v>
      </c>
      <c r="F1510" s="95" t="n">
        <v>19947</v>
      </c>
      <c r="G1510" s="34" t="n">
        <v>3.48</v>
      </c>
      <c r="H1510" s="34" t="n">
        <v>21</v>
      </c>
      <c r="J1510" s="95" t="n">
        <f aca="false">IF(N(E1510)&gt;0,E1510,IF(N(F1510)&gt;0,F1510*가정!$B$5,0))</f>
        <v>79000</v>
      </c>
      <c r="K1510" s="95" t="n">
        <f aca="false">IF(N(F1510)&gt;0,F1510,IF(N(E1510)&gt;0,E1510/가정!$B$5,0))</f>
        <v>19947</v>
      </c>
      <c r="L1510" s="95" t="n">
        <f aca="false">IF(B1510="CN",IF(N(I1510)&gt;0,I1510*가정!$B$3,K1510*(1+가정!$B$6)),IF(N(H1510)&gt;0,H1510*가정!$B$3,J1510*가정!$B$4))</f>
        <v>28618.38</v>
      </c>
      <c r="M1510" s="95" t="n">
        <f aca="false">D1510*J1510</f>
        <v>1580000</v>
      </c>
      <c r="N1510" s="95" t="n">
        <f aca="false">D1510*K1510</f>
        <v>398940</v>
      </c>
      <c r="O1510" s="95" t="n">
        <f aca="false">D1510*L1510</f>
        <v>572367.6</v>
      </c>
      <c r="P1510" s="34" t="str">
        <f aca="false">TRIM(IF(N(E1510)&lt;=0,"택가보정 ","")&amp;IF(N(F1510)&lt;=0,"원가보정 ","")&amp;IF(AND(B1510&lt;&gt;"CN",N(H1510)&lt;=0),"공급가보정 ","")&amp;IF(AND(B1510="CN",N(I1510)&lt;=0),"중국공급가=원가+마진 ",""))</f>
        <v/>
      </c>
    </row>
    <row r="1511" customFormat="false" ht="15" hidden="false" customHeight="true" outlineLevel="0" collapsed="false">
      <c r="A1511" s="94" t="s">
        <v>1692</v>
      </c>
      <c r="B1511" s="34" t="str">
        <f aca="false">IF(A1511="100","HK",IF(A1511="200","CN",IF(A1511="300","TW","홀세일")))</f>
        <v>홀세일</v>
      </c>
      <c r="C1511" s="94" t="s">
        <v>692</v>
      </c>
      <c r="D1511" s="95" t="n">
        <v>122</v>
      </c>
      <c r="E1511" s="95" t="n">
        <v>79000</v>
      </c>
      <c r="F1511" s="95" t="n">
        <v>19947</v>
      </c>
      <c r="G1511" s="34" t="n">
        <v>3.48</v>
      </c>
      <c r="H1511" s="34" t="n">
        <v>21</v>
      </c>
      <c r="J1511" s="95" t="n">
        <f aca="false">IF(N(E1511)&gt;0,E1511,IF(N(F1511)&gt;0,F1511*가정!$B$5,0))</f>
        <v>79000</v>
      </c>
      <c r="K1511" s="95" t="n">
        <f aca="false">IF(N(F1511)&gt;0,F1511,IF(N(E1511)&gt;0,E1511/가정!$B$5,0))</f>
        <v>19947</v>
      </c>
      <c r="L1511" s="95" t="n">
        <f aca="false">IF(B1511="CN",IF(N(I1511)&gt;0,I1511*가정!$B$3,K1511*(1+가정!$B$6)),IF(N(H1511)&gt;0,H1511*가정!$B$3,J1511*가정!$B$4))</f>
        <v>28618.38</v>
      </c>
      <c r="M1511" s="95" t="n">
        <f aca="false">D1511*J1511</f>
        <v>9638000</v>
      </c>
      <c r="N1511" s="95" t="n">
        <f aca="false">D1511*K1511</f>
        <v>2433534</v>
      </c>
      <c r="O1511" s="95" t="n">
        <f aca="false">D1511*L1511</f>
        <v>3491442.36</v>
      </c>
      <c r="P1511" s="34" t="str">
        <f aca="false">TRIM(IF(N(E1511)&lt;=0,"택가보정 ","")&amp;IF(N(F1511)&lt;=0,"원가보정 ","")&amp;IF(AND(B1511&lt;&gt;"CN",N(H1511)&lt;=0),"공급가보정 ","")&amp;IF(AND(B1511="CN",N(I1511)&lt;=0),"중국공급가=원가+마진 ",""))</f>
        <v/>
      </c>
    </row>
    <row r="1512" customFormat="false" ht="15" hidden="false" customHeight="true" outlineLevel="0" collapsed="false">
      <c r="A1512" s="94" t="s">
        <v>1684</v>
      </c>
      <c r="B1512" s="34" t="str">
        <f aca="false">IF(A1512="100","HK",IF(A1512="200","CN",IF(A1512="300","TW","홀세일")))</f>
        <v>HK</v>
      </c>
      <c r="C1512" s="94" t="s">
        <v>694</v>
      </c>
      <c r="D1512" s="95" t="n">
        <v>280</v>
      </c>
      <c r="E1512" s="95" t="n">
        <v>21000</v>
      </c>
      <c r="F1512" s="95" t="n">
        <v>4105</v>
      </c>
      <c r="G1512" s="34" t="n">
        <v>4.66</v>
      </c>
      <c r="H1512" s="34" t="n">
        <v>5.6</v>
      </c>
      <c r="J1512" s="95" t="n">
        <f aca="false">IF(N(E1512)&gt;0,E1512,IF(N(F1512)&gt;0,F1512*가정!$B$5,0))</f>
        <v>21000</v>
      </c>
      <c r="K1512" s="95" t="n">
        <f aca="false">IF(N(F1512)&gt;0,F1512,IF(N(E1512)&gt;0,E1512/가정!$B$5,0))</f>
        <v>4105</v>
      </c>
      <c r="L1512" s="95" t="n">
        <f aca="false">IF(B1512="CN",IF(N(I1512)&gt;0,I1512*가정!$B$3,K1512*(1+가정!$B$6)),IF(N(H1512)&gt;0,H1512*가정!$B$3,J1512*가정!$B$4))</f>
        <v>7631.568</v>
      </c>
      <c r="M1512" s="95" t="n">
        <f aca="false">D1512*J1512</f>
        <v>5880000</v>
      </c>
      <c r="N1512" s="95" t="n">
        <f aca="false">D1512*K1512</f>
        <v>1149400</v>
      </c>
      <c r="O1512" s="95" t="n">
        <f aca="false">D1512*L1512</f>
        <v>2136839.04</v>
      </c>
      <c r="P1512" s="34" t="str">
        <f aca="false">TRIM(IF(N(E1512)&lt;=0,"택가보정 ","")&amp;IF(N(F1512)&lt;=0,"원가보정 ","")&amp;IF(AND(B1512&lt;&gt;"CN",N(H1512)&lt;=0),"공급가보정 ","")&amp;IF(AND(B1512="CN",N(I1512)&lt;=0),"중국공급가=원가+마진 ",""))</f>
        <v/>
      </c>
    </row>
    <row r="1513" customFormat="false" ht="15" hidden="false" customHeight="true" outlineLevel="0" collapsed="false">
      <c r="A1513" s="94" t="s">
        <v>1686</v>
      </c>
      <c r="B1513" s="34" t="str">
        <f aca="false">IF(A1513="100","HK",IF(A1513="200","CN",IF(A1513="300","TW","홀세일")))</f>
        <v>TW</v>
      </c>
      <c r="C1513" s="94" t="s">
        <v>694</v>
      </c>
      <c r="D1513" s="95" t="n">
        <v>700</v>
      </c>
      <c r="E1513" s="95" t="n">
        <v>21000</v>
      </c>
      <c r="F1513" s="95" t="n">
        <v>4105</v>
      </c>
      <c r="G1513" s="34" t="n">
        <v>4.66</v>
      </c>
      <c r="H1513" s="34" t="n">
        <v>5.6</v>
      </c>
      <c r="J1513" s="95" t="n">
        <f aca="false">IF(N(E1513)&gt;0,E1513,IF(N(F1513)&gt;0,F1513*가정!$B$5,0))</f>
        <v>21000</v>
      </c>
      <c r="K1513" s="95" t="n">
        <f aca="false">IF(N(F1513)&gt;0,F1513,IF(N(E1513)&gt;0,E1513/가정!$B$5,0))</f>
        <v>4105</v>
      </c>
      <c r="L1513" s="95" t="n">
        <f aca="false">IF(B1513="CN",IF(N(I1513)&gt;0,I1513*가정!$B$3,K1513*(1+가정!$B$6)),IF(N(H1513)&gt;0,H1513*가정!$B$3,J1513*가정!$B$4))</f>
        <v>7631.568</v>
      </c>
      <c r="M1513" s="95" t="n">
        <f aca="false">D1513*J1513</f>
        <v>14700000</v>
      </c>
      <c r="N1513" s="95" t="n">
        <f aca="false">D1513*K1513</f>
        <v>2873500</v>
      </c>
      <c r="O1513" s="95" t="n">
        <f aca="false">D1513*L1513</f>
        <v>5342097.6</v>
      </c>
      <c r="P1513" s="34" t="str">
        <f aca="false">TRIM(IF(N(E1513)&lt;=0,"택가보정 ","")&amp;IF(N(F1513)&lt;=0,"원가보정 ","")&amp;IF(AND(B1513&lt;&gt;"CN",N(H1513)&lt;=0),"공급가보정 ","")&amp;IF(AND(B1513="CN",N(I1513)&lt;=0),"중국공급가=원가+마진 ",""))</f>
        <v/>
      </c>
    </row>
    <row r="1514" customFormat="false" ht="15" hidden="false" customHeight="true" outlineLevel="0" collapsed="false">
      <c r="A1514" s="94" t="s">
        <v>1687</v>
      </c>
      <c r="B1514" s="34" t="str">
        <f aca="false">IF(A1514="100","HK",IF(A1514="200","CN",IF(A1514="300","TW","홀세일")))</f>
        <v>홀세일</v>
      </c>
      <c r="C1514" s="94" t="s">
        <v>694</v>
      </c>
      <c r="D1514" s="95" t="n">
        <v>60</v>
      </c>
      <c r="E1514" s="95" t="n">
        <v>21000</v>
      </c>
      <c r="F1514" s="95" t="n">
        <v>4105</v>
      </c>
      <c r="G1514" s="34" t="n">
        <v>4.66</v>
      </c>
      <c r="H1514" s="34" t="n">
        <v>5.6</v>
      </c>
      <c r="J1514" s="95" t="n">
        <f aca="false">IF(N(E1514)&gt;0,E1514,IF(N(F1514)&gt;0,F1514*가정!$B$5,0))</f>
        <v>21000</v>
      </c>
      <c r="K1514" s="95" t="n">
        <f aca="false">IF(N(F1514)&gt;0,F1514,IF(N(E1514)&gt;0,E1514/가정!$B$5,0))</f>
        <v>4105</v>
      </c>
      <c r="L1514" s="95" t="n">
        <f aca="false">IF(B1514="CN",IF(N(I1514)&gt;0,I1514*가정!$B$3,K1514*(1+가정!$B$6)),IF(N(H1514)&gt;0,H1514*가정!$B$3,J1514*가정!$B$4))</f>
        <v>7631.568</v>
      </c>
      <c r="M1514" s="95" t="n">
        <f aca="false">D1514*J1514</f>
        <v>1260000</v>
      </c>
      <c r="N1514" s="95" t="n">
        <f aca="false">D1514*K1514</f>
        <v>246300</v>
      </c>
      <c r="O1514" s="95" t="n">
        <f aca="false">D1514*L1514</f>
        <v>457894.08</v>
      </c>
      <c r="P1514" s="34" t="str">
        <f aca="false">TRIM(IF(N(E1514)&lt;=0,"택가보정 ","")&amp;IF(N(F1514)&lt;=0,"원가보정 ","")&amp;IF(AND(B1514&lt;&gt;"CN",N(H1514)&lt;=0),"공급가보정 ","")&amp;IF(AND(B1514="CN",N(I1514)&lt;=0),"중국공급가=원가+마진 ",""))</f>
        <v/>
      </c>
    </row>
    <row r="1515" customFormat="false" ht="15" hidden="false" customHeight="true" outlineLevel="0" collapsed="false">
      <c r="A1515" s="94" t="s">
        <v>1688</v>
      </c>
      <c r="B1515" s="34" t="str">
        <f aca="false">IF(A1515="100","HK",IF(A1515="200","CN",IF(A1515="300","TW","홀세일")))</f>
        <v>홀세일</v>
      </c>
      <c r="C1515" s="94" t="s">
        <v>694</v>
      </c>
      <c r="D1515" s="95" t="n">
        <v>100</v>
      </c>
      <c r="E1515" s="95" t="n">
        <v>21000</v>
      </c>
      <c r="F1515" s="95" t="n">
        <v>4105</v>
      </c>
      <c r="G1515" s="34" t="n">
        <v>4.66</v>
      </c>
      <c r="H1515" s="34" t="n">
        <v>5.6</v>
      </c>
      <c r="J1515" s="95" t="n">
        <f aca="false">IF(N(E1515)&gt;0,E1515,IF(N(F1515)&gt;0,F1515*가정!$B$5,0))</f>
        <v>21000</v>
      </c>
      <c r="K1515" s="95" t="n">
        <f aca="false">IF(N(F1515)&gt;0,F1515,IF(N(E1515)&gt;0,E1515/가정!$B$5,0))</f>
        <v>4105</v>
      </c>
      <c r="L1515" s="95" t="n">
        <f aca="false">IF(B1515="CN",IF(N(I1515)&gt;0,I1515*가정!$B$3,K1515*(1+가정!$B$6)),IF(N(H1515)&gt;0,H1515*가정!$B$3,J1515*가정!$B$4))</f>
        <v>7631.568</v>
      </c>
      <c r="M1515" s="95" t="n">
        <f aca="false">D1515*J1515</f>
        <v>2100000</v>
      </c>
      <c r="N1515" s="95" t="n">
        <f aca="false">D1515*K1515</f>
        <v>410500</v>
      </c>
      <c r="O1515" s="95" t="n">
        <f aca="false">D1515*L1515</f>
        <v>763156.8</v>
      </c>
      <c r="P1515" s="34" t="str">
        <f aca="false">TRIM(IF(N(E1515)&lt;=0,"택가보정 ","")&amp;IF(N(F1515)&lt;=0,"원가보정 ","")&amp;IF(AND(B1515&lt;&gt;"CN",N(H1515)&lt;=0),"공급가보정 ","")&amp;IF(AND(B1515="CN",N(I1515)&lt;=0),"중국공급가=원가+마진 ",""))</f>
        <v/>
      </c>
    </row>
    <row r="1516" customFormat="false" ht="15" hidden="false" customHeight="true" outlineLevel="0" collapsed="false">
      <c r="A1516" s="94" t="s">
        <v>1692</v>
      </c>
      <c r="B1516" s="34" t="str">
        <f aca="false">IF(A1516="100","HK",IF(A1516="200","CN",IF(A1516="300","TW","홀세일")))</f>
        <v>홀세일</v>
      </c>
      <c r="C1516" s="94" t="s">
        <v>694</v>
      </c>
      <c r="D1516" s="95" t="n">
        <v>122</v>
      </c>
      <c r="E1516" s="95" t="n">
        <v>21000</v>
      </c>
      <c r="F1516" s="95" t="n">
        <v>4105</v>
      </c>
      <c r="G1516" s="34" t="n">
        <v>4.66</v>
      </c>
      <c r="H1516" s="34" t="n">
        <v>5.6</v>
      </c>
      <c r="J1516" s="95" t="n">
        <f aca="false">IF(N(E1516)&gt;0,E1516,IF(N(F1516)&gt;0,F1516*가정!$B$5,0))</f>
        <v>21000</v>
      </c>
      <c r="K1516" s="95" t="n">
        <f aca="false">IF(N(F1516)&gt;0,F1516,IF(N(E1516)&gt;0,E1516/가정!$B$5,0))</f>
        <v>4105</v>
      </c>
      <c r="L1516" s="95" t="n">
        <f aca="false">IF(B1516="CN",IF(N(I1516)&gt;0,I1516*가정!$B$3,K1516*(1+가정!$B$6)),IF(N(H1516)&gt;0,H1516*가정!$B$3,J1516*가정!$B$4))</f>
        <v>7631.568</v>
      </c>
      <c r="M1516" s="95" t="n">
        <f aca="false">D1516*J1516</f>
        <v>2562000</v>
      </c>
      <c r="N1516" s="95" t="n">
        <f aca="false">D1516*K1516</f>
        <v>500810</v>
      </c>
      <c r="O1516" s="95" t="n">
        <f aca="false">D1516*L1516</f>
        <v>931051.296</v>
      </c>
      <c r="P1516" s="34" t="str">
        <f aca="false">TRIM(IF(N(E1516)&lt;=0,"택가보정 ","")&amp;IF(N(F1516)&lt;=0,"원가보정 ","")&amp;IF(AND(B1516&lt;&gt;"CN",N(H1516)&lt;=0),"공급가보정 ","")&amp;IF(AND(B1516="CN",N(I1516)&lt;=0),"중국공급가=원가+마진 ",""))</f>
        <v/>
      </c>
    </row>
    <row r="1517" customFormat="false" ht="15" hidden="false" customHeight="true" outlineLevel="0" collapsed="false">
      <c r="A1517" s="94" t="s">
        <v>1689</v>
      </c>
      <c r="B1517" s="34" t="str">
        <f aca="false">IF(A1517="100","HK",IF(A1517="200","CN",IF(A1517="300","TW","홀세일")))</f>
        <v>홀세일</v>
      </c>
      <c r="C1517" s="94" t="s">
        <v>694</v>
      </c>
      <c r="D1517" s="95" t="n">
        <v>80</v>
      </c>
      <c r="E1517" s="95" t="n">
        <v>21000</v>
      </c>
      <c r="F1517" s="95" t="n">
        <v>4105</v>
      </c>
      <c r="G1517" s="34" t="n">
        <v>4.66</v>
      </c>
      <c r="H1517" s="34" t="n">
        <v>5.6</v>
      </c>
      <c r="J1517" s="95" t="n">
        <f aca="false">IF(N(E1517)&gt;0,E1517,IF(N(F1517)&gt;0,F1517*가정!$B$5,0))</f>
        <v>21000</v>
      </c>
      <c r="K1517" s="95" t="n">
        <f aca="false">IF(N(F1517)&gt;0,F1517,IF(N(E1517)&gt;0,E1517/가정!$B$5,0))</f>
        <v>4105</v>
      </c>
      <c r="L1517" s="95" t="n">
        <f aca="false">IF(B1517="CN",IF(N(I1517)&gt;0,I1517*가정!$B$3,K1517*(1+가정!$B$6)),IF(N(H1517)&gt;0,H1517*가정!$B$3,J1517*가정!$B$4))</f>
        <v>7631.568</v>
      </c>
      <c r="M1517" s="95" t="n">
        <f aca="false">D1517*J1517</f>
        <v>1680000</v>
      </c>
      <c r="N1517" s="95" t="n">
        <f aca="false">D1517*K1517</f>
        <v>328400</v>
      </c>
      <c r="O1517" s="95" t="n">
        <f aca="false">D1517*L1517</f>
        <v>610525.44</v>
      </c>
      <c r="P1517" s="34" t="str">
        <f aca="false">TRIM(IF(N(E1517)&lt;=0,"택가보정 ","")&amp;IF(N(F1517)&lt;=0,"원가보정 ","")&amp;IF(AND(B1517&lt;&gt;"CN",N(H1517)&lt;=0),"공급가보정 ","")&amp;IF(AND(B1517="CN",N(I1517)&lt;=0),"중국공급가=원가+마진 ",""))</f>
        <v/>
      </c>
    </row>
    <row r="1518" customFormat="false" ht="15" hidden="false" customHeight="true" outlineLevel="0" collapsed="false">
      <c r="A1518" s="94" t="s">
        <v>1691</v>
      </c>
      <c r="B1518" s="34" t="str">
        <f aca="false">IF(A1518="100","HK",IF(A1518="200","CN",IF(A1518="300","TW","홀세일")))</f>
        <v>홀세일</v>
      </c>
      <c r="C1518" s="94" t="s">
        <v>694</v>
      </c>
      <c r="D1518" s="95" t="n">
        <v>200</v>
      </c>
      <c r="E1518" s="95" t="n">
        <v>21000</v>
      </c>
      <c r="F1518" s="95" t="n">
        <v>4105</v>
      </c>
      <c r="G1518" s="34" t="n">
        <v>4.66</v>
      </c>
      <c r="H1518" s="34" t="n">
        <v>5.6</v>
      </c>
      <c r="J1518" s="95" t="n">
        <f aca="false">IF(N(E1518)&gt;0,E1518,IF(N(F1518)&gt;0,F1518*가정!$B$5,0))</f>
        <v>21000</v>
      </c>
      <c r="K1518" s="95" t="n">
        <f aca="false">IF(N(F1518)&gt;0,F1518,IF(N(E1518)&gt;0,E1518/가정!$B$5,0))</f>
        <v>4105</v>
      </c>
      <c r="L1518" s="95" t="n">
        <f aca="false">IF(B1518="CN",IF(N(I1518)&gt;0,I1518*가정!$B$3,K1518*(1+가정!$B$6)),IF(N(H1518)&gt;0,H1518*가정!$B$3,J1518*가정!$B$4))</f>
        <v>7631.568</v>
      </c>
      <c r="M1518" s="95" t="n">
        <f aca="false">D1518*J1518</f>
        <v>4200000</v>
      </c>
      <c r="N1518" s="95" t="n">
        <f aca="false">D1518*K1518</f>
        <v>821000</v>
      </c>
      <c r="O1518" s="95" t="n">
        <f aca="false">D1518*L1518</f>
        <v>1526313.6</v>
      </c>
      <c r="P1518" s="34" t="str">
        <f aca="false">TRIM(IF(N(E1518)&lt;=0,"택가보정 ","")&amp;IF(N(F1518)&lt;=0,"원가보정 ","")&amp;IF(AND(B1518&lt;&gt;"CN",N(H1518)&lt;=0),"공급가보정 ","")&amp;IF(AND(B1518="CN",N(I1518)&lt;=0),"중국공급가=원가+마진 ",""))</f>
        <v/>
      </c>
    </row>
    <row r="1519" customFormat="false" ht="15" hidden="false" customHeight="true" outlineLevel="0" collapsed="false">
      <c r="A1519" s="94" t="s">
        <v>1684</v>
      </c>
      <c r="B1519" s="34" t="str">
        <f aca="false">IF(A1519="100","HK",IF(A1519="200","CN",IF(A1519="300","TW","홀세일")))</f>
        <v>HK</v>
      </c>
      <c r="C1519" s="94" t="s">
        <v>696</v>
      </c>
      <c r="D1519" s="95" t="n">
        <v>280</v>
      </c>
      <c r="E1519" s="95" t="n">
        <v>19000</v>
      </c>
      <c r="F1519" s="95" t="n">
        <v>3510</v>
      </c>
      <c r="G1519" s="34" t="n">
        <v>4.94</v>
      </c>
      <c r="H1519" s="34" t="n">
        <v>5.1</v>
      </c>
      <c r="J1519" s="95" t="n">
        <f aca="false">IF(N(E1519)&gt;0,E1519,IF(N(F1519)&gt;0,F1519*가정!$B$5,0))</f>
        <v>19000</v>
      </c>
      <c r="K1519" s="95" t="n">
        <f aca="false">IF(N(F1519)&gt;0,F1519,IF(N(E1519)&gt;0,E1519/가정!$B$5,0))</f>
        <v>3510</v>
      </c>
      <c r="L1519" s="95" t="n">
        <f aca="false">IF(B1519="CN",IF(N(I1519)&gt;0,I1519*가정!$B$3,K1519*(1+가정!$B$6)),IF(N(H1519)&gt;0,H1519*가정!$B$3,J1519*가정!$B$4))</f>
        <v>6950.178</v>
      </c>
      <c r="M1519" s="95" t="n">
        <f aca="false">D1519*J1519</f>
        <v>5320000</v>
      </c>
      <c r="N1519" s="95" t="n">
        <f aca="false">D1519*K1519</f>
        <v>982800</v>
      </c>
      <c r="O1519" s="95" t="n">
        <f aca="false">D1519*L1519</f>
        <v>1946049.84</v>
      </c>
      <c r="P1519" s="34" t="str">
        <f aca="false">TRIM(IF(N(E1519)&lt;=0,"택가보정 ","")&amp;IF(N(F1519)&lt;=0,"원가보정 ","")&amp;IF(AND(B1519&lt;&gt;"CN",N(H1519)&lt;=0),"공급가보정 ","")&amp;IF(AND(B1519="CN",N(I1519)&lt;=0),"중국공급가=원가+마진 ",""))</f>
        <v/>
      </c>
    </row>
    <row r="1520" customFormat="false" ht="15.75" hidden="false" customHeight="true" outlineLevel="0" collapsed="false">
      <c r="A1520" s="94" t="s">
        <v>1685</v>
      </c>
      <c r="B1520" s="34" t="str">
        <f aca="false">IF(A1520="100","HK",IF(A1520="200","CN",IF(A1520="300","TW","홀세일")))</f>
        <v>CN</v>
      </c>
      <c r="C1520" s="94" t="s">
        <v>696</v>
      </c>
      <c r="D1520" s="95" t="n">
        <v>151</v>
      </c>
      <c r="E1520" s="95" t="n">
        <v>19000</v>
      </c>
      <c r="F1520" s="95" t="n">
        <v>3510</v>
      </c>
      <c r="G1520" s="34" t="n">
        <v>4.94</v>
      </c>
      <c r="H1520" s="34" t="n">
        <v>5.1</v>
      </c>
      <c r="J1520" s="95" t="n">
        <f aca="false">IF(N(E1520)&gt;0,E1520,IF(N(F1520)&gt;0,F1520*가정!$B$5,0))</f>
        <v>19000</v>
      </c>
      <c r="K1520" s="95" t="n">
        <f aca="false">IF(N(F1520)&gt;0,F1520,IF(N(E1520)&gt;0,E1520/가정!$B$5,0))</f>
        <v>3510</v>
      </c>
      <c r="L1520" s="95" t="n">
        <f aca="false">IF(B1520="CN",IF(N(I1520)&gt;0,I1520*가정!$B$3,K1520*(1+가정!$B$6)),IF(N(H1520)&gt;0,H1520*가정!$B$3,J1520*가정!$B$4))</f>
        <v>3685.5</v>
      </c>
      <c r="M1520" s="95" t="n">
        <f aca="false">D1520*J1520</f>
        <v>2869000</v>
      </c>
      <c r="N1520" s="95" t="n">
        <f aca="false">D1520*K1520</f>
        <v>530010</v>
      </c>
      <c r="O1520" s="95" t="n">
        <f aca="false">D1520*L1520</f>
        <v>556510.5</v>
      </c>
      <c r="P1520" s="34" t="str">
        <f aca="false">TRIM(IF(N(E1520)&lt;=0,"택가보정 ","")&amp;IF(N(F1520)&lt;=0,"원가보정 ","")&amp;IF(AND(B1520&lt;&gt;"CN",N(H1520)&lt;=0),"공급가보정 ","")&amp;IF(AND(B1520="CN",N(I1520)&lt;=0),"중국공급가=원가+마진 ",""))</f>
        <v>중국공급가=원가+마진</v>
      </c>
    </row>
    <row r="1521" customFormat="false" ht="15" hidden="false" customHeight="true" outlineLevel="0" collapsed="false">
      <c r="A1521" s="94" t="s">
        <v>1686</v>
      </c>
      <c r="B1521" s="34" t="str">
        <f aca="false">IF(A1521="100","HK",IF(A1521="200","CN",IF(A1521="300","TW","홀세일")))</f>
        <v>TW</v>
      </c>
      <c r="C1521" s="94" t="s">
        <v>696</v>
      </c>
      <c r="D1521" s="95" t="n">
        <v>400</v>
      </c>
      <c r="E1521" s="95" t="n">
        <v>19000</v>
      </c>
      <c r="F1521" s="95" t="n">
        <v>3510</v>
      </c>
      <c r="G1521" s="34" t="n">
        <v>4.94</v>
      </c>
      <c r="H1521" s="34" t="n">
        <v>5.1</v>
      </c>
      <c r="J1521" s="95" t="n">
        <f aca="false">IF(N(E1521)&gt;0,E1521,IF(N(F1521)&gt;0,F1521*가정!$B$5,0))</f>
        <v>19000</v>
      </c>
      <c r="K1521" s="95" t="n">
        <f aca="false">IF(N(F1521)&gt;0,F1521,IF(N(E1521)&gt;0,E1521/가정!$B$5,0))</f>
        <v>3510</v>
      </c>
      <c r="L1521" s="95" t="n">
        <f aca="false">IF(B1521="CN",IF(N(I1521)&gt;0,I1521*가정!$B$3,K1521*(1+가정!$B$6)),IF(N(H1521)&gt;0,H1521*가정!$B$3,J1521*가정!$B$4))</f>
        <v>6950.178</v>
      </c>
      <c r="M1521" s="95" t="n">
        <f aca="false">D1521*J1521</f>
        <v>7600000</v>
      </c>
      <c r="N1521" s="95" t="n">
        <f aca="false">D1521*K1521</f>
        <v>1404000</v>
      </c>
      <c r="O1521" s="95" t="n">
        <f aca="false">D1521*L1521</f>
        <v>2780071.2</v>
      </c>
      <c r="P1521" s="34" t="str">
        <f aca="false">TRIM(IF(N(E1521)&lt;=0,"택가보정 ","")&amp;IF(N(F1521)&lt;=0,"원가보정 ","")&amp;IF(AND(B1521&lt;&gt;"CN",N(H1521)&lt;=0),"공급가보정 ","")&amp;IF(AND(B1521="CN",N(I1521)&lt;=0),"중국공급가=원가+마진 ",""))</f>
        <v/>
      </c>
    </row>
    <row r="1522" customFormat="false" ht="15" hidden="false" customHeight="true" outlineLevel="0" collapsed="false">
      <c r="A1522" s="94" t="s">
        <v>1688</v>
      </c>
      <c r="B1522" s="34" t="str">
        <f aca="false">IF(A1522="100","HK",IF(A1522="200","CN",IF(A1522="300","TW","홀세일")))</f>
        <v>홀세일</v>
      </c>
      <c r="C1522" s="94" t="s">
        <v>696</v>
      </c>
      <c r="D1522" s="95" t="n">
        <v>50</v>
      </c>
      <c r="E1522" s="95" t="n">
        <v>19000</v>
      </c>
      <c r="F1522" s="95" t="n">
        <v>3510</v>
      </c>
      <c r="G1522" s="34" t="n">
        <v>4.94</v>
      </c>
      <c r="H1522" s="34" t="n">
        <v>5.1</v>
      </c>
      <c r="J1522" s="95" t="n">
        <f aca="false">IF(N(E1522)&gt;0,E1522,IF(N(F1522)&gt;0,F1522*가정!$B$5,0))</f>
        <v>19000</v>
      </c>
      <c r="K1522" s="95" t="n">
        <f aca="false">IF(N(F1522)&gt;0,F1522,IF(N(E1522)&gt;0,E1522/가정!$B$5,0))</f>
        <v>3510</v>
      </c>
      <c r="L1522" s="95" t="n">
        <f aca="false">IF(B1522="CN",IF(N(I1522)&gt;0,I1522*가정!$B$3,K1522*(1+가정!$B$6)),IF(N(H1522)&gt;0,H1522*가정!$B$3,J1522*가정!$B$4))</f>
        <v>6950.178</v>
      </c>
      <c r="M1522" s="95" t="n">
        <f aca="false">D1522*J1522</f>
        <v>950000</v>
      </c>
      <c r="N1522" s="95" t="n">
        <f aca="false">D1522*K1522</f>
        <v>175500</v>
      </c>
      <c r="O1522" s="95" t="n">
        <f aca="false">D1522*L1522</f>
        <v>347508.9</v>
      </c>
      <c r="P1522" s="34" t="str">
        <f aca="false">TRIM(IF(N(E1522)&lt;=0,"택가보정 ","")&amp;IF(N(F1522)&lt;=0,"원가보정 ","")&amp;IF(AND(B1522&lt;&gt;"CN",N(H1522)&lt;=0),"공급가보정 ","")&amp;IF(AND(B1522="CN",N(I1522)&lt;=0),"중국공급가=원가+마진 ",""))</f>
        <v/>
      </c>
    </row>
    <row r="1523" customFormat="false" ht="15" hidden="false" customHeight="true" outlineLevel="0" collapsed="false">
      <c r="A1523" s="94" t="s">
        <v>1689</v>
      </c>
      <c r="B1523" s="34" t="str">
        <f aca="false">IF(A1523="100","HK",IF(A1523="200","CN",IF(A1523="300","TW","홀세일")))</f>
        <v>홀세일</v>
      </c>
      <c r="C1523" s="94" t="s">
        <v>696</v>
      </c>
      <c r="D1523" s="95" t="n">
        <v>80</v>
      </c>
      <c r="E1523" s="95" t="n">
        <v>19000</v>
      </c>
      <c r="F1523" s="95" t="n">
        <v>3510</v>
      </c>
      <c r="G1523" s="34" t="n">
        <v>4.94</v>
      </c>
      <c r="H1523" s="34" t="n">
        <v>5.1</v>
      </c>
      <c r="J1523" s="95" t="n">
        <f aca="false">IF(N(E1523)&gt;0,E1523,IF(N(F1523)&gt;0,F1523*가정!$B$5,0))</f>
        <v>19000</v>
      </c>
      <c r="K1523" s="95" t="n">
        <f aca="false">IF(N(F1523)&gt;0,F1523,IF(N(E1523)&gt;0,E1523/가정!$B$5,0))</f>
        <v>3510</v>
      </c>
      <c r="L1523" s="95" t="n">
        <f aca="false">IF(B1523="CN",IF(N(I1523)&gt;0,I1523*가정!$B$3,K1523*(1+가정!$B$6)),IF(N(H1523)&gt;0,H1523*가정!$B$3,J1523*가정!$B$4))</f>
        <v>6950.178</v>
      </c>
      <c r="M1523" s="95" t="n">
        <f aca="false">D1523*J1523</f>
        <v>1520000</v>
      </c>
      <c r="N1523" s="95" t="n">
        <f aca="false">D1523*K1523</f>
        <v>280800</v>
      </c>
      <c r="O1523" s="95" t="n">
        <f aca="false">D1523*L1523</f>
        <v>556014.24</v>
      </c>
      <c r="P1523" s="34" t="str">
        <f aca="false">TRIM(IF(N(E1523)&lt;=0,"택가보정 ","")&amp;IF(N(F1523)&lt;=0,"원가보정 ","")&amp;IF(AND(B1523&lt;&gt;"CN",N(H1523)&lt;=0),"공급가보정 ","")&amp;IF(AND(B1523="CN",N(I1523)&lt;=0),"중국공급가=원가+마진 ",""))</f>
        <v/>
      </c>
    </row>
    <row r="1524" customFormat="false" ht="15" hidden="false" customHeight="true" outlineLevel="0" collapsed="false">
      <c r="A1524" s="94" t="s">
        <v>1684</v>
      </c>
      <c r="B1524" s="34" t="str">
        <f aca="false">IF(A1524="100","HK",IF(A1524="200","CN",IF(A1524="300","TW","홀세일")))</f>
        <v>HK</v>
      </c>
      <c r="C1524" s="94" t="s">
        <v>698</v>
      </c>
      <c r="D1524" s="95" t="n">
        <v>280</v>
      </c>
      <c r="E1524" s="95" t="n">
        <v>19900</v>
      </c>
      <c r="F1524" s="95" t="n">
        <v>3800</v>
      </c>
      <c r="G1524" s="34" t="n">
        <v>4.76</v>
      </c>
      <c r="H1524" s="34" t="n">
        <v>5.3</v>
      </c>
      <c r="J1524" s="95" t="n">
        <f aca="false">IF(N(E1524)&gt;0,E1524,IF(N(F1524)&gt;0,F1524*가정!$B$5,0))</f>
        <v>19900</v>
      </c>
      <c r="K1524" s="95" t="n">
        <f aca="false">IF(N(F1524)&gt;0,F1524,IF(N(E1524)&gt;0,E1524/가정!$B$5,0))</f>
        <v>3800</v>
      </c>
      <c r="L1524" s="95" t="n">
        <f aca="false">IF(B1524="CN",IF(N(I1524)&gt;0,I1524*가정!$B$3,K1524*(1+가정!$B$6)),IF(N(H1524)&gt;0,H1524*가정!$B$3,J1524*가정!$B$4))</f>
        <v>7222.734</v>
      </c>
      <c r="M1524" s="95" t="n">
        <f aca="false">D1524*J1524</f>
        <v>5572000</v>
      </c>
      <c r="N1524" s="95" t="n">
        <f aca="false">D1524*K1524</f>
        <v>1064000</v>
      </c>
      <c r="O1524" s="95" t="n">
        <f aca="false">D1524*L1524</f>
        <v>2022365.52</v>
      </c>
      <c r="P1524" s="34" t="str">
        <f aca="false">TRIM(IF(N(E1524)&lt;=0,"택가보정 ","")&amp;IF(N(F1524)&lt;=0,"원가보정 ","")&amp;IF(AND(B1524&lt;&gt;"CN",N(H1524)&lt;=0),"공급가보정 ","")&amp;IF(AND(B1524="CN",N(I1524)&lt;=0),"중국공급가=원가+마진 ",""))</f>
        <v/>
      </c>
    </row>
    <row r="1525" customFormat="false" ht="15.75" hidden="false" customHeight="true" outlineLevel="0" collapsed="false">
      <c r="A1525" s="94" t="s">
        <v>1685</v>
      </c>
      <c r="B1525" s="34" t="str">
        <f aca="false">IF(A1525="100","HK",IF(A1525="200","CN",IF(A1525="300","TW","홀세일")))</f>
        <v>CN</v>
      </c>
      <c r="C1525" s="94" t="s">
        <v>698</v>
      </c>
      <c r="D1525" s="95" t="n">
        <v>302</v>
      </c>
      <c r="E1525" s="95" t="n">
        <v>19900</v>
      </c>
      <c r="F1525" s="95" t="n">
        <v>3800</v>
      </c>
      <c r="G1525" s="34" t="n">
        <v>4.76</v>
      </c>
      <c r="H1525" s="34" t="n">
        <v>5.3</v>
      </c>
      <c r="J1525" s="95" t="n">
        <f aca="false">IF(N(E1525)&gt;0,E1525,IF(N(F1525)&gt;0,F1525*가정!$B$5,0))</f>
        <v>19900</v>
      </c>
      <c r="K1525" s="95" t="n">
        <f aca="false">IF(N(F1525)&gt;0,F1525,IF(N(E1525)&gt;0,E1525/가정!$B$5,0))</f>
        <v>3800</v>
      </c>
      <c r="L1525" s="95" t="n">
        <f aca="false">IF(B1525="CN",IF(N(I1525)&gt;0,I1525*가정!$B$3,K1525*(1+가정!$B$6)),IF(N(H1525)&gt;0,H1525*가정!$B$3,J1525*가정!$B$4))</f>
        <v>3990</v>
      </c>
      <c r="M1525" s="95" t="n">
        <f aca="false">D1525*J1525</f>
        <v>6009800</v>
      </c>
      <c r="N1525" s="95" t="n">
        <f aca="false">D1525*K1525</f>
        <v>1147600</v>
      </c>
      <c r="O1525" s="95" t="n">
        <f aca="false">D1525*L1525</f>
        <v>1204980</v>
      </c>
      <c r="P1525" s="34" t="str">
        <f aca="false">TRIM(IF(N(E1525)&lt;=0,"택가보정 ","")&amp;IF(N(F1525)&lt;=0,"원가보정 ","")&amp;IF(AND(B1525&lt;&gt;"CN",N(H1525)&lt;=0),"공급가보정 ","")&amp;IF(AND(B1525="CN",N(I1525)&lt;=0),"중국공급가=원가+마진 ",""))</f>
        <v>중국공급가=원가+마진</v>
      </c>
    </row>
    <row r="1526" customFormat="false" ht="15" hidden="false" customHeight="true" outlineLevel="0" collapsed="false">
      <c r="A1526" s="94" t="s">
        <v>1686</v>
      </c>
      <c r="B1526" s="34" t="str">
        <f aca="false">IF(A1526="100","HK",IF(A1526="200","CN",IF(A1526="300","TW","홀세일")))</f>
        <v>TW</v>
      </c>
      <c r="C1526" s="94" t="s">
        <v>698</v>
      </c>
      <c r="D1526" s="95" t="n">
        <v>600</v>
      </c>
      <c r="E1526" s="95" t="n">
        <v>19900</v>
      </c>
      <c r="F1526" s="95" t="n">
        <v>3800</v>
      </c>
      <c r="G1526" s="34" t="n">
        <v>4.76</v>
      </c>
      <c r="H1526" s="34" t="n">
        <v>5.3</v>
      </c>
      <c r="J1526" s="95" t="n">
        <f aca="false">IF(N(E1526)&gt;0,E1526,IF(N(F1526)&gt;0,F1526*가정!$B$5,0))</f>
        <v>19900</v>
      </c>
      <c r="K1526" s="95" t="n">
        <f aca="false">IF(N(F1526)&gt;0,F1526,IF(N(E1526)&gt;0,E1526/가정!$B$5,0))</f>
        <v>3800</v>
      </c>
      <c r="L1526" s="95" t="n">
        <f aca="false">IF(B1526="CN",IF(N(I1526)&gt;0,I1526*가정!$B$3,K1526*(1+가정!$B$6)),IF(N(H1526)&gt;0,H1526*가정!$B$3,J1526*가정!$B$4))</f>
        <v>7222.734</v>
      </c>
      <c r="M1526" s="95" t="n">
        <f aca="false">D1526*J1526</f>
        <v>11940000</v>
      </c>
      <c r="N1526" s="95" t="n">
        <f aca="false">D1526*K1526</f>
        <v>2280000</v>
      </c>
      <c r="O1526" s="95" t="n">
        <f aca="false">D1526*L1526</f>
        <v>4333640.4</v>
      </c>
      <c r="P1526" s="34" t="str">
        <f aca="false">TRIM(IF(N(E1526)&lt;=0,"택가보정 ","")&amp;IF(N(F1526)&lt;=0,"원가보정 ","")&amp;IF(AND(B1526&lt;&gt;"CN",N(H1526)&lt;=0),"공급가보정 ","")&amp;IF(AND(B1526="CN",N(I1526)&lt;=0),"중국공급가=원가+마진 ",""))</f>
        <v/>
      </c>
    </row>
    <row r="1527" customFormat="false" ht="15" hidden="false" customHeight="true" outlineLevel="0" collapsed="false">
      <c r="A1527" s="94" t="s">
        <v>1689</v>
      </c>
      <c r="B1527" s="34" t="str">
        <f aca="false">IF(A1527="100","HK",IF(A1527="200","CN",IF(A1527="300","TW","홀세일")))</f>
        <v>홀세일</v>
      </c>
      <c r="C1527" s="94" t="s">
        <v>698</v>
      </c>
      <c r="D1527" s="95" t="n">
        <v>40</v>
      </c>
      <c r="E1527" s="95" t="n">
        <v>19900</v>
      </c>
      <c r="F1527" s="95" t="n">
        <v>3800</v>
      </c>
      <c r="G1527" s="34" t="n">
        <v>4.76</v>
      </c>
      <c r="H1527" s="34" t="n">
        <v>5.3</v>
      </c>
      <c r="J1527" s="95" t="n">
        <f aca="false">IF(N(E1527)&gt;0,E1527,IF(N(F1527)&gt;0,F1527*가정!$B$5,0))</f>
        <v>19900</v>
      </c>
      <c r="K1527" s="95" t="n">
        <f aca="false">IF(N(F1527)&gt;0,F1527,IF(N(E1527)&gt;0,E1527/가정!$B$5,0))</f>
        <v>3800</v>
      </c>
      <c r="L1527" s="95" t="n">
        <f aca="false">IF(B1527="CN",IF(N(I1527)&gt;0,I1527*가정!$B$3,K1527*(1+가정!$B$6)),IF(N(H1527)&gt;0,H1527*가정!$B$3,J1527*가정!$B$4))</f>
        <v>7222.734</v>
      </c>
      <c r="M1527" s="95" t="n">
        <f aca="false">D1527*J1527</f>
        <v>796000</v>
      </c>
      <c r="N1527" s="95" t="n">
        <f aca="false">D1527*K1527</f>
        <v>152000</v>
      </c>
      <c r="O1527" s="95" t="n">
        <f aca="false">D1527*L1527</f>
        <v>288909.36</v>
      </c>
      <c r="P1527" s="34" t="str">
        <f aca="false">TRIM(IF(N(E1527)&lt;=0,"택가보정 ","")&amp;IF(N(F1527)&lt;=0,"원가보정 ","")&amp;IF(AND(B1527&lt;&gt;"CN",N(H1527)&lt;=0),"공급가보정 ","")&amp;IF(AND(B1527="CN",N(I1527)&lt;=0),"중국공급가=원가+마진 ",""))</f>
        <v/>
      </c>
    </row>
    <row r="1528" customFormat="false" ht="15" hidden="false" customHeight="true" outlineLevel="0" collapsed="false">
      <c r="A1528" s="94" t="s">
        <v>1684</v>
      </c>
      <c r="B1528" s="34" t="str">
        <f aca="false">IF(A1528="100","HK",IF(A1528="200","CN",IF(A1528="300","TW","홀세일")))</f>
        <v>HK</v>
      </c>
      <c r="C1528" s="94" t="s">
        <v>700</v>
      </c>
      <c r="D1528" s="95" t="n">
        <v>340</v>
      </c>
      <c r="E1528" s="95" t="n">
        <v>10900</v>
      </c>
      <c r="F1528" s="95" t="n">
        <v>2603</v>
      </c>
      <c r="G1528" s="34" t="n">
        <v>3.81</v>
      </c>
      <c r="H1528" s="34" t="n">
        <v>2.9</v>
      </c>
      <c r="J1528" s="95" t="n">
        <f aca="false">IF(N(E1528)&gt;0,E1528,IF(N(F1528)&gt;0,F1528*가정!$B$5,0))</f>
        <v>10900</v>
      </c>
      <c r="K1528" s="95" t="n">
        <f aca="false">IF(N(F1528)&gt;0,F1528,IF(N(E1528)&gt;0,E1528/가정!$B$5,0))</f>
        <v>2603</v>
      </c>
      <c r="L1528" s="95" t="n">
        <f aca="false">IF(B1528="CN",IF(N(I1528)&gt;0,I1528*가정!$B$3,K1528*(1+가정!$B$6)),IF(N(H1528)&gt;0,H1528*가정!$B$3,J1528*가정!$B$4))</f>
        <v>3952.062</v>
      </c>
      <c r="M1528" s="95" t="n">
        <f aca="false">D1528*J1528</f>
        <v>3706000</v>
      </c>
      <c r="N1528" s="95" t="n">
        <f aca="false">D1528*K1528</f>
        <v>885020</v>
      </c>
      <c r="O1528" s="95" t="n">
        <f aca="false">D1528*L1528</f>
        <v>1343701.08</v>
      </c>
      <c r="P1528" s="34" t="str">
        <f aca="false">TRIM(IF(N(E1528)&lt;=0,"택가보정 ","")&amp;IF(N(F1528)&lt;=0,"원가보정 ","")&amp;IF(AND(B1528&lt;&gt;"CN",N(H1528)&lt;=0),"공급가보정 ","")&amp;IF(AND(B1528="CN",N(I1528)&lt;=0),"중국공급가=원가+마진 ",""))</f>
        <v/>
      </c>
    </row>
    <row r="1529" customFormat="false" ht="15.75" hidden="false" customHeight="true" outlineLevel="0" collapsed="false">
      <c r="A1529" s="94" t="s">
        <v>1685</v>
      </c>
      <c r="B1529" s="34" t="str">
        <f aca="false">IF(A1529="100","HK",IF(A1529="200","CN",IF(A1529="300","TW","홀세일")))</f>
        <v>CN</v>
      </c>
      <c r="C1529" s="94" t="s">
        <v>700</v>
      </c>
      <c r="D1529" s="95" t="n">
        <v>393</v>
      </c>
      <c r="E1529" s="95" t="n">
        <v>10900</v>
      </c>
      <c r="F1529" s="95" t="n">
        <v>2603</v>
      </c>
      <c r="G1529" s="34" t="n">
        <v>3.81</v>
      </c>
      <c r="H1529" s="34" t="n">
        <v>2.9</v>
      </c>
      <c r="J1529" s="95" t="n">
        <f aca="false">IF(N(E1529)&gt;0,E1529,IF(N(F1529)&gt;0,F1529*가정!$B$5,0))</f>
        <v>10900</v>
      </c>
      <c r="K1529" s="95" t="n">
        <f aca="false">IF(N(F1529)&gt;0,F1529,IF(N(E1529)&gt;0,E1529/가정!$B$5,0))</f>
        <v>2603</v>
      </c>
      <c r="L1529" s="95" t="n">
        <f aca="false">IF(B1529="CN",IF(N(I1529)&gt;0,I1529*가정!$B$3,K1529*(1+가정!$B$6)),IF(N(H1529)&gt;0,H1529*가정!$B$3,J1529*가정!$B$4))</f>
        <v>2733.15</v>
      </c>
      <c r="M1529" s="95" t="n">
        <f aca="false">D1529*J1529</f>
        <v>4283700</v>
      </c>
      <c r="N1529" s="95" t="n">
        <f aca="false">D1529*K1529</f>
        <v>1022979</v>
      </c>
      <c r="O1529" s="95" t="n">
        <f aca="false">D1529*L1529</f>
        <v>1074127.95</v>
      </c>
      <c r="P1529" s="34" t="str">
        <f aca="false">TRIM(IF(N(E1529)&lt;=0,"택가보정 ","")&amp;IF(N(F1529)&lt;=0,"원가보정 ","")&amp;IF(AND(B1529&lt;&gt;"CN",N(H1529)&lt;=0),"공급가보정 ","")&amp;IF(AND(B1529="CN",N(I1529)&lt;=0),"중국공급가=원가+마진 ",""))</f>
        <v>중국공급가=원가+마진</v>
      </c>
    </row>
    <row r="1530" customFormat="false" ht="15" hidden="false" customHeight="true" outlineLevel="0" collapsed="false">
      <c r="A1530" s="94" t="s">
        <v>1686</v>
      </c>
      <c r="B1530" s="34" t="str">
        <f aca="false">IF(A1530="100","HK",IF(A1530="200","CN",IF(A1530="300","TW","홀세일")))</f>
        <v>TW</v>
      </c>
      <c r="C1530" s="94" t="s">
        <v>700</v>
      </c>
      <c r="D1530" s="95" t="n">
        <v>1000</v>
      </c>
      <c r="E1530" s="95" t="n">
        <v>10900</v>
      </c>
      <c r="F1530" s="95" t="n">
        <v>2603</v>
      </c>
      <c r="G1530" s="34" t="n">
        <v>3.81</v>
      </c>
      <c r="H1530" s="34" t="n">
        <v>2.9</v>
      </c>
      <c r="J1530" s="95" t="n">
        <f aca="false">IF(N(E1530)&gt;0,E1530,IF(N(F1530)&gt;0,F1530*가정!$B$5,0))</f>
        <v>10900</v>
      </c>
      <c r="K1530" s="95" t="n">
        <f aca="false">IF(N(F1530)&gt;0,F1530,IF(N(E1530)&gt;0,E1530/가정!$B$5,0))</f>
        <v>2603</v>
      </c>
      <c r="L1530" s="95" t="n">
        <f aca="false">IF(B1530="CN",IF(N(I1530)&gt;0,I1530*가정!$B$3,K1530*(1+가정!$B$6)),IF(N(H1530)&gt;0,H1530*가정!$B$3,J1530*가정!$B$4))</f>
        <v>3952.062</v>
      </c>
      <c r="M1530" s="95" t="n">
        <f aca="false">D1530*J1530</f>
        <v>10900000</v>
      </c>
      <c r="N1530" s="95" t="n">
        <f aca="false">D1530*K1530</f>
        <v>2603000</v>
      </c>
      <c r="O1530" s="95" t="n">
        <f aca="false">D1530*L1530</f>
        <v>3952062</v>
      </c>
      <c r="P1530" s="34" t="str">
        <f aca="false">TRIM(IF(N(E1530)&lt;=0,"택가보정 ","")&amp;IF(N(F1530)&lt;=0,"원가보정 ","")&amp;IF(AND(B1530&lt;&gt;"CN",N(H1530)&lt;=0),"공급가보정 ","")&amp;IF(AND(B1530="CN",N(I1530)&lt;=0),"중국공급가=원가+마진 ",""))</f>
        <v/>
      </c>
    </row>
    <row r="1531" customFormat="false" ht="15" hidden="false" customHeight="true" outlineLevel="0" collapsed="false">
      <c r="A1531" s="94" t="s">
        <v>1687</v>
      </c>
      <c r="B1531" s="34" t="str">
        <f aca="false">IF(A1531="100","HK",IF(A1531="200","CN",IF(A1531="300","TW","홀세일")))</f>
        <v>홀세일</v>
      </c>
      <c r="C1531" s="94" t="s">
        <v>700</v>
      </c>
      <c r="D1531" s="95" t="n">
        <v>60</v>
      </c>
      <c r="E1531" s="95" t="n">
        <v>10900</v>
      </c>
      <c r="F1531" s="95" t="n">
        <v>2603</v>
      </c>
      <c r="G1531" s="34" t="n">
        <v>3.81</v>
      </c>
      <c r="H1531" s="34" t="n">
        <v>2.9</v>
      </c>
      <c r="J1531" s="95" t="n">
        <f aca="false">IF(N(E1531)&gt;0,E1531,IF(N(F1531)&gt;0,F1531*가정!$B$5,0))</f>
        <v>10900</v>
      </c>
      <c r="K1531" s="95" t="n">
        <f aca="false">IF(N(F1531)&gt;0,F1531,IF(N(E1531)&gt;0,E1531/가정!$B$5,0))</f>
        <v>2603</v>
      </c>
      <c r="L1531" s="95" t="n">
        <f aca="false">IF(B1531="CN",IF(N(I1531)&gt;0,I1531*가정!$B$3,K1531*(1+가정!$B$6)),IF(N(H1531)&gt;0,H1531*가정!$B$3,J1531*가정!$B$4))</f>
        <v>3952.062</v>
      </c>
      <c r="M1531" s="95" t="n">
        <f aca="false">D1531*J1531</f>
        <v>654000</v>
      </c>
      <c r="N1531" s="95" t="n">
        <f aca="false">D1531*K1531</f>
        <v>156180</v>
      </c>
      <c r="O1531" s="95" t="n">
        <f aca="false">D1531*L1531</f>
        <v>237123.72</v>
      </c>
      <c r="P1531" s="34" t="str">
        <f aca="false">TRIM(IF(N(E1531)&lt;=0,"택가보정 ","")&amp;IF(N(F1531)&lt;=0,"원가보정 ","")&amp;IF(AND(B1531&lt;&gt;"CN",N(H1531)&lt;=0),"공급가보정 ","")&amp;IF(AND(B1531="CN",N(I1531)&lt;=0),"중국공급가=원가+마진 ",""))</f>
        <v/>
      </c>
    </row>
    <row r="1532" customFormat="false" ht="15" hidden="false" customHeight="true" outlineLevel="0" collapsed="false">
      <c r="A1532" s="94" t="s">
        <v>1688</v>
      </c>
      <c r="B1532" s="34" t="str">
        <f aca="false">IF(A1532="100","HK",IF(A1532="200","CN",IF(A1532="300","TW","홀세일")))</f>
        <v>홀세일</v>
      </c>
      <c r="C1532" s="94" t="s">
        <v>700</v>
      </c>
      <c r="D1532" s="95" t="n">
        <v>100</v>
      </c>
      <c r="E1532" s="95" t="n">
        <v>10900</v>
      </c>
      <c r="F1532" s="95" t="n">
        <v>2603</v>
      </c>
      <c r="G1532" s="34" t="n">
        <v>3.81</v>
      </c>
      <c r="H1532" s="34" t="n">
        <v>2.9</v>
      </c>
      <c r="J1532" s="95" t="n">
        <f aca="false">IF(N(E1532)&gt;0,E1532,IF(N(F1532)&gt;0,F1532*가정!$B$5,0))</f>
        <v>10900</v>
      </c>
      <c r="K1532" s="95" t="n">
        <f aca="false">IF(N(F1532)&gt;0,F1532,IF(N(E1532)&gt;0,E1532/가정!$B$5,0))</f>
        <v>2603</v>
      </c>
      <c r="L1532" s="95" t="n">
        <f aca="false">IF(B1532="CN",IF(N(I1532)&gt;0,I1532*가정!$B$3,K1532*(1+가정!$B$6)),IF(N(H1532)&gt;0,H1532*가정!$B$3,J1532*가정!$B$4))</f>
        <v>3952.062</v>
      </c>
      <c r="M1532" s="95" t="n">
        <f aca="false">D1532*J1532</f>
        <v>1090000</v>
      </c>
      <c r="N1532" s="95" t="n">
        <f aca="false">D1532*K1532</f>
        <v>260300</v>
      </c>
      <c r="O1532" s="95" t="n">
        <f aca="false">D1532*L1532</f>
        <v>395206.2</v>
      </c>
      <c r="P1532" s="34" t="str">
        <f aca="false">TRIM(IF(N(E1532)&lt;=0,"택가보정 ","")&amp;IF(N(F1532)&lt;=0,"원가보정 ","")&amp;IF(AND(B1532&lt;&gt;"CN",N(H1532)&lt;=0),"공급가보정 ","")&amp;IF(AND(B1532="CN",N(I1532)&lt;=0),"중국공급가=원가+마진 ",""))</f>
        <v/>
      </c>
    </row>
    <row r="1533" customFormat="false" ht="15" hidden="false" customHeight="true" outlineLevel="0" collapsed="false">
      <c r="A1533" s="94" t="s">
        <v>1689</v>
      </c>
      <c r="B1533" s="34" t="str">
        <f aca="false">IF(A1533="100","HK",IF(A1533="200","CN",IF(A1533="300","TW","홀세일")))</f>
        <v>홀세일</v>
      </c>
      <c r="C1533" s="94" t="s">
        <v>700</v>
      </c>
      <c r="D1533" s="95" t="n">
        <v>40</v>
      </c>
      <c r="E1533" s="95" t="n">
        <v>10900</v>
      </c>
      <c r="F1533" s="95" t="n">
        <v>2603</v>
      </c>
      <c r="G1533" s="34" t="n">
        <v>3.81</v>
      </c>
      <c r="H1533" s="34" t="n">
        <v>2.9</v>
      </c>
      <c r="J1533" s="95" t="n">
        <f aca="false">IF(N(E1533)&gt;0,E1533,IF(N(F1533)&gt;0,F1533*가정!$B$5,0))</f>
        <v>10900</v>
      </c>
      <c r="K1533" s="95" t="n">
        <f aca="false">IF(N(F1533)&gt;0,F1533,IF(N(E1533)&gt;0,E1533/가정!$B$5,0))</f>
        <v>2603</v>
      </c>
      <c r="L1533" s="95" t="n">
        <f aca="false">IF(B1533="CN",IF(N(I1533)&gt;0,I1533*가정!$B$3,K1533*(1+가정!$B$6)),IF(N(H1533)&gt;0,H1533*가정!$B$3,J1533*가정!$B$4))</f>
        <v>3952.062</v>
      </c>
      <c r="M1533" s="95" t="n">
        <f aca="false">D1533*J1533</f>
        <v>436000</v>
      </c>
      <c r="N1533" s="95" t="n">
        <f aca="false">D1533*K1533</f>
        <v>104120</v>
      </c>
      <c r="O1533" s="95" t="n">
        <f aca="false">D1533*L1533</f>
        <v>158082.48</v>
      </c>
      <c r="P1533" s="34" t="str">
        <f aca="false">TRIM(IF(N(E1533)&lt;=0,"택가보정 ","")&amp;IF(N(F1533)&lt;=0,"원가보정 ","")&amp;IF(AND(B1533&lt;&gt;"CN",N(H1533)&lt;=0),"공급가보정 ","")&amp;IF(AND(B1533="CN",N(I1533)&lt;=0),"중국공급가=원가+마진 ",""))</f>
        <v/>
      </c>
    </row>
    <row r="1534" customFormat="false" ht="15" hidden="false" customHeight="true" outlineLevel="0" collapsed="false">
      <c r="A1534" s="94" t="s">
        <v>1684</v>
      </c>
      <c r="B1534" s="34" t="str">
        <f aca="false">IF(A1534="100","HK",IF(A1534="200","CN",IF(A1534="300","TW","홀세일")))</f>
        <v>HK</v>
      </c>
      <c r="C1534" s="94" t="s">
        <v>702</v>
      </c>
      <c r="D1534" s="95" t="n">
        <v>170</v>
      </c>
      <c r="E1534" s="95" t="n">
        <v>10900</v>
      </c>
      <c r="F1534" s="95" t="n">
        <v>2200</v>
      </c>
      <c r="G1534" s="34" t="n">
        <v>4.5</v>
      </c>
      <c r="H1534" s="34" t="n">
        <v>2.9</v>
      </c>
      <c r="J1534" s="95" t="n">
        <f aca="false">IF(N(E1534)&gt;0,E1534,IF(N(F1534)&gt;0,F1534*가정!$B$5,0))</f>
        <v>10900</v>
      </c>
      <c r="K1534" s="95" t="n">
        <f aca="false">IF(N(F1534)&gt;0,F1534,IF(N(E1534)&gt;0,E1534/가정!$B$5,0))</f>
        <v>2200</v>
      </c>
      <c r="L1534" s="95" t="n">
        <f aca="false">IF(B1534="CN",IF(N(I1534)&gt;0,I1534*가정!$B$3,K1534*(1+가정!$B$6)),IF(N(H1534)&gt;0,H1534*가정!$B$3,J1534*가정!$B$4))</f>
        <v>3952.062</v>
      </c>
      <c r="M1534" s="95" t="n">
        <f aca="false">D1534*J1534</f>
        <v>1853000</v>
      </c>
      <c r="N1534" s="95" t="n">
        <f aca="false">D1534*K1534</f>
        <v>374000</v>
      </c>
      <c r="O1534" s="95" t="n">
        <f aca="false">D1534*L1534</f>
        <v>671850.54</v>
      </c>
      <c r="P1534" s="34" t="str">
        <f aca="false">TRIM(IF(N(E1534)&lt;=0,"택가보정 ","")&amp;IF(N(F1534)&lt;=0,"원가보정 ","")&amp;IF(AND(B1534&lt;&gt;"CN",N(H1534)&lt;=0),"공급가보정 ","")&amp;IF(AND(B1534="CN",N(I1534)&lt;=0),"중국공급가=원가+마진 ",""))</f>
        <v/>
      </c>
    </row>
    <row r="1535" customFormat="false" ht="15" hidden="false" customHeight="true" outlineLevel="0" collapsed="false">
      <c r="A1535" s="94" t="s">
        <v>1686</v>
      </c>
      <c r="B1535" s="34" t="str">
        <f aca="false">IF(A1535="100","HK",IF(A1535="200","CN",IF(A1535="300","TW","홀세일")))</f>
        <v>TW</v>
      </c>
      <c r="C1535" s="94" t="s">
        <v>702</v>
      </c>
      <c r="D1535" s="95" t="n">
        <v>500</v>
      </c>
      <c r="E1535" s="95" t="n">
        <v>10900</v>
      </c>
      <c r="F1535" s="95" t="n">
        <v>2200</v>
      </c>
      <c r="G1535" s="34" t="n">
        <v>4.5</v>
      </c>
      <c r="H1535" s="34" t="n">
        <v>2.9</v>
      </c>
      <c r="J1535" s="95" t="n">
        <f aca="false">IF(N(E1535)&gt;0,E1535,IF(N(F1535)&gt;0,F1535*가정!$B$5,0))</f>
        <v>10900</v>
      </c>
      <c r="K1535" s="95" t="n">
        <f aca="false">IF(N(F1535)&gt;0,F1535,IF(N(E1535)&gt;0,E1535/가정!$B$5,0))</f>
        <v>2200</v>
      </c>
      <c r="L1535" s="95" t="n">
        <f aca="false">IF(B1535="CN",IF(N(I1535)&gt;0,I1535*가정!$B$3,K1535*(1+가정!$B$6)),IF(N(H1535)&gt;0,H1535*가정!$B$3,J1535*가정!$B$4))</f>
        <v>3952.062</v>
      </c>
      <c r="M1535" s="95" t="n">
        <f aca="false">D1535*J1535</f>
        <v>5450000</v>
      </c>
      <c r="N1535" s="95" t="n">
        <f aca="false">D1535*K1535</f>
        <v>1100000</v>
      </c>
      <c r="O1535" s="95" t="n">
        <f aca="false">D1535*L1535</f>
        <v>1976031</v>
      </c>
      <c r="P1535" s="34" t="str">
        <f aca="false">TRIM(IF(N(E1535)&lt;=0,"택가보정 ","")&amp;IF(N(F1535)&lt;=0,"원가보정 ","")&amp;IF(AND(B1535&lt;&gt;"CN",N(H1535)&lt;=0),"공급가보정 ","")&amp;IF(AND(B1535="CN",N(I1535)&lt;=0),"중국공급가=원가+마진 ",""))</f>
        <v/>
      </c>
    </row>
    <row r="1536" customFormat="false" ht="15" hidden="false" customHeight="true" outlineLevel="0" collapsed="false">
      <c r="A1536" s="94" t="s">
        <v>1689</v>
      </c>
      <c r="B1536" s="34" t="str">
        <f aca="false">IF(A1536="100","HK",IF(A1536="200","CN",IF(A1536="300","TW","홀세일")))</f>
        <v>홀세일</v>
      </c>
      <c r="C1536" s="94" t="s">
        <v>702</v>
      </c>
      <c r="D1536" s="95" t="n">
        <v>20</v>
      </c>
      <c r="E1536" s="95" t="n">
        <v>10900</v>
      </c>
      <c r="F1536" s="95" t="n">
        <v>2200</v>
      </c>
      <c r="G1536" s="34" t="n">
        <v>4.5</v>
      </c>
      <c r="H1536" s="34" t="n">
        <v>2.9</v>
      </c>
      <c r="J1536" s="95" t="n">
        <f aca="false">IF(N(E1536)&gt;0,E1536,IF(N(F1536)&gt;0,F1536*가정!$B$5,0))</f>
        <v>10900</v>
      </c>
      <c r="K1536" s="95" t="n">
        <f aca="false">IF(N(F1536)&gt;0,F1536,IF(N(E1536)&gt;0,E1536/가정!$B$5,0))</f>
        <v>2200</v>
      </c>
      <c r="L1536" s="95" t="n">
        <f aca="false">IF(B1536="CN",IF(N(I1536)&gt;0,I1536*가정!$B$3,K1536*(1+가정!$B$6)),IF(N(H1536)&gt;0,H1536*가정!$B$3,J1536*가정!$B$4))</f>
        <v>3952.062</v>
      </c>
      <c r="M1536" s="95" t="n">
        <f aca="false">D1536*J1536</f>
        <v>218000</v>
      </c>
      <c r="N1536" s="95" t="n">
        <f aca="false">D1536*K1536</f>
        <v>44000</v>
      </c>
      <c r="O1536" s="95" t="n">
        <f aca="false">D1536*L1536</f>
        <v>79041.24</v>
      </c>
      <c r="P1536" s="34" t="str">
        <f aca="false">TRIM(IF(N(E1536)&lt;=0,"택가보정 ","")&amp;IF(N(F1536)&lt;=0,"원가보정 ","")&amp;IF(AND(B1536&lt;&gt;"CN",N(H1536)&lt;=0),"공급가보정 ","")&amp;IF(AND(B1536="CN",N(I1536)&lt;=0),"중국공급가=원가+마진 ",""))</f>
        <v/>
      </c>
    </row>
    <row r="1537" customFormat="false" ht="15" hidden="false" customHeight="true" outlineLevel="0" collapsed="false">
      <c r="A1537" s="94" t="s">
        <v>1691</v>
      </c>
      <c r="B1537" s="34" t="str">
        <f aca="false">IF(A1537="100","HK",IF(A1537="200","CN",IF(A1537="300","TW","홀세일")))</f>
        <v>홀세일</v>
      </c>
      <c r="C1537" s="94" t="s">
        <v>702</v>
      </c>
      <c r="D1537" s="95" t="n">
        <v>200</v>
      </c>
      <c r="E1537" s="95" t="n">
        <v>10900</v>
      </c>
      <c r="F1537" s="95" t="n">
        <v>2200</v>
      </c>
      <c r="G1537" s="34" t="n">
        <v>4.5</v>
      </c>
      <c r="H1537" s="34" t="n">
        <v>2.9</v>
      </c>
      <c r="J1537" s="95" t="n">
        <f aca="false">IF(N(E1537)&gt;0,E1537,IF(N(F1537)&gt;0,F1537*가정!$B$5,0))</f>
        <v>10900</v>
      </c>
      <c r="K1537" s="95" t="n">
        <f aca="false">IF(N(F1537)&gt;0,F1537,IF(N(E1537)&gt;0,E1537/가정!$B$5,0))</f>
        <v>2200</v>
      </c>
      <c r="L1537" s="95" t="n">
        <f aca="false">IF(B1537="CN",IF(N(I1537)&gt;0,I1537*가정!$B$3,K1537*(1+가정!$B$6)),IF(N(H1537)&gt;0,H1537*가정!$B$3,J1537*가정!$B$4))</f>
        <v>3952.062</v>
      </c>
      <c r="M1537" s="95" t="n">
        <f aca="false">D1537*J1537</f>
        <v>2180000</v>
      </c>
      <c r="N1537" s="95" t="n">
        <f aca="false">D1537*K1537</f>
        <v>440000</v>
      </c>
      <c r="O1537" s="95" t="n">
        <f aca="false">D1537*L1537</f>
        <v>790412.4</v>
      </c>
      <c r="P1537" s="34" t="str">
        <f aca="false">TRIM(IF(N(E1537)&lt;=0,"택가보정 ","")&amp;IF(N(F1537)&lt;=0,"원가보정 ","")&amp;IF(AND(B1537&lt;&gt;"CN",N(H1537)&lt;=0),"공급가보정 ","")&amp;IF(AND(B1537="CN",N(I1537)&lt;=0),"중국공급가=원가+마진 ",""))</f>
        <v/>
      </c>
    </row>
    <row r="1538" customFormat="false" ht="15.75" hidden="false" customHeight="true" outlineLevel="0" collapsed="false">
      <c r="A1538" s="94" t="s">
        <v>1685</v>
      </c>
      <c r="B1538" s="34" t="str">
        <f aca="false">IF(A1538="100","HK",IF(A1538="200","CN",IF(A1538="300","TW","홀세일")))</f>
        <v>CN</v>
      </c>
      <c r="C1538" s="94" t="s">
        <v>704</v>
      </c>
      <c r="D1538" s="95" t="n">
        <v>82</v>
      </c>
      <c r="E1538" s="95" t="n">
        <v>129000</v>
      </c>
      <c r="F1538" s="95" t="n">
        <v>30891</v>
      </c>
      <c r="G1538" s="34" t="n">
        <v>3.62</v>
      </c>
      <c r="H1538" s="34" t="n">
        <v>34.3</v>
      </c>
      <c r="J1538" s="95" t="n">
        <f aca="false">IF(N(E1538)&gt;0,E1538,IF(N(F1538)&gt;0,F1538*가정!$B$5,0))</f>
        <v>129000</v>
      </c>
      <c r="K1538" s="95" t="n">
        <f aca="false">IF(N(F1538)&gt;0,F1538,IF(N(E1538)&gt;0,E1538/가정!$B$5,0))</f>
        <v>30891</v>
      </c>
      <c r="L1538" s="95" t="n">
        <f aca="false">IF(B1538="CN",IF(N(I1538)&gt;0,I1538*가정!$B$3,K1538*(1+가정!$B$6)),IF(N(H1538)&gt;0,H1538*가정!$B$3,J1538*가정!$B$4))</f>
        <v>32435.55</v>
      </c>
      <c r="M1538" s="95" t="n">
        <f aca="false">D1538*J1538</f>
        <v>10578000</v>
      </c>
      <c r="N1538" s="95" t="n">
        <f aca="false">D1538*K1538</f>
        <v>2533062</v>
      </c>
      <c r="O1538" s="95" t="n">
        <f aca="false">D1538*L1538</f>
        <v>2659715.1</v>
      </c>
      <c r="P1538" s="34" t="str">
        <f aca="false">TRIM(IF(N(E1538)&lt;=0,"택가보정 ","")&amp;IF(N(F1538)&lt;=0,"원가보정 ","")&amp;IF(AND(B1538&lt;&gt;"CN",N(H1538)&lt;=0),"공급가보정 ","")&amp;IF(AND(B1538="CN",N(I1538)&lt;=0),"중국공급가=원가+마진 ",""))</f>
        <v>중국공급가=원가+마진</v>
      </c>
    </row>
    <row r="1539" customFormat="false" ht="15" hidden="false" customHeight="true" outlineLevel="0" collapsed="false">
      <c r="A1539" s="94" t="s">
        <v>1686</v>
      </c>
      <c r="B1539" s="34" t="str">
        <f aca="false">IF(A1539="100","HK",IF(A1539="200","CN",IF(A1539="300","TW","홀세일")))</f>
        <v>TW</v>
      </c>
      <c r="C1539" s="94" t="s">
        <v>704</v>
      </c>
      <c r="D1539" s="95" t="n">
        <v>150</v>
      </c>
      <c r="E1539" s="95" t="n">
        <v>129000</v>
      </c>
      <c r="F1539" s="95" t="n">
        <v>30891</v>
      </c>
      <c r="G1539" s="34" t="n">
        <v>3.62</v>
      </c>
      <c r="H1539" s="34" t="n">
        <v>34.3</v>
      </c>
      <c r="J1539" s="95" t="n">
        <f aca="false">IF(N(E1539)&gt;0,E1539,IF(N(F1539)&gt;0,F1539*가정!$B$5,0))</f>
        <v>129000</v>
      </c>
      <c r="K1539" s="95" t="n">
        <f aca="false">IF(N(F1539)&gt;0,F1539,IF(N(E1539)&gt;0,E1539/가정!$B$5,0))</f>
        <v>30891</v>
      </c>
      <c r="L1539" s="95" t="n">
        <f aca="false">IF(B1539="CN",IF(N(I1539)&gt;0,I1539*가정!$B$3,K1539*(1+가정!$B$6)),IF(N(H1539)&gt;0,H1539*가정!$B$3,J1539*가정!$B$4))</f>
        <v>46743.354</v>
      </c>
      <c r="M1539" s="95" t="n">
        <f aca="false">D1539*J1539</f>
        <v>19350000</v>
      </c>
      <c r="N1539" s="95" t="n">
        <f aca="false">D1539*K1539</f>
        <v>4633650</v>
      </c>
      <c r="O1539" s="95" t="n">
        <f aca="false">D1539*L1539</f>
        <v>7011503.1</v>
      </c>
      <c r="P1539" s="34" t="str">
        <f aca="false">TRIM(IF(N(E1539)&lt;=0,"택가보정 ","")&amp;IF(N(F1539)&lt;=0,"원가보정 ","")&amp;IF(AND(B1539&lt;&gt;"CN",N(H1539)&lt;=0),"공급가보정 ","")&amp;IF(AND(B1539="CN",N(I1539)&lt;=0),"중국공급가=원가+마진 ",""))</f>
        <v/>
      </c>
    </row>
    <row r="1540" customFormat="false" ht="15" hidden="false" customHeight="true" outlineLevel="0" collapsed="false">
      <c r="A1540" s="94" t="s">
        <v>1687</v>
      </c>
      <c r="B1540" s="34" t="str">
        <f aca="false">IF(A1540="100","HK",IF(A1540="200","CN",IF(A1540="300","TW","홀세일")))</f>
        <v>홀세일</v>
      </c>
      <c r="C1540" s="94" t="s">
        <v>704</v>
      </c>
      <c r="D1540" s="95" t="n">
        <v>10</v>
      </c>
      <c r="E1540" s="95" t="n">
        <v>129000</v>
      </c>
      <c r="F1540" s="95" t="n">
        <v>30891</v>
      </c>
      <c r="G1540" s="34" t="n">
        <v>3.62</v>
      </c>
      <c r="H1540" s="34" t="n">
        <v>34.3</v>
      </c>
      <c r="J1540" s="95" t="n">
        <f aca="false">IF(N(E1540)&gt;0,E1540,IF(N(F1540)&gt;0,F1540*가정!$B$5,0))</f>
        <v>129000</v>
      </c>
      <c r="K1540" s="95" t="n">
        <f aca="false">IF(N(F1540)&gt;0,F1540,IF(N(E1540)&gt;0,E1540/가정!$B$5,0))</f>
        <v>30891</v>
      </c>
      <c r="L1540" s="95" t="n">
        <f aca="false">IF(B1540="CN",IF(N(I1540)&gt;0,I1540*가정!$B$3,K1540*(1+가정!$B$6)),IF(N(H1540)&gt;0,H1540*가정!$B$3,J1540*가정!$B$4))</f>
        <v>46743.354</v>
      </c>
      <c r="M1540" s="95" t="n">
        <f aca="false">D1540*J1540</f>
        <v>1290000</v>
      </c>
      <c r="N1540" s="95" t="n">
        <f aca="false">D1540*K1540</f>
        <v>308910</v>
      </c>
      <c r="O1540" s="95" t="n">
        <f aca="false">D1540*L1540</f>
        <v>467433.54</v>
      </c>
      <c r="P1540" s="34" t="str">
        <f aca="false">TRIM(IF(N(E1540)&lt;=0,"택가보정 ","")&amp;IF(N(F1540)&lt;=0,"원가보정 ","")&amp;IF(AND(B1540&lt;&gt;"CN",N(H1540)&lt;=0),"공급가보정 ","")&amp;IF(AND(B1540="CN",N(I1540)&lt;=0),"중국공급가=원가+마진 ",""))</f>
        <v/>
      </c>
    </row>
    <row r="1541" customFormat="false" ht="15" hidden="false" customHeight="true" outlineLevel="0" collapsed="false">
      <c r="A1541" s="94" t="s">
        <v>1688</v>
      </c>
      <c r="B1541" s="34" t="str">
        <f aca="false">IF(A1541="100","HK",IF(A1541="200","CN",IF(A1541="300","TW","홀세일")))</f>
        <v>홀세일</v>
      </c>
      <c r="C1541" s="94" t="s">
        <v>704</v>
      </c>
      <c r="D1541" s="95" t="n">
        <v>20</v>
      </c>
      <c r="E1541" s="95" t="n">
        <v>129000</v>
      </c>
      <c r="F1541" s="95" t="n">
        <v>30891</v>
      </c>
      <c r="G1541" s="34" t="n">
        <v>3.62</v>
      </c>
      <c r="H1541" s="34" t="n">
        <v>34.3</v>
      </c>
      <c r="J1541" s="95" t="n">
        <f aca="false">IF(N(E1541)&gt;0,E1541,IF(N(F1541)&gt;0,F1541*가정!$B$5,0))</f>
        <v>129000</v>
      </c>
      <c r="K1541" s="95" t="n">
        <f aca="false">IF(N(F1541)&gt;0,F1541,IF(N(E1541)&gt;0,E1541/가정!$B$5,0))</f>
        <v>30891</v>
      </c>
      <c r="L1541" s="95" t="n">
        <f aca="false">IF(B1541="CN",IF(N(I1541)&gt;0,I1541*가정!$B$3,K1541*(1+가정!$B$6)),IF(N(H1541)&gt;0,H1541*가정!$B$3,J1541*가정!$B$4))</f>
        <v>46743.354</v>
      </c>
      <c r="M1541" s="95" t="n">
        <f aca="false">D1541*J1541</f>
        <v>2580000</v>
      </c>
      <c r="N1541" s="95" t="n">
        <f aca="false">D1541*K1541</f>
        <v>617820</v>
      </c>
      <c r="O1541" s="95" t="n">
        <f aca="false">D1541*L1541</f>
        <v>934867.08</v>
      </c>
      <c r="P1541" s="34" t="str">
        <f aca="false">TRIM(IF(N(E1541)&lt;=0,"택가보정 ","")&amp;IF(N(F1541)&lt;=0,"원가보정 ","")&amp;IF(AND(B1541&lt;&gt;"CN",N(H1541)&lt;=0),"공급가보정 ","")&amp;IF(AND(B1541="CN",N(I1541)&lt;=0),"중국공급가=원가+마진 ",""))</f>
        <v/>
      </c>
    </row>
    <row r="1542" customFormat="false" ht="15" hidden="false" customHeight="true" outlineLevel="0" collapsed="false">
      <c r="A1542" s="94" t="s">
        <v>1692</v>
      </c>
      <c r="B1542" s="34" t="str">
        <f aca="false">IF(A1542="100","HK",IF(A1542="200","CN",IF(A1542="300","TW","홀세일")))</f>
        <v>홀세일</v>
      </c>
      <c r="C1542" s="94" t="s">
        <v>704</v>
      </c>
      <c r="D1542" s="95" t="n">
        <v>102</v>
      </c>
      <c r="E1542" s="95" t="n">
        <v>129000</v>
      </c>
      <c r="F1542" s="95" t="n">
        <v>30891</v>
      </c>
      <c r="G1542" s="34" t="n">
        <v>3.62</v>
      </c>
      <c r="H1542" s="34" t="n">
        <v>34.3</v>
      </c>
      <c r="J1542" s="95" t="n">
        <f aca="false">IF(N(E1542)&gt;0,E1542,IF(N(F1542)&gt;0,F1542*가정!$B$5,0))</f>
        <v>129000</v>
      </c>
      <c r="K1542" s="95" t="n">
        <f aca="false">IF(N(F1542)&gt;0,F1542,IF(N(E1542)&gt;0,E1542/가정!$B$5,0))</f>
        <v>30891</v>
      </c>
      <c r="L1542" s="95" t="n">
        <f aca="false">IF(B1542="CN",IF(N(I1542)&gt;0,I1542*가정!$B$3,K1542*(1+가정!$B$6)),IF(N(H1542)&gt;0,H1542*가정!$B$3,J1542*가정!$B$4))</f>
        <v>46743.354</v>
      </c>
      <c r="M1542" s="95" t="n">
        <f aca="false">D1542*J1542</f>
        <v>13158000</v>
      </c>
      <c r="N1542" s="95" t="n">
        <f aca="false">D1542*K1542</f>
        <v>3150882</v>
      </c>
      <c r="O1542" s="95" t="n">
        <f aca="false">D1542*L1542</f>
        <v>4767822.108</v>
      </c>
      <c r="P1542" s="34" t="str">
        <f aca="false">TRIM(IF(N(E1542)&lt;=0,"택가보정 ","")&amp;IF(N(F1542)&lt;=0,"원가보정 ","")&amp;IF(AND(B1542&lt;&gt;"CN",N(H1542)&lt;=0),"공급가보정 ","")&amp;IF(AND(B1542="CN",N(I1542)&lt;=0),"중국공급가=원가+마진 ",""))</f>
        <v/>
      </c>
    </row>
    <row r="1543" customFormat="false" ht="15" hidden="false" customHeight="true" outlineLevel="0" collapsed="false">
      <c r="A1543" s="94" t="s">
        <v>1689</v>
      </c>
      <c r="B1543" s="34" t="str">
        <f aca="false">IF(A1543="100","HK",IF(A1543="200","CN",IF(A1543="300","TW","홀세일")))</f>
        <v>홀세일</v>
      </c>
      <c r="C1543" s="94" t="s">
        <v>704</v>
      </c>
      <c r="D1543" s="95" t="n">
        <v>20</v>
      </c>
      <c r="E1543" s="95" t="n">
        <v>129000</v>
      </c>
      <c r="F1543" s="95" t="n">
        <v>30891</v>
      </c>
      <c r="G1543" s="34" t="n">
        <v>3.62</v>
      </c>
      <c r="H1543" s="34" t="n">
        <v>34.3</v>
      </c>
      <c r="J1543" s="95" t="n">
        <f aca="false">IF(N(E1543)&gt;0,E1543,IF(N(F1543)&gt;0,F1543*가정!$B$5,0))</f>
        <v>129000</v>
      </c>
      <c r="K1543" s="95" t="n">
        <f aca="false">IF(N(F1543)&gt;0,F1543,IF(N(E1543)&gt;0,E1543/가정!$B$5,0))</f>
        <v>30891</v>
      </c>
      <c r="L1543" s="95" t="n">
        <f aca="false">IF(B1543="CN",IF(N(I1543)&gt;0,I1543*가정!$B$3,K1543*(1+가정!$B$6)),IF(N(H1543)&gt;0,H1543*가정!$B$3,J1543*가정!$B$4))</f>
        <v>46743.354</v>
      </c>
      <c r="M1543" s="95" t="n">
        <f aca="false">D1543*J1543</f>
        <v>2580000</v>
      </c>
      <c r="N1543" s="95" t="n">
        <f aca="false">D1543*K1543</f>
        <v>617820</v>
      </c>
      <c r="O1543" s="95" t="n">
        <f aca="false">D1543*L1543</f>
        <v>934867.08</v>
      </c>
      <c r="P1543" s="34" t="str">
        <f aca="false">TRIM(IF(N(E1543)&lt;=0,"택가보정 ","")&amp;IF(N(F1543)&lt;=0,"원가보정 ","")&amp;IF(AND(B1543&lt;&gt;"CN",N(H1543)&lt;=0),"공급가보정 ","")&amp;IF(AND(B1543="CN",N(I1543)&lt;=0),"중국공급가=원가+마진 ",""))</f>
        <v/>
      </c>
    </row>
    <row r="1544" customFormat="false" ht="15" hidden="false" customHeight="true" outlineLevel="0" collapsed="false">
      <c r="A1544" s="94" t="s">
        <v>1689</v>
      </c>
      <c r="B1544" s="34" t="str">
        <f aca="false">IF(A1544="100","HK",IF(A1544="200","CN",IF(A1544="300","TW","홀세일")))</f>
        <v>홀세일</v>
      </c>
      <c r="C1544" s="94" t="s">
        <v>704</v>
      </c>
      <c r="D1544" s="95" t="n">
        <v>20</v>
      </c>
      <c r="E1544" s="95" t="n">
        <v>129000</v>
      </c>
      <c r="F1544" s="95" t="n">
        <v>30891</v>
      </c>
      <c r="G1544" s="34" t="n">
        <v>3.62</v>
      </c>
      <c r="H1544" s="34" t="n">
        <v>34.3</v>
      </c>
      <c r="J1544" s="95" t="n">
        <f aca="false">IF(N(E1544)&gt;0,E1544,IF(N(F1544)&gt;0,F1544*가정!$B$5,0))</f>
        <v>129000</v>
      </c>
      <c r="K1544" s="95" t="n">
        <f aca="false">IF(N(F1544)&gt;0,F1544,IF(N(E1544)&gt;0,E1544/가정!$B$5,0))</f>
        <v>30891</v>
      </c>
      <c r="L1544" s="95" t="n">
        <f aca="false">IF(B1544="CN",IF(N(I1544)&gt;0,I1544*가정!$B$3,K1544*(1+가정!$B$6)),IF(N(H1544)&gt;0,H1544*가정!$B$3,J1544*가정!$B$4))</f>
        <v>46743.354</v>
      </c>
      <c r="M1544" s="95" t="n">
        <f aca="false">D1544*J1544</f>
        <v>2580000</v>
      </c>
      <c r="N1544" s="95" t="n">
        <f aca="false">D1544*K1544</f>
        <v>617820</v>
      </c>
      <c r="O1544" s="95" t="n">
        <f aca="false">D1544*L1544</f>
        <v>934867.08</v>
      </c>
      <c r="P1544" s="34" t="str">
        <f aca="false">TRIM(IF(N(E1544)&lt;=0,"택가보정 ","")&amp;IF(N(F1544)&lt;=0,"원가보정 ","")&amp;IF(AND(B1544&lt;&gt;"CN",N(H1544)&lt;=0),"공급가보정 ","")&amp;IF(AND(B1544="CN",N(I1544)&lt;=0),"중국공급가=원가+마진 ",""))</f>
        <v/>
      </c>
    </row>
    <row r="1545" customFormat="false" ht="15" hidden="false" customHeight="true" outlineLevel="0" collapsed="false">
      <c r="A1545" s="94" t="s">
        <v>1691</v>
      </c>
      <c r="B1545" s="34" t="str">
        <f aca="false">IF(A1545="100","HK",IF(A1545="200","CN",IF(A1545="300","TW","홀세일")))</f>
        <v>홀세일</v>
      </c>
      <c r="C1545" s="94" t="s">
        <v>704</v>
      </c>
      <c r="D1545" s="95" t="n">
        <v>300</v>
      </c>
      <c r="E1545" s="95" t="n">
        <v>129000</v>
      </c>
      <c r="F1545" s="95" t="n">
        <v>30891</v>
      </c>
      <c r="G1545" s="34" t="n">
        <v>3.62</v>
      </c>
      <c r="H1545" s="34" t="n">
        <v>34.3</v>
      </c>
      <c r="J1545" s="95" t="n">
        <f aca="false">IF(N(E1545)&gt;0,E1545,IF(N(F1545)&gt;0,F1545*가정!$B$5,0))</f>
        <v>129000</v>
      </c>
      <c r="K1545" s="95" t="n">
        <f aca="false">IF(N(F1545)&gt;0,F1545,IF(N(E1545)&gt;0,E1545/가정!$B$5,0))</f>
        <v>30891</v>
      </c>
      <c r="L1545" s="95" t="n">
        <f aca="false">IF(B1545="CN",IF(N(I1545)&gt;0,I1545*가정!$B$3,K1545*(1+가정!$B$6)),IF(N(H1545)&gt;0,H1545*가정!$B$3,J1545*가정!$B$4))</f>
        <v>46743.354</v>
      </c>
      <c r="M1545" s="95" t="n">
        <f aca="false">D1545*J1545</f>
        <v>38700000</v>
      </c>
      <c r="N1545" s="95" t="n">
        <f aca="false">D1545*K1545</f>
        <v>9267300</v>
      </c>
      <c r="O1545" s="95" t="n">
        <f aca="false">D1545*L1545</f>
        <v>14023006.2</v>
      </c>
      <c r="P1545" s="34" t="str">
        <f aca="false">TRIM(IF(N(E1545)&lt;=0,"택가보정 ","")&amp;IF(N(F1545)&lt;=0,"원가보정 ","")&amp;IF(AND(B1545&lt;&gt;"CN",N(H1545)&lt;=0),"공급가보정 ","")&amp;IF(AND(B1545="CN",N(I1545)&lt;=0),"중국공급가=원가+마진 ",""))</f>
        <v/>
      </c>
    </row>
    <row r="1546" customFormat="false" ht="15.75" hidden="false" customHeight="true" outlineLevel="0" collapsed="false">
      <c r="A1546" s="94" t="s">
        <v>1685</v>
      </c>
      <c r="B1546" s="34" t="str">
        <f aca="false">IF(A1546="100","HK",IF(A1546="200","CN",IF(A1546="300","TW","홀세일")))</f>
        <v>CN</v>
      </c>
      <c r="C1546" s="94" t="s">
        <v>706</v>
      </c>
      <c r="D1546" s="95" t="n">
        <v>52</v>
      </c>
      <c r="E1546" s="95" t="n">
        <v>129000</v>
      </c>
      <c r="F1546" s="95" t="n">
        <v>30298</v>
      </c>
      <c r="G1546" s="34" t="n">
        <v>3.68</v>
      </c>
      <c r="H1546" s="34" t="n">
        <v>34.3</v>
      </c>
      <c r="J1546" s="95" t="n">
        <f aca="false">IF(N(E1546)&gt;0,E1546,IF(N(F1546)&gt;0,F1546*가정!$B$5,0))</f>
        <v>129000</v>
      </c>
      <c r="K1546" s="95" t="n">
        <f aca="false">IF(N(F1546)&gt;0,F1546,IF(N(E1546)&gt;0,E1546/가정!$B$5,0))</f>
        <v>30298</v>
      </c>
      <c r="L1546" s="95" t="n">
        <f aca="false">IF(B1546="CN",IF(N(I1546)&gt;0,I1546*가정!$B$3,K1546*(1+가정!$B$6)),IF(N(H1546)&gt;0,H1546*가정!$B$3,J1546*가정!$B$4))</f>
        <v>31812.9</v>
      </c>
      <c r="M1546" s="95" t="n">
        <f aca="false">D1546*J1546</f>
        <v>6708000</v>
      </c>
      <c r="N1546" s="95" t="n">
        <f aca="false">D1546*K1546</f>
        <v>1575496</v>
      </c>
      <c r="O1546" s="95" t="n">
        <f aca="false">D1546*L1546</f>
        <v>1654270.8</v>
      </c>
      <c r="P1546" s="34" t="str">
        <f aca="false">TRIM(IF(N(E1546)&lt;=0,"택가보정 ","")&amp;IF(N(F1546)&lt;=0,"원가보정 ","")&amp;IF(AND(B1546&lt;&gt;"CN",N(H1546)&lt;=0),"공급가보정 ","")&amp;IF(AND(B1546="CN",N(I1546)&lt;=0),"중국공급가=원가+마진 ",""))</f>
        <v>중국공급가=원가+마진</v>
      </c>
    </row>
    <row r="1547" customFormat="false" ht="15" hidden="false" customHeight="true" outlineLevel="0" collapsed="false">
      <c r="A1547" s="94" t="s">
        <v>1686</v>
      </c>
      <c r="B1547" s="34" t="str">
        <f aca="false">IF(A1547="100","HK",IF(A1547="200","CN",IF(A1547="300","TW","홀세일")))</f>
        <v>TW</v>
      </c>
      <c r="C1547" s="94" t="s">
        <v>706</v>
      </c>
      <c r="D1547" s="95" t="n">
        <v>120</v>
      </c>
      <c r="E1547" s="95" t="n">
        <v>129000</v>
      </c>
      <c r="F1547" s="95" t="n">
        <v>30298</v>
      </c>
      <c r="G1547" s="34" t="n">
        <v>3.68</v>
      </c>
      <c r="H1547" s="34" t="n">
        <v>34.3</v>
      </c>
      <c r="J1547" s="95" t="n">
        <f aca="false">IF(N(E1547)&gt;0,E1547,IF(N(F1547)&gt;0,F1547*가정!$B$5,0))</f>
        <v>129000</v>
      </c>
      <c r="K1547" s="95" t="n">
        <f aca="false">IF(N(F1547)&gt;0,F1547,IF(N(E1547)&gt;0,E1547/가정!$B$5,0))</f>
        <v>30298</v>
      </c>
      <c r="L1547" s="95" t="n">
        <f aca="false">IF(B1547="CN",IF(N(I1547)&gt;0,I1547*가정!$B$3,K1547*(1+가정!$B$6)),IF(N(H1547)&gt;0,H1547*가정!$B$3,J1547*가정!$B$4))</f>
        <v>46743.354</v>
      </c>
      <c r="M1547" s="95" t="n">
        <f aca="false">D1547*J1547</f>
        <v>15480000</v>
      </c>
      <c r="N1547" s="95" t="n">
        <f aca="false">D1547*K1547</f>
        <v>3635760</v>
      </c>
      <c r="O1547" s="95" t="n">
        <f aca="false">D1547*L1547</f>
        <v>5609202.48</v>
      </c>
      <c r="P1547" s="34" t="str">
        <f aca="false">TRIM(IF(N(E1547)&lt;=0,"택가보정 ","")&amp;IF(N(F1547)&lt;=0,"원가보정 ","")&amp;IF(AND(B1547&lt;&gt;"CN",N(H1547)&lt;=0),"공급가보정 ","")&amp;IF(AND(B1547="CN",N(I1547)&lt;=0),"중국공급가=원가+마진 ",""))</f>
        <v/>
      </c>
    </row>
    <row r="1548" customFormat="false" ht="15" hidden="false" customHeight="true" outlineLevel="0" collapsed="false">
      <c r="A1548" s="94" t="s">
        <v>1687</v>
      </c>
      <c r="B1548" s="34" t="str">
        <f aca="false">IF(A1548="100","HK",IF(A1548="200","CN",IF(A1548="300","TW","홀세일")))</f>
        <v>홀세일</v>
      </c>
      <c r="C1548" s="94" t="s">
        <v>706</v>
      </c>
      <c r="D1548" s="95" t="n">
        <v>10</v>
      </c>
      <c r="E1548" s="95" t="n">
        <v>129000</v>
      </c>
      <c r="F1548" s="95" t="n">
        <v>30298</v>
      </c>
      <c r="G1548" s="34" t="n">
        <v>3.68</v>
      </c>
      <c r="H1548" s="34" t="n">
        <v>34.3</v>
      </c>
      <c r="J1548" s="95" t="n">
        <f aca="false">IF(N(E1548)&gt;0,E1548,IF(N(F1548)&gt;0,F1548*가정!$B$5,0))</f>
        <v>129000</v>
      </c>
      <c r="K1548" s="95" t="n">
        <f aca="false">IF(N(F1548)&gt;0,F1548,IF(N(E1548)&gt;0,E1548/가정!$B$5,0))</f>
        <v>30298</v>
      </c>
      <c r="L1548" s="95" t="n">
        <f aca="false">IF(B1548="CN",IF(N(I1548)&gt;0,I1548*가정!$B$3,K1548*(1+가정!$B$6)),IF(N(H1548)&gt;0,H1548*가정!$B$3,J1548*가정!$B$4))</f>
        <v>46743.354</v>
      </c>
      <c r="M1548" s="95" t="n">
        <f aca="false">D1548*J1548</f>
        <v>1290000</v>
      </c>
      <c r="N1548" s="95" t="n">
        <f aca="false">D1548*K1548</f>
        <v>302980</v>
      </c>
      <c r="O1548" s="95" t="n">
        <f aca="false">D1548*L1548</f>
        <v>467433.54</v>
      </c>
      <c r="P1548" s="34" t="str">
        <f aca="false">TRIM(IF(N(E1548)&lt;=0,"택가보정 ","")&amp;IF(N(F1548)&lt;=0,"원가보정 ","")&amp;IF(AND(B1548&lt;&gt;"CN",N(H1548)&lt;=0),"공급가보정 ","")&amp;IF(AND(B1548="CN",N(I1548)&lt;=0),"중국공급가=원가+마진 ",""))</f>
        <v/>
      </c>
    </row>
    <row r="1549" customFormat="false" ht="15" hidden="false" customHeight="true" outlineLevel="0" collapsed="false">
      <c r="A1549" s="94" t="s">
        <v>1688</v>
      </c>
      <c r="B1549" s="34" t="str">
        <f aca="false">IF(A1549="100","HK",IF(A1549="200","CN",IF(A1549="300","TW","홀세일")))</f>
        <v>홀세일</v>
      </c>
      <c r="C1549" s="94" t="s">
        <v>706</v>
      </c>
      <c r="D1549" s="95" t="n">
        <v>40</v>
      </c>
      <c r="E1549" s="95" t="n">
        <v>129000</v>
      </c>
      <c r="F1549" s="95" t="n">
        <v>30298</v>
      </c>
      <c r="G1549" s="34" t="n">
        <v>3.68</v>
      </c>
      <c r="H1549" s="34" t="n">
        <v>34.3</v>
      </c>
      <c r="J1549" s="95" t="n">
        <f aca="false">IF(N(E1549)&gt;0,E1549,IF(N(F1549)&gt;0,F1549*가정!$B$5,0))</f>
        <v>129000</v>
      </c>
      <c r="K1549" s="95" t="n">
        <f aca="false">IF(N(F1549)&gt;0,F1549,IF(N(E1549)&gt;0,E1549/가정!$B$5,0))</f>
        <v>30298</v>
      </c>
      <c r="L1549" s="95" t="n">
        <f aca="false">IF(B1549="CN",IF(N(I1549)&gt;0,I1549*가정!$B$3,K1549*(1+가정!$B$6)),IF(N(H1549)&gt;0,H1549*가정!$B$3,J1549*가정!$B$4))</f>
        <v>46743.354</v>
      </c>
      <c r="M1549" s="95" t="n">
        <f aca="false">D1549*J1549</f>
        <v>5160000</v>
      </c>
      <c r="N1549" s="95" t="n">
        <f aca="false">D1549*K1549</f>
        <v>1211920</v>
      </c>
      <c r="O1549" s="95" t="n">
        <f aca="false">D1549*L1549</f>
        <v>1869734.16</v>
      </c>
      <c r="P1549" s="34" t="str">
        <f aca="false">TRIM(IF(N(E1549)&lt;=0,"택가보정 ","")&amp;IF(N(F1549)&lt;=0,"원가보정 ","")&amp;IF(AND(B1549&lt;&gt;"CN",N(H1549)&lt;=0),"공급가보정 ","")&amp;IF(AND(B1549="CN",N(I1549)&lt;=0),"중국공급가=원가+마진 ",""))</f>
        <v/>
      </c>
    </row>
    <row r="1550" customFormat="false" ht="15" hidden="false" customHeight="true" outlineLevel="0" collapsed="false">
      <c r="A1550" s="94" t="s">
        <v>1692</v>
      </c>
      <c r="B1550" s="34" t="str">
        <f aca="false">IF(A1550="100","HK",IF(A1550="200","CN",IF(A1550="300","TW","홀세일")))</f>
        <v>홀세일</v>
      </c>
      <c r="C1550" s="94" t="s">
        <v>706</v>
      </c>
      <c r="D1550" s="95" t="n">
        <v>122</v>
      </c>
      <c r="E1550" s="95" t="n">
        <v>129000</v>
      </c>
      <c r="F1550" s="95" t="n">
        <v>30298</v>
      </c>
      <c r="G1550" s="34" t="n">
        <v>3.68</v>
      </c>
      <c r="H1550" s="34" t="n">
        <v>34.3</v>
      </c>
      <c r="J1550" s="95" t="n">
        <f aca="false">IF(N(E1550)&gt;0,E1550,IF(N(F1550)&gt;0,F1550*가정!$B$5,0))</f>
        <v>129000</v>
      </c>
      <c r="K1550" s="95" t="n">
        <f aca="false">IF(N(F1550)&gt;0,F1550,IF(N(E1550)&gt;0,E1550/가정!$B$5,0))</f>
        <v>30298</v>
      </c>
      <c r="L1550" s="95" t="n">
        <f aca="false">IF(B1550="CN",IF(N(I1550)&gt;0,I1550*가정!$B$3,K1550*(1+가정!$B$6)),IF(N(H1550)&gt;0,H1550*가정!$B$3,J1550*가정!$B$4))</f>
        <v>46743.354</v>
      </c>
      <c r="M1550" s="95" t="n">
        <f aca="false">D1550*J1550</f>
        <v>15738000</v>
      </c>
      <c r="N1550" s="95" t="n">
        <f aca="false">D1550*K1550</f>
        <v>3696356</v>
      </c>
      <c r="O1550" s="95" t="n">
        <f aca="false">D1550*L1550</f>
        <v>5702689.188</v>
      </c>
      <c r="P1550" s="34" t="str">
        <f aca="false">TRIM(IF(N(E1550)&lt;=0,"택가보정 ","")&amp;IF(N(F1550)&lt;=0,"원가보정 ","")&amp;IF(AND(B1550&lt;&gt;"CN",N(H1550)&lt;=0),"공급가보정 ","")&amp;IF(AND(B1550="CN",N(I1550)&lt;=0),"중국공급가=원가+마진 ",""))</f>
        <v/>
      </c>
    </row>
    <row r="1551" customFormat="false" ht="15" hidden="false" customHeight="true" outlineLevel="0" collapsed="false">
      <c r="A1551" s="94" t="s">
        <v>1689</v>
      </c>
      <c r="B1551" s="34" t="str">
        <f aca="false">IF(A1551="100","HK",IF(A1551="200","CN",IF(A1551="300","TW","홀세일")))</f>
        <v>홀세일</v>
      </c>
      <c r="C1551" s="94" t="s">
        <v>706</v>
      </c>
      <c r="D1551" s="95" t="n">
        <v>20</v>
      </c>
      <c r="E1551" s="95" t="n">
        <v>129000</v>
      </c>
      <c r="F1551" s="95" t="n">
        <v>30298</v>
      </c>
      <c r="G1551" s="34" t="n">
        <v>3.68</v>
      </c>
      <c r="H1551" s="34" t="n">
        <v>34.3</v>
      </c>
      <c r="J1551" s="95" t="n">
        <f aca="false">IF(N(E1551)&gt;0,E1551,IF(N(F1551)&gt;0,F1551*가정!$B$5,0))</f>
        <v>129000</v>
      </c>
      <c r="K1551" s="95" t="n">
        <f aca="false">IF(N(F1551)&gt;0,F1551,IF(N(E1551)&gt;0,E1551/가정!$B$5,0))</f>
        <v>30298</v>
      </c>
      <c r="L1551" s="95" t="n">
        <f aca="false">IF(B1551="CN",IF(N(I1551)&gt;0,I1551*가정!$B$3,K1551*(1+가정!$B$6)),IF(N(H1551)&gt;0,H1551*가정!$B$3,J1551*가정!$B$4))</f>
        <v>46743.354</v>
      </c>
      <c r="M1551" s="95" t="n">
        <f aca="false">D1551*J1551</f>
        <v>2580000</v>
      </c>
      <c r="N1551" s="95" t="n">
        <f aca="false">D1551*K1551</f>
        <v>605960</v>
      </c>
      <c r="O1551" s="95" t="n">
        <f aca="false">D1551*L1551</f>
        <v>934867.08</v>
      </c>
      <c r="P1551" s="34" t="str">
        <f aca="false">TRIM(IF(N(E1551)&lt;=0,"택가보정 ","")&amp;IF(N(F1551)&lt;=0,"원가보정 ","")&amp;IF(AND(B1551&lt;&gt;"CN",N(H1551)&lt;=0),"공급가보정 ","")&amp;IF(AND(B1551="CN",N(I1551)&lt;=0),"중국공급가=원가+마진 ",""))</f>
        <v/>
      </c>
    </row>
    <row r="1552" customFormat="false" ht="15" hidden="false" customHeight="true" outlineLevel="0" collapsed="false">
      <c r="A1552" s="94" t="s">
        <v>1689</v>
      </c>
      <c r="B1552" s="34" t="str">
        <f aca="false">IF(A1552="100","HK",IF(A1552="200","CN",IF(A1552="300","TW","홀세일")))</f>
        <v>홀세일</v>
      </c>
      <c r="C1552" s="94" t="s">
        <v>706</v>
      </c>
      <c r="D1552" s="95" t="n">
        <v>20</v>
      </c>
      <c r="E1552" s="95" t="n">
        <v>129000</v>
      </c>
      <c r="F1552" s="95" t="n">
        <v>30298</v>
      </c>
      <c r="G1552" s="34" t="n">
        <v>3.68</v>
      </c>
      <c r="H1552" s="34" t="n">
        <v>34.3</v>
      </c>
      <c r="J1552" s="95" t="n">
        <f aca="false">IF(N(E1552)&gt;0,E1552,IF(N(F1552)&gt;0,F1552*가정!$B$5,0))</f>
        <v>129000</v>
      </c>
      <c r="K1552" s="95" t="n">
        <f aca="false">IF(N(F1552)&gt;0,F1552,IF(N(E1552)&gt;0,E1552/가정!$B$5,0))</f>
        <v>30298</v>
      </c>
      <c r="L1552" s="95" t="n">
        <f aca="false">IF(B1552="CN",IF(N(I1552)&gt;0,I1552*가정!$B$3,K1552*(1+가정!$B$6)),IF(N(H1552)&gt;0,H1552*가정!$B$3,J1552*가정!$B$4))</f>
        <v>46743.354</v>
      </c>
      <c r="M1552" s="95" t="n">
        <f aca="false">D1552*J1552</f>
        <v>2580000</v>
      </c>
      <c r="N1552" s="95" t="n">
        <f aca="false">D1552*K1552</f>
        <v>605960</v>
      </c>
      <c r="O1552" s="95" t="n">
        <f aca="false">D1552*L1552</f>
        <v>934867.08</v>
      </c>
      <c r="P1552" s="34" t="str">
        <f aca="false">TRIM(IF(N(E1552)&lt;=0,"택가보정 ","")&amp;IF(N(F1552)&lt;=0,"원가보정 ","")&amp;IF(AND(B1552&lt;&gt;"CN",N(H1552)&lt;=0),"공급가보정 ","")&amp;IF(AND(B1552="CN",N(I1552)&lt;=0),"중국공급가=원가+마진 ",""))</f>
        <v/>
      </c>
    </row>
    <row r="1553" customFormat="false" ht="15" hidden="false" customHeight="true" outlineLevel="0" collapsed="false">
      <c r="A1553" s="94" t="s">
        <v>1691</v>
      </c>
      <c r="B1553" s="34" t="str">
        <f aca="false">IF(A1553="100","HK",IF(A1553="200","CN",IF(A1553="300","TW","홀세일")))</f>
        <v>홀세일</v>
      </c>
      <c r="C1553" s="94" t="s">
        <v>706</v>
      </c>
      <c r="D1553" s="95" t="n">
        <v>350</v>
      </c>
      <c r="E1553" s="95" t="n">
        <v>129000</v>
      </c>
      <c r="F1553" s="95" t="n">
        <v>30298</v>
      </c>
      <c r="G1553" s="34" t="n">
        <v>3.68</v>
      </c>
      <c r="H1553" s="34" t="n">
        <v>34.3</v>
      </c>
      <c r="J1553" s="95" t="n">
        <f aca="false">IF(N(E1553)&gt;0,E1553,IF(N(F1553)&gt;0,F1553*가정!$B$5,0))</f>
        <v>129000</v>
      </c>
      <c r="K1553" s="95" t="n">
        <f aca="false">IF(N(F1553)&gt;0,F1553,IF(N(E1553)&gt;0,E1553/가정!$B$5,0))</f>
        <v>30298</v>
      </c>
      <c r="L1553" s="95" t="n">
        <f aca="false">IF(B1553="CN",IF(N(I1553)&gt;0,I1553*가정!$B$3,K1553*(1+가정!$B$6)),IF(N(H1553)&gt;0,H1553*가정!$B$3,J1553*가정!$B$4))</f>
        <v>46743.354</v>
      </c>
      <c r="M1553" s="95" t="n">
        <f aca="false">D1553*J1553</f>
        <v>45150000</v>
      </c>
      <c r="N1553" s="95" t="n">
        <f aca="false">D1553*K1553</f>
        <v>10604300</v>
      </c>
      <c r="O1553" s="95" t="n">
        <f aca="false">D1553*L1553</f>
        <v>16360173.9</v>
      </c>
      <c r="P1553" s="34" t="str">
        <f aca="false">TRIM(IF(N(E1553)&lt;=0,"택가보정 ","")&amp;IF(N(F1553)&lt;=0,"원가보정 ","")&amp;IF(AND(B1553&lt;&gt;"CN",N(H1553)&lt;=0),"공급가보정 ","")&amp;IF(AND(B1553="CN",N(I1553)&lt;=0),"중국공급가=원가+마진 ",""))</f>
        <v/>
      </c>
    </row>
    <row r="1554" customFormat="false" ht="15" hidden="false" customHeight="true" outlineLevel="0" collapsed="false">
      <c r="A1554" s="94" t="s">
        <v>1688</v>
      </c>
      <c r="B1554" s="34" t="str">
        <f aca="false">IF(A1554="100","HK",IF(A1554="200","CN",IF(A1554="300","TW","홀세일")))</f>
        <v>홀세일</v>
      </c>
      <c r="C1554" s="94" t="s">
        <v>1413</v>
      </c>
      <c r="D1554" s="95" t="n">
        <v>10</v>
      </c>
      <c r="E1554" s="95" t="n">
        <v>79000</v>
      </c>
      <c r="F1554" s="95" t="n">
        <v>19500</v>
      </c>
      <c r="G1554" s="34" t="n">
        <v>3.5</v>
      </c>
      <c r="H1554" s="34" t="n">
        <v>21</v>
      </c>
      <c r="J1554" s="95" t="n">
        <f aca="false">IF(N(E1554)&gt;0,E1554,IF(N(F1554)&gt;0,F1554*가정!$B$5,0))</f>
        <v>79000</v>
      </c>
      <c r="K1554" s="95" t="n">
        <f aca="false">IF(N(F1554)&gt;0,F1554,IF(N(E1554)&gt;0,E1554/가정!$B$5,0))</f>
        <v>19500</v>
      </c>
      <c r="L1554" s="95" t="n">
        <f aca="false">IF(B1554="CN",IF(N(I1554)&gt;0,I1554*가정!$B$3,K1554*(1+가정!$B$6)),IF(N(H1554)&gt;0,H1554*가정!$B$3,J1554*가정!$B$4))</f>
        <v>28618.38</v>
      </c>
      <c r="M1554" s="95" t="n">
        <f aca="false">D1554*J1554</f>
        <v>790000</v>
      </c>
      <c r="N1554" s="95" t="n">
        <f aca="false">D1554*K1554</f>
        <v>195000</v>
      </c>
      <c r="O1554" s="95" t="n">
        <f aca="false">D1554*L1554</f>
        <v>286183.8</v>
      </c>
      <c r="P1554" s="34" t="str">
        <f aca="false">TRIM(IF(N(E1554)&lt;=0,"택가보정 ","")&amp;IF(N(F1554)&lt;=0,"원가보정 ","")&amp;IF(AND(B1554&lt;&gt;"CN",N(H1554)&lt;=0),"공급가보정 ","")&amp;IF(AND(B1554="CN",N(I1554)&lt;=0),"중국공급가=원가+마진 ",""))</f>
        <v/>
      </c>
    </row>
    <row r="1555" customFormat="false" ht="15" hidden="false" customHeight="true" outlineLevel="0" collapsed="false">
      <c r="A1555" s="94" t="s">
        <v>1692</v>
      </c>
      <c r="B1555" s="34" t="str">
        <f aca="false">IF(A1555="100","HK",IF(A1555="200","CN",IF(A1555="300","TW","홀세일")))</f>
        <v>홀세일</v>
      </c>
      <c r="C1555" s="94" t="s">
        <v>1474</v>
      </c>
      <c r="D1555" s="95" t="n">
        <v>262</v>
      </c>
      <c r="E1555" s="95" t="n">
        <v>39000</v>
      </c>
      <c r="F1555" s="95" t="n">
        <v>9036</v>
      </c>
      <c r="G1555" s="34" t="n">
        <v>3.68</v>
      </c>
      <c r="H1555" s="34" t="n">
        <v>10.4</v>
      </c>
      <c r="J1555" s="95" t="n">
        <f aca="false">IF(N(E1555)&gt;0,E1555,IF(N(F1555)&gt;0,F1555*가정!$B$5,0))</f>
        <v>39000</v>
      </c>
      <c r="K1555" s="95" t="n">
        <f aca="false">IF(N(F1555)&gt;0,F1555,IF(N(E1555)&gt;0,E1555/가정!$B$5,0))</f>
        <v>9036</v>
      </c>
      <c r="L1555" s="95" t="n">
        <f aca="false">IF(B1555="CN",IF(N(I1555)&gt;0,I1555*가정!$B$3,K1555*(1+가정!$B$6)),IF(N(H1555)&gt;0,H1555*가정!$B$3,J1555*가정!$B$4))</f>
        <v>14172.912</v>
      </c>
      <c r="M1555" s="95" t="n">
        <f aca="false">D1555*J1555</f>
        <v>10218000</v>
      </c>
      <c r="N1555" s="95" t="n">
        <f aca="false">D1555*K1555</f>
        <v>2367432</v>
      </c>
      <c r="O1555" s="95" t="n">
        <f aca="false">D1555*L1555</f>
        <v>3713302.944</v>
      </c>
      <c r="P1555" s="34" t="str">
        <f aca="false">TRIM(IF(N(E1555)&lt;=0,"택가보정 ","")&amp;IF(N(F1555)&lt;=0,"원가보정 ","")&amp;IF(AND(B1555&lt;&gt;"CN",N(H1555)&lt;=0),"공급가보정 ","")&amp;IF(AND(B1555="CN",N(I1555)&lt;=0),"중국공급가=원가+마진 ",""))</f>
        <v/>
      </c>
    </row>
    <row r="1556" customFormat="false" ht="15" hidden="false" customHeight="true" outlineLevel="0" collapsed="false">
      <c r="A1556" s="94" t="s">
        <v>1686</v>
      </c>
      <c r="B1556" s="34" t="str">
        <f aca="false">IF(A1556="100","HK",IF(A1556="200","CN",IF(A1556="300","TW","홀세일")))</f>
        <v>TW</v>
      </c>
      <c r="C1556" s="94" t="s">
        <v>709</v>
      </c>
      <c r="D1556" s="95" t="n">
        <v>1500</v>
      </c>
      <c r="E1556" s="95"/>
      <c r="F1556" s="95" t="n">
        <v>4900</v>
      </c>
      <c r="G1556" s="34" t="n">
        <v>0</v>
      </c>
      <c r="J1556" s="95" t="n">
        <f aca="false">IF(N(E1556)&gt;0,E1556,IF(N(F1556)&gt;0,F1556*가정!$B$5,0))</f>
        <v>19600</v>
      </c>
      <c r="K1556" s="95" t="n">
        <f aca="false">IF(N(F1556)&gt;0,F1556,IF(N(E1556)&gt;0,E1556/가정!$B$5,0))</f>
        <v>4900</v>
      </c>
      <c r="L1556" s="95" t="n">
        <f aca="false">IF(B1556="CN",IF(N(I1556)&gt;0,I1556*가정!$B$3,K1556*(1+가정!$B$6)),IF(N(H1556)&gt;0,H1556*가정!$B$3,J1556*가정!$B$4))</f>
        <v>6468</v>
      </c>
      <c r="M1556" s="95" t="n">
        <f aca="false">D1556*J1556</f>
        <v>29400000</v>
      </c>
      <c r="N1556" s="95" t="n">
        <f aca="false">D1556*K1556</f>
        <v>7350000</v>
      </c>
      <c r="O1556" s="95" t="n">
        <f aca="false">D1556*L1556</f>
        <v>9702000</v>
      </c>
      <c r="P1556" s="34" t="str">
        <f aca="false">TRIM(IF(N(E1556)&lt;=0,"택가보정 ","")&amp;IF(N(F1556)&lt;=0,"원가보정 ","")&amp;IF(AND(B1556&lt;&gt;"CN",N(H1556)&lt;=0),"공급가보정 ","")&amp;IF(AND(B1556="CN",N(I1556)&lt;=0),"중국공급가=원가+마진 ",""))</f>
        <v>택가보정 공급가보정</v>
      </c>
    </row>
    <row r="1557" customFormat="false" ht="15.75" hidden="false" customHeight="true" outlineLevel="0" collapsed="false">
      <c r="A1557" s="94" t="s">
        <v>1685</v>
      </c>
      <c r="B1557" s="34" t="str">
        <f aca="false">IF(A1557="100","HK",IF(A1557="200","CN",IF(A1557="300","TW","홀세일")))</f>
        <v>CN</v>
      </c>
      <c r="C1557" s="94" t="s">
        <v>1169</v>
      </c>
      <c r="D1557" s="95" t="n">
        <v>600</v>
      </c>
      <c r="E1557" s="95" t="n">
        <v>85000</v>
      </c>
      <c r="F1557" s="95" t="n">
        <v>34489</v>
      </c>
      <c r="G1557" s="34" t="n">
        <v>2.03</v>
      </c>
      <c r="H1557" s="34" t="n">
        <v>38.7</v>
      </c>
      <c r="J1557" s="95" t="n">
        <f aca="false">IF(N(E1557)&gt;0,E1557,IF(N(F1557)&gt;0,F1557*가정!$B$5,0))</f>
        <v>85000</v>
      </c>
      <c r="K1557" s="95" t="n">
        <f aca="false">IF(N(F1557)&gt;0,F1557,IF(N(E1557)&gt;0,E1557/가정!$B$5,0))</f>
        <v>34489</v>
      </c>
      <c r="L1557" s="95" t="n">
        <f aca="false">IF(B1557="CN",IF(N(I1557)&gt;0,I1557*가정!$B$3,K1557*(1+가정!$B$6)),IF(N(H1557)&gt;0,H1557*가정!$B$3,J1557*가정!$B$4))</f>
        <v>36213.45</v>
      </c>
      <c r="M1557" s="95" t="n">
        <f aca="false">D1557*J1557</f>
        <v>51000000</v>
      </c>
      <c r="N1557" s="95" t="n">
        <f aca="false">D1557*K1557</f>
        <v>20693400</v>
      </c>
      <c r="O1557" s="95" t="n">
        <f aca="false">D1557*L1557</f>
        <v>21728070</v>
      </c>
      <c r="P1557" s="34" t="str">
        <f aca="false">TRIM(IF(N(E1557)&lt;=0,"택가보정 ","")&amp;IF(N(F1557)&lt;=0,"원가보정 ","")&amp;IF(AND(B1557&lt;&gt;"CN",N(H1557)&lt;=0),"공급가보정 ","")&amp;IF(AND(B1557="CN",N(I1557)&lt;=0),"중국공급가=원가+마진 ",""))</f>
        <v>중국공급가=원가+마진</v>
      </c>
    </row>
    <row r="1558" customFormat="false" ht="15.75" hidden="false" customHeight="true" outlineLevel="0" collapsed="false">
      <c r="A1558" s="94" t="s">
        <v>1685</v>
      </c>
      <c r="B1558" s="34" t="str">
        <f aca="false">IF(A1558="100","HK",IF(A1558="200","CN",IF(A1558="300","TW","홀세일")))</f>
        <v>CN</v>
      </c>
      <c r="C1558" s="94" t="s">
        <v>1171</v>
      </c>
      <c r="D1558" s="95" t="n">
        <v>700</v>
      </c>
      <c r="E1558" s="95" t="n">
        <v>45000</v>
      </c>
      <c r="F1558" s="95" t="n">
        <v>11844</v>
      </c>
      <c r="G1558" s="34" t="n">
        <v>3.15</v>
      </c>
      <c r="H1558" s="34" t="n">
        <v>20.5</v>
      </c>
      <c r="J1558" s="95" t="n">
        <f aca="false">IF(N(E1558)&gt;0,E1558,IF(N(F1558)&gt;0,F1558*가정!$B$5,0))</f>
        <v>45000</v>
      </c>
      <c r="K1558" s="95" t="n">
        <f aca="false">IF(N(F1558)&gt;0,F1558,IF(N(E1558)&gt;0,E1558/가정!$B$5,0))</f>
        <v>11844</v>
      </c>
      <c r="L1558" s="95" t="n">
        <f aca="false">IF(B1558="CN",IF(N(I1558)&gt;0,I1558*가정!$B$3,K1558*(1+가정!$B$6)),IF(N(H1558)&gt;0,H1558*가정!$B$3,J1558*가정!$B$4))</f>
        <v>12436.2</v>
      </c>
      <c r="M1558" s="95" t="n">
        <f aca="false">D1558*J1558</f>
        <v>31500000</v>
      </c>
      <c r="N1558" s="95" t="n">
        <f aca="false">D1558*K1558</f>
        <v>8290800</v>
      </c>
      <c r="O1558" s="95" t="n">
        <f aca="false">D1558*L1558</f>
        <v>8705340</v>
      </c>
      <c r="P1558" s="34" t="str">
        <f aca="false">TRIM(IF(N(E1558)&lt;=0,"택가보정 ","")&amp;IF(N(F1558)&lt;=0,"원가보정 ","")&amp;IF(AND(B1558&lt;&gt;"CN",N(H1558)&lt;=0),"공급가보정 ","")&amp;IF(AND(B1558="CN",N(I1558)&lt;=0),"중국공급가=원가+마진 ",""))</f>
        <v>중국공급가=원가+마진</v>
      </c>
    </row>
    <row r="1559" customFormat="false" ht="15" hidden="false" customHeight="true" outlineLevel="0" collapsed="false">
      <c r="A1559" s="94" t="s">
        <v>1690</v>
      </c>
      <c r="B1559" s="34" t="str">
        <f aca="false">IF(A1559="100","HK",IF(A1559="200","CN",IF(A1559="300","TW","홀세일")))</f>
        <v>홀세일</v>
      </c>
      <c r="C1559" s="94" t="s">
        <v>1171</v>
      </c>
      <c r="D1559" s="95" t="n">
        <v>300</v>
      </c>
      <c r="E1559" s="95" t="n">
        <v>45000</v>
      </c>
      <c r="F1559" s="95" t="n">
        <v>11844</v>
      </c>
      <c r="G1559" s="34" t="n">
        <v>3.15</v>
      </c>
      <c r="H1559" s="34" t="n">
        <v>20.5</v>
      </c>
      <c r="J1559" s="95" t="n">
        <f aca="false">IF(N(E1559)&gt;0,E1559,IF(N(F1559)&gt;0,F1559*가정!$B$5,0))</f>
        <v>45000</v>
      </c>
      <c r="K1559" s="95" t="n">
        <f aca="false">IF(N(F1559)&gt;0,F1559,IF(N(E1559)&gt;0,E1559/가정!$B$5,0))</f>
        <v>11844</v>
      </c>
      <c r="L1559" s="95" t="n">
        <f aca="false">IF(B1559="CN",IF(N(I1559)&gt;0,I1559*가정!$B$3,K1559*(1+가정!$B$6)),IF(N(H1559)&gt;0,H1559*가정!$B$3,J1559*가정!$B$4))</f>
        <v>27936.99</v>
      </c>
      <c r="M1559" s="95" t="n">
        <f aca="false">D1559*J1559</f>
        <v>13500000</v>
      </c>
      <c r="N1559" s="95" t="n">
        <f aca="false">D1559*K1559</f>
        <v>3553200</v>
      </c>
      <c r="O1559" s="95" t="n">
        <f aca="false">D1559*L1559</f>
        <v>8381097</v>
      </c>
      <c r="P1559" s="34" t="str">
        <f aca="false">TRIM(IF(N(E1559)&lt;=0,"택가보정 ","")&amp;IF(N(F1559)&lt;=0,"원가보정 ","")&amp;IF(AND(B1559&lt;&gt;"CN",N(H1559)&lt;=0),"공급가보정 ","")&amp;IF(AND(B1559="CN",N(I1559)&lt;=0),"중국공급가=원가+마진 ",""))</f>
        <v/>
      </c>
    </row>
    <row r="1560" customFormat="false" ht="15.75" hidden="false" customHeight="true" outlineLevel="0" collapsed="false">
      <c r="A1560" s="94" t="s">
        <v>1685</v>
      </c>
      <c r="B1560" s="34" t="str">
        <f aca="false">IF(A1560="100","HK",IF(A1560="200","CN",IF(A1560="300","TW","홀세일")))</f>
        <v>CN</v>
      </c>
      <c r="C1560" s="94" t="s">
        <v>1173</v>
      </c>
      <c r="D1560" s="95" t="n">
        <v>1300</v>
      </c>
      <c r="E1560" s="95" t="n">
        <v>29000</v>
      </c>
      <c r="F1560" s="95" t="n">
        <v>8675</v>
      </c>
      <c r="G1560" s="34" t="n">
        <v>2.51</v>
      </c>
      <c r="H1560" s="34" t="n">
        <v>13.2</v>
      </c>
      <c r="J1560" s="95" t="n">
        <f aca="false">IF(N(E1560)&gt;0,E1560,IF(N(F1560)&gt;0,F1560*가정!$B$5,0))</f>
        <v>29000</v>
      </c>
      <c r="K1560" s="95" t="n">
        <f aca="false">IF(N(F1560)&gt;0,F1560,IF(N(E1560)&gt;0,E1560/가정!$B$5,0))</f>
        <v>8675</v>
      </c>
      <c r="L1560" s="95" t="n">
        <f aca="false">IF(B1560="CN",IF(N(I1560)&gt;0,I1560*가정!$B$3,K1560*(1+가정!$B$6)),IF(N(H1560)&gt;0,H1560*가정!$B$3,J1560*가정!$B$4))</f>
        <v>9108.75</v>
      </c>
      <c r="M1560" s="95" t="n">
        <f aca="false">D1560*J1560</f>
        <v>37700000</v>
      </c>
      <c r="N1560" s="95" t="n">
        <f aca="false">D1560*K1560</f>
        <v>11277500</v>
      </c>
      <c r="O1560" s="95" t="n">
        <f aca="false">D1560*L1560</f>
        <v>11841375</v>
      </c>
      <c r="P1560" s="34" t="str">
        <f aca="false">TRIM(IF(N(E1560)&lt;=0,"택가보정 ","")&amp;IF(N(F1560)&lt;=0,"원가보정 ","")&amp;IF(AND(B1560&lt;&gt;"CN",N(H1560)&lt;=0),"공급가보정 ","")&amp;IF(AND(B1560="CN",N(I1560)&lt;=0),"중국공급가=원가+마진 ",""))</f>
        <v>중국공급가=원가+마진</v>
      </c>
    </row>
    <row r="1561" customFormat="false" ht="15" hidden="false" customHeight="true" outlineLevel="0" collapsed="false">
      <c r="A1561" s="94" t="s">
        <v>1688</v>
      </c>
      <c r="B1561" s="34" t="str">
        <f aca="false">IF(A1561="100","HK",IF(A1561="200","CN",IF(A1561="300","TW","홀세일")))</f>
        <v>홀세일</v>
      </c>
      <c r="C1561" s="94" t="s">
        <v>1173</v>
      </c>
      <c r="D1561" s="95" t="n">
        <v>40</v>
      </c>
      <c r="E1561" s="95" t="n">
        <v>29000</v>
      </c>
      <c r="F1561" s="95" t="n">
        <v>8675</v>
      </c>
      <c r="G1561" s="34" t="n">
        <v>2.51</v>
      </c>
      <c r="H1561" s="34" t="n">
        <v>13.2</v>
      </c>
      <c r="J1561" s="95" t="n">
        <f aca="false">IF(N(E1561)&gt;0,E1561,IF(N(F1561)&gt;0,F1561*가정!$B$5,0))</f>
        <v>29000</v>
      </c>
      <c r="K1561" s="95" t="n">
        <f aca="false">IF(N(F1561)&gt;0,F1561,IF(N(E1561)&gt;0,E1561/가정!$B$5,0))</f>
        <v>8675</v>
      </c>
      <c r="L1561" s="95" t="n">
        <f aca="false">IF(B1561="CN",IF(N(I1561)&gt;0,I1561*가정!$B$3,K1561*(1+가정!$B$6)),IF(N(H1561)&gt;0,H1561*가정!$B$3,J1561*가정!$B$4))</f>
        <v>17988.696</v>
      </c>
      <c r="M1561" s="95" t="n">
        <f aca="false">D1561*J1561</f>
        <v>1160000</v>
      </c>
      <c r="N1561" s="95" t="n">
        <f aca="false">D1561*K1561</f>
        <v>347000</v>
      </c>
      <c r="O1561" s="95" t="n">
        <f aca="false">D1561*L1561</f>
        <v>719547.84</v>
      </c>
      <c r="P1561" s="34" t="str">
        <f aca="false">TRIM(IF(N(E1561)&lt;=0,"택가보정 ","")&amp;IF(N(F1561)&lt;=0,"원가보정 ","")&amp;IF(AND(B1561&lt;&gt;"CN",N(H1561)&lt;=0),"공급가보정 ","")&amp;IF(AND(B1561="CN",N(I1561)&lt;=0),"중국공급가=원가+마진 ",""))</f>
        <v/>
      </c>
    </row>
    <row r="1562" customFormat="false" ht="15" hidden="false" customHeight="true" outlineLevel="0" collapsed="false">
      <c r="A1562" s="94" t="s">
        <v>1684</v>
      </c>
      <c r="B1562" s="34" t="str">
        <f aca="false">IF(A1562="100","HK",IF(A1562="200","CN",IF(A1562="300","TW","홀세일")))</f>
        <v>HK</v>
      </c>
      <c r="C1562" s="94" t="s">
        <v>1175</v>
      </c>
      <c r="D1562" s="95" t="n">
        <v>100</v>
      </c>
      <c r="E1562" s="95" t="n">
        <v>245000</v>
      </c>
      <c r="F1562" s="95" t="n">
        <v>54278</v>
      </c>
      <c r="G1562" s="34" t="n">
        <v>4.12</v>
      </c>
      <c r="H1562" s="34" t="n">
        <v>83.6</v>
      </c>
      <c r="J1562" s="95" t="n">
        <f aca="false">IF(N(E1562)&gt;0,E1562,IF(N(F1562)&gt;0,F1562*가정!$B$5,0))</f>
        <v>245000</v>
      </c>
      <c r="K1562" s="95" t="n">
        <f aca="false">IF(N(F1562)&gt;0,F1562,IF(N(E1562)&gt;0,E1562/가정!$B$5,0))</f>
        <v>54278</v>
      </c>
      <c r="L1562" s="95" t="n">
        <f aca="false">IF(B1562="CN",IF(N(I1562)&gt;0,I1562*가정!$B$3,K1562*(1+가정!$B$6)),IF(N(H1562)&gt;0,H1562*가정!$B$3,J1562*가정!$B$4))</f>
        <v>113928.408</v>
      </c>
      <c r="M1562" s="95" t="n">
        <f aca="false">D1562*J1562</f>
        <v>24500000</v>
      </c>
      <c r="N1562" s="95" t="n">
        <f aca="false">D1562*K1562</f>
        <v>5427800</v>
      </c>
      <c r="O1562" s="95" t="n">
        <f aca="false">D1562*L1562</f>
        <v>11392840.8</v>
      </c>
      <c r="P1562" s="34" t="str">
        <f aca="false">TRIM(IF(N(E1562)&lt;=0,"택가보정 ","")&amp;IF(N(F1562)&lt;=0,"원가보정 ","")&amp;IF(AND(B1562&lt;&gt;"CN",N(H1562)&lt;=0),"공급가보정 ","")&amp;IF(AND(B1562="CN",N(I1562)&lt;=0),"중국공급가=원가+마진 ",""))</f>
        <v/>
      </c>
    </row>
    <row r="1563" customFormat="false" ht="15.75" hidden="false" customHeight="true" outlineLevel="0" collapsed="false">
      <c r="A1563" s="94" t="s">
        <v>1685</v>
      </c>
      <c r="B1563" s="34" t="str">
        <f aca="false">IF(A1563="100","HK",IF(A1563="200","CN",IF(A1563="300","TW","홀세일")))</f>
        <v>CN</v>
      </c>
      <c r="C1563" s="94" t="s">
        <v>1175</v>
      </c>
      <c r="D1563" s="95" t="n">
        <v>120</v>
      </c>
      <c r="E1563" s="95" t="n">
        <v>245000</v>
      </c>
      <c r="F1563" s="95" t="n">
        <v>54278</v>
      </c>
      <c r="G1563" s="34" t="n">
        <v>4.12</v>
      </c>
      <c r="H1563" s="34" t="n">
        <v>83.6</v>
      </c>
      <c r="J1563" s="95" t="n">
        <f aca="false">IF(N(E1563)&gt;0,E1563,IF(N(F1563)&gt;0,F1563*가정!$B$5,0))</f>
        <v>245000</v>
      </c>
      <c r="K1563" s="95" t="n">
        <f aca="false">IF(N(F1563)&gt;0,F1563,IF(N(E1563)&gt;0,E1563/가정!$B$5,0))</f>
        <v>54278</v>
      </c>
      <c r="L1563" s="95" t="n">
        <f aca="false">IF(B1563="CN",IF(N(I1563)&gt;0,I1563*가정!$B$3,K1563*(1+가정!$B$6)),IF(N(H1563)&gt;0,H1563*가정!$B$3,J1563*가정!$B$4))</f>
        <v>56991.9</v>
      </c>
      <c r="M1563" s="95" t="n">
        <f aca="false">D1563*J1563</f>
        <v>29400000</v>
      </c>
      <c r="N1563" s="95" t="n">
        <f aca="false">D1563*K1563</f>
        <v>6513360</v>
      </c>
      <c r="O1563" s="95" t="n">
        <f aca="false">D1563*L1563</f>
        <v>6839028</v>
      </c>
      <c r="P1563" s="34" t="str">
        <f aca="false">TRIM(IF(N(E1563)&lt;=0,"택가보정 ","")&amp;IF(N(F1563)&lt;=0,"원가보정 ","")&amp;IF(AND(B1563&lt;&gt;"CN",N(H1563)&lt;=0),"공급가보정 ","")&amp;IF(AND(B1563="CN",N(I1563)&lt;=0),"중국공급가=원가+마진 ",""))</f>
        <v>중국공급가=원가+마진</v>
      </c>
    </row>
    <row r="1564" customFormat="false" ht="15" hidden="false" customHeight="true" outlineLevel="0" collapsed="false">
      <c r="A1564" s="94" t="s">
        <v>1688</v>
      </c>
      <c r="B1564" s="34" t="str">
        <f aca="false">IF(A1564="100","HK",IF(A1564="200","CN",IF(A1564="300","TW","홀세일")))</f>
        <v>홀세일</v>
      </c>
      <c r="C1564" s="94" t="s">
        <v>1175</v>
      </c>
      <c r="D1564" s="95" t="n">
        <v>15</v>
      </c>
      <c r="E1564" s="95" t="n">
        <v>245000</v>
      </c>
      <c r="F1564" s="95" t="n">
        <v>54278</v>
      </c>
      <c r="G1564" s="34" t="n">
        <v>4.12</v>
      </c>
      <c r="H1564" s="34" t="n">
        <v>83.6</v>
      </c>
      <c r="J1564" s="95" t="n">
        <f aca="false">IF(N(E1564)&gt;0,E1564,IF(N(F1564)&gt;0,F1564*가정!$B$5,0))</f>
        <v>245000</v>
      </c>
      <c r="K1564" s="95" t="n">
        <f aca="false">IF(N(F1564)&gt;0,F1564,IF(N(E1564)&gt;0,E1564/가정!$B$5,0))</f>
        <v>54278</v>
      </c>
      <c r="L1564" s="95" t="n">
        <f aca="false">IF(B1564="CN",IF(N(I1564)&gt;0,I1564*가정!$B$3,K1564*(1+가정!$B$6)),IF(N(H1564)&gt;0,H1564*가정!$B$3,J1564*가정!$B$4))</f>
        <v>113928.408</v>
      </c>
      <c r="M1564" s="95" t="n">
        <f aca="false">D1564*J1564</f>
        <v>3675000</v>
      </c>
      <c r="N1564" s="95" t="n">
        <f aca="false">D1564*K1564</f>
        <v>814170</v>
      </c>
      <c r="O1564" s="95" t="n">
        <f aca="false">D1564*L1564</f>
        <v>1708926.12</v>
      </c>
      <c r="P1564" s="34" t="str">
        <f aca="false">TRIM(IF(N(E1564)&lt;=0,"택가보정 ","")&amp;IF(N(F1564)&lt;=0,"원가보정 ","")&amp;IF(AND(B1564&lt;&gt;"CN",N(H1564)&lt;=0),"공급가보정 ","")&amp;IF(AND(B1564="CN",N(I1564)&lt;=0),"중국공급가=원가+마진 ",""))</f>
        <v/>
      </c>
    </row>
    <row r="1565" customFormat="false" ht="15" hidden="false" customHeight="true" outlineLevel="0" collapsed="false">
      <c r="A1565" s="94" t="s">
        <v>1692</v>
      </c>
      <c r="B1565" s="34" t="str">
        <f aca="false">IF(A1565="100","HK",IF(A1565="200","CN",IF(A1565="300","TW","홀세일")))</f>
        <v>홀세일</v>
      </c>
      <c r="C1565" s="94" t="s">
        <v>1175</v>
      </c>
      <c r="D1565" s="95" t="n">
        <v>30</v>
      </c>
      <c r="E1565" s="95" t="n">
        <v>245000</v>
      </c>
      <c r="F1565" s="95" t="n">
        <v>54278</v>
      </c>
      <c r="G1565" s="34" t="n">
        <v>4.12</v>
      </c>
      <c r="H1565" s="34" t="n">
        <v>83.6</v>
      </c>
      <c r="J1565" s="95" t="n">
        <f aca="false">IF(N(E1565)&gt;0,E1565,IF(N(F1565)&gt;0,F1565*가정!$B$5,0))</f>
        <v>245000</v>
      </c>
      <c r="K1565" s="95" t="n">
        <f aca="false">IF(N(F1565)&gt;0,F1565,IF(N(E1565)&gt;0,E1565/가정!$B$5,0))</f>
        <v>54278</v>
      </c>
      <c r="L1565" s="95" t="n">
        <f aca="false">IF(B1565="CN",IF(N(I1565)&gt;0,I1565*가정!$B$3,K1565*(1+가정!$B$6)),IF(N(H1565)&gt;0,H1565*가정!$B$3,J1565*가정!$B$4))</f>
        <v>113928.408</v>
      </c>
      <c r="M1565" s="95" t="n">
        <f aca="false">D1565*J1565</f>
        <v>7350000</v>
      </c>
      <c r="N1565" s="95" t="n">
        <f aca="false">D1565*K1565</f>
        <v>1628340</v>
      </c>
      <c r="O1565" s="95" t="n">
        <f aca="false">D1565*L1565</f>
        <v>3417852.24</v>
      </c>
      <c r="P1565" s="34" t="str">
        <f aca="false">TRIM(IF(N(E1565)&lt;=0,"택가보정 ","")&amp;IF(N(F1565)&lt;=0,"원가보정 ","")&amp;IF(AND(B1565&lt;&gt;"CN",N(H1565)&lt;=0),"공급가보정 ","")&amp;IF(AND(B1565="CN",N(I1565)&lt;=0),"중국공급가=원가+마진 ",""))</f>
        <v/>
      </c>
    </row>
    <row r="1566" customFormat="false" ht="15" hidden="false" customHeight="true" outlineLevel="0" collapsed="false">
      <c r="A1566" s="94" t="s">
        <v>1684</v>
      </c>
      <c r="B1566" s="34" t="str">
        <f aca="false">IF(A1566="100","HK",IF(A1566="200","CN",IF(A1566="300","TW","홀세일")))</f>
        <v>HK</v>
      </c>
      <c r="C1566" s="94" t="s">
        <v>1177</v>
      </c>
      <c r="D1566" s="95" t="n">
        <v>180</v>
      </c>
      <c r="E1566" s="95" t="n">
        <v>345000</v>
      </c>
      <c r="F1566" s="95" t="n">
        <v>87504</v>
      </c>
      <c r="G1566" s="34" t="n">
        <v>3.65</v>
      </c>
      <c r="H1566" s="34" t="n">
        <v>117.8</v>
      </c>
      <c r="J1566" s="95" t="n">
        <f aca="false">IF(N(E1566)&gt;0,E1566,IF(N(F1566)&gt;0,F1566*가정!$B$5,0))</f>
        <v>345000</v>
      </c>
      <c r="K1566" s="95" t="n">
        <f aca="false">IF(N(F1566)&gt;0,F1566,IF(N(E1566)&gt;0,E1566/가정!$B$5,0))</f>
        <v>87504</v>
      </c>
      <c r="L1566" s="95" t="n">
        <f aca="false">IF(B1566="CN",IF(N(I1566)&gt;0,I1566*가정!$B$3,K1566*(1+가정!$B$6)),IF(N(H1566)&gt;0,H1566*가정!$B$3,J1566*가정!$B$4))</f>
        <v>160535.484</v>
      </c>
      <c r="M1566" s="95" t="n">
        <f aca="false">D1566*J1566</f>
        <v>62100000</v>
      </c>
      <c r="N1566" s="95" t="n">
        <f aca="false">D1566*K1566</f>
        <v>15750720</v>
      </c>
      <c r="O1566" s="95" t="n">
        <f aca="false">D1566*L1566</f>
        <v>28896387.12</v>
      </c>
      <c r="P1566" s="34" t="str">
        <f aca="false">TRIM(IF(N(E1566)&lt;=0,"택가보정 ","")&amp;IF(N(F1566)&lt;=0,"원가보정 ","")&amp;IF(AND(B1566&lt;&gt;"CN",N(H1566)&lt;=0),"공급가보정 ","")&amp;IF(AND(B1566="CN",N(I1566)&lt;=0),"중국공급가=원가+마진 ",""))</f>
        <v/>
      </c>
    </row>
    <row r="1567" customFormat="false" ht="15.75" hidden="false" customHeight="true" outlineLevel="0" collapsed="false">
      <c r="A1567" s="94" t="s">
        <v>1685</v>
      </c>
      <c r="B1567" s="34" t="str">
        <f aca="false">IF(A1567="100","HK",IF(A1567="200","CN",IF(A1567="300","TW","홀세일")))</f>
        <v>CN</v>
      </c>
      <c r="C1567" s="94" t="s">
        <v>1177</v>
      </c>
      <c r="D1567" s="95" t="n">
        <v>50</v>
      </c>
      <c r="E1567" s="95" t="n">
        <v>345000</v>
      </c>
      <c r="F1567" s="95" t="n">
        <v>87504</v>
      </c>
      <c r="G1567" s="34" t="n">
        <v>3.65</v>
      </c>
      <c r="H1567" s="34" t="n">
        <v>117.8</v>
      </c>
      <c r="J1567" s="95" t="n">
        <f aca="false">IF(N(E1567)&gt;0,E1567,IF(N(F1567)&gt;0,F1567*가정!$B$5,0))</f>
        <v>345000</v>
      </c>
      <c r="K1567" s="95" t="n">
        <f aca="false">IF(N(F1567)&gt;0,F1567,IF(N(E1567)&gt;0,E1567/가정!$B$5,0))</f>
        <v>87504</v>
      </c>
      <c r="L1567" s="95" t="n">
        <f aca="false">IF(B1567="CN",IF(N(I1567)&gt;0,I1567*가정!$B$3,K1567*(1+가정!$B$6)),IF(N(H1567)&gt;0,H1567*가정!$B$3,J1567*가정!$B$4))</f>
        <v>91879.2</v>
      </c>
      <c r="M1567" s="95" t="n">
        <f aca="false">D1567*J1567</f>
        <v>17250000</v>
      </c>
      <c r="N1567" s="95" t="n">
        <f aca="false">D1567*K1567</f>
        <v>4375200</v>
      </c>
      <c r="O1567" s="95" t="n">
        <f aca="false">D1567*L1567</f>
        <v>4593960</v>
      </c>
      <c r="P1567" s="34" t="str">
        <f aca="false">TRIM(IF(N(E1567)&lt;=0,"택가보정 ","")&amp;IF(N(F1567)&lt;=0,"원가보정 ","")&amp;IF(AND(B1567&lt;&gt;"CN",N(H1567)&lt;=0),"공급가보정 ","")&amp;IF(AND(B1567="CN",N(I1567)&lt;=0),"중국공급가=원가+마진 ",""))</f>
        <v>중국공급가=원가+마진</v>
      </c>
    </row>
    <row r="1568" customFormat="false" ht="15" hidden="false" customHeight="true" outlineLevel="0" collapsed="false">
      <c r="A1568" s="94" t="s">
        <v>1692</v>
      </c>
      <c r="B1568" s="34" t="str">
        <f aca="false">IF(A1568="100","HK",IF(A1568="200","CN",IF(A1568="300","TW","홀세일")))</f>
        <v>홀세일</v>
      </c>
      <c r="C1568" s="94" t="s">
        <v>1177</v>
      </c>
      <c r="D1568" s="95" t="n">
        <v>40</v>
      </c>
      <c r="E1568" s="95" t="n">
        <v>345000</v>
      </c>
      <c r="F1568" s="95" t="n">
        <v>87504</v>
      </c>
      <c r="G1568" s="34" t="n">
        <v>3.65</v>
      </c>
      <c r="H1568" s="34" t="n">
        <v>117.8</v>
      </c>
      <c r="J1568" s="95" t="n">
        <f aca="false">IF(N(E1568)&gt;0,E1568,IF(N(F1568)&gt;0,F1568*가정!$B$5,0))</f>
        <v>345000</v>
      </c>
      <c r="K1568" s="95" t="n">
        <f aca="false">IF(N(F1568)&gt;0,F1568,IF(N(E1568)&gt;0,E1568/가정!$B$5,0))</f>
        <v>87504</v>
      </c>
      <c r="L1568" s="95" t="n">
        <f aca="false">IF(B1568="CN",IF(N(I1568)&gt;0,I1568*가정!$B$3,K1568*(1+가정!$B$6)),IF(N(H1568)&gt;0,H1568*가정!$B$3,J1568*가정!$B$4))</f>
        <v>160535.484</v>
      </c>
      <c r="M1568" s="95" t="n">
        <f aca="false">D1568*J1568</f>
        <v>13800000</v>
      </c>
      <c r="N1568" s="95" t="n">
        <f aca="false">D1568*K1568</f>
        <v>3500160</v>
      </c>
      <c r="O1568" s="95" t="n">
        <f aca="false">D1568*L1568</f>
        <v>6421419.36</v>
      </c>
      <c r="P1568" s="34" t="str">
        <f aca="false">TRIM(IF(N(E1568)&lt;=0,"택가보정 ","")&amp;IF(N(F1568)&lt;=0,"원가보정 ","")&amp;IF(AND(B1568&lt;&gt;"CN",N(H1568)&lt;=0),"공급가보정 ","")&amp;IF(AND(B1568="CN",N(I1568)&lt;=0),"중국공급가=원가+마진 ",""))</f>
        <v/>
      </c>
    </row>
    <row r="1569" customFormat="false" ht="15" hidden="false" customHeight="true" outlineLevel="0" collapsed="false">
      <c r="A1569" s="94" t="s">
        <v>1684</v>
      </c>
      <c r="B1569" s="34" t="str">
        <f aca="false">IF(A1569="100","HK",IF(A1569="200","CN",IF(A1569="300","TW","홀세일")))</f>
        <v>HK</v>
      </c>
      <c r="C1569" s="94" t="s">
        <v>1737</v>
      </c>
      <c r="D1569" s="95" t="n">
        <v>140</v>
      </c>
      <c r="E1569" s="95" t="n">
        <v>219000</v>
      </c>
      <c r="F1569" s="95" t="n">
        <v>47845</v>
      </c>
      <c r="G1569" s="34" t="n">
        <v>3.98</v>
      </c>
      <c r="H1569" s="34" t="n">
        <v>74.8</v>
      </c>
      <c r="J1569" s="95" t="n">
        <f aca="false">IF(N(E1569)&gt;0,E1569,IF(N(F1569)&gt;0,F1569*가정!$B$5,0))</f>
        <v>219000</v>
      </c>
      <c r="K1569" s="95" t="n">
        <f aca="false">IF(N(F1569)&gt;0,F1569,IF(N(E1569)&gt;0,E1569/가정!$B$5,0))</f>
        <v>47845</v>
      </c>
      <c r="L1569" s="95" t="n">
        <f aca="false">IF(B1569="CN",IF(N(I1569)&gt;0,I1569*가정!$B$3,K1569*(1+가정!$B$6)),IF(N(H1569)&gt;0,H1569*가정!$B$3,J1569*가정!$B$4))</f>
        <v>101935.944</v>
      </c>
      <c r="M1569" s="95" t="n">
        <f aca="false">D1569*J1569</f>
        <v>30660000</v>
      </c>
      <c r="N1569" s="95" t="n">
        <f aca="false">D1569*K1569</f>
        <v>6698300</v>
      </c>
      <c r="O1569" s="95" t="n">
        <f aca="false">D1569*L1569</f>
        <v>14271032.16</v>
      </c>
      <c r="P1569" s="34" t="str">
        <f aca="false">TRIM(IF(N(E1569)&lt;=0,"택가보정 ","")&amp;IF(N(F1569)&lt;=0,"원가보정 ","")&amp;IF(AND(B1569&lt;&gt;"CN",N(H1569)&lt;=0),"공급가보정 ","")&amp;IF(AND(B1569="CN",N(I1569)&lt;=0),"중국공급가=원가+마진 ",""))</f>
        <v/>
      </c>
    </row>
    <row r="1570" customFormat="false" ht="15" hidden="false" customHeight="true" outlineLevel="0" collapsed="false">
      <c r="A1570" s="94" t="s">
        <v>1684</v>
      </c>
      <c r="B1570" s="34" t="str">
        <f aca="false">IF(A1570="100","HK",IF(A1570="200","CN",IF(A1570="300","TW","홀세일")))</f>
        <v>HK</v>
      </c>
      <c r="C1570" s="94" t="s">
        <v>1738</v>
      </c>
      <c r="D1570" s="95" t="n">
        <v>140</v>
      </c>
      <c r="E1570" s="95" t="n">
        <v>279000</v>
      </c>
      <c r="F1570" s="95" t="n">
        <v>62056</v>
      </c>
      <c r="G1570" s="34" t="n">
        <v>4.16</v>
      </c>
      <c r="H1570" s="34" t="n">
        <v>95.3</v>
      </c>
      <c r="J1570" s="95" t="n">
        <f aca="false">IF(N(E1570)&gt;0,E1570,IF(N(F1570)&gt;0,F1570*가정!$B$5,0))</f>
        <v>279000</v>
      </c>
      <c r="K1570" s="95" t="n">
        <f aca="false">IF(N(F1570)&gt;0,F1570,IF(N(E1570)&gt;0,E1570/가정!$B$5,0))</f>
        <v>62056</v>
      </c>
      <c r="L1570" s="95" t="n">
        <f aca="false">IF(B1570="CN",IF(N(I1570)&gt;0,I1570*가정!$B$3,K1570*(1+가정!$B$6)),IF(N(H1570)&gt;0,H1570*가정!$B$3,J1570*가정!$B$4))</f>
        <v>129872.934</v>
      </c>
      <c r="M1570" s="95" t="n">
        <f aca="false">D1570*J1570</f>
        <v>39060000</v>
      </c>
      <c r="N1570" s="95" t="n">
        <f aca="false">D1570*K1570</f>
        <v>8687840</v>
      </c>
      <c r="O1570" s="95" t="n">
        <f aca="false">D1570*L1570</f>
        <v>18182210.76</v>
      </c>
      <c r="P1570" s="34" t="str">
        <f aca="false">TRIM(IF(N(E1570)&lt;=0,"택가보정 ","")&amp;IF(N(F1570)&lt;=0,"원가보정 ","")&amp;IF(AND(B1570&lt;&gt;"CN",N(H1570)&lt;=0),"공급가보정 ","")&amp;IF(AND(B1570="CN",N(I1570)&lt;=0),"중국공급가=원가+마진 ",""))</f>
        <v/>
      </c>
    </row>
    <row r="1571" customFormat="false" ht="15" hidden="false" customHeight="true" outlineLevel="0" collapsed="false">
      <c r="A1571" s="94" t="s">
        <v>1684</v>
      </c>
      <c r="B1571" s="34" t="str">
        <f aca="false">IF(A1571="100","HK",IF(A1571="200","CN",IF(A1571="300","TW","홀세일")))</f>
        <v>HK</v>
      </c>
      <c r="C1571" s="94" t="s">
        <v>1415</v>
      </c>
      <c r="D1571" s="95" t="n">
        <v>60</v>
      </c>
      <c r="E1571" s="95" t="n">
        <v>298000</v>
      </c>
      <c r="F1571" s="95" t="n">
        <v>74790</v>
      </c>
      <c r="G1571" s="34" t="n">
        <v>3.93</v>
      </c>
      <c r="H1571" s="34" t="n">
        <v>101.7</v>
      </c>
      <c r="J1571" s="95" t="n">
        <f aca="false">IF(N(E1571)&gt;0,E1571,IF(N(F1571)&gt;0,F1571*가정!$B$5,0))</f>
        <v>298000</v>
      </c>
      <c r="K1571" s="95" t="n">
        <f aca="false">IF(N(F1571)&gt;0,F1571,IF(N(E1571)&gt;0,E1571/가정!$B$5,0))</f>
        <v>74790</v>
      </c>
      <c r="L1571" s="95" t="n">
        <f aca="false">IF(B1571="CN",IF(N(I1571)&gt;0,I1571*가정!$B$3,K1571*(1+가정!$B$6)),IF(N(H1571)&gt;0,H1571*가정!$B$3,J1571*가정!$B$4))</f>
        <v>138594.726</v>
      </c>
      <c r="M1571" s="95" t="n">
        <f aca="false">D1571*J1571</f>
        <v>17880000</v>
      </c>
      <c r="N1571" s="95" t="n">
        <f aca="false">D1571*K1571</f>
        <v>4487400</v>
      </c>
      <c r="O1571" s="95" t="n">
        <f aca="false">D1571*L1571</f>
        <v>8315683.56</v>
      </c>
      <c r="P1571" s="34" t="str">
        <f aca="false">TRIM(IF(N(E1571)&lt;=0,"택가보정 ","")&amp;IF(N(F1571)&lt;=0,"원가보정 ","")&amp;IF(AND(B1571&lt;&gt;"CN",N(H1571)&lt;=0),"공급가보정 ","")&amp;IF(AND(B1571="CN",N(I1571)&lt;=0),"중국공급가=원가+마진 ",""))</f>
        <v/>
      </c>
    </row>
    <row r="1572" customFormat="false" ht="15.75" hidden="false" customHeight="true" outlineLevel="0" collapsed="false">
      <c r="A1572" s="94" t="s">
        <v>1685</v>
      </c>
      <c r="B1572" s="34" t="str">
        <f aca="false">IF(A1572="100","HK",IF(A1572="200","CN",IF(A1572="300","TW","홀세일")))</f>
        <v>CN</v>
      </c>
      <c r="C1572" s="94" t="s">
        <v>1415</v>
      </c>
      <c r="D1572" s="95" t="n">
        <v>30</v>
      </c>
      <c r="E1572" s="95" t="n">
        <v>298000</v>
      </c>
      <c r="F1572" s="95" t="n">
        <v>74790</v>
      </c>
      <c r="G1572" s="34" t="n">
        <v>3.93</v>
      </c>
      <c r="H1572" s="34" t="n">
        <v>101.7</v>
      </c>
      <c r="J1572" s="95" t="n">
        <f aca="false">IF(N(E1572)&gt;0,E1572,IF(N(F1572)&gt;0,F1572*가정!$B$5,0))</f>
        <v>298000</v>
      </c>
      <c r="K1572" s="95" t="n">
        <f aca="false">IF(N(F1572)&gt;0,F1572,IF(N(E1572)&gt;0,E1572/가정!$B$5,0))</f>
        <v>74790</v>
      </c>
      <c r="L1572" s="95" t="n">
        <f aca="false">IF(B1572="CN",IF(N(I1572)&gt;0,I1572*가정!$B$3,K1572*(1+가정!$B$6)),IF(N(H1572)&gt;0,H1572*가정!$B$3,J1572*가정!$B$4))</f>
        <v>78529.5</v>
      </c>
      <c r="M1572" s="95" t="n">
        <f aca="false">D1572*J1572</f>
        <v>8940000</v>
      </c>
      <c r="N1572" s="95" t="n">
        <f aca="false">D1572*K1572</f>
        <v>2243700</v>
      </c>
      <c r="O1572" s="95" t="n">
        <f aca="false">D1572*L1572</f>
        <v>2355885</v>
      </c>
      <c r="P1572" s="34" t="str">
        <f aca="false">TRIM(IF(N(E1572)&lt;=0,"택가보정 ","")&amp;IF(N(F1572)&lt;=0,"원가보정 ","")&amp;IF(AND(B1572&lt;&gt;"CN",N(H1572)&lt;=0),"공급가보정 ","")&amp;IF(AND(B1572="CN",N(I1572)&lt;=0),"중국공급가=원가+마진 ",""))</f>
        <v>중국공급가=원가+마진</v>
      </c>
    </row>
    <row r="1573" customFormat="false" ht="15" hidden="false" customHeight="true" outlineLevel="0" collapsed="false">
      <c r="A1573" s="94" t="s">
        <v>1687</v>
      </c>
      <c r="B1573" s="34" t="str">
        <f aca="false">IF(A1573="100","HK",IF(A1573="200","CN",IF(A1573="300","TW","홀세일")))</f>
        <v>홀세일</v>
      </c>
      <c r="C1573" s="94" t="s">
        <v>1415</v>
      </c>
      <c r="D1573" s="95" t="n">
        <v>10</v>
      </c>
      <c r="E1573" s="95" t="n">
        <v>298000</v>
      </c>
      <c r="F1573" s="95" t="n">
        <v>74790</v>
      </c>
      <c r="G1573" s="34" t="n">
        <v>3.93</v>
      </c>
      <c r="H1573" s="34" t="n">
        <v>101.7</v>
      </c>
      <c r="J1573" s="95" t="n">
        <f aca="false">IF(N(E1573)&gt;0,E1573,IF(N(F1573)&gt;0,F1573*가정!$B$5,0))</f>
        <v>298000</v>
      </c>
      <c r="K1573" s="95" t="n">
        <f aca="false">IF(N(F1573)&gt;0,F1573,IF(N(E1573)&gt;0,E1573/가정!$B$5,0))</f>
        <v>74790</v>
      </c>
      <c r="L1573" s="95" t="n">
        <f aca="false">IF(B1573="CN",IF(N(I1573)&gt;0,I1573*가정!$B$3,K1573*(1+가정!$B$6)),IF(N(H1573)&gt;0,H1573*가정!$B$3,J1573*가정!$B$4))</f>
        <v>138594.726</v>
      </c>
      <c r="M1573" s="95" t="n">
        <f aca="false">D1573*J1573</f>
        <v>2980000</v>
      </c>
      <c r="N1573" s="95" t="n">
        <f aca="false">D1573*K1573</f>
        <v>747900</v>
      </c>
      <c r="O1573" s="95" t="n">
        <f aca="false">D1573*L1573</f>
        <v>1385947.26</v>
      </c>
      <c r="P1573" s="34" t="str">
        <f aca="false">TRIM(IF(N(E1573)&lt;=0,"택가보정 ","")&amp;IF(N(F1573)&lt;=0,"원가보정 ","")&amp;IF(AND(B1573&lt;&gt;"CN",N(H1573)&lt;=0),"공급가보정 ","")&amp;IF(AND(B1573="CN",N(I1573)&lt;=0),"중국공급가=원가+마진 ",""))</f>
        <v/>
      </c>
    </row>
    <row r="1574" customFormat="false" ht="15" hidden="false" customHeight="true" outlineLevel="0" collapsed="false">
      <c r="A1574" s="94" t="s">
        <v>1688</v>
      </c>
      <c r="B1574" s="34" t="str">
        <f aca="false">IF(A1574="100","HK",IF(A1574="200","CN",IF(A1574="300","TW","홀세일")))</f>
        <v>홀세일</v>
      </c>
      <c r="C1574" s="94" t="s">
        <v>1415</v>
      </c>
      <c r="D1574" s="95" t="n">
        <v>10</v>
      </c>
      <c r="E1574" s="95" t="n">
        <v>298000</v>
      </c>
      <c r="F1574" s="95" t="n">
        <v>74790</v>
      </c>
      <c r="G1574" s="34" t="n">
        <v>3.93</v>
      </c>
      <c r="H1574" s="34" t="n">
        <v>101.7</v>
      </c>
      <c r="J1574" s="95" t="n">
        <f aca="false">IF(N(E1574)&gt;0,E1574,IF(N(F1574)&gt;0,F1574*가정!$B$5,0))</f>
        <v>298000</v>
      </c>
      <c r="K1574" s="95" t="n">
        <f aca="false">IF(N(F1574)&gt;0,F1574,IF(N(E1574)&gt;0,E1574/가정!$B$5,0))</f>
        <v>74790</v>
      </c>
      <c r="L1574" s="95" t="n">
        <f aca="false">IF(B1574="CN",IF(N(I1574)&gt;0,I1574*가정!$B$3,K1574*(1+가정!$B$6)),IF(N(H1574)&gt;0,H1574*가정!$B$3,J1574*가정!$B$4))</f>
        <v>138594.726</v>
      </c>
      <c r="M1574" s="95" t="n">
        <f aca="false">D1574*J1574</f>
        <v>2980000</v>
      </c>
      <c r="N1574" s="95" t="n">
        <f aca="false">D1574*K1574</f>
        <v>747900</v>
      </c>
      <c r="O1574" s="95" t="n">
        <f aca="false">D1574*L1574</f>
        <v>1385947.26</v>
      </c>
      <c r="P1574" s="34" t="str">
        <f aca="false">TRIM(IF(N(E1574)&lt;=0,"택가보정 ","")&amp;IF(N(F1574)&lt;=0,"원가보정 ","")&amp;IF(AND(B1574&lt;&gt;"CN",N(H1574)&lt;=0),"공급가보정 ","")&amp;IF(AND(B1574="CN",N(I1574)&lt;=0),"중국공급가=원가+마진 ",""))</f>
        <v/>
      </c>
    </row>
    <row r="1575" customFormat="false" ht="15" hidden="false" customHeight="true" outlineLevel="0" collapsed="false">
      <c r="A1575" s="94" t="s">
        <v>1692</v>
      </c>
      <c r="B1575" s="34" t="str">
        <f aca="false">IF(A1575="100","HK",IF(A1575="200","CN",IF(A1575="300","TW","홀세일")))</f>
        <v>홀세일</v>
      </c>
      <c r="C1575" s="94" t="s">
        <v>1415</v>
      </c>
      <c r="D1575" s="95" t="n">
        <v>20</v>
      </c>
      <c r="E1575" s="95" t="n">
        <v>298000</v>
      </c>
      <c r="F1575" s="95" t="n">
        <v>74790</v>
      </c>
      <c r="G1575" s="34" t="n">
        <v>3.93</v>
      </c>
      <c r="H1575" s="34" t="n">
        <v>101.7</v>
      </c>
      <c r="J1575" s="95" t="n">
        <f aca="false">IF(N(E1575)&gt;0,E1575,IF(N(F1575)&gt;0,F1575*가정!$B$5,0))</f>
        <v>298000</v>
      </c>
      <c r="K1575" s="95" t="n">
        <f aca="false">IF(N(F1575)&gt;0,F1575,IF(N(E1575)&gt;0,E1575/가정!$B$5,0))</f>
        <v>74790</v>
      </c>
      <c r="L1575" s="95" t="n">
        <f aca="false">IF(B1575="CN",IF(N(I1575)&gt;0,I1575*가정!$B$3,K1575*(1+가정!$B$6)),IF(N(H1575)&gt;0,H1575*가정!$B$3,J1575*가정!$B$4))</f>
        <v>138594.726</v>
      </c>
      <c r="M1575" s="95" t="n">
        <f aca="false">D1575*J1575</f>
        <v>5960000</v>
      </c>
      <c r="N1575" s="95" t="n">
        <f aca="false">D1575*K1575</f>
        <v>1495800</v>
      </c>
      <c r="O1575" s="95" t="n">
        <f aca="false">D1575*L1575</f>
        <v>2771894.52</v>
      </c>
      <c r="P1575" s="34" t="str">
        <f aca="false">TRIM(IF(N(E1575)&lt;=0,"택가보정 ","")&amp;IF(N(F1575)&lt;=0,"원가보정 ","")&amp;IF(AND(B1575&lt;&gt;"CN",N(H1575)&lt;=0),"공급가보정 ","")&amp;IF(AND(B1575="CN",N(I1575)&lt;=0),"중국공급가=원가+마진 ",""))</f>
        <v/>
      </c>
    </row>
    <row r="1576" customFormat="false" ht="15" hidden="false" customHeight="true" outlineLevel="0" collapsed="false">
      <c r="A1576" s="94" t="s">
        <v>1689</v>
      </c>
      <c r="B1576" s="34" t="str">
        <f aca="false">IF(A1576="100","HK",IF(A1576="200","CN",IF(A1576="300","TW","홀세일")))</f>
        <v>홀세일</v>
      </c>
      <c r="C1576" s="94" t="s">
        <v>1415</v>
      </c>
      <c r="D1576" s="95" t="n">
        <v>15</v>
      </c>
      <c r="E1576" s="95" t="n">
        <v>298000</v>
      </c>
      <c r="F1576" s="95" t="n">
        <v>74790</v>
      </c>
      <c r="G1576" s="34" t="n">
        <v>3.93</v>
      </c>
      <c r="H1576" s="34" t="n">
        <v>101.7</v>
      </c>
      <c r="J1576" s="95" t="n">
        <f aca="false">IF(N(E1576)&gt;0,E1576,IF(N(F1576)&gt;0,F1576*가정!$B$5,0))</f>
        <v>298000</v>
      </c>
      <c r="K1576" s="95" t="n">
        <f aca="false">IF(N(F1576)&gt;0,F1576,IF(N(E1576)&gt;0,E1576/가정!$B$5,0))</f>
        <v>74790</v>
      </c>
      <c r="L1576" s="95" t="n">
        <f aca="false">IF(B1576="CN",IF(N(I1576)&gt;0,I1576*가정!$B$3,K1576*(1+가정!$B$6)),IF(N(H1576)&gt;0,H1576*가정!$B$3,J1576*가정!$B$4))</f>
        <v>138594.726</v>
      </c>
      <c r="M1576" s="95" t="n">
        <f aca="false">D1576*J1576</f>
        <v>4470000</v>
      </c>
      <c r="N1576" s="95" t="n">
        <f aca="false">D1576*K1576</f>
        <v>1121850</v>
      </c>
      <c r="O1576" s="95" t="n">
        <f aca="false">D1576*L1576</f>
        <v>2078920.89</v>
      </c>
      <c r="P1576" s="34" t="str">
        <f aca="false">TRIM(IF(N(E1576)&lt;=0,"택가보정 ","")&amp;IF(N(F1576)&lt;=0,"원가보정 ","")&amp;IF(AND(B1576&lt;&gt;"CN",N(H1576)&lt;=0),"공급가보정 ","")&amp;IF(AND(B1576="CN",N(I1576)&lt;=0),"중국공급가=원가+마진 ",""))</f>
        <v/>
      </c>
    </row>
    <row r="1577" customFormat="false" ht="15" hidden="false" customHeight="true" outlineLevel="0" collapsed="false">
      <c r="A1577" s="94" t="s">
        <v>1684</v>
      </c>
      <c r="B1577" s="34" t="str">
        <f aca="false">IF(A1577="100","HK",IF(A1577="200","CN",IF(A1577="300","TW","홀세일")))</f>
        <v>HK</v>
      </c>
      <c r="C1577" s="94" t="s">
        <v>1179</v>
      </c>
      <c r="D1577" s="95" t="n">
        <v>100</v>
      </c>
      <c r="E1577" s="95" t="n">
        <v>309000</v>
      </c>
      <c r="F1577" s="95" t="n">
        <v>71630</v>
      </c>
      <c r="G1577" s="34" t="n">
        <v>3.85</v>
      </c>
      <c r="H1577" s="34" t="n">
        <v>105.5</v>
      </c>
      <c r="J1577" s="95" t="n">
        <f aca="false">IF(N(E1577)&gt;0,E1577,IF(N(F1577)&gt;0,F1577*가정!$B$5,0))</f>
        <v>309000</v>
      </c>
      <c r="K1577" s="95" t="n">
        <f aca="false">IF(N(F1577)&gt;0,F1577,IF(N(E1577)&gt;0,E1577/가정!$B$5,0))</f>
        <v>71630</v>
      </c>
      <c r="L1577" s="95" t="n">
        <f aca="false">IF(B1577="CN",IF(N(I1577)&gt;0,I1577*가정!$B$3,K1577*(1+가정!$B$6)),IF(N(H1577)&gt;0,H1577*가정!$B$3,J1577*가정!$B$4))</f>
        <v>143773.29</v>
      </c>
      <c r="M1577" s="95" t="n">
        <f aca="false">D1577*J1577</f>
        <v>30900000</v>
      </c>
      <c r="N1577" s="95" t="n">
        <f aca="false">D1577*K1577</f>
        <v>7163000</v>
      </c>
      <c r="O1577" s="95" t="n">
        <f aca="false">D1577*L1577</f>
        <v>14377329</v>
      </c>
      <c r="P1577" s="34" t="str">
        <f aca="false">TRIM(IF(N(E1577)&lt;=0,"택가보정 ","")&amp;IF(N(F1577)&lt;=0,"원가보정 ","")&amp;IF(AND(B1577&lt;&gt;"CN",N(H1577)&lt;=0),"공급가보정 ","")&amp;IF(AND(B1577="CN",N(I1577)&lt;=0),"중국공급가=원가+마진 ",""))</f>
        <v/>
      </c>
    </row>
    <row r="1578" customFormat="false" ht="15.75" hidden="false" customHeight="true" outlineLevel="0" collapsed="false">
      <c r="A1578" s="94" t="s">
        <v>1685</v>
      </c>
      <c r="B1578" s="34" t="str">
        <f aca="false">IF(A1578="100","HK",IF(A1578="200","CN",IF(A1578="300","TW","홀세일")))</f>
        <v>CN</v>
      </c>
      <c r="C1578" s="94" t="s">
        <v>1179</v>
      </c>
      <c r="D1578" s="95" t="n">
        <v>60</v>
      </c>
      <c r="E1578" s="95" t="n">
        <v>309000</v>
      </c>
      <c r="F1578" s="95" t="n">
        <v>71630</v>
      </c>
      <c r="G1578" s="34" t="n">
        <v>3.85</v>
      </c>
      <c r="H1578" s="34" t="n">
        <v>105.5</v>
      </c>
      <c r="J1578" s="95" t="n">
        <f aca="false">IF(N(E1578)&gt;0,E1578,IF(N(F1578)&gt;0,F1578*가정!$B$5,0))</f>
        <v>309000</v>
      </c>
      <c r="K1578" s="95" t="n">
        <f aca="false">IF(N(F1578)&gt;0,F1578,IF(N(E1578)&gt;0,E1578/가정!$B$5,0))</f>
        <v>71630</v>
      </c>
      <c r="L1578" s="95" t="n">
        <f aca="false">IF(B1578="CN",IF(N(I1578)&gt;0,I1578*가정!$B$3,K1578*(1+가정!$B$6)),IF(N(H1578)&gt;0,H1578*가정!$B$3,J1578*가정!$B$4))</f>
        <v>75211.5</v>
      </c>
      <c r="M1578" s="95" t="n">
        <f aca="false">D1578*J1578</f>
        <v>18540000</v>
      </c>
      <c r="N1578" s="95" t="n">
        <f aca="false">D1578*K1578</f>
        <v>4297800</v>
      </c>
      <c r="O1578" s="95" t="n">
        <f aca="false">D1578*L1578</f>
        <v>4512690</v>
      </c>
      <c r="P1578" s="34" t="str">
        <f aca="false">TRIM(IF(N(E1578)&lt;=0,"택가보정 ","")&amp;IF(N(F1578)&lt;=0,"원가보정 ","")&amp;IF(AND(B1578&lt;&gt;"CN",N(H1578)&lt;=0),"공급가보정 ","")&amp;IF(AND(B1578="CN",N(I1578)&lt;=0),"중국공급가=원가+마진 ",""))</f>
        <v>중국공급가=원가+마진</v>
      </c>
    </row>
    <row r="1579" customFormat="false" ht="15" hidden="false" customHeight="true" outlineLevel="0" collapsed="false">
      <c r="A1579" s="94" t="s">
        <v>1688</v>
      </c>
      <c r="B1579" s="34" t="str">
        <f aca="false">IF(A1579="100","HK",IF(A1579="200","CN",IF(A1579="300","TW","홀세일")))</f>
        <v>홀세일</v>
      </c>
      <c r="C1579" s="94" t="s">
        <v>1179</v>
      </c>
      <c r="D1579" s="95" t="n">
        <v>5</v>
      </c>
      <c r="E1579" s="95" t="n">
        <v>309000</v>
      </c>
      <c r="F1579" s="95" t="n">
        <v>71630</v>
      </c>
      <c r="G1579" s="34" t="n">
        <v>3.85</v>
      </c>
      <c r="H1579" s="34" t="n">
        <v>105.5</v>
      </c>
      <c r="J1579" s="95" t="n">
        <f aca="false">IF(N(E1579)&gt;0,E1579,IF(N(F1579)&gt;0,F1579*가정!$B$5,0))</f>
        <v>309000</v>
      </c>
      <c r="K1579" s="95" t="n">
        <f aca="false">IF(N(F1579)&gt;0,F1579,IF(N(E1579)&gt;0,E1579/가정!$B$5,0))</f>
        <v>71630</v>
      </c>
      <c r="L1579" s="95" t="n">
        <f aca="false">IF(B1579="CN",IF(N(I1579)&gt;0,I1579*가정!$B$3,K1579*(1+가정!$B$6)),IF(N(H1579)&gt;0,H1579*가정!$B$3,J1579*가정!$B$4))</f>
        <v>143773.29</v>
      </c>
      <c r="M1579" s="95" t="n">
        <f aca="false">D1579*J1579</f>
        <v>1545000</v>
      </c>
      <c r="N1579" s="95" t="n">
        <f aca="false">D1579*K1579</f>
        <v>358150</v>
      </c>
      <c r="O1579" s="95" t="n">
        <f aca="false">D1579*L1579</f>
        <v>718866.45</v>
      </c>
      <c r="P1579" s="34" t="str">
        <f aca="false">TRIM(IF(N(E1579)&lt;=0,"택가보정 ","")&amp;IF(N(F1579)&lt;=0,"원가보정 ","")&amp;IF(AND(B1579&lt;&gt;"CN",N(H1579)&lt;=0),"공급가보정 ","")&amp;IF(AND(B1579="CN",N(I1579)&lt;=0),"중국공급가=원가+마진 ",""))</f>
        <v/>
      </c>
    </row>
    <row r="1580" customFormat="false" ht="15" hidden="false" customHeight="true" outlineLevel="0" collapsed="false">
      <c r="A1580" s="94" t="s">
        <v>1692</v>
      </c>
      <c r="B1580" s="34" t="str">
        <f aca="false">IF(A1580="100","HK",IF(A1580="200","CN",IF(A1580="300","TW","홀세일")))</f>
        <v>홀세일</v>
      </c>
      <c r="C1580" s="94" t="s">
        <v>1179</v>
      </c>
      <c r="D1580" s="95" t="n">
        <v>40</v>
      </c>
      <c r="E1580" s="95" t="n">
        <v>309000</v>
      </c>
      <c r="F1580" s="95" t="n">
        <v>71630</v>
      </c>
      <c r="G1580" s="34" t="n">
        <v>3.85</v>
      </c>
      <c r="H1580" s="34" t="n">
        <v>105.5</v>
      </c>
      <c r="J1580" s="95" t="n">
        <f aca="false">IF(N(E1580)&gt;0,E1580,IF(N(F1580)&gt;0,F1580*가정!$B$5,0))</f>
        <v>309000</v>
      </c>
      <c r="K1580" s="95" t="n">
        <f aca="false">IF(N(F1580)&gt;0,F1580,IF(N(E1580)&gt;0,E1580/가정!$B$5,0))</f>
        <v>71630</v>
      </c>
      <c r="L1580" s="95" t="n">
        <f aca="false">IF(B1580="CN",IF(N(I1580)&gt;0,I1580*가정!$B$3,K1580*(1+가정!$B$6)),IF(N(H1580)&gt;0,H1580*가정!$B$3,J1580*가정!$B$4))</f>
        <v>143773.29</v>
      </c>
      <c r="M1580" s="95" t="n">
        <f aca="false">D1580*J1580</f>
        <v>12360000</v>
      </c>
      <c r="N1580" s="95" t="n">
        <f aca="false">D1580*K1580</f>
        <v>2865200</v>
      </c>
      <c r="O1580" s="95" t="n">
        <f aca="false">D1580*L1580</f>
        <v>5750931.6</v>
      </c>
      <c r="P1580" s="34" t="str">
        <f aca="false">TRIM(IF(N(E1580)&lt;=0,"택가보정 ","")&amp;IF(N(F1580)&lt;=0,"원가보정 ","")&amp;IF(AND(B1580&lt;&gt;"CN",N(H1580)&lt;=0),"공급가보정 ","")&amp;IF(AND(B1580="CN",N(I1580)&lt;=0),"중국공급가=원가+마진 ",""))</f>
        <v/>
      </c>
    </row>
    <row r="1581" customFormat="false" ht="15" hidden="false" customHeight="true" outlineLevel="0" collapsed="false">
      <c r="A1581" s="94" t="s">
        <v>1689</v>
      </c>
      <c r="B1581" s="34" t="str">
        <f aca="false">IF(A1581="100","HK",IF(A1581="200","CN",IF(A1581="300","TW","홀세일")))</f>
        <v>홀세일</v>
      </c>
      <c r="C1581" s="94" t="s">
        <v>1179</v>
      </c>
      <c r="D1581" s="95" t="n">
        <v>30</v>
      </c>
      <c r="E1581" s="95" t="n">
        <v>309000</v>
      </c>
      <c r="F1581" s="95" t="n">
        <v>71630</v>
      </c>
      <c r="G1581" s="34" t="n">
        <v>3.85</v>
      </c>
      <c r="H1581" s="34" t="n">
        <v>105.5</v>
      </c>
      <c r="J1581" s="95" t="n">
        <f aca="false">IF(N(E1581)&gt;0,E1581,IF(N(F1581)&gt;0,F1581*가정!$B$5,0))</f>
        <v>309000</v>
      </c>
      <c r="K1581" s="95" t="n">
        <f aca="false">IF(N(F1581)&gt;0,F1581,IF(N(E1581)&gt;0,E1581/가정!$B$5,0))</f>
        <v>71630</v>
      </c>
      <c r="L1581" s="95" t="n">
        <f aca="false">IF(B1581="CN",IF(N(I1581)&gt;0,I1581*가정!$B$3,K1581*(1+가정!$B$6)),IF(N(H1581)&gt;0,H1581*가정!$B$3,J1581*가정!$B$4))</f>
        <v>143773.29</v>
      </c>
      <c r="M1581" s="95" t="n">
        <f aca="false">D1581*J1581</f>
        <v>9270000</v>
      </c>
      <c r="N1581" s="95" t="n">
        <f aca="false">D1581*K1581</f>
        <v>2148900</v>
      </c>
      <c r="O1581" s="95" t="n">
        <f aca="false">D1581*L1581</f>
        <v>4313198.7</v>
      </c>
      <c r="P1581" s="34" t="str">
        <f aca="false">TRIM(IF(N(E1581)&lt;=0,"택가보정 ","")&amp;IF(N(F1581)&lt;=0,"원가보정 ","")&amp;IF(AND(B1581&lt;&gt;"CN",N(H1581)&lt;=0),"공급가보정 ","")&amp;IF(AND(B1581="CN",N(I1581)&lt;=0),"중국공급가=원가+마진 ",""))</f>
        <v/>
      </c>
    </row>
    <row r="1582" customFormat="false" ht="15.75" hidden="false" customHeight="true" outlineLevel="0" collapsed="false">
      <c r="A1582" s="94" t="s">
        <v>1685</v>
      </c>
      <c r="B1582" s="34" t="str">
        <f aca="false">IF(A1582="100","HK",IF(A1582="200","CN",IF(A1582="300","TW","홀세일")))</f>
        <v>CN</v>
      </c>
      <c r="C1582" s="94" t="s">
        <v>1476</v>
      </c>
      <c r="D1582" s="95" t="n">
        <v>162</v>
      </c>
      <c r="E1582" s="95" t="n">
        <v>279000</v>
      </c>
      <c r="F1582" s="95" t="n">
        <v>70220</v>
      </c>
      <c r="G1582" s="34" t="n">
        <v>3.43</v>
      </c>
      <c r="H1582" s="34" t="n">
        <v>74.1</v>
      </c>
      <c r="I1582" s="34" t="n">
        <v>0</v>
      </c>
      <c r="J1582" s="95" t="n">
        <f aca="false">IF(N(E1582)&gt;0,E1582,IF(N(F1582)&gt;0,F1582*가정!$B$5,0))</f>
        <v>279000</v>
      </c>
      <c r="K1582" s="95" t="n">
        <f aca="false">IF(N(F1582)&gt;0,F1582,IF(N(E1582)&gt;0,E1582/가정!$B$5,0))</f>
        <v>70220</v>
      </c>
      <c r="L1582" s="95" t="n">
        <f aca="false">IF(B1582="CN",IF(N(I1582)&gt;0,I1582*가정!$B$3,K1582*(1+가정!$B$6)),IF(N(H1582)&gt;0,H1582*가정!$B$3,J1582*가정!$B$4))</f>
        <v>73731</v>
      </c>
      <c r="M1582" s="95" t="n">
        <f aca="false">D1582*J1582</f>
        <v>45198000</v>
      </c>
      <c r="N1582" s="95" t="n">
        <f aca="false">D1582*K1582</f>
        <v>11375640</v>
      </c>
      <c r="O1582" s="95" t="n">
        <f aca="false">D1582*L1582</f>
        <v>11944422</v>
      </c>
      <c r="P1582" s="34" t="str">
        <f aca="false">TRIM(IF(N(E1582)&lt;=0,"택가보정 ","")&amp;IF(N(F1582)&lt;=0,"원가보정 ","")&amp;IF(AND(B1582&lt;&gt;"CN",N(H1582)&lt;=0),"공급가보정 ","")&amp;IF(AND(B1582="CN",N(I1582)&lt;=0),"중국공급가=원가+마진 ",""))</f>
        <v>중국공급가=원가+마진</v>
      </c>
    </row>
    <row r="1583" customFormat="false" ht="15" hidden="false" customHeight="true" outlineLevel="0" collapsed="false">
      <c r="A1583" s="94" t="s">
        <v>1686</v>
      </c>
      <c r="B1583" s="34" t="str">
        <f aca="false">IF(A1583="100","HK",IF(A1583="200","CN",IF(A1583="300","TW","홀세일")))</f>
        <v>TW</v>
      </c>
      <c r="C1583" s="94" t="s">
        <v>1476</v>
      </c>
      <c r="D1583" s="95" t="n">
        <v>100</v>
      </c>
      <c r="E1583" s="95" t="n">
        <v>279000</v>
      </c>
      <c r="F1583" s="95" t="n">
        <v>70220</v>
      </c>
      <c r="G1583" s="34" t="n">
        <v>3.43</v>
      </c>
      <c r="H1583" s="34" t="n">
        <v>74.1</v>
      </c>
      <c r="I1583" s="34" t="n">
        <v>0</v>
      </c>
      <c r="J1583" s="95" t="n">
        <f aca="false">IF(N(E1583)&gt;0,E1583,IF(N(F1583)&gt;0,F1583*가정!$B$5,0))</f>
        <v>279000</v>
      </c>
      <c r="K1583" s="95" t="n">
        <f aca="false">IF(N(F1583)&gt;0,F1583,IF(N(E1583)&gt;0,E1583/가정!$B$5,0))</f>
        <v>70220</v>
      </c>
      <c r="L1583" s="95" t="n">
        <f aca="false">IF(B1583="CN",IF(N(I1583)&gt;0,I1583*가정!$B$3,K1583*(1+가정!$B$6)),IF(N(H1583)&gt;0,H1583*가정!$B$3,J1583*가정!$B$4))</f>
        <v>100981.998</v>
      </c>
      <c r="M1583" s="95" t="n">
        <f aca="false">D1583*J1583</f>
        <v>27900000</v>
      </c>
      <c r="N1583" s="95" t="n">
        <f aca="false">D1583*K1583</f>
        <v>7022000</v>
      </c>
      <c r="O1583" s="95" t="n">
        <f aca="false">D1583*L1583</f>
        <v>10098199.8</v>
      </c>
      <c r="P1583" s="34" t="str">
        <f aca="false">TRIM(IF(N(E1583)&lt;=0,"택가보정 ","")&amp;IF(N(F1583)&lt;=0,"원가보정 ","")&amp;IF(AND(B1583&lt;&gt;"CN",N(H1583)&lt;=0),"공급가보정 ","")&amp;IF(AND(B1583="CN",N(I1583)&lt;=0),"중국공급가=원가+마진 ",""))</f>
        <v/>
      </c>
    </row>
    <row r="1584" customFormat="false" ht="15" hidden="false" customHeight="true" outlineLevel="0" collapsed="false">
      <c r="A1584" s="94" t="s">
        <v>1688</v>
      </c>
      <c r="B1584" s="34" t="str">
        <f aca="false">IF(A1584="100","HK",IF(A1584="200","CN",IF(A1584="300","TW","홀세일")))</f>
        <v>홀세일</v>
      </c>
      <c r="C1584" s="94" t="s">
        <v>1476</v>
      </c>
      <c r="D1584" s="95" t="n">
        <v>30</v>
      </c>
      <c r="E1584" s="95" t="n">
        <v>279000</v>
      </c>
      <c r="F1584" s="95" t="n">
        <v>70220</v>
      </c>
      <c r="G1584" s="34" t="n">
        <v>3.43</v>
      </c>
      <c r="H1584" s="34" t="n">
        <v>74.1</v>
      </c>
      <c r="I1584" s="34" t="n">
        <v>0</v>
      </c>
      <c r="J1584" s="95" t="n">
        <f aca="false">IF(N(E1584)&gt;0,E1584,IF(N(F1584)&gt;0,F1584*가정!$B$5,0))</f>
        <v>279000</v>
      </c>
      <c r="K1584" s="95" t="n">
        <f aca="false">IF(N(F1584)&gt;0,F1584,IF(N(E1584)&gt;0,E1584/가정!$B$5,0))</f>
        <v>70220</v>
      </c>
      <c r="L1584" s="95" t="n">
        <f aca="false">IF(B1584="CN",IF(N(I1584)&gt;0,I1584*가정!$B$3,K1584*(1+가정!$B$6)),IF(N(H1584)&gt;0,H1584*가정!$B$3,J1584*가정!$B$4))</f>
        <v>100981.998</v>
      </c>
      <c r="M1584" s="95" t="n">
        <f aca="false">D1584*J1584</f>
        <v>8370000</v>
      </c>
      <c r="N1584" s="95" t="n">
        <f aca="false">D1584*K1584</f>
        <v>2106600</v>
      </c>
      <c r="O1584" s="95" t="n">
        <f aca="false">D1584*L1584</f>
        <v>3029459.94</v>
      </c>
      <c r="P1584" s="34" t="str">
        <f aca="false">TRIM(IF(N(E1584)&lt;=0,"택가보정 ","")&amp;IF(N(F1584)&lt;=0,"원가보정 ","")&amp;IF(AND(B1584&lt;&gt;"CN",N(H1584)&lt;=0),"공급가보정 ","")&amp;IF(AND(B1584="CN",N(I1584)&lt;=0),"중국공급가=원가+마진 ",""))</f>
        <v/>
      </c>
    </row>
    <row r="1585" customFormat="false" ht="15" hidden="false" customHeight="true" outlineLevel="0" collapsed="false">
      <c r="A1585" s="94" t="s">
        <v>1692</v>
      </c>
      <c r="B1585" s="34" t="str">
        <f aca="false">IF(A1585="100","HK",IF(A1585="200","CN",IF(A1585="300","TW","홀세일")))</f>
        <v>홀세일</v>
      </c>
      <c r="C1585" s="94" t="s">
        <v>1476</v>
      </c>
      <c r="D1585" s="95" t="n">
        <v>92</v>
      </c>
      <c r="E1585" s="95" t="n">
        <v>279000</v>
      </c>
      <c r="F1585" s="95" t="n">
        <v>70220</v>
      </c>
      <c r="G1585" s="34" t="n">
        <v>3.43</v>
      </c>
      <c r="H1585" s="34" t="n">
        <v>74.1</v>
      </c>
      <c r="I1585" s="34" t="n">
        <v>0</v>
      </c>
      <c r="J1585" s="95" t="n">
        <f aca="false">IF(N(E1585)&gt;0,E1585,IF(N(F1585)&gt;0,F1585*가정!$B$5,0))</f>
        <v>279000</v>
      </c>
      <c r="K1585" s="95" t="n">
        <f aca="false">IF(N(F1585)&gt;0,F1585,IF(N(E1585)&gt;0,E1585/가정!$B$5,0))</f>
        <v>70220</v>
      </c>
      <c r="L1585" s="95" t="n">
        <f aca="false">IF(B1585="CN",IF(N(I1585)&gt;0,I1585*가정!$B$3,K1585*(1+가정!$B$6)),IF(N(H1585)&gt;0,H1585*가정!$B$3,J1585*가정!$B$4))</f>
        <v>100981.998</v>
      </c>
      <c r="M1585" s="95" t="n">
        <f aca="false">D1585*J1585</f>
        <v>25668000</v>
      </c>
      <c r="N1585" s="95" t="n">
        <f aca="false">D1585*K1585</f>
        <v>6460240</v>
      </c>
      <c r="O1585" s="95" t="n">
        <f aca="false">D1585*L1585</f>
        <v>9290343.816</v>
      </c>
      <c r="P1585" s="34" t="str">
        <f aca="false">TRIM(IF(N(E1585)&lt;=0,"택가보정 ","")&amp;IF(N(F1585)&lt;=0,"원가보정 ","")&amp;IF(AND(B1585&lt;&gt;"CN",N(H1585)&lt;=0),"공급가보정 ","")&amp;IF(AND(B1585="CN",N(I1585)&lt;=0),"중국공급가=원가+마진 ",""))</f>
        <v/>
      </c>
    </row>
    <row r="1586" customFormat="false" ht="15" hidden="false" customHeight="true" outlineLevel="0" collapsed="false">
      <c r="A1586" s="94" t="s">
        <v>1689</v>
      </c>
      <c r="B1586" s="34" t="str">
        <f aca="false">IF(A1586="100","HK",IF(A1586="200","CN",IF(A1586="300","TW","홀세일")))</f>
        <v>홀세일</v>
      </c>
      <c r="C1586" s="94" t="s">
        <v>1476</v>
      </c>
      <c r="D1586" s="95" t="n">
        <v>60</v>
      </c>
      <c r="E1586" s="95" t="n">
        <v>279000</v>
      </c>
      <c r="F1586" s="95" t="n">
        <v>70220</v>
      </c>
      <c r="G1586" s="34" t="n">
        <v>3.43</v>
      </c>
      <c r="H1586" s="34" t="n">
        <v>74.1</v>
      </c>
      <c r="I1586" s="34" t="n">
        <v>0</v>
      </c>
      <c r="J1586" s="95" t="n">
        <f aca="false">IF(N(E1586)&gt;0,E1586,IF(N(F1586)&gt;0,F1586*가정!$B$5,0))</f>
        <v>279000</v>
      </c>
      <c r="K1586" s="95" t="n">
        <f aca="false">IF(N(F1586)&gt;0,F1586,IF(N(E1586)&gt;0,E1586/가정!$B$5,0))</f>
        <v>70220</v>
      </c>
      <c r="L1586" s="95" t="n">
        <f aca="false">IF(B1586="CN",IF(N(I1586)&gt;0,I1586*가정!$B$3,K1586*(1+가정!$B$6)),IF(N(H1586)&gt;0,H1586*가정!$B$3,J1586*가정!$B$4))</f>
        <v>100981.998</v>
      </c>
      <c r="M1586" s="95" t="n">
        <f aca="false">D1586*J1586</f>
        <v>16740000</v>
      </c>
      <c r="N1586" s="95" t="n">
        <f aca="false">D1586*K1586</f>
        <v>4213200</v>
      </c>
      <c r="O1586" s="95" t="n">
        <f aca="false">D1586*L1586</f>
        <v>6058919.88</v>
      </c>
      <c r="P1586" s="34" t="str">
        <f aca="false">TRIM(IF(N(E1586)&lt;=0,"택가보정 ","")&amp;IF(N(F1586)&lt;=0,"원가보정 ","")&amp;IF(AND(B1586&lt;&gt;"CN",N(H1586)&lt;=0),"공급가보정 ","")&amp;IF(AND(B1586="CN",N(I1586)&lt;=0),"중국공급가=원가+마진 ",""))</f>
        <v/>
      </c>
    </row>
    <row r="1587" customFormat="false" ht="15" hidden="false" customHeight="true" outlineLevel="0" collapsed="false">
      <c r="A1587" s="94" t="s">
        <v>1684</v>
      </c>
      <c r="B1587" s="34" t="str">
        <f aca="false">IF(A1587="100","HK",IF(A1587="200","CN",IF(A1587="300","TW","홀세일")))</f>
        <v>HK</v>
      </c>
      <c r="C1587" s="94" t="s">
        <v>711</v>
      </c>
      <c r="D1587" s="95" t="n">
        <v>240</v>
      </c>
      <c r="E1587" s="95" t="n">
        <v>499000</v>
      </c>
      <c r="F1587" s="95" t="n">
        <v>157900</v>
      </c>
      <c r="G1587" s="34" t="n">
        <v>3.07</v>
      </c>
      <c r="H1587" s="34" t="n">
        <v>132.5</v>
      </c>
      <c r="I1587" s="34" t="n">
        <v>0</v>
      </c>
      <c r="J1587" s="95" t="n">
        <f aca="false">IF(N(E1587)&gt;0,E1587,IF(N(F1587)&gt;0,F1587*가정!$B$5,0))</f>
        <v>499000</v>
      </c>
      <c r="K1587" s="95" t="n">
        <f aca="false">IF(N(F1587)&gt;0,F1587,IF(N(E1587)&gt;0,E1587/가정!$B$5,0))</f>
        <v>157900</v>
      </c>
      <c r="L1587" s="95" t="n">
        <f aca="false">IF(B1587="CN",IF(N(I1587)&gt;0,I1587*가정!$B$3,K1587*(1+가정!$B$6)),IF(N(H1587)&gt;0,H1587*가정!$B$3,J1587*가정!$B$4))</f>
        <v>180568.35</v>
      </c>
      <c r="M1587" s="95" t="n">
        <f aca="false">D1587*J1587</f>
        <v>119760000</v>
      </c>
      <c r="N1587" s="95" t="n">
        <f aca="false">D1587*K1587</f>
        <v>37896000</v>
      </c>
      <c r="O1587" s="95" t="n">
        <f aca="false">D1587*L1587</f>
        <v>43336404</v>
      </c>
      <c r="P1587" s="34" t="str">
        <f aca="false">TRIM(IF(N(E1587)&lt;=0,"택가보정 ","")&amp;IF(N(F1587)&lt;=0,"원가보정 ","")&amp;IF(AND(B1587&lt;&gt;"CN",N(H1587)&lt;=0),"공급가보정 ","")&amp;IF(AND(B1587="CN",N(I1587)&lt;=0),"중국공급가=원가+마진 ",""))</f>
        <v/>
      </c>
    </row>
    <row r="1588" customFormat="false" ht="15" hidden="false" customHeight="true" outlineLevel="0" collapsed="false">
      <c r="A1588" s="94" t="s">
        <v>1686</v>
      </c>
      <c r="B1588" s="34" t="str">
        <f aca="false">IF(A1588="100","HK",IF(A1588="200","CN",IF(A1588="300","TW","홀세일")))</f>
        <v>TW</v>
      </c>
      <c r="C1588" s="94" t="s">
        <v>711</v>
      </c>
      <c r="D1588" s="95" t="n">
        <v>340</v>
      </c>
      <c r="E1588" s="95" t="n">
        <v>499000</v>
      </c>
      <c r="F1588" s="95" t="n">
        <v>157900</v>
      </c>
      <c r="G1588" s="34" t="n">
        <v>3.07</v>
      </c>
      <c r="H1588" s="34" t="n">
        <v>132.5</v>
      </c>
      <c r="I1588" s="34" t="n">
        <v>0</v>
      </c>
      <c r="J1588" s="95" t="n">
        <f aca="false">IF(N(E1588)&gt;0,E1588,IF(N(F1588)&gt;0,F1588*가정!$B$5,0))</f>
        <v>499000</v>
      </c>
      <c r="K1588" s="95" t="n">
        <f aca="false">IF(N(F1588)&gt;0,F1588,IF(N(E1588)&gt;0,E1588/가정!$B$5,0))</f>
        <v>157900</v>
      </c>
      <c r="L1588" s="95" t="n">
        <f aca="false">IF(B1588="CN",IF(N(I1588)&gt;0,I1588*가정!$B$3,K1588*(1+가정!$B$6)),IF(N(H1588)&gt;0,H1588*가정!$B$3,J1588*가정!$B$4))</f>
        <v>180568.35</v>
      </c>
      <c r="M1588" s="95" t="n">
        <f aca="false">D1588*J1588</f>
        <v>169660000</v>
      </c>
      <c r="N1588" s="95" t="n">
        <f aca="false">D1588*K1588</f>
        <v>53686000</v>
      </c>
      <c r="O1588" s="95" t="n">
        <f aca="false">D1588*L1588</f>
        <v>61393239</v>
      </c>
      <c r="P1588" s="34" t="str">
        <f aca="false">TRIM(IF(N(E1588)&lt;=0,"택가보정 ","")&amp;IF(N(F1588)&lt;=0,"원가보정 ","")&amp;IF(AND(B1588&lt;&gt;"CN",N(H1588)&lt;=0),"공급가보정 ","")&amp;IF(AND(B1588="CN",N(I1588)&lt;=0),"중국공급가=원가+마진 ",""))</f>
        <v/>
      </c>
    </row>
    <row r="1589" customFormat="false" ht="15" hidden="false" customHeight="true" outlineLevel="0" collapsed="false">
      <c r="A1589" s="94" t="s">
        <v>1688</v>
      </c>
      <c r="B1589" s="34" t="str">
        <f aca="false">IF(A1589="100","HK",IF(A1589="200","CN",IF(A1589="300","TW","홀세일")))</f>
        <v>홀세일</v>
      </c>
      <c r="C1589" s="94" t="s">
        <v>711</v>
      </c>
      <c r="D1589" s="95" t="n">
        <v>30</v>
      </c>
      <c r="E1589" s="95" t="n">
        <v>499000</v>
      </c>
      <c r="F1589" s="95" t="n">
        <v>157900</v>
      </c>
      <c r="G1589" s="34" t="n">
        <v>3.07</v>
      </c>
      <c r="H1589" s="34" t="n">
        <v>132.5</v>
      </c>
      <c r="I1589" s="34" t="n">
        <v>0</v>
      </c>
      <c r="J1589" s="95" t="n">
        <f aca="false">IF(N(E1589)&gt;0,E1589,IF(N(F1589)&gt;0,F1589*가정!$B$5,0))</f>
        <v>499000</v>
      </c>
      <c r="K1589" s="95" t="n">
        <f aca="false">IF(N(F1589)&gt;0,F1589,IF(N(E1589)&gt;0,E1589/가정!$B$5,0))</f>
        <v>157900</v>
      </c>
      <c r="L1589" s="95" t="n">
        <f aca="false">IF(B1589="CN",IF(N(I1589)&gt;0,I1589*가정!$B$3,K1589*(1+가정!$B$6)),IF(N(H1589)&gt;0,H1589*가정!$B$3,J1589*가정!$B$4))</f>
        <v>180568.35</v>
      </c>
      <c r="M1589" s="95" t="n">
        <f aca="false">D1589*J1589</f>
        <v>14970000</v>
      </c>
      <c r="N1589" s="95" t="n">
        <f aca="false">D1589*K1589</f>
        <v>4737000</v>
      </c>
      <c r="O1589" s="95" t="n">
        <f aca="false">D1589*L1589</f>
        <v>5417050.5</v>
      </c>
      <c r="P1589" s="34" t="str">
        <f aca="false">TRIM(IF(N(E1589)&lt;=0,"택가보정 ","")&amp;IF(N(F1589)&lt;=0,"원가보정 ","")&amp;IF(AND(B1589&lt;&gt;"CN",N(H1589)&lt;=0),"공급가보정 ","")&amp;IF(AND(B1589="CN",N(I1589)&lt;=0),"중국공급가=원가+마진 ",""))</f>
        <v/>
      </c>
    </row>
    <row r="1590" customFormat="false" ht="15" hidden="false" customHeight="true" outlineLevel="0" collapsed="false">
      <c r="A1590" s="94" t="s">
        <v>1689</v>
      </c>
      <c r="B1590" s="34" t="str">
        <f aca="false">IF(A1590="100","HK",IF(A1590="200","CN",IF(A1590="300","TW","홀세일")))</f>
        <v>홀세일</v>
      </c>
      <c r="C1590" s="94" t="s">
        <v>711</v>
      </c>
      <c r="D1590" s="95" t="n">
        <v>60</v>
      </c>
      <c r="E1590" s="95" t="n">
        <v>499000</v>
      </c>
      <c r="F1590" s="95" t="n">
        <v>157900</v>
      </c>
      <c r="G1590" s="34" t="n">
        <v>3.07</v>
      </c>
      <c r="H1590" s="34" t="n">
        <v>132.5</v>
      </c>
      <c r="I1590" s="34" t="n">
        <v>0</v>
      </c>
      <c r="J1590" s="95" t="n">
        <f aca="false">IF(N(E1590)&gt;0,E1590,IF(N(F1590)&gt;0,F1590*가정!$B$5,0))</f>
        <v>499000</v>
      </c>
      <c r="K1590" s="95" t="n">
        <f aca="false">IF(N(F1590)&gt;0,F1590,IF(N(E1590)&gt;0,E1590/가정!$B$5,0))</f>
        <v>157900</v>
      </c>
      <c r="L1590" s="95" t="n">
        <f aca="false">IF(B1590="CN",IF(N(I1590)&gt;0,I1590*가정!$B$3,K1590*(1+가정!$B$6)),IF(N(H1590)&gt;0,H1590*가정!$B$3,J1590*가정!$B$4))</f>
        <v>180568.35</v>
      </c>
      <c r="M1590" s="95" t="n">
        <f aca="false">D1590*J1590</f>
        <v>29940000</v>
      </c>
      <c r="N1590" s="95" t="n">
        <f aca="false">D1590*K1590</f>
        <v>9474000</v>
      </c>
      <c r="O1590" s="95" t="n">
        <f aca="false">D1590*L1590</f>
        <v>10834101</v>
      </c>
      <c r="P1590" s="34" t="str">
        <f aca="false">TRIM(IF(N(E1590)&lt;=0,"택가보정 ","")&amp;IF(N(F1590)&lt;=0,"원가보정 ","")&amp;IF(AND(B1590&lt;&gt;"CN",N(H1590)&lt;=0),"공급가보정 ","")&amp;IF(AND(B1590="CN",N(I1590)&lt;=0),"중국공급가=원가+마진 ",""))</f>
        <v/>
      </c>
    </row>
    <row r="1591" customFormat="false" ht="15" hidden="false" customHeight="true" outlineLevel="0" collapsed="false">
      <c r="A1591" s="94" t="s">
        <v>1684</v>
      </c>
      <c r="B1591" s="34" t="str">
        <f aca="false">IF(A1591="100","HK",IF(A1591="200","CN",IF(A1591="300","TW","홀세일")))</f>
        <v>HK</v>
      </c>
      <c r="C1591" s="94" t="s">
        <v>1478</v>
      </c>
      <c r="D1591" s="95" t="n">
        <v>450</v>
      </c>
      <c r="E1591" s="95" t="n">
        <v>299000</v>
      </c>
      <c r="F1591" s="95" t="n">
        <v>74621</v>
      </c>
      <c r="G1591" s="34" t="n">
        <v>3.52</v>
      </c>
      <c r="H1591" s="34" t="n">
        <v>79.4</v>
      </c>
      <c r="I1591" s="34" t="n">
        <v>0</v>
      </c>
      <c r="J1591" s="95" t="n">
        <f aca="false">IF(N(E1591)&gt;0,E1591,IF(N(F1591)&gt;0,F1591*가정!$B$5,0))</f>
        <v>299000</v>
      </c>
      <c r="K1591" s="95" t="n">
        <f aca="false">IF(N(F1591)&gt;0,F1591,IF(N(E1591)&gt;0,E1591/가정!$B$5,0))</f>
        <v>74621</v>
      </c>
      <c r="L1591" s="95" t="n">
        <f aca="false">IF(B1591="CN",IF(N(I1591)&gt;0,I1591*가정!$B$3,K1591*(1+가정!$B$6)),IF(N(H1591)&gt;0,H1591*가정!$B$3,J1591*가정!$B$4))</f>
        <v>108204.732</v>
      </c>
      <c r="M1591" s="95" t="n">
        <f aca="false">D1591*J1591</f>
        <v>134550000</v>
      </c>
      <c r="N1591" s="95" t="n">
        <f aca="false">D1591*K1591</f>
        <v>33579450</v>
      </c>
      <c r="O1591" s="95" t="n">
        <f aca="false">D1591*L1591</f>
        <v>48692129.4</v>
      </c>
      <c r="P1591" s="34" t="str">
        <f aca="false">TRIM(IF(N(E1591)&lt;=0,"택가보정 ","")&amp;IF(N(F1591)&lt;=0,"원가보정 ","")&amp;IF(AND(B1591&lt;&gt;"CN",N(H1591)&lt;=0),"공급가보정 ","")&amp;IF(AND(B1591="CN",N(I1591)&lt;=0),"중국공급가=원가+마진 ",""))</f>
        <v/>
      </c>
    </row>
    <row r="1592" customFormat="false" ht="15.75" hidden="false" customHeight="true" outlineLevel="0" collapsed="false">
      <c r="A1592" s="94" t="s">
        <v>1685</v>
      </c>
      <c r="B1592" s="34" t="str">
        <f aca="false">IF(A1592="100","HK",IF(A1592="200","CN",IF(A1592="300","TW","홀세일")))</f>
        <v>CN</v>
      </c>
      <c r="C1592" s="94" t="s">
        <v>1478</v>
      </c>
      <c r="D1592" s="95" t="n">
        <v>403</v>
      </c>
      <c r="E1592" s="95" t="n">
        <v>299000</v>
      </c>
      <c r="F1592" s="95" t="n">
        <v>74621</v>
      </c>
      <c r="G1592" s="34" t="n">
        <v>3.52</v>
      </c>
      <c r="H1592" s="34" t="n">
        <v>79.4</v>
      </c>
      <c r="I1592" s="34" t="n">
        <v>0</v>
      </c>
      <c r="J1592" s="95" t="n">
        <f aca="false">IF(N(E1592)&gt;0,E1592,IF(N(F1592)&gt;0,F1592*가정!$B$5,0))</f>
        <v>299000</v>
      </c>
      <c r="K1592" s="95" t="n">
        <f aca="false">IF(N(F1592)&gt;0,F1592,IF(N(E1592)&gt;0,E1592/가정!$B$5,0))</f>
        <v>74621</v>
      </c>
      <c r="L1592" s="95" t="n">
        <f aca="false">IF(B1592="CN",IF(N(I1592)&gt;0,I1592*가정!$B$3,K1592*(1+가정!$B$6)),IF(N(H1592)&gt;0,H1592*가정!$B$3,J1592*가정!$B$4))</f>
        <v>78352.05</v>
      </c>
      <c r="M1592" s="95" t="n">
        <f aca="false">D1592*J1592</f>
        <v>120497000</v>
      </c>
      <c r="N1592" s="95" t="n">
        <f aca="false">D1592*K1592</f>
        <v>30072263</v>
      </c>
      <c r="O1592" s="95" t="n">
        <f aca="false">D1592*L1592</f>
        <v>31575876.15</v>
      </c>
      <c r="P1592" s="34" t="str">
        <f aca="false">TRIM(IF(N(E1592)&lt;=0,"택가보정 ","")&amp;IF(N(F1592)&lt;=0,"원가보정 ","")&amp;IF(AND(B1592&lt;&gt;"CN",N(H1592)&lt;=0),"공급가보정 ","")&amp;IF(AND(B1592="CN",N(I1592)&lt;=0),"중국공급가=원가+마진 ",""))</f>
        <v>중국공급가=원가+마진</v>
      </c>
    </row>
    <row r="1593" customFormat="false" ht="15" hidden="false" customHeight="true" outlineLevel="0" collapsed="false">
      <c r="A1593" s="94" t="s">
        <v>1686</v>
      </c>
      <c r="B1593" s="34" t="str">
        <f aca="false">IF(A1593="100","HK",IF(A1593="200","CN",IF(A1593="300","TW","홀세일")))</f>
        <v>TW</v>
      </c>
      <c r="C1593" s="94" t="s">
        <v>1478</v>
      </c>
      <c r="D1593" s="95" t="n">
        <v>500</v>
      </c>
      <c r="E1593" s="95" t="n">
        <v>299000</v>
      </c>
      <c r="F1593" s="95" t="n">
        <v>74621</v>
      </c>
      <c r="G1593" s="34" t="n">
        <v>3.52</v>
      </c>
      <c r="H1593" s="34" t="n">
        <v>79.4</v>
      </c>
      <c r="I1593" s="34" t="n">
        <v>0</v>
      </c>
      <c r="J1593" s="95" t="n">
        <f aca="false">IF(N(E1593)&gt;0,E1593,IF(N(F1593)&gt;0,F1593*가정!$B$5,0))</f>
        <v>299000</v>
      </c>
      <c r="K1593" s="95" t="n">
        <f aca="false">IF(N(F1593)&gt;0,F1593,IF(N(E1593)&gt;0,E1593/가정!$B$5,0))</f>
        <v>74621</v>
      </c>
      <c r="L1593" s="95" t="n">
        <f aca="false">IF(B1593="CN",IF(N(I1593)&gt;0,I1593*가정!$B$3,K1593*(1+가정!$B$6)),IF(N(H1593)&gt;0,H1593*가정!$B$3,J1593*가정!$B$4))</f>
        <v>108204.732</v>
      </c>
      <c r="M1593" s="95" t="n">
        <f aca="false">D1593*J1593</f>
        <v>149500000</v>
      </c>
      <c r="N1593" s="95" t="n">
        <f aca="false">D1593*K1593</f>
        <v>37310500</v>
      </c>
      <c r="O1593" s="95" t="n">
        <f aca="false">D1593*L1593</f>
        <v>54102366</v>
      </c>
      <c r="P1593" s="34" t="str">
        <f aca="false">TRIM(IF(N(E1593)&lt;=0,"택가보정 ","")&amp;IF(N(F1593)&lt;=0,"원가보정 ","")&amp;IF(AND(B1593&lt;&gt;"CN",N(H1593)&lt;=0),"공급가보정 ","")&amp;IF(AND(B1593="CN",N(I1593)&lt;=0),"중국공급가=원가+마진 ",""))</f>
        <v/>
      </c>
    </row>
    <row r="1594" customFormat="false" ht="15" hidden="false" customHeight="true" outlineLevel="0" collapsed="false">
      <c r="A1594" s="94" t="s">
        <v>1688</v>
      </c>
      <c r="B1594" s="34" t="str">
        <f aca="false">IF(A1594="100","HK",IF(A1594="200","CN",IF(A1594="300","TW","홀세일")))</f>
        <v>홀세일</v>
      </c>
      <c r="C1594" s="94" t="s">
        <v>1478</v>
      </c>
      <c r="D1594" s="95" t="n">
        <v>30</v>
      </c>
      <c r="E1594" s="95" t="n">
        <v>299000</v>
      </c>
      <c r="F1594" s="95" t="n">
        <v>74621</v>
      </c>
      <c r="G1594" s="34" t="n">
        <v>3.52</v>
      </c>
      <c r="H1594" s="34" t="n">
        <v>79.4</v>
      </c>
      <c r="I1594" s="34" t="n">
        <v>0</v>
      </c>
      <c r="J1594" s="95" t="n">
        <f aca="false">IF(N(E1594)&gt;0,E1594,IF(N(F1594)&gt;0,F1594*가정!$B$5,0))</f>
        <v>299000</v>
      </c>
      <c r="K1594" s="95" t="n">
        <f aca="false">IF(N(F1594)&gt;0,F1594,IF(N(E1594)&gt;0,E1594/가정!$B$5,0))</f>
        <v>74621</v>
      </c>
      <c r="L1594" s="95" t="n">
        <f aca="false">IF(B1594="CN",IF(N(I1594)&gt;0,I1594*가정!$B$3,K1594*(1+가정!$B$6)),IF(N(H1594)&gt;0,H1594*가정!$B$3,J1594*가정!$B$4))</f>
        <v>108204.732</v>
      </c>
      <c r="M1594" s="95" t="n">
        <f aca="false">D1594*J1594</f>
        <v>8970000</v>
      </c>
      <c r="N1594" s="95" t="n">
        <f aca="false">D1594*K1594</f>
        <v>2238630</v>
      </c>
      <c r="O1594" s="95" t="n">
        <f aca="false">D1594*L1594</f>
        <v>3246141.96</v>
      </c>
      <c r="P1594" s="34" t="str">
        <f aca="false">TRIM(IF(N(E1594)&lt;=0,"택가보정 ","")&amp;IF(N(F1594)&lt;=0,"원가보정 ","")&amp;IF(AND(B1594&lt;&gt;"CN",N(H1594)&lt;=0),"공급가보정 ","")&amp;IF(AND(B1594="CN",N(I1594)&lt;=0),"중국공급가=원가+마진 ",""))</f>
        <v/>
      </c>
    </row>
    <row r="1595" customFormat="false" ht="15" hidden="false" customHeight="true" outlineLevel="0" collapsed="false">
      <c r="A1595" s="94" t="s">
        <v>1692</v>
      </c>
      <c r="B1595" s="34" t="str">
        <f aca="false">IF(A1595="100","HK",IF(A1595="200","CN",IF(A1595="300","TW","홀세일")))</f>
        <v>홀세일</v>
      </c>
      <c r="C1595" s="94" t="s">
        <v>1478</v>
      </c>
      <c r="D1595" s="95" t="n">
        <v>122</v>
      </c>
      <c r="E1595" s="95" t="n">
        <v>299000</v>
      </c>
      <c r="F1595" s="95" t="n">
        <v>74621</v>
      </c>
      <c r="G1595" s="34" t="n">
        <v>3.52</v>
      </c>
      <c r="H1595" s="34" t="n">
        <v>79.4</v>
      </c>
      <c r="I1595" s="34" t="n">
        <v>0</v>
      </c>
      <c r="J1595" s="95" t="n">
        <f aca="false">IF(N(E1595)&gt;0,E1595,IF(N(F1595)&gt;0,F1595*가정!$B$5,0))</f>
        <v>299000</v>
      </c>
      <c r="K1595" s="95" t="n">
        <f aca="false">IF(N(F1595)&gt;0,F1595,IF(N(E1595)&gt;0,E1595/가정!$B$5,0))</f>
        <v>74621</v>
      </c>
      <c r="L1595" s="95" t="n">
        <f aca="false">IF(B1595="CN",IF(N(I1595)&gt;0,I1595*가정!$B$3,K1595*(1+가정!$B$6)),IF(N(H1595)&gt;0,H1595*가정!$B$3,J1595*가정!$B$4))</f>
        <v>108204.732</v>
      </c>
      <c r="M1595" s="95" t="n">
        <f aca="false">D1595*J1595</f>
        <v>36478000</v>
      </c>
      <c r="N1595" s="95" t="n">
        <f aca="false">D1595*K1595</f>
        <v>9103762</v>
      </c>
      <c r="O1595" s="95" t="n">
        <f aca="false">D1595*L1595</f>
        <v>13200977.304</v>
      </c>
      <c r="P1595" s="34" t="str">
        <f aca="false">TRIM(IF(N(E1595)&lt;=0,"택가보정 ","")&amp;IF(N(F1595)&lt;=0,"원가보정 ","")&amp;IF(AND(B1595&lt;&gt;"CN",N(H1595)&lt;=0),"공급가보정 ","")&amp;IF(AND(B1595="CN",N(I1595)&lt;=0),"중국공급가=원가+마진 ",""))</f>
        <v/>
      </c>
    </row>
    <row r="1596" customFormat="false" ht="15" hidden="false" customHeight="true" outlineLevel="0" collapsed="false">
      <c r="A1596" s="94" t="s">
        <v>1689</v>
      </c>
      <c r="B1596" s="34" t="str">
        <f aca="false">IF(A1596="100","HK",IF(A1596="200","CN",IF(A1596="300","TW","홀세일")))</f>
        <v>홀세일</v>
      </c>
      <c r="C1596" s="94" t="s">
        <v>1478</v>
      </c>
      <c r="D1596" s="95" t="n">
        <v>60</v>
      </c>
      <c r="E1596" s="95" t="n">
        <v>299000</v>
      </c>
      <c r="F1596" s="95" t="n">
        <v>74621</v>
      </c>
      <c r="G1596" s="34" t="n">
        <v>3.52</v>
      </c>
      <c r="H1596" s="34" t="n">
        <v>79.4</v>
      </c>
      <c r="I1596" s="34" t="n">
        <v>0</v>
      </c>
      <c r="J1596" s="95" t="n">
        <f aca="false">IF(N(E1596)&gt;0,E1596,IF(N(F1596)&gt;0,F1596*가정!$B$5,0))</f>
        <v>299000</v>
      </c>
      <c r="K1596" s="95" t="n">
        <f aca="false">IF(N(F1596)&gt;0,F1596,IF(N(E1596)&gt;0,E1596/가정!$B$5,0))</f>
        <v>74621</v>
      </c>
      <c r="L1596" s="95" t="n">
        <f aca="false">IF(B1596="CN",IF(N(I1596)&gt;0,I1596*가정!$B$3,K1596*(1+가정!$B$6)),IF(N(H1596)&gt;0,H1596*가정!$B$3,J1596*가정!$B$4))</f>
        <v>108204.732</v>
      </c>
      <c r="M1596" s="95" t="n">
        <f aca="false">D1596*J1596</f>
        <v>17940000</v>
      </c>
      <c r="N1596" s="95" t="n">
        <f aca="false">D1596*K1596</f>
        <v>4477260</v>
      </c>
      <c r="O1596" s="95" t="n">
        <f aca="false">D1596*L1596</f>
        <v>6492283.92</v>
      </c>
      <c r="P1596" s="34" t="str">
        <f aca="false">TRIM(IF(N(E1596)&lt;=0,"택가보정 ","")&amp;IF(N(F1596)&lt;=0,"원가보정 ","")&amp;IF(AND(B1596&lt;&gt;"CN",N(H1596)&lt;=0),"공급가보정 ","")&amp;IF(AND(B1596="CN",N(I1596)&lt;=0),"중국공급가=원가+마진 ",""))</f>
        <v/>
      </c>
    </row>
    <row r="1597" customFormat="false" ht="15" hidden="false" customHeight="true" outlineLevel="0" collapsed="false">
      <c r="A1597" s="94" t="s">
        <v>1688</v>
      </c>
      <c r="B1597" s="34" t="str">
        <f aca="false">IF(A1597="100","HK",IF(A1597="200","CN",IF(A1597="300","TW","홀세일")))</f>
        <v>홀세일</v>
      </c>
      <c r="C1597" s="94" t="s">
        <v>1739</v>
      </c>
      <c r="D1597" s="95" t="n">
        <v>140</v>
      </c>
      <c r="E1597" s="95" t="n">
        <v>69000</v>
      </c>
      <c r="F1597" s="95" t="n">
        <v>16608</v>
      </c>
      <c r="G1597" s="34" t="n">
        <v>3.58</v>
      </c>
      <c r="H1597" s="34" t="n">
        <v>0</v>
      </c>
      <c r="I1597" s="34" t="n">
        <v>0</v>
      </c>
      <c r="J1597" s="95" t="n">
        <f aca="false">IF(N(E1597)&gt;0,E1597,IF(N(F1597)&gt;0,F1597*가정!$B$5,0))</f>
        <v>69000</v>
      </c>
      <c r="K1597" s="95" t="n">
        <f aca="false">IF(N(F1597)&gt;0,F1597,IF(N(E1597)&gt;0,E1597/가정!$B$5,0))</f>
        <v>16608</v>
      </c>
      <c r="L1597" s="95" t="n">
        <f aca="false">IF(B1597="CN",IF(N(I1597)&gt;0,I1597*가정!$B$3,K1597*(1+가정!$B$6)),IF(N(H1597)&gt;0,H1597*가정!$B$3,J1597*가정!$B$4))</f>
        <v>22770</v>
      </c>
      <c r="M1597" s="95" t="n">
        <f aca="false">D1597*J1597</f>
        <v>9660000</v>
      </c>
      <c r="N1597" s="95" t="n">
        <f aca="false">D1597*K1597</f>
        <v>2325120</v>
      </c>
      <c r="O1597" s="95" t="n">
        <f aca="false">D1597*L1597</f>
        <v>3187800</v>
      </c>
      <c r="P1597" s="34" t="str">
        <f aca="false">TRIM(IF(N(E1597)&lt;=0,"택가보정 ","")&amp;IF(N(F1597)&lt;=0,"원가보정 ","")&amp;IF(AND(B1597&lt;&gt;"CN",N(H1597)&lt;=0),"공급가보정 ","")&amp;IF(AND(B1597="CN",N(I1597)&lt;=0),"중국공급가=원가+마진 ",""))</f>
        <v>공급가보정</v>
      </c>
    </row>
    <row r="1598" customFormat="false" ht="15" hidden="false" customHeight="true" outlineLevel="0" collapsed="false">
      <c r="A1598" s="94" t="s">
        <v>1686</v>
      </c>
      <c r="B1598" s="34" t="str">
        <f aca="false">IF(A1598="100","HK",IF(A1598="200","CN",IF(A1598="300","TW","홀세일")))</f>
        <v>TW</v>
      </c>
      <c r="C1598" s="94" t="s">
        <v>713</v>
      </c>
      <c r="D1598" s="95" t="n">
        <v>1050</v>
      </c>
      <c r="E1598" s="95" t="n">
        <v>49000</v>
      </c>
      <c r="F1598" s="95" t="n">
        <v>8409</v>
      </c>
      <c r="G1598" s="34" t="n">
        <v>4.16</v>
      </c>
      <c r="H1598" s="34" t="n">
        <v>12.3</v>
      </c>
      <c r="I1598" s="34" t="n">
        <v>0</v>
      </c>
      <c r="J1598" s="95" t="n">
        <f aca="false">IF(N(E1598)&gt;0,E1598,IF(N(F1598)&gt;0,F1598*가정!$B$5,0))</f>
        <v>49000</v>
      </c>
      <c r="K1598" s="95" t="n">
        <f aca="false">IF(N(F1598)&gt;0,F1598,IF(N(E1598)&gt;0,E1598/가정!$B$5,0))</f>
        <v>8409</v>
      </c>
      <c r="L1598" s="95" t="n">
        <f aca="false">IF(B1598="CN",IF(N(I1598)&gt;0,I1598*가정!$B$3,K1598*(1+가정!$B$6)),IF(N(H1598)&gt;0,H1598*가정!$B$3,J1598*가정!$B$4))</f>
        <v>16762.194</v>
      </c>
      <c r="M1598" s="95" t="n">
        <f aca="false">D1598*J1598</f>
        <v>51450000</v>
      </c>
      <c r="N1598" s="95" t="n">
        <f aca="false">D1598*K1598</f>
        <v>8829450</v>
      </c>
      <c r="O1598" s="95" t="n">
        <f aca="false">D1598*L1598</f>
        <v>17600303.7</v>
      </c>
      <c r="P1598" s="34" t="str">
        <f aca="false">TRIM(IF(N(E1598)&lt;=0,"택가보정 ","")&amp;IF(N(F1598)&lt;=0,"원가보정 ","")&amp;IF(AND(B1598&lt;&gt;"CN",N(H1598)&lt;=0),"공급가보정 ","")&amp;IF(AND(B1598="CN",N(I1598)&lt;=0),"중국공급가=원가+마진 ",""))</f>
        <v/>
      </c>
    </row>
    <row r="1599" customFormat="false" ht="15" hidden="false" customHeight="true" outlineLevel="0" collapsed="false">
      <c r="A1599" s="94" t="s">
        <v>1688</v>
      </c>
      <c r="B1599" s="34" t="str">
        <f aca="false">IF(A1599="100","HK",IF(A1599="200","CN",IF(A1599="300","TW","홀세일")))</f>
        <v>홀세일</v>
      </c>
      <c r="C1599" s="94" t="s">
        <v>713</v>
      </c>
      <c r="D1599" s="95" t="n">
        <v>305</v>
      </c>
      <c r="E1599" s="95" t="n">
        <v>49000</v>
      </c>
      <c r="F1599" s="95" t="n">
        <v>8409</v>
      </c>
      <c r="G1599" s="34" t="n">
        <v>4.16</v>
      </c>
      <c r="H1599" s="34" t="n">
        <v>12.3</v>
      </c>
      <c r="I1599" s="34" t="n">
        <v>0</v>
      </c>
      <c r="J1599" s="95" t="n">
        <f aca="false">IF(N(E1599)&gt;0,E1599,IF(N(F1599)&gt;0,F1599*가정!$B$5,0))</f>
        <v>49000</v>
      </c>
      <c r="K1599" s="95" t="n">
        <f aca="false">IF(N(F1599)&gt;0,F1599,IF(N(E1599)&gt;0,E1599/가정!$B$5,0))</f>
        <v>8409</v>
      </c>
      <c r="L1599" s="95" t="n">
        <f aca="false">IF(B1599="CN",IF(N(I1599)&gt;0,I1599*가정!$B$3,K1599*(1+가정!$B$6)),IF(N(H1599)&gt;0,H1599*가정!$B$3,J1599*가정!$B$4))</f>
        <v>16762.194</v>
      </c>
      <c r="M1599" s="95" t="n">
        <f aca="false">D1599*J1599</f>
        <v>14945000</v>
      </c>
      <c r="N1599" s="95" t="n">
        <f aca="false">D1599*K1599</f>
        <v>2564745</v>
      </c>
      <c r="O1599" s="95" t="n">
        <f aca="false">D1599*L1599</f>
        <v>5112469.17</v>
      </c>
      <c r="P1599" s="34" t="str">
        <f aca="false">TRIM(IF(N(E1599)&lt;=0,"택가보정 ","")&amp;IF(N(F1599)&lt;=0,"원가보정 ","")&amp;IF(AND(B1599&lt;&gt;"CN",N(H1599)&lt;=0),"공급가보정 ","")&amp;IF(AND(B1599="CN",N(I1599)&lt;=0),"중국공급가=원가+마진 ",""))</f>
        <v/>
      </c>
    </row>
    <row r="1600" customFormat="false" ht="15" hidden="false" customHeight="true" outlineLevel="0" collapsed="false">
      <c r="A1600" s="94" t="s">
        <v>1689</v>
      </c>
      <c r="B1600" s="34" t="str">
        <f aca="false">IF(A1600="100","HK",IF(A1600="200","CN",IF(A1600="300","TW","홀세일")))</f>
        <v>홀세일</v>
      </c>
      <c r="C1600" s="94" t="s">
        <v>713</v>
      </c>
      <c r="D1600" s="95" t="n">
        <v>100</v>
      </c>
      <c r="E1600" s="95" t="n">
        <v>49000</v>
      </c>
      <c r="F1600" s="95" t="n">
        <v>8409</v>
      </c>
      <c r="G1600" s="34" t="n">
        <v>4.16</v>
      </c>
      <c r="H1600" s="34" t="n">
        <v>12.3</v>
      </c>
      <c r="I1600" s="34" t="n">
        <v>0</v>
      </c>
      <c r="J1600" s="95" t="n">
        <f aca="false">IF(N(E1600)&gt;0,E1600,IF(N(F1600)&gt;0,F1600*가정!$B$5,0))</f>
        <v>49000</v>
      </c>
      <c r="K1600" s="95" t="n">
        <f aca="false">IF(N(F1600)&gt;0,F1600,IF(N(E1600)&gt;0,E1600/가정!$B$5,0))</f>
        <v>8409</v>
      </c>
      <c r="L1600" s="95" t="n">
        <f aca="false">IF(B1600="CN",IF(N(I1600)&gt;0,I1600*가정!$B$3,K1600*(1+가정!$B$6)),IF(N(H1600)&gt;0,H1600*가정!$B$3,J1600*가정!$B$4))</f>
        <v>16762.194</v>
      </c>
      <c r="M1600" s="95" t="n">
        <f aca="false">D1600*J1600</f>
        <v>4900000</v>
      </c>
      <c r="N1600" s="95" t="n">
        <f aca="false">D1600*K1600</f>
        <v>840900</v>
      </c>
      <c r="O1600" s="95" t="n">
        <f aca="false">D1600*L1600</f>
        <v>1676219.4</v>
      </c>
      <c r="P1600" s="34" t="str">
        <f aca="false">TRIM(IF(N(E1600)&lt;=0,"택가보정 ","")&amp;IF(N(F1600)&lt;=0,"원가보정 ","")&amp;IF(AND(B1600&lt;&gt;"CN",N(H1600)&lt;=0),"공급가보정 ","")&amp;IF(AND(B1600="CN",N(I1600)&lt;=0),"중국공급가=원가+마진 ",""))</f>
        <v/>
      </c>
    </row>
    <row r="1601" customFormat="false" ht="15" hidden="false" customHeight="true" outlineLevel="0" collapsed="false">
      <c r="A1601" s="94" t="s">
        <v>1688</v>
      </c>
      <c r="B1601" s="34" t="str">
        <f aca="false">IF(A1601="100","HK",IF(A1601="200","CN",IF(A1601="300","TW","홀세일")))</f>
        <v>홀세일</v>
      </c>
      <c r="C1601" s="94" t="s">
        <v>1417</v>
      </c>
      <c r="D1601" s="95" t="n">
        <v>80</v>
      </c>
      <c r="E1601" s="95" t="n">
        <v>49000</v>
      </c>
      <c r="F1601" s="95" t="n">
        <v>9200</v>
      </c>
      <c r="G1601" s="34" t="n">
        <v>4.28</v>
      </c>
      <c r="H1601" s="34" t="n">
        <v>12.3</v>
      </c>
      <c r="I1601" s="34" t="n">
        <v>0</v>
      </c>
      <c r="J1601" s="95" t="n">
        <f aca="false">IF(N(E1601)&gt;0,E1601,IF(N(F1601)&gt;0,F1601*가정!$B$5,0))</f>
        <v>49000</v>
      </c>
      <c r="K1601" s="95" t="n">
        <f aca="false">IF(N(F1601)&gt;0,F1601,IF(N(E1601)&gt;0,E1601/가정!$B$5,0))</f>
        <v>9200</v>
      </c>
      <c r="L1601" s="95" t="n">
        <f aca="false">IF(B1601="CN",IF(N(I1601)&gt;0,I1601*가정!$B$3,K1601*(1+가정!$B$6)),IF(N(H1601)&gt;0,H1601*가정!$B$3,J1601*가정!$B$4))</f>
        <v>16762.194</v>
      </c>
      <c r="M1601" s="95" t="n">
        <f aca="false">D1601*J1601</f>
        <v>3920000</v>
      </c>
      <c r="N1601" s="95" t="n">
        <f aca="false">D1601*K1601</f>
        <v>736000</v>
      </c>
      <c r="O1601" s="95" t="n">
        <f aca="false">D1601*L1601</f>
        <v>1340975.52</v>
      </c>
      <c r="P1601" s="34" t="str">
        <f aca="false">TRIM(IF(N(E1601)&lt;=0,"택가보정 ","")&amp;IF(N(F1601)&lt;=0,"원가보정 ","")&amp;IF(AND(B1601&lt;&gt;"CN",N(H1601)&lt;=0),"공급가보정 ","")&amp;IF(AND(B1601="CN",N(I1601)&lt;=0),"중국공급가=원가+마진 ",""))</f>
        <v/>
      </c>
    </row>
    <row r="1602" customFormat="false" ht="15" hidden="false" customHeight="true" outlineLevel="0" collapsed="false">
      <c r="A1602" s="94" t="s">
        <v>1689</v>
      </c>
      <c r="B1602" s="34" t="str">
        <f aca="false">IF(A1602="100","HK",IF(A1602="200","CN",IF(A1602="300","TW","홀세일")))</f>
        <v>홀세일</v>
      </c>
      <c r="C1602" s="94" t="s">
        <v>1417</v>
      </c>
      <c r="D1602" s="95" t="n">
        <v>95</v>
      </c>
      <c r="E1602" s="95" t="n">
        <v>49000</v>
      </c>
      <c r="F1602" s="95" t="n">
        <v>9200</v>
      </c>
      <c r="G1602" s="34" t="n">
        <v>4.28</v>
      </c>
      <c r="H1602" s="34" t="n">
        <v>12.3</v>
      </c>
      <c r="I1602" s="34" t="n">
        <v>0</v>
      </c>
      <c r="J1602" s="95" t="n">
        <f aca="false">IF(N(E1602)&gt;0,E1602,IF(N(F1602)&gt;0,F1602*가정!$B$5,0))</f>
        <v>49000</v>
      </c>
      <c r="K1602" s="95" t="n">
        <f aca="false">IF(N(F1602)&gt;0,F1602,IF(N(E1602)&gt;0,E1602/가정!$B$5,0))</f>
        <v>9200</v>
      </c>
      <c r="L1602" s="95" t="n">
        <f aca="false">IF(B1602="CN",IF(N(I1602)&gt;0,I1602*가정!$B$3,K1602*(1+가정!$B$6)),IF(N(H1602)&gt;0,H1602*가정!$B$3,J1602*가정!$B$4))</f>
        <v>16762.194</v>
      </c>
      <c r="M1602" s="95" t="n">
        <f aca="false">D1602*J1602</f>
        <v>4655000</v>
      </c>
      <c r="N1602" s="95" t="n">
        <f aca="false">D1602*K1602</f>
        <v>874000</v>
      </c>
      <c r="O1602" s="95" t="n">
        <f aca="false">D1602*L1602</f>
        <v>1592408.43</v>
      </c>
      <c r="P1602" s="34" t="str">
        <f aca="false">TRIM(IF(N(E1602)&lt;=0,"택가보정 ","")&amp;IF(N(F1602)&lt;=0,"원가보정 ","")&amp;IF(AND(B1602&lt;&gt;"CN",N(H1602)&lt;=0),"공급가보정 ","")&amp;IF(AND(B1602="CN",N(I1602)&lt;=0),"중국공급가=원가+마진 ",""))</f>
        <v/>
      </c>
    </row>
    <row r="1603" customFormat="false" ht="15" hidden="false" customHeight="true" outlineLevel="0" collapsed="false">
      <c r="A1603" s="94" t="s">
        <v>1690</v>
      </c>
      <c r="B1603" s="34" t="str">
        <f aca="false">IF(A1603="100","HK",IF(A1603="200","CN",IF(A1603="300","TW","홀세일")))</f>
        <v>홀세일</v>
      </c>
      <c r="C1603" s="94" t="s">
        <v>1417</v>
      </c>
      <c r="D1603" s="95" t="n">
        <v>432</v>
      </c>
      <c r="E1603" s="95" t="n">
        <v>49000</v>
      </c>
      <c r="F1603" s="95" t="n">
        <v>9200</v>
      </c>
      <c r="G1603" s="34" t="n">
        <v>4.28</v>
      </c>
      <c r="H1603" s="34" t="n">
        <v>12.3</v>
      </c>
      <c r="I1603" s="34" t="n">
        <v>0</v>
      </c>
      <c r="J1603" s="95" t="n">
        <f aca="false">IF(N(E1603)&gt;0,E1603,IF(N(F1603)&gt;0,F1603*가정!$B$5,0))</f>
        <v>49000</v>
      </c>
      <c r="K1603" s="95" t="n">
        <f aca="false">IF(N(F1603)&gt;0,F1603,IF(N(E1603)&gt;0,E1603/가정!$B$5,0))</f>
        <v>9200</v>
      </c>
      <c r="L1603" s="95" t="n">
        <f aca="false">IF(B1603="CN",IF(N(I1603)&gt;0,I1603*가정!$B$3,K1603*(1+가정!$B$6)),IF(N(H1603)&gt;0,H1603*가정!$B$3,J1603*가정!$B$4))</f>
        <v>16762.194</v>
      </c>
      <c r="M1603" s="95" t="n">
        <f aca="false">D1603*J1603</f>
        <v>21168000</v>
      </c>
      <c r="N1603" s="95" t="n">
        <f aca="false">D1603*K1603</f>
        <v>3974400</v>
      </c>
      <c r="O1603" s="95" t="n">
        <f aca="false">D1603*L1603</f>
        <v>7241267.808</v>
      </c>
      <c r="P1603" s="34" t="str">
        <f aca="false">TRIM(IF(N(E1603)&lt;=0,"택가보정 ","")&amp;IF(N(F1603)&lt;=0,"원가보정 ","")&amp;IF(AND(B1603&lt;&gt;"CN",N(H1603)&lt;=0),"공급가보정 ","")&amp;IF(AND(B1603="CN",N(I1603)&lt;=0),"중국공급가=원가+마진 ",""))</f>
        <v/>
      </c>
    </row>
    <row r="1604" customFormat="false" ht="15" hidden="false" customHeight="true" outlineLevel="0" collapsed="false">
      <c r="A1604" s="94" t="s">
        <v>1689</v>
      </c>
      <c r="B1604" s="34" t="str">
        <f aca="false">IF(A1604="100","HK",IF(A1604="200","CN",IF(A1604="300","TW","홀세일")))</f>
        <v>홀세일</v>
      </c>
      <c r="C1604" s="94" t="s">
        <v>1740</v>
      </c>
      <c r="D1604" s="95" t="n">
        <v>65</v>
      </c>
      <c r="E1604" s="95" t="n">
        <v>49000</v>
      </c>
      <c r="F1604" s="95" t="n">
        <v>12474</v>
      </c>
      <c r="G1604" s="34" t="n">
        <v>3.23</v>
      </c>
      <c r="H1604" s="34" t="n">
        <v>12.3</v>
      </c>
      <c r="I1604" s="34" t="n">
        <v>0</v>
      </c>
      <c r="J1604" s="95" t="n">
        <f aca="false">IF(N(E1604)&gt;0,E1604,IF(N(F1604)&gt;0,F1604*가정!$B$5,0))</f>
        <v>49000</v>
      </c>
      <c r="K1604" s="95" t="n">
        <f aca="false">IF(N(F1604)&gt;0,F1604,IF(N(E1604)&gt;0,E1604/가정!$B$5,0))</f>
        <v>12474</v>
      </c>
      <c r="L1604" s="95" t="n">
        <f aca="false">IF(B1604="CN",IF(N(I1604)&gt;0,I1604*가정!$B$3,K1604*(1+가정!$B$6)),IF(N(H1604)&gt;0,H1604*가정!$B$3,J1604*가정!$B$4))</f>
        <v>16762.194</v>
      </c>
      <c r="M1604" s="95" t="n">
        <f aca="false">D1604*J1604</f>
        <v>3185000</v>
      </c>
      <c r="N1604" s="95" t="n">
        <f aca="false">D1604*K1604</f>
        <v>810810</v>
      </c>
      <c r="O1604" s="95" t="n">
        <f aca="false">D1604*L1604</f>
        <v>1089542.61</v>
      </c>
      <c r="P1604" s="34" t="str">
        <f aca="false">TRIM(IF(N(E1604)&lt;=0,"택가보정 ","")&amp;IF(N(F1604)&lt;=0,"원가보정 ","")&amp;IF(AND(B1604&lt;&gt;"CN",N(H1604)&lt;=0),"공급가보정 ","")&amp;IF(AND(B1604="CN",N(I1604)&lt;=0),"중국공급가=원가+마진 ",""))</f>
        <v/>
      </c>
    </row>
    <row r="1605" customFormat="false" ht="15" hidden="false" customHeight="true" outlineLevel="0" collapsed="false">
      <c r="A1605" s="94" t="s">
        <v>1686</v>
      </c>
      <c r="B1605" s="34" t="str">
        <f aca="false">IF(A1605="100","HK",IF(A1605="200","CN",IF(A1605="300","TW","홀세일")))</f>
        <v>TW</v>
      </c>
      <c r="C1605" s="94" t="s">
        <v>715</v>
      </c>
      <c r="D1605" s="95" t="n">
        <v>180</v>
      </c>
      <c r="E1605" s="95" t="n">
        <v>39000</v>
      </c>
      <c r="F1605" s="95" t="n">
        <v>10488</v>
      </c>
      <c r="G1605" s="34" t="n">
        <v>3.31</v>
      </c>
      <c r="H1605" s="34" t="n">
        <v>9.8</v>
      </c>
      <c r="I1605" s="34" t="n">
        <v>0</v>
      </c>
      <c r="J1605" s="95" t="n">
        <f aca="false">IF(N(E1605)&gt;0,E1605,IF(N(F1605)&gt;0,F1605*가정!$B$5,0))</f>
        <v>39000</v>
      </c>
      <c r="K1605" s="95" t="n">
        <f aca="false">IF(N(F1605)&gt;0,F1605,IF(N(E1605)&gt;0,E1605/가정!$B$5,0))</f>
        <v>10488</v>
      </c>
      <c r="L1605" s="95" t="n">
        <f aca="false">IF(B1605="CN",IF(N(I1605)&gt;0,I1605*가정!$B$3,K1605*(1+가정!$B$6)),IF(N(H1605)&gt;0,H1605*가정!$B$3,J1605*가정!$B$4))</f>
        <v>13355.244</v>
      </c>
      <c r="M1605" s="95" t="n">
        <f aca="false">D1605*J1605</f>
        <v>7020000</v>
      </c>
      <c r="N1605" s="95" t="n">
        <f aca="false">D1605*K1605</f>
        <v>1887840</v>
      </c>
      <c r="O1605" s="95" t="n">
        <f aca="false">D1605*L1605</f>
        <v>2403943.92</v>
      </c>
      <c r="P1605" s="34" t="str">
        <f aca="false">TRIM(IF(N(E1605)&lt;=0,"택가보정 ","")&amp;IF(N(F1605)&lt;=0,"원가보정 ","")&amp;IF(AND(B1605&lt;&gt;"CN",N(H1605)&lt;=0),"공급가보정 ","")&amp;IF(AND(B1605="CN",N(I1605)&lt;=0),"중국공급가=원가+마진 ",""))</f>
        <v/>
      </c>
    </row>
    <row r="1606" customFormat="false" ht="15" hidden="false" customHeight="true" outlineLevel="0" collapsed="false">
      <c r="A1606" s="94" t="s">
        <v>1689</v>
      </c>
      <c r="B1606" s="34" t="str">
        <f aca="false">IF(A1606="100","HK",IF(A1606="200","CN",IF(A1606="300","TW","홀세일")))</f>
        <v>홀세일</v>
      </c>
      <c r="C1606" s="94" t="s">
        <v>715</v>
      </c>
      <c r="D1606" s="95" t="n">
        <v>110</v>
      </c>
      <c r="E1606" s="95" t="n">
        <v>39000</v>
      </c>
      <c r="F1606" s="95" t="n">
        <v>10488</v>
      </c>
      <c r="G1606" s="34" t="n">
        <v>3.31</v>
      </c>
      <c r="H1606" s="34" t="n">
        <v>9.8</v>
      </c>
      <c r="I1606" s="34" t="n">
        <v>0</v>
      </c>
      <c r="J1606" s="95" t="n">
        <f aca="false">IF(N(E1606)&gt;0,E1606,IF(N(F1606)&gt;0,F1606*가정!$B$5,0))</f>
        <v>39000</v>
      </c>
      <c r="K1606" s="95" t="n">
        <f aca="false">IF(N(F1606)&gt;0,F1606,IF(N(E1606)&gt;0,E1606/가정!$B$5,0))</f>
        <v>10488</v>
      </c>
      <c r="L1606" s="95" t="n">
        <f aca="false">IF(B1606="CN",IF(N(I1606)&gt;0,I1606*가정!$B$3,K1606*(1+가정!$B$6)),IF(N(H1606)&gt;0,H1606*가정!$B$3,J1606*가정!$B$4))</f>
        <v>13355.244</v>
      </c>
      <c r="M1606" s="95" t="n">
        <f aca="false">D1606*J1606</f>
        <v>4290000</v>
      </c>
      <c r="N1606" s="95" t="n">
        <f aca="false">D1606*K1606</f>
        <v>1153680</v>
      </c>
      <c r="O1606" s="95" t="n">
        <f aca="false">D1606*L1606</f>
        <v>1469076.84</v>
      </c>
      <c r="P1606" s="34" t="str">
        <f aca="false">TRIM(IF(N(E1606)&lt;=0,"택가보정 ","")&amp;IF(N(F1606)&lt;=0,"원가보정 ","")&amp;IF(AND(B1606&lt;&gt;"CN",N(H1606)&lt;=0),"공급가보정 ","")&amp;IF(AND(B1606="CN",N(I1606)&lt;=0),"중국공급가=원가+마진 ",""))</f>
        <v/>
      </c>
    </row>
    <row r="1607" customFormat="false" ht="15" hidden="false" customHeight="true" outlineLevel="0" collapsed="false">
      <c r="A1607" s="94" t="s">
        <v>1684</v>
      </c>
      <c r="B1607" s="34" t="str">
        <f aca="false">IF(A1607="100","HK",IF(A1607="200","CN",IF(A1607="300","TW","홀세일")))</f>
        <v>HK</v>
      </c>
      <c r="C1607" s="94" t="s">
        <v>717</v>
      </c>
      <c r="D1607" s="95" t="n">
        <v>260</v>
      </c>
      <c r="E1607" s="95" t="n">
        <v>139000</v>
      </c>
      <c r="F1607" s="95" t="n">
        <v>34000</v>
      </c>
      <c r="G1607" s="34" t="n">
        <v>3.4</v>
      </c>
      <c r="H1607" s="34" t="n">
        <v>40.1</v>
      </c>
      <c r="J1607" s="95" t="n">
        <f aca="false">IF(N(E1607)&gt;0,E1607,IF(N(F1607)&gt;0,F1607*가정!$B$5,0))</f>
        <v>139000</v>
      </c>
      <c r="K1607" s="95" t="n">
        <f aca="false">IF(N(F1607)&gt;0,F1607,IF(N(E1607)&gt;0,E1607/가정!$B$5,0))</f>
        <v>34000</v>
      </c>
      <c r="L1607" s="95" t="n">
        <f aca="false">IF(B1607="CN",IF(N(I1607)&gt;0,I1607*가정!$B$3,K1607*(1+가정!$B$6)),IF(N(H1607)&gt;0,H1607*가정!$B$3,J1607*가정!$B$4))</f>
        <v>54647.478</v>
      </c>
      <c r="M1607" s="95" t="n">
        <f aca="false">D1607*J1607</f>
        <v>36140000</v>
      </c>
      <c r="N1607" s="95" t="n">
        <f aca="false">D1607*K1607</f>
        <v>8840000</v>
      </c>
      <c r="O1607" s="95" t="n">
        <f aca="false">D1607*L1607</f>
        <v>14208344.28</v>
      </c>
      <c r="P1607" s="34" t="str">
        <f aca="false">TRIM(IF(N(E1607)&lt;=0,"택가보정 ","")&amp;IF(N(F1607)&lt;=0,"원가보정 ","")&amp;IF(AND(B1607&lt;&gt;"CN",N(H1607)&lt;=0),"공급가보정 ","")&amp;IF(AND(B1607="CN",N(I1607)&lt;=0),"중국공급가=원가+마진 ",""))</f>
        <v/>
      </c>
    </row>
    <row r="1608" customFormat="false" ht="15.75" hidden="false" customHeight="true" outlineLevel="0" collapsed="false">
      <c r="A1608" s="94" t="s">
        <v>1685</v>
      </c>
      <c r="B1608" s="34" t="str">
        <f aca="false">IF(A1608="100","HK",IF(A1608="200","CN",IF(A1608="300","TW","홀세일")))</f>
        <v>CN</v>
      </c>
      <c r="C1608" s="94" t="s">
        <v>717</v>
      </c>
      <c r="D1608" s="95" t="n">
        <v>517</v>
      </c>
      <c r="E1608" s="95" t="n">
        <v>139000</v>
      </c>
      <c r="F1608" s="95" t="n">
        <v>34000</v>
      </c>
      <c r="G1608" s="34" t="n">
        <v>3.4</v>
      </c>
      <c r="H1608" s="34" t="n">
        <v>40.1</v>
      </c>
      <c r="J1608" s="95" t="n">
        <f aca="false">IF(N(E1608)&gt;0,E1608,IF(N(F1608)&gt;0,F1608*가정!$B$5,0))</f>
        <v>139000</v>
      </c>
      <c r="K1608" s="95" t="n">
        <f aca="false">IF(N(F1608)&gt;0,F1608,IF(N(E1608)&gt;0,E1608/가정!$B$5,0))</f>
        <v>34000</v>
      </c>
      <c r="L1608" s="95" t="n">
        <f aca="false">IF(B1608="CN",IF(N(I1608)&gt;0,I1608*가정!$B$3,K1608*(1+가정!$B$6)),IF(N(H1608)&gt;0,H1608*가정!$B$3,J1608*가정!$B$4))</f>
        <v>35700</v>
      </c>
      <c r="M1608" s="95" t="n">
        <f aca="false">D1608*J1608</f>
        <v>71863000</v>
      </c>
      <c r="N1608" s="95" t="n">
        <f aca="false">D1608*K1608</f>
        <v>17578000</v>
      </c>
      <c r="O1608" s="95" t="n">
        <f aca="false">D1608*L1608</f>
        <v>18456900</v>
      </c>
      <c r="P1608" s="34" t="str">
        <f aca="false">TRIM(IF(N(E1608)&lt;=0,"택가보정 ","")&amp;IF(N(F1608)&lt;=0,"원가보정 ","")&amp;IF(AND(B1608&lt;&gt;"CN",N(H1608)&lt;=0),"공급가보정 ","")&amp;IF(AND(B1608="CN",N(I1608)&lt;=0),"중국공급가=원가+마진 ",""))</f>
        <v>중국공급가=원가+마진</v>
      </c>
    </row>
    <row r="1609" customFormat="false" ht="15.75" hidden="false" customHeight="true" outlineLevel="0" collapsed="false">
      <c r="A1609" s="94" t="s">
        <v>1685</v>
      </c>
      <c r="B1609" s="34" t="str">
        <f aca="false">IF(A1609="100","HK",IF(A1609="200","CN",IF(A1609="300","TW","홀세일")))</f>
        <v>CN</v>
      </c>
      <c r="C1609" s="94" t="s">
        <v>717</v>
      </c>
      <c r="D1609" s="95" t="n">
        <v>517</v>
      </c>
      <c r="E1609" s="95" t="n">
        <v>139000</v>
      </c>
      <c r="F1609" s="95" t="n">
        <v>34000</v>
      </c>
      <c r="G1609" s="34" t="n">
        <v>3.4</v>
      </c>
      <c r="H1609" s="34" t="n">
        <v>40.1</v>
      </c>
      <c r="J1609" s="95" t="n">
        <f aca="false">IF(N(E1609)&gt;0,E1609,IF(N(F1609)&gt;0,F1609*가정!$B$5,0))</f>
        <v>139000</v>
      </c>
      <c r="K1609" s="95" t="n">
        <f aca="false">IF(N(F1609)&gt;0,F1609,IF(N(E1609)&gt;0,E1609/가정!$B$5,0))</f>
        <v>34000</v>
      </c>
      <c r="L1609" s="95" t="n">
        <f aca="false">IF(B1609="CN",IF(N(I1609)&gt;0,I1609*가정!$B$3,K1609*(1+가정!$B$6)),IF(N(H1609)&gt;0,H1609*가정!$B$3,J1609*가정!$B$4))</f>
        <v>35700</v>
      </c>
      <c r="M1609" s="95" t="n">
        <f aca="false">D1609*J1609</f>
        <v>71863000</v>
      </c>
      <c r="N1609" s="95" t="n">
        <f aca="false">D1609*K1609</f>
        <v>17578000</v>
      </c>
      <c r="O1609" s="95" t="n">
        <f aca="false">D1609*L1609</f>
        <v>18456900</v>
      </c>
      <c r="P1609" s="34" t="str">
        <f aca="false">TRIM(IF(N(E1609)&lt;=0,"택가보정 ","")&amp;IF(N(F1609)&lt;=0,"원가보정 ","")&amp;IF(AND(B1609&lt;&gt;"CN",N(H1609)&lt;=0),"공급가보정 ","")&amp;IF(AND(B1609="CN",N(I1609)&lt;=0),"중국공급가=원가+마진 ",""))</f>
        <v>중국공급가=원가+마진</v>
      </c>
    </row>
    <row r="1610" customFormat="false" ht="15" hidden="false" customHeight="true" outlineLevel="0" collapsed="false">
      <c r="A1610" s="94" t="s">
        <v>1686</v>
      </c>
      <c r="B1610" s="34" t="str">
        <f aca="false">IF(A1610="100","HK",IF(A1610="200","CN",IF(A1610="300","TW","홀세일")))</f>
        <v>TW</v>
      </c>
      <c r="C1610" s="94" t="s">
        <v>717</v>
      </c>
      <c r="D1610" s="95" t="n">
        <v>950</v>
      </c>
      <c r="E1610" s="95" t="n">
        <v>139000</v>
      </c>
      <c r="F1610" s="95" t="n">
        <v>34000</v>
      </c>
      <c r="G1610" s="34" t="n">
        <v>3.4</v>
      </c>
      <c r="H1610" s="34" t="n">
        <v>40.1</v>
      </c>
      <c r="J1610" s="95" t="n">
        <f aca="false">IF(N(E1610)&gt;0,E1610,IF(N(F1610)&gt;0,F1610*가정!$B$5,0))</f>
        <v>139000</v>
      </c>
      <c r="K1610" s="95" t="n">
        <f aca="false">IF(N(F1610)&gt;0,F1610,IF(N(E1610)&gt;0,E1610/가정!$B$5,0))</f>
        <v>34000</v>
      </c>
      <c r="L1610" s="95" t="n">
        <f aca="false">IF(B1610="CN",IF(N(I1610)&gt;0,I1610*가정!$B$3,K1610*(1+가정!$B$6)),IF(N(H1610)&gt;0,H1610*가정!$B$3,J1610*가정!$B$4))</f>
        <v>54647.478</v>
      </c>
      <c r="M1610" s="95" t="n">
        <f aca="false">D1610*J1610</f>
        <v>132050000</v>
      </c>
      <c r="N1610" s="95" t="n">
        <f aca="false">D1610*K1610</f>
        <v>32300000</v>
      </c>
      <c r="O1610" s="95" t="n">
        <f aca="false">D1610*L1610</f>
        <v>51915104.1</v>
      </c>
      <c r="P1610" s="34" t="str">
        <f aca="false">TRIM(IF(N(E1610)&lt;=0,"택가보정 ","")&amp;IF(N(F1610)&lt;=0,"원가보정 ","")&amp;IF(AND(B1610&lt;&gt;"CN",N(H1610)&lt;=0),"공급가보정 ","")&amp;IF(AND(B1610="CN",N(I1610)&lt;=0),"중국공급가=원가+마진 ",""))</f>
        <v/>
      </c>
    </row>
    <row r="1611" customFormat="false" ht="15" hidden="false" customHeight="true" outlineLevel="0" collapsed="false">
      <c r="A1611" s="94" t="s">
        <v>1686</v>
      </c>
      <c r="B1611" s="34" t="str">
        <f aca="false">IF(A1611="100","HK",IF(A1611="200","CN",IF(A1611="300","TW","홀세일")))</f>
        <v>TW</v>
      </c>
      <c r="C1611" s="94" t="s">
        <v>717</v>
      </c>
      <c r="D1611" s="95" t="n">
        <v>950</v>
      </c>
      <c r="E1611" s="95" t="n">
        <v>139000</v>
      </c>
      <c r="F1611" s="95" t="n">
        <v>34000</v>
      </c>
      <c r="G1611" s="34" t="n">
        <v>3.4</v>
      </c>
      <c r="H1611" s="34" t="n">
        <v>40.1</v>
      </c>
      <c r="J1611" s="95" t="n">
        <f aca="false">IF(N(E1611)&gt;0,E1611,IF(N(F1611)&gt;0,F1611*가정!$B$5,0))</f>
        <v>139000</v>
      </c>
      <c r="K1611" s="95" t="n">
        <f aca="false">IF(N(F1611)&gt;0,F1611,IF(N(E1611)&gt;0,E1611/가정!$B$5,0))</f>
        <v>34000</v>
      </c>
      <c r="L1611" s="95" t="n">
        <f aca="false">IF(B1611="CN",IF(N(I1611)&gt;0,I1611*가정!$B$3,K1611*(1+가정!$B$6)),IF(N(H1611)&gt;0,H1611*가정!$B$3,J1611*가정!$B$4))</f>
        <v>54647.478</v>
      </c>
      <c r="M1611" s="95" t="n">
        <f aca="false">D1611*J1611</f>
        <v>132050000</v>
      </c>
      <c r="N1611" s="95" t="n">
        <f aca="false">D1611*K1611</f>
        <v>32300000</v>
      </c>
      <c r="O1611" s="95" t="n">
        <f aca="false">D1611*L1611</f>
        <v>51915104.1</v>
      </c>
      <c r="P1611" s="34" t="str">
        <f aca="false">TRIM(IF(N(E1611)&lt;=0,"택가보정 ","")&amp;IF(N(F1611)&lt;=0,"원가보정 ","")&amp;IF(AND(B1611&lt;&gt;"CN",N(H1611)&lt;=0),"공급가보정 ","")&amp;IF(AND(B1611="CN",N(I1611)&lt;=0),"중국공급가=원가+마진 ",""))</f>
        <v/>
      </c>
    </row>
    <row r="1612" customFormat="false" ht="15" hidden="false" customHeight="true" outlineLevel="0" collapsed="false">
      <c r="A1612" s="94" t="s">
        <v>1687</v>
      </c>
      <c r="B1612" s="34" t="str">
        <f aca="false">IF(A1612="100","HK",IF(A1612="200","CN",IF(A1612="300","TW","홀세일")))</f>
        <v>홀세일</v>
      </c>
      <c r="C1612" s="94" t="s">
        <v>717</v>
      </c>
      <c r="D1612" s="95" t="n">
        <v>30</v>
      </c>
      <c r="E1612" s="95" t="n">
        <v>139000</v>
      </c>
      <c r="F1612" s="95" t="n">
        <v>34000</v>
      </c>
      <c r="G1612" s="34" t="n">
        <v>3.4</v>
      </c>
      <c r="H1612" s="34" t="n">
        <v>40.1</v>
      </c>
      <c r="J1612" s="95" t="n">
        <f aca="false">IF(N(E1612)&gt;0,E1612,IF(N(F1612)&gt;0,F1612*가정!$B$5,0))</f>
        <v>139000</v>
      </c>
      <c r="K1612" s="95" t="n">
        <f aca="false">IF(N(F1612)&gt;0,F1612,IF(N(E1612)&gt;0,E1612/가정!$B$5,0))</f>
        <v>34000</v>
      </c>
      <c r="L1612" s="95" t="n">
        <f aca="false">IF(B1612="CN",IF(N(I1612)&gt;0,I1612*가정!$B$3,K1612*(1+가정!$B$6)),IF(N(H1612)&gt;0,H1612*가정!$B$3,J1612*가정!$B$4))</f>
        <v>54647.478</v>
      </c>
      <c r="M1612" s="95" t="n">
        <f aca="false">D1612*J1612</f>
        <v>4170000</v>
      </c>
      <c r="N1612" s="95" t="n">
        <f aca="false">D1612*K1612</f>
        <v>1020000</v>
      </c>
      <c r="O1612" s="95" t="n">
        <f aca="false">D1612*L1612</f>
        <v>1639424.34</v>
      </c>
      <c r="P1612" s="34" t="str">
        <f aca="false">TRIM(IF(N(E1612)&lt;=0,"택가보정 ","")&amp;IF(N(F1612)&lt;=0,"원가보정 ","")&amp;IF(AND(B1612&lt;&gt;"CN",N(H1612)&lt;=0),"공급가보정 ","")&amp;IF(AND(B1612="CN",N(I1612)&lt;=0),"중국공급가=원가+마진 ",""))</f>
        <v/>
      </c>
    </row>
    <row r="1613" customFormat="false" ht="15" hidden="false" customHeight="true" outlineLevel="0" collapsed="false">
      <c r="A1613" s="94" t="s">
        <v>1684</v>
      </c>
      <c r="B1613" s="34" t="str">
        <f aca="false">IF(A1613="100","HK",IF(A1613="200","CN",IF(A1613="300","TW","홀세일")))</f>
        <v>HK</v>
      </c>
      <c r="C1613" s="94" t="s">
        <v>1029</v>
      </c>
      <c r="D1613" s="95" t="n">
        <v>390</v>
      </c>
      <c r="E1613" s="95" t="n">
        <v>129000</v>
      </c>
      <c r="F1613" s="95" t="n">
        <v>31730</v>
      </c>
      <c r="G1613" s="34" t="n">
        <v>3.4</v>
      </c>
      <c r="H1613" s="34" t="n">
        <v>37.2</v>
      </c>
      <c r="J1613" s="95" t="n">
        <f aca="false">IF(N(E1613)&gt;0,E1613,IF(N(F1613)&gt;0,F1613*가정!$B$5,0))</f>
        <v>129000</v>
      </c>
      <c r="K1613" s="95" t="n">
        <f aca="false">IF(N(F1613)&gt;0,F1613,IF(N(E1613)&gt;0,E1613/가정!$B$5,0))</f>
        <v>31730</v>
      </c>
      <c r="L1613" s="95" t="n">
        <f aca="false">IF(B1613="CN",IF(N(I1613)&gt;0,I1613*가정!$B$3,K1613*(1+가정!$B$6)),IF(N(H1613)&gt;0,H1613*가정!$B$3,J1613*가정!$B$4))</f>
        <v>50695.416</v>
      </c>
      <c r="M1613" s="95" t="n">
        <f aca="false">D1613*J1613</f>
        <v>50310000</v>
      </c>
      <c r="N1613" s="95" t="n">
        <f aca="false">D1613*K1613</f>
        <v>12374700</v>
      </c>
      <c r="O1613" s="95" t="n">
        <f aca="false">D1613*L1613</f>
        <v>19771212.24</v>
      </c>
      <c r="P1613" s="34" t="str">
        <f aca="false">TRIM(IF(N(E1613)&lt;=0,"택가보정 ","")&amp;IF(N(F1613)&lt;=0,"원가보정 ","")&amp;IF(AND(B1613&lt;&gt;"CN",N(H1613)&lt;=0),"공급가보정 ","")&amp;IF(AND(B1613="CN",N(I1613)&lt;=0),"중국공급가=원가+마진 ",""))</f>
        <v/>
      </c>
    </row>
    <row r="1614" customFormat="false" ht="15" hidden="false" customHeight="true" outlineLevel="0" collapsed="false">
      <c r="A1614" s="94" t="s">
        <v>1692</v>
      </c>
      <c r="B1614" s="34" t="str">
        <f aca="false">IF(A1614="100","HK",IF(A1614="200","CN",IF(A1614="300","TW","홀세일")))</f>
        <v>홀세일</v>
      </c>
      <c r="C1614" s="94" t="s">
        <v>1480</v>
      </c>
      <c r="D1614" s="95" t="n">
        <v>120</v>
      </c>
      <c r="E1614" s="95" t="n">
        <v>129000</v>
      </c>
      <c r="F1614" s="95" t="n">
        <v>34500</v>
      </c>
      <c r="G1614" s="34" t="n">
        <v>3.66</v>
      </c>
      <c r="H1614" s="34" t="n">
        <v>37.2</v>
      </c>
      <c r="J1614" s="95" t="n">
        <f aca="false">IF(N(E1614)&gt;0,E1614,IF(N(F1614)&gt;0,F1614*가정!$B$5,0))</f>
        <v>129000</v>
      </c>
      <c r="K1614" s="95" t="n">
        <f aca="false">IF(N(F1614)&gt;0,F1614,IF(N(E1614)&gt;0,E1614/가정!$B$5,0))</f>
        <v>34500</v>
      </c>
      <c r="L1614" s="95" t="n">
        <f aca="false">IF(B1614="CN",IF(N(I1614)&gt;0,I1614*가정!$B$3,K1614*(1+가정!$B$6)),IF(N(H1614)&gt;0,H1614*가정!$B$3,J1614*가정!$B$4))</f>
        <v>50695.416</v>
      </c>
      <c r="M1614" s="95" t="n">
        <f aca="false">D1614*J1614</f>
        <v>15480000</v>
      </c>
      <c r="N1614" s="95" t="n">
        <f aca="false">D1614*K1614</f>
        <v>4140000</v>
      </c>
      <c r="O1614" s="95" t="n">
        <f aca="false">D1614*L1614</f>
        <v>6083449.92</v>
      </c>
      <c r="P1614" s="34" t="str">
        <f aca="false">TRIM(IF(N(E1614)&lt;=0,"택가보정 ","")&amp;IF(N(F1614)&lt;=0,"원가보정 ","")&amp;IF(AND(B1614&lt;&gt;"CN",N(H1614)&lt;=0),"공급가보정 ","")&amp;IF(AND(B1614="CN",N(I1614)&lt;=0),"중국공급가=원가+마진 ",""))</f>
        <v/>
      </c>
    </row>
    <row r="1615" customFormat="false" ht="15" hidden="false" customHeight="true" outlineLevel="0" collapsed="false">
      <c r="A1615" s="94" t="s">
        <v>1692</v>
      </c>
      <c r="B1615" s="34" t="str">
        <f aca="false">IF(A1615="100","HK",IF(A1615="200","CN",IF(A1615="300","TW","홀세일")))</f>
        <v>홀세일</v>
      </c>
      <c r="C1615" s="94" t="s">
        <v>1482</v>
      </c>
      <c r="D1615" s="95" t="n">
        <v>60</v>
      </c>
      <c r="E1615" s="95" t="n">
        <v>119000</v>
      </c>
      <c r="F1615" s="95" t="n">
        <v>32000</v>
      </c>
      <c r="G1615" s="34" t="n">
        <v>3.49</v>
      </c>
      <c r="H1615" s="34" t="n">
        <v>34.3</v>
      </c>
      <c r="J1615" s="95" t="n">
        <f aca="false">IF(N(E1615)&gt;0,E1615,IF(N(F1615)&gt;0,F1615*가정!$B$5,0))</f>
        <v>119000</v>
      </c>
      <c r="K1615" s="95" t="n">
        <f aca="false">IF(N(F1615)&gt;0,F1615,IF(N(E1615)&gt;0,E1615/가정!$B$5,0))</f>
        <v>32000</v>
      </c>
      <c r="L1615" s="95" t="n">
        <f aca="false">IF(B1615="CN",IF(N(I1615)&gt;0,I1615*가정!$B$3,K1615*(1+가정!$B$6)),IF(N(H1615)&gt;0,H1615*가정!$B$3,J1615*가정!$B$4))</f>
        <v>46743.354</v>
      </c>
      <c r="M1615" s="95" t="n">
        <f aca="false">D1615*J1615</f>
        <v>7140000</v>
      </c>
      <c r="N1615" s="95" t="n">
        <f aca="false">D1615*K1615</f>
        <v>1920000</v>
      </c>
      <c r="O1615" s="95" t="n">
        <f aca="false">D1615*L1615</f>
        <v>2804601.24</v>
      </c>
      <c r="P1615" s="34" t="str">
        <f aca="false">TRIM(IF(N(E1615)&lt;=0,"택가보정 ","")&amp;IF(N(F1615)&lt;=0,"원가보정 ","")&amp;IF(AND(B1615&lt;&gt;"CN",N(H1615)&lt;=0),"공급가보정 ","")&amp;IF(AND(B1615="CN",N(I1615)&lt;=0),"중국공급가=원가+마진 ",""))</f>
        <v/>
      </c>
    </row>
    <row r="1616" customFormat="false" ht="15" hidden="false" customHeight="true" outlineLevel="0" collapsed="false">
      <c r="A1616" s="94" t="s">
        <v>1684</v>
      </c>
      <c r="B1616" s="34" t="str">
        <f aca="false">IF(A1616="100","HK",IF(A1616="200","CN",IF(A1616="300","TW","홀세일")))</f>
        <v>HK</v>
      </c>
      <c r="C1616" s="94" t="s">
        <v>1031</v>
      </c>
      <c r="D1616" s="95" t="n">
        <v>190</v>
      </c>
      <c r="E1616" s="95" t="n">
        <v>119000</v>
      </c>
      <c r="F1616" s="95" t="n">
        <v>31200</v>
      </c>
      <c r="G1616" s="34" t="n">
        <v>3.4</v>
      </c>
      <c r="H1616" s="34" t="n">
        <v>34.3</v>
      </c>
      <c r="J1616" s="95" t="n">
        <f aca="false">IF(N(E1616)&gt;0,E1616,IF(N(F1616)&gt;0,F1616*가정!$B$5,0))</f>
        <v>119000</v>
      </c>
      <c r="K1616" s="95" t="n">
        <f aca="false">IF(N(F1616)&gt;0,F1616,IF(N(E1616)&gt;0,E1616/가정!$B$5,0))</f>
        <v>31200</v>
      </c>
      <c r="L1616" s="95" t="n">
        <f aca="false">IF(B1616="CN",IF(N(I1616)&gt;0,I1616*가정!$B$3,K1616*(1+가정!$B$6)),IF(N(H1616)&gt;0,H1616*가정!$B$3,J1616*가정!$B$4))</f>
        <v>46743.354</v>
      </c>
      <c r="M1616" s="95" t="n">
        <f aca="false">D1616*J1616</f>
        <v>22610000</v>
      </c>
      <c r="N1616" s="95" t="n">
        <f aca="false">D1616*K1616</f>
        <v>5928000</v>
      </c>
      <c r="O1616" s="95" t="n">
        <f aca="false">D1616*L1616</f>
        <v>8881237.26</v>
      </c>
      <c r="P1616" s="34" t="str">
        <f aca="false">TRIM(IF(N(E1616)&lt;=0,"택가보정 ","")&amp;IF(N(F1616)&lt;=0,"원가보정 ","")&amp;IF(AND(B1616&lt;&gt;"CN",N(H1616)&lt;=0),"공급가보정 ","")&amp;IF(AND(B1616="CN",N(I1616)&lt;=0),"중국공급가=원가+마진 ",""))</f>
        <v/>
      </c>
    </row>
    <row r="1617" customFormat="false" ht="15" hidden="false" customHeight="true" outlineLevel="0" collapsed="false">
      <c r="A1617" s="94" t="s">
        <v>1692</v>
      </c>
      <c r="B1617" s="34" t="str">
        <f aca="false">IF(A1617="100","HK",IF(A1617="200","CN",IF(A1617="300","TW","홀세일")))</f>
        <v>홀세일</v>
      </c>
      <c r="C1617" s="94" t="s">
        <v>1484</v>
      </c>
      <c r="D1617" s="95" t="n">
        <v>62</v>
      </c>
      <c r="E1617" s="95" t="n">
        <v>139000</v>
      </c>
      <c r="F1617" s="95" t="n">
        <v>35500</v>
      </c>
      <c r="G1617" s="34" t="n">
        <v>3.64</v>
      </c>
      <c r="H1617" s="34" t="n">
        <v>40.1</v>
      </c>
      <c r="J1617" s="95" t="n">
        <f aca="false">IF(N(E1617)&gt;0,E1617,IF(N(F1617)&gt;0,F1617*가정!$B$5,0))</f>
        <v>139000</v>
      </c>
      <c r="K1617" s="95" t="n">
        <f aca="false">IF(N(F1617)&gt;0,F1617,IF(N(E1617)&gt;0,E1617/가정!$B$5,0))</f>
        <v>35500</v>
      </c>
      <c r="L1617" s="95" t="n">
        <f aca="false">IF(B1617="CN",IF(N(I1617)&gt;0,I1617*가정!$B$3,K1617*(1+가정!$B$6)),IF(N(H1617)&gt;0,H1617*가정!$B$3,J1617*가정!$B$4))</f>
        <v>54647.478</v>
      </c>
      <c r="M1617" s="95" t="n">
        <f aca="false">D1617*J1617</f>
        <v>8618000</v>
      </c>
      <c r="N1617" s="95" t="n">
        <f aca="false">D1617*K1617</f>
        <v>2201000</v>
      </c>
      <c r="O1617" s="95" t="n">
        <f aca="false">D1617*L1617</f>
        <v>3388143.636</v>
      </c>
      <c r="P1617" s="34" t="str">
        <f aca="false">TRIM(IF(N(E1617)&lt;=0,"택가보정 ","")&amp;IF(N(F1617)&lt;=0,"원가보정 ","")&amp;IF(AND(B1617&lt;&gt;"CN",N(H1617)&lt;=0),"공급가보정 ","")&amp;IF(AND(B1617="CN",N(I1617)&lt;=0),"중국공급가=원가+마진 ",""))</f>
        <v/>
      </c>
    </row>
    <row r="1618" customFormat="false" ht="15" hidden="false" customHeight="true" outlineLevel="0" collapsed="false">
      <c r="A1618" s="94" t="s">
        <v>1684</v>
      </c>
      <c r="B1618" s="34" t="str">
        <f aca="false">IF(A1618="100","HK",IF(A1618="200","CN",IF(A1618="300","TW","홀세일")))</f>
        <v>HK</v>
      </c>
      <c r="C1618" s="94" t="s">
        <v>719</v>
      </c>
      <c r="D1618" s="95" t="n">
        <v>130</v>
      </c>
      <c r="E1618" s="95" t="n">
        <v>99000</v>
      </c>
      <c r="F1618" s="95" t="n">
        <v>32992</v>
      </c>
      <c r="G1618" s="34" t="n">
        <v>2.65</v>
      </c>
      <c r="H1618" s="34" t="n">
        <v>28.6</v>
      </c>
      <c r="J1618" s="95" t="n">
        <f aca="false">IF(N(E1618)&gt;0,E1618,IF(N(F1618)&gt;0,F1618*가정!$B$5,0))</f>
        <v>99000</v>
      </c>
      <c r="K1618" s="95" t="n">
        <f aca="false">IF(N(F1618)&gt;0,F1618,IF(N(E1618)&gt;0,E1618/가정!$B$5,0))</f>
        <v>32992</v>
      </c>
      <c r="L1618" s="95" t="n">
        <f aca="false">IF(B1618="CN",IF(N(I1618)&gt;0,I1618*가정!$B$3,K1618*(1+가정!$B$6)),IF(N(H1618)&gt;0,H1618*가정!$B$3,J1618*가정!$B$4))</f>
        <v>38975.508</v>
      </c>
      <c r="M1618" s="95" t="n">
        <f aca="false">D1618*J1618</f>
        <v>12870000</v>
      </c>
      <c r="N1618" s="95" t="n">
        <f aca="false">D1618*K1618</f>
        <v>4288960</v>
      </c>
      <c r="O1618" s="95" t="n">
        <f aca="false">D1618*L1618</f>
        <v>5066816.04</v>
      </c>
      <c r="P1618" s="34" t="str">
        <f aca="false">TRIM(IF(N(E1618)&lt;=0,"택가보정 ","")&amp;IF(N(F1618)&lt;=0,"원가보정 ","")&amp;IF(AND(B1618&lt;&gt;"CN",N(H1618)&lt;=0),"공급가보정 ","")&amp;IF(AND(B1618="CN",N(I1618)&lt;=0),"중국공급가=원가+마진 ",""))</f>
        <v/>
      </c>
    </row>
    <row r="1619" customFormat="false" ht="15" hidden="false" customHeight="true" outlineLevel="0" collapsed="false">
      <c r="A1619" s="94" t="s">
        <v>1686</v>
      </c>
      <c r="B1619" s="34" t="str">
        <f aca="false">IF(A1619="100","HK",IF(A1619="200","CN",IF(A1619="300","TW","홀세일")))</f>
        <v>TW</v>
      </c>
      <c r="C1619" s="94" t="s">
        <v>719</v>
      </c>
      <c r="D1619" s="95" t="n">
        <v>310</v>
      </c>
      <c r="E1619" s="95" t="n">
        <v>99000</v>
      </c>
      <c r="F1619" s="95" t="n">
        <v>32992</v>
      </c>
      <c r="G1619" s="34" t="n">
        <v>2.65</v>
      </c>
      <c r="H1619" s="34" t="n">
        <v>28.6</v>
      </c>
      <c r="J1619" s="95" t="n">
        <f aca="false">IF(N(E1619)&gt;0,E1619,IF(N(F1619)&gt;0,F1619*가정!$B$5,0))</f>
        <v>99000</v>
      </c>
      <c r="K1619" s="95" t="n">
        <f aca="false">IF(N(F1619)&gt;0,F1619,IF(N(E1619)&gt;0,E1619/가정!$B$5,0))</f>
        <v>32992</v>
      </c>
      <c r="L1619" s="95" t="n">
        <f aca="false">IF(B1619="CN",IF(N(I1619)&gt;0,I1619*가정!$B$3,K1619*(1+가정!$B$6)),IF(N(H1619)&gt;0,H1619*가정!$B$3,J1619*가정!$B$4))</f>
        <v>38975.508</v>
      </c>
      <c r="M1619" s="95" t="n">
        <f aca="false">D1619*J1619</f>
        <v>30690000</v>
      </c>
      <c r="N1619" s="95" t="n">
        <f aca="false">D1619*K1619</f>
        <v>10227520</v>
      </c>
      <c r="O1619" s="95" t="n">
        <f aca="false">D1619*L1619</f>
        <v>12082407.48</v>
      </c>
      <c r="P1619" s="34" t="str">
        <f aca="false">TRIM(IF(N(E1619)&lt;=0,"택가보정 ","")&amp;IF(N(F1619)&lt;=0,"원가보정 ","")&amp;IF(AND(B1619&lt;&gt;"CN",N(H1619)&lt;=0),"공급가보정 ","")&amp;IF(AND(B1619="CN",N(I1619)&lt;=0),"중국공급가=원가+마진 ",""))</f>
        <v/>
      </c>
    </row>
    <row r="1620" customFormat="false" ht="15" hidden="false" customHeight="true" outlineLevel="0" collapsed="false">
      <c r="A1620" s="94" t="s">
        <v>1684</v>
      </c>
      <c r="B1620" s="34" t="str">
        <f aca="false">IF(A1620="100","HK",IF(A1620="200","CN",IF(A1620="300","TW","홀세일")))</f>
        <v>HK</v>
      </c>
      <c r="C1620" s="94" t="s">
        <v>721</v>
      </c>
      <c r="D1620" s="95" t="n">
        <v>240</v>
      </c>
      <c r="E1620" s="95" t="n">
        <v>399000</v>
      </c>
      <c r="F1620" s="95" t="n">
        <v>117915</v>
      </c>
      <c r="G1620" s="34" t="n">
        <v>3.07</v>
      </c>
      <c r="H1620" s="34" t="n">
        <v>105.9</v>
      </c>
      <c r="J1620" s="95" t="n">
        <f aca="false">IF(N(E1620)&gt;0,E1620,IF(N(F1620)&gt;0,F1620*가정!$B$5,0))</f>
        <v>399000</v>
      </c>
      <c r="K1620" s="95" t="n">
        <f aca="false">IF(N(F1620)&gt;0,F1620,IF(N(E1620)&gt;0,E1620/가정!$B$5,0))</f>
        <v>117915</v>
      </c>
      <c r="L1620" s="95" t="n">
        <f aca="false">IF(B1620="CN",IF(N(I1620)&gt;0,I1620*가정!$B$3,K1620*(1+가정!$B$6)),IF(N(H1620)&gt;0,H1620*가정!$B$3,J1620*가정!$B$4))</f>
        <v>144318.402</v>
      </c>
      <c r="M1620" s="95" t="n">
        <f aca="false">D1620*J1620</f>
        <v>95760000</v>
      </c>
      <c r="N1620" s="95" t="n">
        <f aca="false">D1620*K1620</f>
        <v>28299600</v>
      </c>
      <c r="O1620" s="95" t="n">
        <f aca="false">D1620*L1620</f>
        <v>34636416.48</v>
      </c>
      <c r="P1620" s="34" t="str">
        <f aca="false">TRIM(IF(N(E1620)&lt;=0,"택가보정 ","")&amp;IF(N(F1620)&lt;=0,"원가보정 ","")&amp;IF(AND(B1620&lt;&gt;"CN",N(H1620)&lt;=0),"공급가보정 ","")&amp;IF(AND(B1620="CN",N(I1620)&lt;=0),"중국공급가=원가+마진 ",""))</f>
        <v/>
      </c>
    </row>
    <row r="1621" customFormat="false" ht="15.75" hidden="false" customHeight="true" outlineLevel="0" collapsed="false">
      <c r="A1621" s="94" t="s">
        <v>1685</v>
      </c>
      <c r="B1621" s="34" t="str">
        <f aca="false">IF(A1621="100","HK",IF(A1621="200","CN",IF(A1621="300","TW","홀세일")))</f>
        <v>CN</v>
      </c>
      <c r="C1621" s="94" t="s">
        <v>721</v>
      </c>
      <c r="D1621" s="95" t="n">
        <v>242</v>
      </c>
      <c r="E1621" s="95" t="n">
        <v>399000</v>
      </c>
      <c r="F1621" s="95" t="n">
        <v>117915</v>
      </c>
      <c r="G1621" s="34" t="n">
        <v>3.07</v>
      </c>
      <c r="H1621" s="34" t="n">
        <v>105.9</v>
      </c>
      <c r="J1621" s="95" t="n">
        <f aca="false">IF(N(E1621)&gt;0,E1621,IF(N(F1621)&gt;0,F1621*가정!$B$5,0))</f>
        <v>399000</v>
      </c>
      <c r="K1621" s="95" t="n">
        <f aca="false">IF(N(F1621)&gt;0,F1621,IF(N(E1621)&gt;0,E1621/가정!$B$5,0))</f>
        <v>117915</v>
      </c>
      <c r="L1621" s="95" t="n">
        <f aca="false">IF(B1621="CN",IF(N(I1621)&gt;0,I1621*가정!$B$3,K1621*(1+가정!$B$6)),IF(N(H1621)&gt;0,H1621*가정!$B$3,J1621*가정!$B$4))</f>
        <v>123810.75</v>
      </c>
      <c r="M1621" s="95" t="n">
        <f aca="false">D1621*J1621</f>
        <v>96558000</v>
      </c>
      <c r="N1621" s="95" t="n">
        <f aca="false">D1621*K1621</f>
        <v>28535430</v>
      </c>
      <c r="O1621" s="95" t="n">
        <f aca="false">D1621*L1621</f>
        <v>29962201.5</v>
      </c>
      <c r="P1621" s="34" t="str">
        <f aca="false">TRIM(IF(N(E1621)&lt;=0,"택가보정 ","")&amp;IF(N(F1621)&lt;=0,"원가보정 ","")&amp;IF(AND(B1621&lt;&gt;"CN",N(H1621)&lt;=0),"공급가보정 ","")&amp;IF(AND(B1621="CN",N(I1621)&lt;=0),"중국공급가=원가+마진 ",""))</f>
        <v>중국공급가=원가+마진</v>
      </c>
    </row>
    <row r="1622" customFormat="false" ht="15" hidden="false" customHeight="true" outlineLevel="0" collapsed="false">
      <c r="A1622" s="94" t="s">
        <v>1686</v>
      </c>
      <c r="B1622" s="34" t="str">
        <f aca="false">IF(A1622="100","HK",IF(A1622="200","CN",IF(A1622="300","TW","홀세일")))</f>
        <v>TW</v>
      </c>
      <c r="C1622" s="94" t="s">
        <v>721</v>
      </c>
      <c r="D1622" s="95" t="n">
        <v>300</v>
      </c>
      <c r="E1622" s="95" t="n">
        <v>399000</v>
      </c>
      <c r="F1622" s="95" t="n">
        <v>117915</v>
      </c>
      <c r="G1622" s="34" t="n">
        <v>3.07</v>
      </c>
      <c r="H1622" s="34" t="n">
        <v>105.9</v>
      </c>
      <c r="J1622" s="95" t="n">
        <f aca="false">IF(N(E1622)&gt;0,E1622,IF(N(F1622)&gt;0,F1622*가정!$B$5,0))</f>
        <v>399000</v>
      </c>
      <c r="K1622" s="95" t="n">
        <f aca="false">IF(N(F1622)&gt;0,F1622,IF(N(E1622)&gt;0,E1622/가정!$B$5,0))</f>
        <v>117915</v>
      </c>
      <c r="L1622" s="95" t="n">
        <f aca="false">IF(B1622="CN",IF(N(I1622)&gt;0,I1622*가정!$B$3,K1622*(1+가정!$B$6)),IF(N(H1622)&gt;0,H1622*가정!$B$3,J1622*가정!$B$4))</f>
        <v>144318.402</v>
      </c>
      <c r="M1622" s="95" t="n">
        <f aca="false">D1622*J1622</f>
        <v>119700000</v>
      </c>
      <c r="N1622" s="95" t="n">
        <f aca="false">D1622*K1622</f>
        <v>35374500</v>
      </c>
      <c r="O1622" s="95" t="n">
        <f aca="false">D1622*L1622</f>
        <v>43295520.6</v>
      </c>
      <c r="P1622" s="34" t="str">
        <f aca="false">TRIM(IF(N(E1622)&lt;=0,"택가보정 ","")&amp;IF(N(F1622)&lt;=0,"원가보정 ","")&amp;IF(AND(B1622&lt;&gt;"CN",N(H1622)&lt;=0),"공급가보정 ","")&amp;IF(AND(B1622="CN",N(I1622)&lt;=0),"중국공급가=원가+마진 ",""))</f>
        <v/>
      </c>
    </row>
    <row r="1623" customFormat="false" ht="15" hidden="false" customHeight="true" outlineLevel="0" collapsed="false">
      <c r="A1623" s="94" t="s">
        <v>1688</v>
      </c>
      <c r="B1623" s="34" t="str">
        <f aca="false">IF(A1623="100","HK",IF(A1623="200","CN",IF(A1623="300","TW","홀세일")))</f>
        <v>홀세일</v>
      </c>
      <c r="C1623" s="94" t="s">
        <v>721</v>
      </c>
      <c r="D1623" s="95" t="n">
        <v>15</v>
      </c>
      <c r="E1623" s="95" t="n">
        <v>399000</v>
      </c>
      <c r="F1623" s="95" t="n">
        <v>117915</v>
      </c>
      <c r="G1623" s="34" t="n">
        <v>3.07</v>
      </c>
      <c r="H1623" s="34" t="n">
        <v>105.9</v>
      </c>
      <c r="J1623" s="95" t="n">
        <f aca="false">IF(N(E1623)&gt;0,E1623,IF(N(F1623)&gt;0,F1623*가정!$B$5,0))</f>
        <v>399000</v>
      </c>
      <c r="K1623" s="95" t="n">
        <f aca="false">IF(N(F1623)&gt;0,F1623,IF(N(E1623)&gt;0,E1623/가정!$B$5,0))</f>
        <v>117915</v>
      </c>
      <c r="L1623" s="95" t="n">
        <f aca="false">IF(B1623="CN",IF(N(I1623)&gt;0,I1623*가정!$B$3,K1623*(1+가정!$B$6)),IF(N(H1623)&gt;0,H1623*가정!$B$3,J1623*가정!$B$4))</f>
        <v>144318.402</v>
      </c>
      <c r="M1623" s="95" t="n">
        <f aca="false">D1623*J1623</f>
        <v>5985000</v>
      </c>
      <c r="N1623" s="95" t="n">
        <f aca="false">D1623*K1623</f>
        <v>1768725</v>
      </c>
      <c r="O1623" s="95" t="n">
        <f aca="false">D1623*L1623</f>
        <v>2164776.03</v>
      </c>
      <c r="P1623" s="34" t="str">
        <f aca="false">TRIM(IF(N(E1623)&lt;=0,"택가보정 ","")&amp;IF(N(F1623)&lt;=0,"원가보정 ","")&amp;IF(AND(B1623&lt;&gt;"CN",N(H1623)&lt;=0),"공급가보정 ","")&amp;IF(AND(B1623="CN",N(I1623)&lt;=0),"중국공급가=원가+마진 ",""))</f>
        <v/>
      </c>
    </row>
    <row r="1624" customFormat="false" ht="15" hidden="false" customHeight="true" outlineLevel="0" collapsed="false">
      <c r="A1624" s="94" t="s">
        <v>1692</v>
      </c>
      <c r="B1624" s="34" t="str">
        <f aca="false">IF(A1624="100","HK",IF(A1624="200","CN",IF(A1624="300","TW","홀세일")))</f>
        <v>홀세일</v>
      </c>
      <c r="C1624" s="94" t="s">
        <v>721</v>
      </c>
      <c r="D1624" s="95" t="n">
        <v>72</v>
      </c>
      <c r="E1624" s="95" t="n">
        <v>399000</v>
      </c>
      <c r="F1624" s="95" t="n">
        <v>117915</v>
      </c>
      <c r="G1624" s="34" t="n">
        <v>3.07</v>
      </c>
      <c r="H1624" s="34" t="n">
        <v>105.9</v>
      </c>
      <c r="J1624" s="95" t="n">
        <f aca="false">IF(N(E1624)&gt;0,E1624,IF(N(F1624)&gt;0,F1624*가정!$B$5,0))</f>
        <v>399000</v>
      </c>
      <c r="K1624" s="95" t="n">
        <f aca="false">IF(N(F1624)&gt;0,F1624,IF(N(E1624)&gt;0,E1624/가정!$B$5,0))</f>
        <v>117915</v>
      </c>
      <c r="L1624" s="95" t="n">
        <f aca="false">IF(B1624="CN",IF(N(I1624)&gt;0,I1624*가정!$B$3,K1624*(1+가정!$B$6)),IF(N(H1624)&gt;0,H1624*가정!$B$3,J1624*가정!$B$4))</f>
        <v>144318.402</v>
      </c>
      <c r="M1624" s="95" t="n">
        <f aca="false">D1624*J1624</f>
        <v>28728000</v>
      </c>
      <c r="N1624" s="95" t="n">
        <f aca="false">D1624*K1624</f>
        <v>8489880</v>
      </c>
      <c r="O1624" s="95" t="n">
        <f aca="false">D1624*L1624</f>
        <v>10390924.944</v>
      </c>
      <c r="P1624" s="34" t="str">
        <f aca="false">TRIM(IF(N(E1624)&lt;=0,"택가보정 ","")&amp;IF(N(F1624)&lt;=0,"원가보정 ","")&amp;IF(AND(B1624&lt;&gt;"CN",N(H1624)&lt;=0),"공급가보정 ","")&amp;IF(AND(B1624="CN",N(I1624)&lt;=0),"중국공급가=원가+마진 ",""))</f>
        <v/>
      </c>
    </row>
    <row r="1625" customFormat="false" ht="15" hidden="false" customHeight="true" outlineLevel="0" collapsed="false">
      <c r="A1625" s="94" t="s">
        <v>1689</v>
      </c>
      <c r="B1625" s="34" t="str">
        <f aca="false">IF(A1625="100","HK",IF(A1625="200","CN",IF(A1625="300","TW","홀세일")))</f>
        <v>홀세일</v>
      </c>
      <c r="C1625" s="94" t="s">
        <v>721</v>
      </c>
      <c r="D1625" s="95" t="n">
        <v>60</v>
      </c>
      <c r="E1625" s="95" t="n">
        <v>399000</v>
      </c>
      <c r="F1625" s="95" t="n">
        <v>117915</v>
      </c>
      <c r="G1625" s="34" t="n">
        <v>3.07</v>
      </c>
      <c r="H1625" s="34" t="n">
        <v>105.9</v>
      </c>
      <c r="J1625" s="95" t="n">
        <f aca="false">IF(N(E1625)&gt;0,E1625,IF(N(F1625)&gt;0,F1625*가정!$B$5,0))</f>
        <v>399000</v>
      </c>
      <c r="K1625" s="95" t="n">
        <f aca="false">IF(N(F1625)&gt;0,F1625,IF(N(E1625)&gt;0,E1625/가정!$B$5,0))</f>
        <v>117915</v>
      </c>
      <c r="L1625" s="95" t="n">
        <f aca="false">IF(B1625="CN",IF(N(I1625)&gt;0,I1625*가정!$B$3,K1625*(1+가정!$B$6)),IF(N(H1625)&gt;0,H1625*가정!$B$3,J1625*가정!$B$4))</f>
        <v>144318.402</v>
      </c>
      <c r="M1625" s="95" t="n">
        <f aca="false">D1625*J1625</f>
        <v>23940000</v>
      </c>
      <c r="N1625" s="95" t="n">
        <f aca="false">D1625*K1625</f>
        <v>7074900</v>
      </c>
      <c r="O1625" s="95" t="n">
        <f aca="false">D1625*L1625</f>
        <v>8659104.12</v>
      </c>
      <c r="P1625" s="34" t="str">
        <f aca="false">TRIM(IF(N(E1625)&lt;=0,"택가보정 ","")&amp;IF(N(F1625)&lt;=0,"원가보정 ","")&amp;IF(AND(B1625&lt;&gt;"CN",N(H1625)&lt;=0),"공급가보정 ","")&amp;IF(AND(B1625="CN",N(I1625)&lt;=0),"중국공급가=원가+마진 ",""))</f>
        <v/>
      </c>
    </row>
    <row r="1626" customFormat="false" ht="15" hidden="false" customHeight="true" outlineLevel="0" collapsed="false">
      <c r="A1626" s="94" t="s">
        <v>1689</v>
      </c>
      <c r="B1626" s="34" t="str">
        <f aca="false">IF(A1626="100","HK",IF(A1626="200","CN",IF(A1626="300","TW","홀세일")))</f>
        <v>홀세일</v>
      </c>
      <c r="C1626" s="94" t="s">
        <v>1741</v>
      </c>
      <c r="D1626" s="95" t="n">
        <v>90</v>
      </c>
      <c r="E1626" s="95" t="n">
        <v>49000</v>
      </c>
      <c r="F1626" s="95" t="n">
        <v>7000</v>
      </c>
      <c r="G1626" s="34" t="n">
        <v>5.24</v>
      </c>
      <c r="H1626" s="34" t="n">
        <v>12.3</v>
      </c>
      <c r="J1626" s="95" t="n">
        <f aca="false">IF(N(E1626)&gt;0,E1626,IF(N(F1626)&gt;0,F1626*가정!$B$5,0))</f>
        <v>49000</v>
      </c>
      <c r="K1626" s="95" t="n">
        <f aca="false">IF(N(F1626)&gt;0,F1626,IF(N(E1626)&gt;0,E1626/가정!$B$5,0))</f>
        <v>7000</v>
      </c>
      <c r="L1626" s="95" t="n">
        <f aca="false">IF(B1626="CN",IF(N(I1626)&gt;0,I1626*가정!$B$3,K1626*(1+가정!$B$6)),IF(N(H1626)&gt;0,H1626*가정!$B$3,J1626*가정!$B$4))</f>
        <v>16762.194</v>
      </c>
      <c r="M1626" s="95" t="n">
        <f aca="false">D1626*J1626</f>
        <v>4410000</v>
      </c>
      <c r="N1626" s="95" t="n">
        <f aca="false">D1626*K1626</f>
        <v>630000</v>
      </c>
      <c r="O1626" s="95" t="n">
        <f aca="false">D1626*L1626</f>
        <v>1508597.46</v>
      </c>
      <c r="P1626" s="34" t="str">
        <f aca="false">TRIM(IF(N(E1626)&lt;=0,"택가보정 ","")&amp;IF(N(F1626)&lt;=0,"원가보정 ","")&amp;IF(AND(B1626&lt;&gt;"CN",N(H1626)&lt;=0),"공급가보정 ","")&amp;IF(AND(B1626="CN",N(I1626)&lt;=0),"중국공급가=원가+마진 ",""))</f>
        <v/>
      </c>
    </row>
    <row r="1627" customFormat="false" ht="15.75" hidden="false" customHeight="true" outlineLevel="0" collapsed="false">
      <c r="A1627" s="94" t="s">
        <v>1685</v>
      </c>
      <c r="B1627" s="34" t="str">
        <f aca="false">IF(A1627="100","HK",IF(A1627="200","CN",IF(A1627="300","TW","홀세일")))</f>
        <v>CN</v>
      </c>
      <c r="C1627" s="94" t="s">
        <v>1181</v>
      </c>
      <c r="D1627" s="95" t="n">
        <v>357</v>
      </c>
      <c r="E1627" s="95"/>
      <c r="F1627" s="95" t="n">
        <v>38296</v>
      </c>
      <c r="G1627" s="34" t="n">
        <v>0</v>
      </c>
      <c r="J1627" s="95" t="n">
        <f aca="false">IF(N(E1627)&gt;0,E1627,IF(N(F1627)&gt;0,F1627*가정!$B$5,0))</f>
        <v>153184</v>
      </c>
      <c r="K1627" s="95" t="n">
        <f aca="false">IF(N(F1627)&gt;0,F1627,IF(N(E1627)&gt;0,E1627/가정!$B$5,0))</f>
        <v>38296</v>
      </c>
      <c r="L1627" s="95" t="n">
        <f aca="false">IF(B1627="CN",IF(N(I1627)&gt;0,I1627*가정!$B$3,K1627*(1+가정!$B$6)),IF(N(H1627)&gt;0,H1627*가정!$B$3,J1627*가정!$B$4))</f>
        <v>40210.8</v>
      </c>
      <c r="M1627" s="95" t="n">
        <f aca="false">D1627*J1627</f>
        <v>54686688</v>
      </c>
      <c r="N1627" s="95" t="n">
        <f aca="false">D1627*K1627</f>
        <v>13671672</v>
      </c>
      <c r="O1627" s="95" t="n">
        <f aca="false">D1627*L1627</f>
        <v>14355255.6</v>
      </c>
      <c r="P1627" s="34" t="str">
        <f aca="false">TRIM(IF(N(E1627)&lt;=0,"택가보정 ","")&amp;IF(N(F1627)&lt;=0,"원가보정 ","")&amp;IF(AND(B1627&lt;&gt;"CN",N(H1627)&lt;=0),"공급가보정 ","")&amp;IF(AND(B1627="CN",N(I1627)&lt;=0),"중국공급가=원가+마진 ",""))</f>
        <v>택가보정 중국공급가=원가+마진</v>
      </c>
    </row>
    <row r="1628" customFormat="false" ht="15.75" hidden="false" customHeight="true" outlineLevel="0" collapsed="false">
      <c r="A1628" s="94" t="s">
        <v>1685</v>
      </c>
      <c r="B1628" s="34" t="str">
        <f aca="false">IF(A1628="100","HK",IF(A1628="200","CN",IF(A1628="300","TW","홀세일")))</f>
        <v>CN</v>
      </c>
      <c r="C1628" s="94" t="s">
        <v>1742</v>
      </c>
      <c r="D1628" s="95" t="n">
        <v>427</v>
      </c>
      <c r="E1628" s="95" t="n">
        <v>499000</v>
      </c>
      <c r="F1628" s="95" t="n">
        <v>135022</v>
      </c>
      <c r="G1628" s="34" t="n">
        <v>3</v>
      </c>
      <c r="H1628" s="34" t="n">
        <v>124.9</v>
      </c>
      <c r="J1628" s="95" t="n">
        <f aca="false">IF(N(E1628)&gt;0,E1628,IF(N(F1628)&gt;0,F1628*가정!$B$5,0))</f>
        <v>499000</v>
      </c>
      <c r="K1628" s="95" t="n">
        <f aca="false">IF(N(F1628)&gt;0,F1628,IF(N(E1628)&gt;0,E1628/가정!$B$5,0))</f>
        <v>135022</v>
      </c>
      <c r="L1628" s="95" t="n">
        <f aca="false">IF(B1628="CN",IF(N(I1628)&gt;0,I1628*가정!$B$3,K1628*(1+가정!$B$6)),IF(N(H1628)&gt;0,H1628*가정!$B$3,J1628*가정!$B$4))</f>
        <v>141773.1</v>
      </c>
      <c r="M1628" s="95" t="n">
        <f aca="false">D1628*J1628</f>
        <v>213073000</v>
      </c>
      <c r="N1628" s="95" t="n">
        <f aca="false">D1628*K1628</f>
        <v>57654394</v>
      </c>
      <c r="O1628" s="95" t="n">
        <f aca="false">D1628*L1628</f>
        <v>60537113.7</v>
      </c>
      <c r="P1628" s="34" t="str">
        <f aca="false">TRIM(IF(N(E1628)&lt;=0,"택가보정 ","")&amp;IF(N(F1628)&lt;=0,"원가보정 ","")&amp;IF(AND(B1628&lt;&gt;"CN",N(H1628)&lt;=0),"공급가보정 ","")&amp;IF(AND(B1628="CN",N(I1628)&lt;=0),"중국공급가=원가+마진 ",""))</f>
        <v>중국공급가=원가+마진</v>
      </c>
    </row>
    <row r="1629" customFormat="false" ht="15.75" hidden="false" customHeight="true" outlineLevel="0" collapsed="false">
      <c r="A1629" s="94" t="s">
        <v>1685</v>
      </c>
      <c r="B1629" s="34" t="str">
        <f aca="false">IF(A1629="100","HK",IF(A1629="200","CN",IF(A1629="300","TW","홀세일")))</f>
        <v>CN</v>
      </c>
      <c r="C1629" s="94" t="s">
        <v>1182</v>
      </c>
      <c r="D1629" s="95" t="n">
        <v>352</v>
      </c>
      <c r="E1629" s="95"/>
      <c r="F1629" s="95" t="n">
        <v>36500</v>
      </c>
      <c r="G1629" s="34" t="n">
        <v>0</v>
      </c>
      <c r="J1629" s="95" t="n">
        <f aca="false">IF(N(E1629)&gt;0,E1629,IF(N(F1629)&gt;0,F1629*가정!$B$5,0))</f>
        <v>146000</v>
      </c>
      <c r="K1629" s="95" t="n">
        <f aca="false">IF(N(F1629)&gt;0,F1629,IF(N(E1629)&gt;0,E1629/가정!$B$5,0))</f>
        <v>36500</v>
      </c>
      <c r="L1629" s="95" t="n">
        <f aca="false">IF(B1629="CN",IF(N(I1629)&gt;0,I1629*가정!$B$3,K1629*(1+가정!$B$6)),IF(N(H1629)&gt;0,H1629*가정!$B$3,J1629*가정!$B$4))</f>
        <v>38325</v>
      </c>
      <c r="M1629" s="95" t="n">
        <f aca="false">D1629*J1629</f>
        <v>51392000</v>
      </c>
      <c r="N1629" s="95" t="n">
        <f aca="false">D1629*K1629</f>
        <v>12848000</v>
      </c>
      <c r="O1629" s="95" t="n">
        <f aca="false">D1629*L1629</f>
        <v>13490400</v>
      </c>
      <c r="P1629" s="34" t="str">
        <f aca="false">TRIM(IF(N(E1629)&lt;=0,"택가보정 ","")&amp;IF(N(F1629)&lt;=0,"원가보정 ","")&amp;IF(AND(B1629&lt;&gt;"CN",N(H1629)&lt;=0),"공급가보정 ","")&amp;IF(AND(B1629="CN",N(I1629)&lt;=0),"중국공급가=원가+마진 ",""))</f>
        <v>택가보정 중국공급가=원가+마진</v>
      </c>
    </row>
    <row r="1630" customFormat="false" ht="15" hidden="false" customHeight="true" outlineLevel="0" collapsed="false">
      <c r="A1630" s="94" t="s">
        <v>1684</v>
      </c>
      <c r="B1630" s="34" t="str">
        <f aca="false">IF(A1630="100","HK",IF(A1630="200","CN",IF(A1630="300","TW","홀세일")))</f>
        <v>HK</v>
      </c>
      <c r="C1630" s="94" t="s">
        <v>1743</v>
      </c>
      <c r="D1630" s="95" t="n">
        <v>90</v>
      </c>
      <c r="E1630" s="95" t="n">
        <v>189000</v>
      </c>
      <c r="F1630" s="95" t="n">
        <v>59300</v>
      </c>
      <c r="G1630" s="34" t="n">
        <v>3.06</v>
      </c>
      <c r="H1630" s="34" t="n">
        <v>47.3</v>
      </c>
      <c r="J1630" s="95" t="n">
        <f aca="false">IF(N(E1630)&gt;0,E1630,IF(N(F1630)&gt;0,F1630*가정!$B$5,0))</f>
        <v>189000</v>
      </c>
      <c r="K1630" s="95" t="n">
        <f aca="false">IF(N(F1630)&gt;0,F1630,IF(N(E1630)&gt;0,E1630/가정!$B$5,0))</f>
        <v>59300</v>
      </c>
      <c r="L1630" s="95" t="n">
        <f aca="false">IF(B1630="CN",IF(N(I1630)&gt;0,I1630*가정!$B$3,K1630*(1+가정!$B$6)),IF(N(H1630)&gt;0,H1630*가정!$B$3,J1630*가정!$B$4))</f>
        <v>64459.494</v>
      </c>
      <c r="M1630" s="95" t="n">
        <f aca="false">D1630*J1630</f>
        <v>17010000</v>
      </c>
      <c r="N1630" s="95" t="n">
        <f aca="false">D1630*K1630</f>
        <v>5337000</v>
      </c>
      <c r="O1630" s="95" t="n">
        <f aca="false">D1630*L1630</f>
        <v>5801354.46</v>
      </c>
      <c r="P1630" s="34" t="str">
        <f aca="false">TRIM(IF(N(E1630)&lt;=0,"택가보정 ","")&amp;IF(N(F1630)&lt;=0,"원가보정 ","")&amp;IF(AND(B1630&lt;&gt;"CN",N(H1630)&lt;=0),"공급가보정 ","")&amp;IF(AND(B1630="CN",N(I1630)&lt;=0),"중국공급가=원가+마진 ",""))</f>
        <v/>
      </c>
    </row>
    <row r="1631" customFormat="false" ht="15" hidden="false" customHeight="true" outlineLevel="0" collapsed="false">
      <c r="A1631" s="94" t="s">
        <v>1686</v>
      </c>
      <c r="B1631" s="34" t="str">
        <f aca="false">IF(A1631="100","HK",IF(A1631="200","CN",IF(A1631="300","TW","홀세일")))</f>
        <v>TW</v>
      </c>
      <c r="C1631" s="94" t="s">
        <v>1743</v>
      </c>
      <c r="D1631" s="95" t="n">
        <v>150</v>
      </c>
      <c r="E1631" s="95" t="n">
        <v>189000</v>
      </c>
      <c r="F1631" s="95" t="n">
        <v>59300</v>
      </c>
      <c r="G1631" s="34" t="n">
        <v>3.06</v>
      </c>
      <c r="H1631" s="34" t="n">
        <v>47.3</v>
      </c>
      <c r="J1631" s="95" t="n">
        <f aca="false">IF(N(E1631)&gt;0,E1631,IF(N(F1631)&gt;0,F1631*가정!$B$5,0))</f>
        <v>189000</v>
      </c>
      <c r="K1631" s="95" t="n">
        <f aca="false">IF(N(F1631)&gt;0,F1631,IF(N(E1631)&gt;0,E1631/가정!$B$5,0))</f>
        <v>59300</v>
      </c>
      <c r="L1631" s="95" t="n">
        <f aca="false">IF(B1631="CN",IF(N(I1631)&gt;0,I1631*가정!$B$3,K1631*(1+가정!$B$6)),IF(N(H1631)&gt;0,H1631*가정!$B$3,J1631*가정!$B$4))</f>
        <v>64459.494</v>
      </c>
      <c r="M1631" s="95" t="n">
        <f aca="false">D1631*J1631</f>
        <v>28350000</v>
      </c>
      <c r="N1631" s="95" t="n">
        <f aca="false">D1631*K1631</f>
        <v>8895000</v>
      </c>
      <c r="O1631" s="95" t="n">
        <f aca="false">D1631*L1631</f>
        <v>9668924.1</v>
      </c>
      <c r="P1631" s="34" t="str">
        <f aca="false">TRIM(IF(N(E1631)&lt;=0,"택가보정 ","")&amp;IF(N(F1631)&lt;=0,"원가보정 ","")&amp;IF(AND(B1631&lt;&gt;"CN",N(H1631)&lt;=0),"공급가보정 ","")&amp;IF(AND(B1631="CN",N(I1631)&lt;=0),"중국공급가=원가+마진 ",""))</f>
        <v/>
      </c>
    </row>
    <row r="1632" customFormat="false" ht="15.75" hidden="false" customHeight="true" outlineLevel="0" collapsed="false">
      <c r="A1632" s="94" t="s">
        <v>1685</v>
      </c>
      <c r="B1632" s="34" t="str">
        <f aca="false">IF(A1632="100","HK",IF(A1632="200","CN",IF(A1632="300","TW","홀세일")))</f>
        <v>CN</v>
      </c>
      <c r="C1632" s="94" t="s">
        <v>1184</v>
      </c>
      <c r="D1632" s="95" t="n">
        <v>453</v>
      </c>
      <c r="E1632" s="95"/>
      <c r="F1632" s="95" t="n">
        <v>55000</v>
      </c>
      <c r="G1632" s="34" t="n">
        <v>0</v>
      </c>
      <c r="J1632" s="95" t="n">
        <f aca="false">IF(N(E1632)&gt;0,E1632,IF(N(F1632)&gt;0,F1632*가정!$B$5,0))</f>
        <v>220000</v>
      </c>
      <c r="K1632" s="95" t="n">
        <f aca="false">IF(N(F1632)&gt;0,F1632,IF(N(E1632)&gt;0,E1632/가정!$B$5,0))</f>
        <v>55000</v>
      </c>
      <c r="L1632" s="95" t="n">
        <f aca="false">IF(B1632="CN",IF(N(I1632)&gt;0,I1632*가정!$B$3,K1632*(1+가정!$B$6)),IF(N(H1632)&gt;0,H1632*가정!$B$3,J1632*가정!$B$4))</f>
        <v>57750</v>
      </c>
      <c r="M1632" s="95" t="n">
        <f aca="false">D1632*J1632</f>
        <v>99660000</v>
      </c>
      <c r="N1632" s="95" t="n">
        <f aca="false">D1632*K1632</f>
        <v>24915000</v>
      </c>
      <c r="O1632" s="95" t="n">
        <f aca="false">D1632*L1632</f>
        <v>26160750</v>
      </c>
      <c r="P1632" s="34" t="str">
        <f aca="false">TRIM(IF(N(E1632)&lt;=0,"택가보정 ","")&amp;IF(N(F1632)&lt;=0,"원가보정 ","")&amp;IF(AND(B1632&lt;&gt;"CN",N(H1632)&lt;=0),"공급가보정 ","")&amp;IF(AND(B1632="CN",N(I1632)&lt;=0),"중국공급가=원가+마진 ",""))</f>
        <v>택가보정 중국공급가=원가+마진</v>
      </c>
    </row>
    <row r="1633" customFormat="false" ht="15" hidden="false" customHeight="true" outlineLevel="0" collapsed="false">
      <c r="A1633" s="94" t="s">
        <v>1684</v>
      </c>
      <c r="B1633" s="34" t="str">
        <f aca="false">IF(A1633="100","HK",IF(A1633="200","CN",IF(A1633="300","TW","홀세일")))</f>
        <v>HK</v>
      </c>
      <c r="C1633" s="94" t="s">
        <v>1033</v>
      </c>
      <c r="D1633" s="95" t="n">
        <v>400</v>
      </c>
      <c r="E1633" s="95"/>
      <c r="F1633" s="95" t="n">
        <v>39084</v>
      </c>
      <c r="G1633" s="34" t="n">
        <v>0</v>
      </c>
      <c r="H1633" s="34" t="n">
        <v>47.6</v>
      </c>
      <c r="J1633" s="95" t="n">
        <f aca="false">IF(N(E1633)&gt;0,E1633,IF(N(F1633)&gt;0,F1633*가정!$B$5,0))</f>
        <v>156336</v>
      </c>
      <c r="K1633" s="95" t="n">
        <f aca="false">IF(N(F1633)&gt;0,F1633,IF(N(E1633)&gt;0,E1633/가정!$B$5,0))</f>
        <v>39084</v>
      </c>
      <c r="L1633" s="95" t="n">
        <f aca="false">IF(B1633="CN",IF(N(I1633)&gt;0,I1633*가정!$B$3,K1633*(1+가정!$B$6)),IF(N(H1633)&gt;0,H1633*가정!$B$3,J1633*가정!$B$4))</f>
        <v>64868.328</v>
      </c>
      <c r="M1633" s="95" t="n">
        <f aca="false">D1633*J1633</f>
        <v>62534400</v>
      </c>
      <c r="N1633" s="95" t="n">
        <f aca="false">D1633*K1633</f>
        <v>15633600</v>
      </c>
      <c r="O1633" s="95" t="n">
        <f aca="false">D1633*L1633</f>
        <v>25947331.2</v>
      </c>
      <c r="P1633" s="34" t="str">
        <f aca="false">TRIM(IF(N(E1633)&lt;=0,"택가보정 ","")&amp;IF(N(F1633)&lt;=0,"원가보정 ","")&amp;IF(AND(B1633&lt;&gt;"CN",N(H1633)&lt;=0),"공급가보정 ","")&amp;IF(AND(B1633="CN",N(I1633)&lt;=0),"중국공급가=원가+마진 ",""))</f>
        <v>택가보정</v>
      </c>
    </row>
    <row r="1634" customFormat="false" ht="15.75" hidden="false" customHeight="true" outlineLevel="0" collapsed="false">
      <c r="A1634" s="94" t="s">
        <v>1685</v>
      </c>
      <c r="B1634" s="34" t="str">
        <f aca="false">IF(A1634="100","HK",IF(A1634="200","CN",IF(A1634="300","TW","홀세일")))</f>
        <v>CN</v>
      </c>
      <c r="C1634" s="94" t="s">
        <v>1033</v>
      </c>
      <c r="D1634" s="95" t="n">
        <v>222</v>
      </c>
      <c r="E1634" s="95"/>
      <c r="F1634" s="95" t="n">
        <v>39084</v>
      </c>
      <c r="G1634" s="34" t="n">
        <v>0</v>
      </c>
      <c r="H1634" s="34" t="n">
        <v>47.6</v>
      </c>
      <c r="J1634" s="95" t="n">
        <f aca="false">IF(N(E1634)&gt;0,E1634,IF(N(F1634)&gt;0,F1634*가정!$B$5,0))</f>
        <v>156336</v>
      </c>
      <c r="K1634" s="95" t="n">
        <f aca="false">IF(N(F1634)&gt;0,F1634,IF(N(E1634)&gt;0,E1634/가정!$B$5,0))</f>
        <v>39084</v>
      </c>
      <c r="L1634" s="95" t="n">
        <f aca="false">IF(B1634="CN",IF(N(I1634)&gt;0,I1634*가정!$B$3,K1634*(1+가정!$B$6)),IF(N(H1634)&gt;0,H1634*가정!$B$3,J1634*가정!$B$4))</f>
        <v>41038.2</v>
      </c>
      <c r="M1634" s="95" t="n">
        <f aca="false">D1634*J1634</f>
        <v>34706592</v>
      </c>
      <c r="N1634" s="95" t="n">
        <f aca="false">D1634*K1634</f>
        <v>8676648</v>
      </c>
      <c r="O1634" s="95" t="n">
        <f aca="false">D1634*L1634</f>
        <v>9110480.4</v>
      </c>
      <c r="P1634" s="34" t="str">
        <f aca="false">TRIM(IF(N(E1634)&lt;=0,"택가보정 ","")&amp;IF(N(F1634)&lt;=0,"원가보정 ","")&amp;IF(AND(B1634&lt;&gt;"CN",N(H1634)&lt;=0),"공급가보정 ","")&amp;IF(AND(B1634="CN",N(I1634)&lt;=0),"중국공급가=원가+마진 ",""))</f>
        <v>택가보정 중국공급가=원가+마진</v>
      </c>
    </row>
    <row r="1635" customFormat="false" ht="15" hidden="false" customHeight="true" outlineLevel="0" collapsed="false">
      <c r="A1635" s="94" t="s">
        <v>1686</v>
      </c>
      <c r="B1635" s="34" t="str">
        <f aca="false">IF(A1635="100","HK",IF(A1635="200","CN",IF(A1635="300","TW","홀세일")))</f>
        <v>TW</v>
      </c>
      <c r="C1635" s="94" t="s">
        <v>1744</v>
      </c>
      <c r="D1635" s="95" t="n">
        <v>250</v>
      </c>
      <c r="E1635" s="95" t="n">
        <v>229000</v>
      </c>
      <c r="F1635" s="95" t="n">
        <v>65000</v>
      </c>
      <c r="G1635" s="34" t="n">
        <v>3.2</v>
      </c>
      <c r="H1635" s="34" t="n">
        <v>60.8</v>
      </c>
      <c r="J1635" s="95" t="n">
        <f aca="false">IF(N(E1635)&gt;0,E1635,IF(N(F1635)&gt;0,F1635*가정!$B$5,0))</f>
        <v>229000</v>
      </c>
      <c r="K1635" s="95" t="n">
        <f aca="false">IF(N(F1635)&gt;0,F1635,IF(N(E1635)&gt;0,E1635/가정!$B$5,0))</f>
        <v>65000</v>
      </c>
      <c r="L1635" s="95" t="n">
        <f aca="false">IF(B1635="CN",IF(N(I1635)&gt;0,I1635*가정!$B$3,K1635*(1+가정!$B$6)),IF(N(H1635)&gt;0,H1635*가정!$B$3,J1635*가정!$B$4))</f>
        <v>82857.024</v>
      </c>
      <c r="M1635" s="95" t="n">
        <f aca="false">D1635*J1635</f>
        <v>57250000</v>
      </c>
      <c r="N1635" s="95" t="n">
        <f aca="false">D1635*K1635</f>
        <v>16250000</v>
      </c>
      <c r="O1635" s="95" t="n">
        <f aca="false">D1635*L1635</f>
        <v>20714256</v>
      </c>
      <c r="P1635" s="34" t="str">
        <f aca="false">TRIM(IF(N(E1635)&lt;=0,"택가보정 ","")&amp;IF(N(F1635)&lt;=0,"원가보정 ","")&amp;IF(AND(B1635&lt;&gt;"CN",N(H1635)&lt;=0),"공급가보정 ","")&amp;IF(AND(B1635="CN",N(I1635)&lt;=0),"중국공급가=원가+마진 ",""))</f>
        <v/>
      </c>
    </row>
    <row r="1636" customFormat="false" ht="15" hidden="false" customHeight="true" outlineLevel="0" collapsed="false">
      <c r="A1636" s="94" t="s">
        <v>1684</v>
      </c>
      <c r="B1636" s="34" t="str">
        <f aca="false">IF(A1636="100","HK",IF(A1636="200","CN",IF(A1636="300","TW","홀세일")))</f>
        <v>HK</v>
      </c>
      <c r="C1636" s="94" t="s">
        <v>1745</v>
      </c>
      <c r="D1636" s="95" t="n">
        <v>250</v>
      </c>
      <c r="E1636" s="95" t="n">
        <v>229000</v>
      </c>
      <c r="F1636" s="95" t="n">
        <v>64100</v>
      </c>
      <c r="G1636" s="34" t="n">
        <v>3.1</v>
      </c>
      <c r="H1636" s="34" t="n">
        <v>60.8</v>
      </c>
      <c r="J1636" s="95" t="n">
        <f aca="false">IF(N(E1636)&gt;0,E1636,IF(N(F1636)&gt;0,F1636*가정!$B$5,0))</f>
        <v>229000</v>
      </c>
      <c r="K1636" s="95" t="n">
        <f aca="false">IF(N(F1636)&gt;0,F1636,IF(N(E1636)&gt;0,E1636/가정!$B$5,0))</f>
        <v>64100</v>
      </c>
      <c r="L1636" s="95" t="n">
        <f aca="false">IF(B1636="CN",IF(N(I1636)&gt;0,I1636*가정!$B$3,K1636*(1+가정!$B$6)),IF(N(H1636)&gt;0,H1636*가정!$B$3,J1636*가정!$B$4))</f>
        <v>82857.024</v>
      </c>
      <c r="M1636" s="95" t="n">
        <f aca="false">D1636*J1636</f>
        <v>57250000</v>
      </c>
      <c r="N1636" s="95" t="n">
        <f aca="false">D1636*K1636</f>
        <v>16025000</v>
      </c>
      <c r="O1636" s="95" t="n">
        <f aca="false">D1636*L1636</f>
        <v>20714256</v>
      </c>
      <c r="P1636" s="34" t="str">
        <f aca="false">TRIM(IF(N(E1636)&lt;=0,"택가보정 ","")&amp;IF(N(F1636)&lt;=0,"원가보정 ","")&amp;IF(AND(B1636&lt;&gt;"CN",N(H1636)&lt;=0),"공급가보정 ","")&amp;IF(AND(B1636="CN",N(I1636)&lt;=0),"중국공급가=원가+마진 ",""))</f>
        <v/>
      </c>
    </row>
    <row r="1637" customFormat="false" ht="15" hidden="false" customHeight="true" outlineLevel="0" collapsed="false">
      <c r="A1637" s="94" t="s">
        <v>1686</v>
      </c>
      <c r="B1637" s="34" t="str">
        <f aca="false">IF(A1637="100","HK",IF(A1637="200","CN",IF(A1637="300","TW","홀세일")))</f>
        <v>TW</v>
      </c>
      <c r="C1637" s="94" t="s">
        <v>1745</v>
      </c>
      <c r="D1637" s="95" t="n">
        <v>260</v>
      </c>
      <c r="E1637" s="95" t="n">
        <v>229000</v>
      </c>
      <c r="F1637" s="95" t="n">
        <v>64100</v>
      </c>
      <c r="G1637" s="34" t="n">
        <v>3.1</v>
      </c>
      <c r="H1637" s="34" t="n">
        <v>60.8</v>
      </c>
      <c r="J1637" s="95" t="n">
        <f aca="false">IF(N(E1637)&gt;0,E1637,IF(N(F1637)&gt;0,F1637*가정!$B$5,0))</f>
        <v>229000</v>
      </c>
      <c r="K1637" s="95" t="n">
        <f aca="false">IF(N(F1637)&gt;0,F1637,IF(N(E1637)&gt;0,E1637/가정!$B$5,0))</f>
        <v>64100</v>
      </c>
      <c r="L1637" s="95" t="n">
        <f aca="false">IF(B1637="CN",IF(N(I1637)&gt;0,I1637*가정!$B$3,K1637*(1+가정!$B$6)),IF(N(H1637)&gt;0,H1637*가정!$B$3,J1637*가정!$B$4))</f>
        <v>82857.024</v>
      </c>
      <c r="M1637" s="95" t="n">
        <f aca="false">D1637*J1637</f>
        <v>59540000</v>
      </c>
      <c r="N1637" s="95" t="n">
        <f aca="false">D1637*K1637</f>
        <v>16666000</v>
      </c>
      <c r="O1637" s="95" t="n">
        <f aca="false">D1637*L1637</f>
        <v>21542826.24</v>
      </c>
      <c r="P1637" s="34" t="str">
        <f aca="false">TRIM(IF(N(E1637)&lt;=0,"택가보정 ","")&amp;IF(N(F1637)&lt;=0,"원가보정 ","")&amp;IF(AND(B1637&lt;&gt;"CN",N(H1637)&lt;=0),"공급가보정 ","")&amp;IF(AND(B1637="CN",N(I1637)&lt;=0),"중국공급가=원가+마진 ",""))</f>
        <v/>
      </c>
    </row>
    <row r="1638" customFormat="false" ht="15" hidden="false" customHeight="true" outlineLevel="0" collapsed="false">
      <c r="A1638" s="94" t="s">
        <v>1686</v>
      </c>
      <c r="B1638" s="34" t="str">
        <f aca="false">IF(A1638="100","HK",IF(A1638="200","CN",IF(A1638="300","TW","홀세일")))</f>
        <v>TW</v>
      </c>
      <c r="C1638" s="94" t="s">
        <v>1746</v>
      </c>
      <c r="D1638" s="95" t="n">
        <v>4419</v>
      </c>
      <c r="E1638" s="95"/>
      <c r="F1638" s="95"/>
      <c r="G1638" s="34" t="n">
        <v>0</v>
      </c>
      <c r="J1638" s="95" t="n">
        <f aca="false">IF(N(E1638)&gt;0,E1638,IF(N(F1638)&gt;0,F1638*가정!$B$5,0))</f>
        <v>0</v>
      </c>
      <c r="K1638" s="95" t="n">
        <f aca="false">IF(N(F1638)&gt;0,F1638,IF(N(E1638)&gt;0,E1638/가정!$B$5,0))</f>
        <v>0</v>
      </c>
      <c r="L1638" s="95" t="n">
        <f aca="false">IF(B1638="CN",IF(N(I1638)&gt;0,I1638*가정!$B$3,K1638*(1+가정!$B$6)),IF(N(H1638)&gt;0,H1638*가정!$B$3,J1638*가정!$B$4))</f>
        <v>0</v>
      </c>
      <c r="M1638" s="95" t="n">
        <f aca="false">D1638*J1638</f>
        <v>0</v>
      </c>
      <c r="N1638" s="95" t="n">
        <f aca="false">D1638*K1638</f>
        <v>0</v>
      </c>
      <c r="O1638" s="95" t="n">
        <f aca="false">D1638*L1638</f>
        <v>0</v>
      </c>
      <c r="P1638" s="34" t="str">
        <f aca="false">TRIM(IF(N(E1638)&lt;=0,"택가보정 ","")&amp;IF(N(F1638)&lt;=0,"원가보정 ","")&amp;IF(AND(B1638&lt;&gt;"CN",N(H1638)&lt;=0),"공급가보정 ","")&amp;IF(AND(B1638="CN",N(I1638)&lt;=0),"중국공급가=원가+마진 ",""))</f>
        <v>택가보정 원가보정 공급가보정</v>
      </c>
    </row>
    <row r="1639" customFormat="false" ht="15" hidden="false" customHeight="true" outlineLevel="0" collapsed="false">
      <c r="A1639" s="94" t="s">
        <v>1690</v>
      </c>
      <c r="B1639" s="34" t="str">
        <f aca="false">IF(A1639="100","HK",IF(A1639="200","CN",IF(A1639="300","TW","홀세일")))</f>
        <v>홀세일</v>
      </c>
      <c r="C1639" s="94" t="s">
        <v>1520</v>
      </c>
      <c r="D1639" s="95" t="n">
        <v>744</v>
      </c>
      <c r="E1639" s="95" t="n">
        <v>159000</v>
      </c>
      <c r="F1639" s="95" t="n">
        <v>43400</v>
      </c>
      <c r="G1639" s="34" t="n">
        <v>0</v>
      </c>
      <c r="H1639" s="34" t="n">
        <v>39.8</v>
      </c>
      <c r="J1639" s="95" t="n">
        <f aca="false">IF(N(E1639)&gt;0,E1639,IF(N(F1639)&gt;0,F1639*가정!$B$5,0))</f>
        <v>159000</v>
      </c>
      <c r="K1639" s="95" t="n">
        <f aca="false">IF(N(F1639)&gt;0,F1639,IF(N(E1639)&gt;0,E1639/가정!$B$5,0))</f>
        <v>43400</v>
      </c>
      <c r="L1639" s="95" t="n">
        <f aca="false">IF(B1639="CN",IF(N(I1639)&gt;0,I1639*가정!$B$3,K1639*(1+가정!$B$6)),IF(N(H1639)&gt;0,H1639*가정!$B$3,J1639*가정!$B$4))</f>
        <v>54238.644</v>
      </c>
      <c r="M1639" s="95" t="n">
        <f aca="false">D1639*J1639</f>
        <v>118296000</v>
      </c>
      <c r="N1639" s="95" t="n">
        <f aca="false">D1639*K1639</f>
        <v>32289600</v>
      </c>
      <c r="O1639" s="95" t="n">
        <f aca="false">D1639*L1639</f>
        <v>40353551.136</v>
      </c>
      <c r="P1639" s="34" t="str">
        <f aca="false">TRIM(IF(N(E1639)&lt;=0,"택가보정 ","")&amp;IF(N(F1639)&lt;=0,"원가보정 ","")&amp;IF(AND(B1639&lt;&gt;"CN",N(H1639)&lt;=0),"공급가보정 ","")&amp;IF(AND(B1639="CN",N(I1639)&lt;=0),"중국공급가=원가+마진 ",""))</f>
        <v/>
      </c>
    </row>
    <row r="1640" customFormat="false" ht="15.75" hidden="false" customHeight="true" outlineLevel="0" collapsed="false">
      <c r="A1640" s="94" t="s">
        <v>1685</v>
      </c>
      <c r="B1640" s="34" t="str">
        <f aca="false">IF(A1640="100","HK",IF(A1640="200","CN",IF(A1640="300","TW","홀세일")))</f>
        <v>CN</v>
      </c>
      <c r="C1640" s="94" t="s">
        <v>1747</v>
      </c>
      <c r="D1640" s="95" t="n">
        <v>386</v>
      </c>
      <c r="E1640" s="95" t="n">
        <v>139000</v>
      </c>
      <c r="F1640" s="95" t="n">
        <v>30030</v>
      </c>
      <c r="G1640" s="34" t="n">
        <v>3.66</v>
      </c>
      <c r="H1640" s="34" t="n">
        <v>34.8</v>
      </c>
      <c r="J1640" s="95" t="n">
        <f aca="false">IF(N(E1640)&gt;0,E1640,IF(N(F1640)&gt;0,F1640*가정!$B$5,0))</f>
        <v>139000</v>
      </c>
      <c r="K1640" s="95" t="n">
        <f aca="false">IF(N(F1640)&gt;0,F1640,IF(N(E1640)&gt;0,E1640/가정!$B$5,0))</f>
        <v>30030</v>
      </c>
      <c r="L1640" s="95" t="n">
        <f aca="false">IF(B1640="CN",IF(N(I1640)&gt;0,I1640*가정!$B$3,K1640*(1+가정!$B$6)),IF(N(H1640)&gt;0,H1640*가정!$B$3,J1640*가정!$B$4))</f>
        <v>31531.5</v>
      </c>
      <c r="M1640" s="95" t="n">
        <f aca="false">D1640*J1640</f>
        <v>53654000</v>
      </c>
      <c r="N1640" s="95" t="n">
        <f aca="false">D1640*K1640</f>
        <v>11591580</v>
      </c>
      <c r="O1640" s="95" t="n">
        <f aca="false">D1640*L1640</f>
        <v>12171159</v>
      </c>
      <c r="P1640" s="34" t="str">
        <f aca="false">TRIM(IF(N(E1640)&lt;=0,"택가보정 ","")&amp;IF(N(F1640)&lt;=0,"원가보정 ","")&amp;IF(AND(B1640&lt;&gt;"CN",N(H1640)&lt;=0),"공급가보정 ","")&amp;IF(AND(B1640="CN",N(I1640)&lt;=0),"중국공급가=원가+마진 ",""))</f>
        <v>중국공급가=원가+마진</v>
      </c>
    </row>
    <row r="1641" customFormat="false" ht="15" hidden="false" customHeight="true" outlineLevel="0" collapsed="false">
      <c r="A1641" s="94" t="s">
        <v>1684</v>
      </c>
      <c r="B1641" s="34" t="str">
        <f aca="false">IF(A1641="100","HK",IF(A1641="200","CN",IF(A1641="300","TW","홀세일")))</f>
        <v>HK</v>
      </c>
      <c r="C1641" s="94" t="s">
        <v>1748</v>
      </c>
      <c r="D1641" s="95" t="n">
        <v>180</v>
      </c>
      <c r="E1641" s="95" t="n">
        <v>139000</v>
      </c>
      <c r="F1641" s="95" t="n">
        <v>30500</v>
      </c>
      <c r="G1641" s="34" t="n">
        <v>3.66</v>
      </c>
      <c r="H1641" s="34" t="n">
        <v>34.8</v>
      </c>
      <c r="J1641" s="95" t="n">
        <f aca="false">IF(N(E1641)&gt;0,E1641,IF(N(F1641)&gt;0,F1641*가정!$B$5,0))</f>
        <v>139000</v>
      </c>
      <c r="K1641" s="95" t="n">
        <f aca="false">IF(N(F1641)&gt;0,F1641,IF(N(E1641)&gt;0,E1641/가정!$B$5,0))</f>
        <v>30500</v>
      </c>
      <c r="L1641" s="95" t="n">
        <f aca="false">IF(B1641="CN",IF(N(I1641)&gt;0,I1641*가정!$B$3,K1641*(1+가정!$B$6)),IF(N(H1641)&gt;0,H1641*가정!$B$3,J1641*가정!$B$4))</f>
        <v>47424.744</v>
      </c>
      <c r="M1641" s="95" t="n">
        <f aca="false">D1641*J1641</f>
        <v>25020000</v>
      </c>
      <c r="N1641" s="95" t="n">
        <f aca="false">D1641*K1641</f>
        <v>5490000</v>
      </c>
      <c r="O1641" s="95" t="n">
        <f aca="false">D1641*L1641</f>
        <v>8536453.92</v>
      </c>
      <c r="P1641" s="34" t="str">
        <f aca="false">TRIM(IF(N(E1641)&lt;=0,"택가보정 ","")&amp;IF(N(F1641)&lt;=0,"원가보정 ","")&amp;IF(AND(B1641&lt;&gt;"CN",N(H1641)&lt;=0),"공급가보정 ","")&amp;IF(AND(B1641="CN",N(I1641)&lt;=0),"중국공급가=원가+마진 ",""))</f>
        <v/>
      </c>
    </row>
    <row r="1642" customFormat="false" ht="15" hidden="false" customHeight="true" outlineLevel="0" collapsed="false">
      <c r="A1642" s="94" t="s">
        <v>1686</v>
      </c>
      <c r="B1642" s="34" t="str">
        <f aca="false">IF(A1642="100","HK",IF(A1642="200","CN",IF(A1642="300","TW","홀세일")))</f>
        <v>TW</v>
      </c>
      <c r="C1642" s="94" t="s">
        <v>1748</v>
      </c>
      <c r="D1642" s="95" t="n">
        <v>160</v>
      </c>
      <c r="E1642" s="95" t="n">
        <v>139000</v>
      </c>
      <c r="F1642" s="95" t="n">
        <v>30500</v>
      </c>
      <c r="G1642" s="34" t="n">
        <v>3.66</v>
      </c>
      <c r="H1642" s="34" t="n">
        <v>34.8</v>
      </c>
      <c r="J1642" s="95" t="n">
        <f aca="false">IF(N(E1642)&gt;0,E1642,IF(N(F1642)&gt;0,F1642*가정!$B$5,0))</f>
        <v>139000</v>
      </c>
      <c r="K1642" s="95" t="n">
        <f aca="false">IF(N(F1642)&gt;0,F1642,IF(N(E1642)&gt;0,E1642/가정!$B$5,0))</f>
        <v>30500</v>
      </c>
      <c r="L1642" s="95" t="n">
        <f aca="false">IF(B1642="CN",IF(N(I1642)&gt;0,I1642*가정!$B$3,K1642*(1+가정!$B$6)),IF(N(H1642)&gt;0,H1642*가정!$B$3,J1642*가정!$B$4))</f>
        <v>47424.744</v>
      </c>
      <c r="M1642" s="95" t="n">
        <f aca="false">D1642*J1642</f>
        <v>22240000</v>
      </c>
      <c r="N1642" s="95" t="n">
        <f aca="false">D1642*K1642</f>
        <v>4880000</v>
      </c>
      <c r="O1642" s="95" t="n">
        <f aca="false">D1642*L1642</f>
        <v>7587959.04</v>
      </c>
      <c r="P1642" s="34" t="str">
        <f aca="false">TRIM(IF(N(E1642)&lt;=0,"택가보정 ","")&amp;IF(N(F1642)&lt;=0,"원가보정 ","")&amp;IF(AND(B1642&lt;&gt;"CN",N(H1642)&lt;=0),"공급가보정 ","")&amp;IF(AND(B1642="CN",N(I1642)&lt;=0),"중국공급가=원가+마진 ",""))</f>
        <v/>
      </c>
    </row>
    <row r="1643" customFormat="false" ht="15" hidden="false" customHeight="true" outlineLevel="0" collapsed="false">
      <c r="A1643" s="94" t="s">
        <v>1688</v>
      </c>
      <c r="B1643" s="34" t="str">
        <f aca="false">IF(A1643="100","HK",IF(A1643="200","CN",IF(A1643="300","TW","홀세일")))</f>
        <v>홀세일</v>
      </c>
      <c r="C1643" s="94" t="s">
        <v>1748</v>
      </c>
      <c r="D1643" s="95" t="n">
        <v>40</v>
      </c>
      <c r="E1643" s="95" t="n">
        <v>139000</v>
      </c>
      <c r="F1643" s="95" t="n">
        <v>30500</v>
      </c>
      <c r="G1643" s="34" t="n">
        <v>3.66</v>
      </c>
      <c r="H1643" s="34" t="n">
        <v>34.8</v>
      </c>
      <c r="J1643" s="95" t="n">
        <f aca="false">IF(N(E1643)&gt;0,E1643,IF(N(F1643)&gt;0,F1643*가정!$B$5,0))</f>
        <v>139000</v>
      </c>
      <c r="K1643" s="95" t="n">
        <f aca="false">IF(N(F1643)&gt;0,F1643,IF(N(E1643)&gt;0,E1643/가정!$B$5,0))</f>
        <v>30500</v>
      </c>
      <c r="L1643" s="95" t="n">
        <f aca="false">IF(B1643="CN",IF(N(I1643)&gt;0,I1643*가정!$B$3,K1643*(1+가정!$B$6)),IF(N(H1643)&gt;0,H1643*가정!$B$3,J1643*가정!$B$4))</f>
        <v>47424.744</v>
      </c>
      <c r="M1643" s="95" t="n">
        <f aca="false">D1643*J1643</f>
        <v>5560000</v>
      </c>
      <c r="N1643" s="95" t="n">
        <f aca="false">D1643*K1643</f>
        <v>1220000</v>
      </c>
      <c r="O1643" s="95" t="n">
        <f aca="false">D1643*L1643</f>
        <v>1896989.76</v>
      </c>
      <c r="P1643" s="34" t="str">
        <f aca="false">TRIM(IF(N(E1643)&lt;=0,"택가보정 ","")&amp;IF(N(F1643)&lt;=0,"원가보정 ","")&amp;IF(AND(B1643&lt;&gt;"CN",N(H1643)&lt;=0),"공급가보정 ","")&amp;IF(AND(B1643="CN",N(I1643)&lt;=0),"중국공급가=원가+마진 ",""))</f>
        <v/>
      </c>
    </row>
    <row r="1644" customFormat="false" ht="15" hidden="false" customHeight="true" outlineLevel="0" collapsed="false">
      <c r="A1644" s="94" t="s">
        <v>1684</v>
      </c>
      <c r="B1644" s="34" t="str">
        <f aca="false">IF(A1644="100","HK",IF(A1644="200","CN",IF(A1644="300","TW","홀세일")))</f>
        <v>HK</v>
      </c>
      <c r="C1644" s="94" t="s">
        <v>1749</v>
      </c>
      <c r="D1644" s="95" t="n">
        <v>240</v>
      </c>
      <c r="E1644" s="95" t="n">
        <v>99000</v>
      </c>
      <c r="F1644" s="95" t="n">
        <v>21300</v>
      </c>
      <c r="G1644" s="34" t="n">
        <v>3.54</v>
      </c>
      <c r="H1644" s="34" t="n">
        <v>24.8</v>
      </c>
      <c r="J1644" s="95" t="n">
        <f aca="false">IF(N(E1644)&gt;0,E1644,IF(N(F1644)&gt;0,F1644*가정!$B$5,0))</f>
        <v>99000</v>
      </c>
      <c r="K1644" s="95" t="n">
        <f aca="false">IF(N(F1644)&gt;0,F1644,IF(N(E1644)&gt;0,E1644/가정!$B$5,0))</f>
        <v>21300</v>
      </c>
      <c r="L1644" s="95" t="n">
        <f aca="false">IF(B1644="CN",IF(N(I1644)&gt;0,I1644*가정!$B$3,K1644*(1+가정!$B$6)),IF(N(H1644)&gt;0,H1644*가정!$B$3,J1644*가정!$B$4))</f>
        <v>33796.944</v>
      </c>
      <c r="M1644" s="95" t="n">
        <f aca="false">D1644*J1644</f>
        <v>23760000</v>
      </c>
      <c r="N1644" s="95" t="n">
        <f aca="false">D1644*K1644</f>
        <v>5112000</v>
      </c>
      <c r="O1644" s="95" t="n">
        <f aca="false">D1644*L1644</f>
        <v>8111266.56</v>
      </c>
      <c r="P1644" s="34" t="str">
        <f aca="false">TRIM(IF(N(E1644)&lt;=0,"택가보정 ","")&amp;IF(N(F1644)&lt;=0,"원가보정 ","")&amp;IF(AND(B1644&lt;&gt;"CN",N(H1644)&lt;=0),"공급가보정 ","")&amp;IF(AND(B1644="CN",N(I1644)&lt;=0),"중국공급가=원가+마진 ",""))</f>
        <v/>
      </c>
    </row>
    <row r="1645" customFormat="false" ht="15" hidden="false" customHeight="true" outlineLevel="0" collapsed="false">
      <c r="A1645" s="94" t="s">
        <v>1690</v>
      </c>
      <c r="B1645" s="34" t="str">
        <f aca="false">IF(A1645="100","HK",IF(A1645="200","CN",IF(A1645="300","TW","홀세일")))</f>
        <v>홀세일</v>
      </c>
      <c r="C1645" s="94" t="s">
        <v>1522</v>
      </c>
      <c r="D1645" s="95" t="n">
        <v>900</v>
      </c>
      <c r="E1645" s="95" t="n">
        <v>119000</v>
      </c>
      <c r="F1645" s="95" t="n">
        <v>25800</v>
      </c>
      <c r="G1645" s="34" t="n">
        <v>0</v>
      </c>
      <c r="H1645" s="34" t="n">
        <v>29.8</v>
      </c>
      <c r="J1645" s="95" t="n">
        <f aca="false">IF(N(E1645)&gt;0,E1645,IF(N(F1645)&gt;0,F1645*가정!$B$5,0))</f>
        <v>119000</v>
      </c>
      <c r="K1645" s="95" t="n">
        <f aca="false">IF(N(F1645)&gt;0,F1645,IF(N(E1645)&gt;0,E1645/가정!$B$5,0))</f>
        <v>25800</v>
      </c>
      <c r="L1645" s="95" t="n">
        <f aca="false">IF(B1645="CN",IF(N(I1645)&gt;0,I1645*가정!$B$3,K1645*(1+가정!$B$6)),IF(N(H1645)&gt;0,H1645*가정!$B$3,J1645*가정!$B$4))</f>
        <v>40610.844</v>
      </c>
      <c r="M1645" s="95" t="n">
        <f aca="false">D1645*J1645</f>
        <v>107100000</v>
      </c>
      <c r="N1645" s="95" t="n">
        <f aca="false">D1645*K1645</f>
        <v>23220000</v>
      </c>
      <c r="O1645" s="95" t="n">
        <f aca="false">D1645*L1645</f>
        <v>36549759.6</v>
      </c>
      <c r="P1645" s="34" t="str">
        <f aca="false">TRIM(IF(N(E1645)&lt;=0,"택가보정 ","")&amp;IF(N(F1645)&lt;=0,"원가보정 ","")&amp;IF(AND(B1645&lt;&gt;"CN",N(H1645)&lt;=0),"공급가보정 ","")&amp;IF(AND(B1645="CN",N(I1645)&lt;=0),"중국공급가=원가+마진 ",""))</f>
        <v/>
      </c>
    </row>
    <row r="1646" customFormat="false" ht="15" hidden="false" customHeight="true" outlineLevel="0" collapsed="false">
      <c r="A1646" s="94" t="s">
        <v>1684</v>
      </c>
      <c r="B1646" s="34" t="str">
        <f aca="false">IF(A1646="100","HK",IF(A1646="200","CN",IF(A1646="300","TW","홀세일")))</f>
        <v>HK</v>
      </c>
      <c r="C1646" s="94" t="s">
        <v>1750</v>
      </c>
      <c r="D1646" s="95" t="n">
        <v>225</v>
      </c>
      <c r="E1646" s="95" t="n">
        <v>69000</v>
      </c>
      <c r="F1646" s="95" t="n">
        <v>18772</v>
      </c>
      <c r="G1646" s="34" t="n">
        <v>3.73</v>
      </c>
      <c r="H1646" s="34" t="n">
        <v>17.3</v>
      </c>
      <c r="J1646" s="95" t="n">
        <f aca="false">IF(N(E1646)&gt;0,E1646,IF(N(F1646)&gt;0,F1646*가정!$B$5,0))</f>
        <v>69000</v>
      </c>
      <c r="K1646" s="95" t="n">
        <f aca="false">IF(N(F1646)&gt;0,F1646,IF(N(E1646)&gt;0,E1646/가정!$B$5,0))</f>
        <v>18772</v>
      </c>
      <c r="L1646" s="95" t="n">
        <f aca="false">IF(B1646="CN",IF(N(I1646)&gt;0,I1646*가정!$B$3,K1646*(1+가정!$B$6)),IF(N(H1646)&gt;0,H1646*가정!$B$3,J1646*가정!$B$4))</f>
        <v>23576.094</v>
      </c>
      <c r="M1646" s="95" t="n">
        <f aca="false">D1646*J1646</f>
        <v>15525000</v>
      </c>
      <c r="N1646" s="95" t="n">
        <f aca="false">D1646*K1646</f>
        <v>4223700</v>
      </c>
      <c r="O1646" s="95" t="n">
        <f aca="false">D1646*L1646</f>
        <v>5304621.15</v>
      </c>
      <c r="P1646" s="34" t="str">
        <f aca="false">TRIM(IF(N(E1646)&lt;=0,"택가보정 ","")&amp;IF(N(F1646)&lt;=0,"원가보정 ","")&amp;IF(AND(B1646&lt;&gt;"CN",N(H1646)&lt;=0),"공급가보정 ","")&amp;IF(AND(B1646="CN",N(I1646)&lt;=0),"중국공급가=원가+마진 ",""))</f>
        <v/>
      </c>
    </row>
    <row r="1647" customFormat="false" ht="15.75" hidden="false" customHeight="true" outlineLevel="0" collapsed="false">
      <c r="A1647" s="94" t="s">
        <v>1685</v>
      </c>
      <c r="B1647" s="34" t="str">
        <f aca="false">IF(A1647="100","HK",IF(A1647="200","CN",IF(A1647="300","TW","홀세일")))</f>
        <v>CN</v>
      </c>
      <c r="C1647" s="94" t="s">
        <v>1750</v>
      </c>
      <c r="D1647" s="95" t="n">
        <v>583</v>
      </c>
      <c r="E1647" s="95" t="n">
        <v>69000</v>
      </c>
      <c r="F1647" s="95" t="n">
        <v>18772</v>
      </c>
      <c r="G1647" s="34" t="n">
        <v>3.73</v>
      </c>
      <c r="H1647" s="34" t="n">
        <v>17.3</v>
      </c>
      <c r="J1647" s="95" t="n">
        <f aca="false">IF(N(E1647)&gt;0,E1647,IF(N(F1647)&gt;0,F1647*가정!$B$5,0))</f>
        <v>69000</v>
      </c>
      <c r="K1647" s="95" t="n">
        <f aca="false">IF(N(F1647)&gt;0,F1647,IF(N(E1647)&gt;0,E1647/가정!$B$5,0))</f>
        <v>18772</v>
      </c>
      <c r="L1647" s="95" t="n">
        <f aca="false">IF(B1647="CN",IF(N(I1647)&gt;0,I1647*가정!$B$3,K1647*(1+가정!$B$6)),IF(N(H1647)&gt;0,H1647*가정!$B$3,J1647*가정!$B$4))</f>
        <v>19710.6</v>
      </c>
      <c r="M1647" s="95" t="n">
        <f aca="false">D1647*J1647</f>
        <v>40227000</v>
      </c>
      <c r="N1647" s="95" t="n">
        <f aca="false">D1647*K1647</f>
        <v>10944076</v>
      </c>
      <c r="O1647" s="95" t="n">
        <f aca="false">D1647*L1647</f>
        <v>11491279.8</v>
      </c>
      <c r="P1647" s="34" t="str">
        <f aca="false">TRIM(IF(N(E1647)&lt;=0,"택가보정 ","")&amp;IF(N(F1647)&lt;=0,"원가보정 ","")&amp;IF(AND(B1647&lt;&gt;"CN",N(H1647)&lt;=0),"공급가보정 ","")&amp;IF(AND(B1647="CN",N(I1647)&lt;=0),"중국공급가=원가+마진 ",""))</f>
        <v>중국공급가=원가+마진</v>
      </c>
    </row>
    <row r="1648" customFormat="false" ht="15.75" hidden="false" customHeight="true" outlineLevel="0" collapsed="false">
      <c r="A1648" s="94" t="s">
        <v>1685</v>
      </c>
      <c r="B1648" s="34" t="str">
        <f aca="false">IF(A1648="100","HK",IF(A1648="200","CN",IF(A1648="300","TW","홀세일")))</f>
        <v>CN</v>
      </c>
      <c r="C1648" s="94" t="s">
        <v>1751</v>
      </c>
      <c r="D1648" s="95" t="n">
        <v>262</v>
      </c>
      <c r="E1648" s="95" t="n">
        <v>59000</v>
      </c>
      <c r="F1648" s="95" t="n">
        <v>17395</v>
      </c>
      <c r="G1648" s="34" t="n">
        <v>4.39</v>
      </c>
      <c r="H1648" s="34" t="n">
        <v>14.8</v>
      </c>
      <c r="J1648" s="95" t="n">
        <f aca="false">IF(N(E1648)&gt;0,E1648,IF(N(F1648)&gt;0,F1648*가정!$B$5,0))</f>
        <v>59000</v>
      </c>
      <c r="K1648" s="95" t="n">
        <f aca="false">IF(N(F1648)&gt;0,F1648,IF(N(E1648)&gt;0,E1648/가정!$B$5,0))</f>
        <v>17395</v>
      </c>
      <c r="L1648" s="95" t="n">
        <f aca="false">IF(B1648="CN",IF(N(I1648)&gt;0,I1648*가정!$B$3,K1648*(1+가정!$B$6)),IF(N(H1648)&gt;0,H1648*가정!$B$3,J1648*가정!$B$4))</f>
        <v>18264.75</v>
      </c>
      <c r="M1648" s="95" t="n">
        <f aca="false">D1648*J1648</f>
        <v>15458000</v>
      </c>
      <c r="N1648" s="95" t="n">
        <f aca="false">D1648*K1648</f>
        <v>4557490</v>
      </c>
      <c r="O1648" s="95" t="n">
        <f aca="false">D1648*L1648</f>
        <v>4785364.5</v>
      </c>
      <c r="P1648" s="34" t="str">
        <f aca="false">TRIM(IF(N(E1648)&lt;=0,"택가보정 ","")&amp;IF(N(F1648)&lt;=0,"원가보정 ","")&amp;IF(AND(B1648&lt;&gt;"CN",N(H1648)&lt;=0),"공급가보정 ","")&amp;IF(AND(B1648="CN",N(I1648)&lt;=0),"중국공급가=원가+마진 ",""))</f>
        <v>중국공급가=원가+마진</v>
      </c>
    </row>
    <row r="1649" customFormat="false" ht="15" hidden="false" customHeight="true" outlineLevel="0" collapsed="false">
      <c r="A1649" s="94" t="s">
        <v>1684</v>
      </c>
      <c r="B1649" s="34" t="str">
        <f aca="false">IF(A1649="100","HK",IF(A1649="200","CN",IF(A1649="300","TW","홀세일")))</f>
        <v>HK</v>
      </c>
      <c r="C1649" s="94" t="s">
        <v>1752</v>
      </c>
      <c r="D1649" s="95" t="n">
        <v>350</v>
      </c>
      <c r="E1649" s="95" t="n">
        <v>59000</v>
      </c>
      <c r="F1649" s="95" t="n">
        <v>15100</v>
      </c>
      <c r="G1649" s="34" t="n">
        <v>4.39</v>
      </c>
      <c r="H1649" s="34" t="n">
        <v>17.3</v>
      </c>
      <c r="J1649" s="95" t="n">
        <f aca="false">IF(N(E1649)&gt;0,E1649,IF(N(F1649)&gt;0,F1649*가정!$B$5,0))</f>
        <v>59000</v>
      </c>
      <c r="K1649" s="95" t="n">
        <f aca="false">IF(N(F1649)&gt;0,F1649,IF(N(E1649)&gt;0,E1649/가정!$B$5,0))</f>
        <v>15100</v>
      </c>
      <c r="L1649" s="95" t="n">
        <f aca="false">IF(B1649="CN",IF(N(I1649)&gt;0,I1649*가정!$B$3,K1649*(1+가정!$B$6)),IF(N(H1649)&gt;0,H1649*가정!$B$3,J1649*가정!$B$4))</f>
        <v>23576.094</v>
      </c>
      <c r="M1649" s="95" t="n">
        <f aca="false">D1649*J1649</f>
        <v>20650000</v>
      </c>
      <c r="N1649" s="95" t="n">
        <f aca="false">D1649*K1649</f>
        <v>5285000</v>
      </c>
      <c r="O1649" s="95" t="n">
        <f aca="false">D1649*L1649</f>
        <v>8251632.9</v>
      </c>
      <c r="P1649" s="34" t="str">
        <f aca="false">TRIM(IF(N(E1649)&lt;=0,"택가보정 ","")&amp;IF(N(F1649)&lt;=0,"원가보정 ","")&amp;IF(AND(B1649&lt;&gt;"CN",N(H1649)&lt;=0),"공급가보정 ","")&amp;IF(AND(B1649="CN",N(I1649)&lt;=0),"중국공급가=원가+마진 ",""))</f>
        <v/>
      </c>
    </row>
    <row r="1650" customFormat="false" ht="15" hidden="false" customHeight="true" outlineLevel="0" collapsed="false">
      <c r="A1650" s="94" t="s">
        <v>1688</v>
      </c>
      <c r="B1650" s="34" t="str">
        <f aca="false">IF(A1650="100","HK",IF(A1650="200","CN",IF(A1650="300","TW","홀세일")))</f>
        <v>홀세일</v>
      </c>
      <c r="C1650" s="94" t="s">
        <v>1752</v>
      </c>
      <c r="D1650" s="95" t="n">
        <v>120</v>
      </c>
      <c r="E1650" s="95" t="n">
        <v>59000</v>
      </c>
      <c r="F1650" s="95" t="n">
        <v>15100</v>
      </c>
      <c r="G1650" s="34" t="n">
        <v>4.39</v>
      </c>
      <c r="H1650" s="34" t="n">
        <v>17.3</v>
      </c>
      <c r="J1650" s="95" t="n">
        <f aca="false">IF(N(E1650)&gt;0,E1650,IF(N(F1650)&gt;0,F1650*가정!$B$5,0))</f>
        <v>59000</v>
      </c>
      <c r="K1650" s="95" t="n">
        <f aca="false">IF(N(F1650)&gt;0,F1650,IF(N(E1650)&gt;0,E1650/가정!$B$5,0))</f>
        <v>15100</v>
      </c>
      <c r="L1650" s="95" t="n">
        <f aca="false">IF(B1650="CN",IF(N(I1650)&gt;0,I1650*가정!$B$3,K1650*(1+가정!$B$6)),IF(N(H1650)&gt;0,H1650*가정!$B$3,J1650*가정!$B$4))</f>
        <v>23576.094</v>
      </c>
      <c r="M1650" s="95" t="n">
        <f aca="false">D1650*J1650</f>
        <v>7080000</v>
      </c>
      <c r="N1650" s="95" t="n">
        <f aca="false">D1650*K1650</f>
        <v>1812000</v>
      </c>
      <c r="O1650" s="95" t="n">
        <f aca="false">D1650*L1650</f>
        <v>2829131.28</v>
      </c>
      <c r="P1650" s="34" t="str">
        <f aca="false">TRIM(IF(N(E1650)&lt;=0,"택가보정 ","")&amp;IF(N(F1650)&lt;=0,"원가보정 ","")&amp;IF(AND(B1650&lt;&gt;"CN",N(H1650)&lt;=0),"공급가보정 ","")&amp;IF(AND(B1650="CN",N(I1650)&lt;=0),"중국공급가=원가+마진 ",""))</f>
        <v/>
      </c>
    </row>
    <row r="1651" customFormat="false" ht="15" hidden="false" customHeight="true" outlineLevel="0" collapsed="false">
      <c r="A1651" s="94" t="s">
        <v>1686</v>
      </c>
      <c r="B1651" s="34" t="str">
        <f aca="false">IF(A1651="100","HK",IF(A1651="200","CN",IF(A1651="300","TW","홀세일")))</f>
        <v>TW</v>
      </c>
      <c r="C1651" s="94" t="s">
        <v>1753</v>
      </c>
      <c r="D1651" s="95" t="n">
        <v>210</v>
      </c>
      <c r="E1651" s="95" t="n">
        <v>69000</v>
      </c>
      <c r="F1651" s="95" t="n">
        <v>13100</v>
      </c>
      <c r="G1651" s="34" t="n">
        <v>3.19</v>
      </c>
      <c r="H1651" s="34" t="n">
        <v>14.8</v>
      </c>
      <c r="J1651" s="95" t="n">
        <f aca="false">IF(N(E1651)&gt;0,E1651,IF(N(F1651)&gt;0,F1651*가정!$B$5,0))</f>
        <v>69000</v>
      </c>
      <c r="K1651" s="95" t="n">
        <f aca="false">IF(N(F1651)&gt;0,F1651,IF(N(E1651)&gt;0,E1651/가정!$B$5,0))</f>
        <v>13100</v>
      </c>
      <c r="L1651" s="95" t="n">
        <f aca="false">IF(B1651="CN",IF(N(I1651)&gt;0,I1651*가정!$B$3,K1651*(1+가정!$B$6)),IF(N(H1651)&gt;0,H1651*가정!$B$3,J1651*가정!$B$4))</f>
        <v>20169.144</v>
      </c>
      <c r="M1651" s="95" t="n">
        <f aca="false">D1651*J1651</f>
        <v>14490000</v>
      </c>
      <c r="N1651" s="95" t="n">
        <f aca="false">D1651*K1651</f>
        <v>2751000</v>
      </c>
      <c r="O1651" s="95" t="n">
        <f aca="false">D1651*L1651</f>
        <v>4235520.24</v>
      </c>
      <c r="P1651" s="34" t="str">
        <f aca="false">TRIM(IF(N(E1651)&lt;=0,"택가보정 ","")&amp;IF(N(F1651)&lt;=0,"원가보정 ","")&amp;IF(AND(B1651&lt;&gt;"CN",N(H1651)&lt;=0),"공급가보정 ","")&amp;IF(AND(B1651="CN",N(I1651)&lt;=0),"중국공급가=원가+마진 ",""))</f>
        <v/>
      </c>
    </row>
    <row r="1652" customFormat="false" ht="15" hidden="false" customHeight="true" outlineLevel="0" collapsed="false">
      <c r="A1652" s="94" t="s">
        <v>1688</v>
      </c>
      <c r="B1652" s="34" t="str">
        <f aca="false">IF(A1652="100","HK",IF(A1652="200","CN",IF(A1652="300","TW","홀세일")))</f>
        <v>홀세일</v>
      </c>
      <c r="C1652" s="94" t="s">
        <v>1753</v>
      </c>
      <c r="D1652" s="95" t="n">
        <v>30</v>
      </c>
      <c r="E1652" s="95" t="n">
        <v>69000</v>
      </c>
      <c r="F1652" s="95" t="n">
        <v>13100</v>
      </c>
      <c r="G1652" s="34" t="n">
        <v>3.19</v>
      </c>
      <c r="H1652" s="34" t="n">
        <v>14.8</v>
      </c>
      <c r="J1652" s="95" t="n">
        <f aca="false">IF(N(E1652)&gt;0,E1652,IF(N(F1652)&gt;0,F1652*가정!$B$5,0))</f>
        <v>69000</v>
      </c>
      <c r="K1652" s="95" t="n">
        <f aca="false">IF(N(F1652)&gt;0,F1652,IF(N(E1652)&gt;0,E1652/가정!$B$5,0))</f>
        <v>13100</v>
      </c>
      <c r="L1652" s="95" t="n">
        <f aca="false">IF(B1652="CN",IF(N(I1652)&gt;0,I1652*가정!$B$3,K1652*(1+가정!$B$6)),IF(N(H1652)&gt;0,H1652*가정!$B$3,J1652*가정!$B$4))</f>
        <v>20169.144</v>
      </c>
      <c r="M1652" s="95" t="n">
        <f aca="false">D1652*J1652</f>
        <v>2070000</v>
      </c>
      <c r="N1652" s="95" t="n">
        <f aca="false">D1652*K1652</f>
        <v>393000</v>
      </c>
      <c r="O1652" s="95" t="n">
        <f aca="false">D1652*L1652</f>
        <v>605074.32</v>
      </c>
      <c r="P1652" s="34" t="str">
        <f aca="false">TRIM(IF(N(E1652)&lt;=0,"택가보정 ","")&amp;IF(N(F1652)&lt;=0,"원가보정 ","")&amp;IF(AND(B1652&lt;&gt;"CN",N(H1652)&lt;=0),"공급가보정 ","")&amp;IF(AND(B1652="CN",N(I1652)&lt;=0),"중국공급가=원가+마진 ",""))</f>
        <v/>
      </c>
    </row>
    <row r="1653" customFormat="false" ht="15.75" hidden="false" customHeight="true" outlineLevel="0" collapsed="false">
      <c r="A1653" s="94" t="s">
        <v>1685</v>
      </c>
      <c r="B1653" s="34" t="str">
        <f aca="false">IF(A1653="100","HK",IF(A1653="200","CN",IF(A1653="300","TW","홀세일")))</f>
        <v>CN</v>
      </c>
      <c r="C1653" s="94" t="s">
        <v>1186</v>
      </c>
      <c r="D1653" s="95" t="n">
        <v>126</v>
      </c>
      <c r="E1653" s="95" t="n">
        <v>139000</v>
      </c>
      <c r="F1653" s="95" t="n">
        <v>21200</v>
      </c>
      <c r="G1653" s="34" t="n">
        <v>1.94</v>
      </c>
      <c r="H1653" s="34" t="n">
        <v>34.8</v>
      </c>
      <c r="J1653" s="95" t="n">
        <f aca="false">IF(N(E1653)&gt;0,E1653,IF(N(F1653)&gt;0,F1653*가정!$B$5,0))</f>
        <v>139000</v>
      </c>
      <c r="K1653" s="95" t="n">
        <f aca="false">IF(N(F1653)&gt;0,F1653,IF(N(E1653)&gt;0,E1653/가정!$B$5,0))</f>
        <v>21200</v>
      </c>
      <c r="L1653" s="95" t="n">
        <f aca="false">IF(B1653="CN",IF(N(I1653)&gt;0,I1653*가정!$B$3,K1653*(1+가정!$B$6)),IF(N(H1653)&gt;0,H1653*가정!$B$3,J1653*가정!$B$4))</f>
        <v>22260</v>
      </c>
      <c r="M1653" s="95" t="n">
        <f aca="false">D1653*J1653</f>
        <v>17514000</v>
      </c>
      <c r="N1653" s="95" t="n">
        <f aca="false">D1653*K1653</f>
        <v>2671200</v>
      </c>
      <c r="O1653" s="95" t="n">
        <f aca="false">D1653*L1653</f>
        <v>2804760</v>
      </c>
      <c r="P1653" s="34" t="str">
        <f aca="false">TRIM(IF(N(E1653)&lt;=0,"택가보정 ","")&amp;IF(N(F1653)&lt;=0,"원가보정 ","")&amp;IF(AND(B1653&lt;&gt;"CN",N(H1653)&lt;=0),"공급가보정 ","")&amp;IF(AND(B1653="CN",N(I1653)&lt;=0),"중국공급가=원가+마진 ",""))</f>
        <v>중국공급가=원가+마진</v>
      </c>
    </row>
    <row r="1654" customFormat="false" ht="15.75" hidden="false" customHeight="true" outlineLevel="0" collapsed="false">
      <c r="A1654" s="94" t="s">
        <v>1685</v>
      </c>
      <c r="B1654" s="34" t="str">
        <f aca="false">IF(A1654="100","HK",IF(A1654="200","CN",IF(A1654="300","TW","홀세일")))</f>
        <v>CN</v>
      </c>
      <c r="C1654" s="94" t="s">
        <v>1754</v>
      </c>
      <c r="D1654" s="95" t="n">
        <v>563</v>
      </c>
      <c r="E1654" s="95" t="n">
        <v>299000</v>
      </c>
      <c r="F1654" s="95" t="n">
        <v>85519</v>
      </c>
      <c r="G1654" s="34" t="n">
        <v>3.06</v>
      </c>
      <c r="H1654" s="34" t="n">
        <v>74.9</v>
      </c>
      <c r="J1654" s="95" t="n">
        <f aca="false">IF(N(E1654)&gt;0,E1654,IF(N(F1654)&gt;0,F1654*가정!$B$5,0))</f>
        <v>299000</v>
      </c>
      <c r="K1654" s="95" t="n">
        <f aca="false">IF(N(F1654)&gt;0,F1654,IF(N(E1654)&gt;0,E1654/가정!$B$5,0))</f>
        <v>85519</v>
      </c>
      <c r="L1654" s="95" t="n">
        <f aca="false">IF(B1654="CN",IF(N(I1654)&gt;0,I1654*가정!$B$3,K1654*(1+가정!$B$6)),IF(N(H1654)&gt;0,H1654*가정!$B$3,J1654*가정!$B$4))</f>
        <v>89794.95</v>
      </c>
      <c r="M1654" s="95" t="n">
        <f aca="false">D1654*J1654</f>
        <v>168337000</v>
      </c>
      <c r="N1654" s="95" t="n">
        <f aca="false">D1654*K1654</f>
        <v>48147197</v>
      </c>
      <c r="O1654" s="95" t="n">
        <f aca="false">D1654*L1654</f>
        <v>50554556.85</v>
      </c>
      <c r="P1654" s="34" t="str">
        <f aca="false">TRIM(IF(N(E1654)&lt;=0,"택가보정 ","")&amp;IF(N(F1654)&lt;=0,"원가보정 ","")&amp;IF(AND(B1654&lt;&gt;"CN",N(H1654)&lt;=0),"공급가보정 ","")&amp;IF(AND(B1654="CN",N(I1654)&lt;=0),"중국공급가=원가+마진 ",""))</f>
        <v>중국공급가=원가+마진</v>
      </c>
    </row>
    <row r="1655" customFormat="false" ht="15" hidden="false" customHeight="true" outlineLevel="0" collapsed="false">
      <c r="A1655" s="94" t="s">
        <v>1684</v>
      </c>
      <c r="B1655" s="34" t="str">
        <f aca="false">IF(A1655="100","HK",IF(A1655="200","CN",IF(A1655="300","TW","홀세일")))</f>
        <v>HK</v>
      </c>
      <c r="C1655" s="94" t="s">
        <v>1755</v>
      </c>
      <c r="D1655" s="95" t="n">
        <v>395</v>
      </c>
      <c r="E1655" s="95" t="n">
        <v>229000</v>
      </c>
      <c r="F1655" s="95" t="n">
        <v>58090</v>
      </c>
      <c r="G1655" s="34" t="n">
        <v>3.01</v>
      </c>
      <c r="H1655" s="34" t="n">
        <v>57.4</v>
      </c>
      <c r="J1655" s="95" t="n">
        <f aca="false">IF(N(E1655)&gt;0,E1655,IF(N(F1655)&gt;0,F1655*가정!$B$5,0))</f>
        <v>229000</v>
      </c>
      <c r="K1655" s="95" t="n">
        <f aca="false">IF(N(F1655)&gt;0,F1655,IF(N(E1655)&gt;0,E1655/가정!$B$5,0))</f>
        <v>58090</v>
      </c>
      <c r="L1655" s="95" t="n">
        <f aca="false">IF(B1655="CN",IF(N(I1655)&gt;0,I1655*가정!$B$3,K1655*(1+가정!$B$6)),IF(N(H1655)&gt;0,H1655*가정!$B$3,J1655*가정!$B$4))</f>
        <v>78223.572</v>
      </c>
      <c r="M1655" s="95" t="n">
        <f aca="false">D1655*J1655</f>
        <v>90455000</v>
      </c>
      <c r="N1655" s="95" t="n">
        <f aca="false">D1655*K1655</f>
        <v>22945550</v>
      </c>
      <c r="O1655" s="95" t="n">
        <f aca="false">D1655*L1655</f>
        <v>30898310.94</v>
      </c>
      <c r="P1655" s="34" t="str">
        <f aca="false">TRIM(IF(N(E1655)&lt;=0,"택가보정 ","")&amp;IF(N(F1655)&lt;=0,"원가보정 ","")&amp;IF(AND(B1655&lt;&gt;"CN",N(H1655)&lt;=0),"공급가보정 ","")&amp;IF(AND(B1655="CN",N(I1655)&lt;=0),"중국공급가=원가+마진 ",""))</f>
        <v/>
      </c>
    </row>
    <row r="1656" customFormat="false" ht="15.75" hidden="false" customHeight="true" outlineLevel="0" collapsed="false">
      <c r="A1656" s="94" t="s">
        <v>1685</v>
      </c>
      <c r="B1656" s="34" t="str">
        <f aca="false">IF(A1656="100","HK",IF(A1656="200","CN",IF(A1656="300","TW","홀세일")))</f>
        <v>CN</v>
      </c>
      <c r="C1656" s="94" t="s">
        <v>1755</v>
      </c>
      <c r="D1656" s="95" t="n">
        <v>703</v>
      </c>
      <c r="E1656" s="95" t="n">
        <v>229000</v>
      </c>
      <c r="F1656" s="95" t="n">
        <v>58090</v>
      </c>
      <c r="G1656" s="34" t="n">
        <v>3.01</v>
      </c>
      <c r="H1656" s="34" t="n">
        <v>57.4</v>
      </c>
      <c r="J1656" s="95" t="n">
        <f aca="false">IF(N(E1656)&gt;0,E1656,IF(N(F1656)&gt;0,F1656*가정!$B$5,0))</f>
        <v>229000</v>
      </c>
      <c r="K1656" s="95" t="n">
        <f aca="false">IF(N(F1656)&gt;0,F1656,IF(N(E1656)&gt;0,E1656/가정!$B$5,0))</f>
        <v>58090</v>
      </c>
      <c r="L1656" s="95" t="n">
        <f aca="false">IF(B1656="CN",IF(N(I1656)&gt;0,I1656*가정!$B$3,K1656*(1+가정!$B$6)),IF(N(H1656)&gt;0,H1656*가정!$B$3,J1656*가정!$B$4))</f>
        <v>60994.5</v>
      </c>
      <c r="M1656" s="95" t="n">
        <f aca="false">D1656*J1656</f>
        <v>160987000</v>
      </c>
      <c r="N1656" s="95" t="n">
        <f aca="false">D1656*K1656</f>
        <v>40837270</v>
      </c>
      <c r="O1656" s="95" t="n">
        <f aca="false">D1656*L1656</f>
        <v>42879133.5</v>
      </c>
      <c r="P1656" s="34" t="str">
        <f aca="false">TRIM(IF(N(E1656)&lt;=0,"택가보정 ","")&amp;IF(N(F1656)&lt;=0,"원가보정 ","")&amp;IF(AND(B1656&lt;&gt;"CN",N(H1656)&lt;=0),"공급가보정 ","")&amp;IF(AND(B1656="CN",N(I1656)&lt;=0),"중국공급가=원가+마진 ",""))</f>
        <v>중국공급가=원가+마진</v>
      </c>
    </row>
    <row r="1657" customFormat="false" ht="15" hidden="false" customHeight="true" outlineLevel="0" collapsed="false">
      <c r="A1657" s="94" t="s">
        <v>1686</v>
      </c>
      <c r="B1657" s="34" t="str">
        <f aca="false">IF(A1657="100","HK",IF(A1657="200","CN",IF(A1657="300","TW","홀세일")))</f>
        <v>TW</v>
      </c>
      <c r="C1657" s="94" t="s">
        <v>1755</v>
      </c>
      <c r="D1657" s="95" t="n">
        <v>440</v>
      </c>
      <c r="E1657" s="95" t="n">
        <v>229000</v>
      </c>
      <c r="F1657" s="95" t="n">
        <v>58090</v>
      </c>
      <c r="G1657" s="34" t="n">
        <v>3.01</v>
      </c>
      <c r="H1657" s="34" t="n">
        <v>57.4</v>
      </c>
      <c r="J1657" s="95" t="n">
        <f aca="false">IF(N(E1657)&gt;0,E1657,IF(N(F1657)&gt;0,F1657*가정!$B$5,0))</f>
        <v>229000</v>
      </c>
      <c r="K1657" s="95" t="n">
        <f aca="false">IF(N(F1657)&gt;0,F1657,IF(N(E1657)&gt;0,E1657/가정!$B$5,0))</f>
        <v>58090</v>
      </c>
      <c r="L1657" s="95" t="n">
        <f aca="false">IF(B1657="CN",IF(N(I1657)&gt;0,I1657*가정!$B$3,K1657*(1+가정!$B$6)),IF(N(H1657)&gt;0,H1657*가정!$B$3,J1657*가정!$B$4))</f>
        <v>78223.572</v>
      </c>
      <c r="M1657" s="95" t="n">
        <f aca="false">D1657*J1657</f>
        <v>100760000</v>
      </c>
      <c r="N1657" s="95" t="n">
        <f aca="false">D1657*K1657</f>
        <v>25559600</v>
      </c>
      <c r="O1657" s="95" t="n">
        <f aca="false">D1657*L1657</f>
        <v>34418371.68</v>
      </c>
      <c r="P1657" s="34" t="str">
        <f aca="false">TRIM(IF(N(E1657)&lt;=0,"택가보정 ","")&amp;IF(N(F1657)&lt;=0,"원가보정 ","")&amp;IF(AND(B1657&lt;&gt;"CN",N(H1657)&lt;=0),"공급가보정 ","")&amp;IF(AND(B1657="CN",N(I1657)&lt;=0),"중국공급가=원가+마진 ",""))</f>
        <v/>
      </c>
    </row>
    <row r="1658" customFormat="false" ht="15" hidden="false" customHeight="true" outlineLevel="0" collapsed="false">
      <c r="A1658" s="94" t="s">
        <v>1688</v>
      </c>
      <c r="B1658" s="34" t="str">
        <f aca="false">IF(A1658="100","HK",IF(A1658="200","CN",IF(A1658="300","TW","홀세일")))</f>
        <v>홀세일</v>
      </c>
      <c r="C1658" s="94" t="s">
        <v>1755</v>
      </c>
      <c r="D1658" s="95" t="n">
        <v>20</v>
      </c>
      <c r="E1658" s="95" t="n">
        <v>229000</v>
      </c>
      <c r="F1658" s="95" t="n">
        <v>58090</v>
      </c>
      <c r="G1658" s="34" t="n">
        <v>3.01</v>
      </c>
      <c r="H1658" s="34" t="n">
        <v>57.4</v>
      </c>
      <c r="J1658" s="95" t="n">
        <f aca="false">IF(N(E1658)&gt;0,E1658,IF(N(F1658)&gt;0,F1658*가정!$B$5,0))</f>
        <v>229000</v>
      </c>
      <c r="K1658" s="95" t="n">
        <f aca="false">IF(N(F1658)&gt;0,F1658,IF(N(E1658)&gt;0,E1658/가정!$B$5,0))</f>
        <v>58090</v>
      </c>
      <c r="L1658" s="95" t="n">
        <f aca="false">IF(B1658="CN",IF(N(I1658)&gt;0,I1658*가정!$B$3,K1658*(1+가정!$B$6)),IF(N(H1658)&gt;0,H1658*가정!$B$3,J1658*가정!$B$4))</f>
        <v>78223.572</v>
      </c>
      <c r="M1658" s="95" t="n">
        <f aca="false">D1658*J1658</f>
        <v>4580000</v>
      </c>
      <c r="N1658" s="95" t="n">
        <f aca="false">D1658*K1658</f>
        <v>1161800</v>
      </c>
      <c r="O1658" s="95" t="n">
        <f aca="false">D1658*L1658</f>
        <v>1564471.44</v>
      </c>
      <c r="P1658" s="34" t="str">
        <f aca="false">TRIM(IF(N(E1658)&lt;=0,"택가보정 ","")&amp;IF(N(F1658)&lt;=0,"원가보정 ","")&amp;IF(AND(B1658&lt;&gt;"CN",N(H1658)&lt;=0),"공급가보정 ","")&amp;IF(AND(B1658="CN",N(I1658)&lt;=0),"중국공급가=원가+마진 ",""))</f>
        <v/>
      </c>
    </row>
    <row r="1659" customFormat="false" ht="15" hidden="false" customHeight="true" outlineLevel="0" collapsed="false">
      <c r="A1659" s="94" t="s">
        <v>1689</v>
      </c>
      <c r="B1659" s="34" t="str">
        <f aca="false">IF(A1659="100","HK",IF(A1659="200","CN",IF(A1659="300","TW","홀세일")))</f>
        <v>홀세일</v>
      </c>
      <c r="C1659" s="94" t="s">
        <v>1755</v>
      </c>
      <c r="D1659" s="95" t="n">
        <v>30</v>
      </c>
      <c r="E1659" s="95" t="n">
        <v>229000</v>
      </c>
      <c r="F1659" s="95" t="n">
        <v>58090</v>
      </c>
      <c r="G1659" s="34" t="n">
        <v>3.01</v>
      </c>
      <c r="H1659" s="34" t="n">
        <v>57.4</v>
      </c>
      <c r="J1659" s="95" t="n">
        <f aca="false">IF(N(E1659)&gt;0,E1659,IF(N(F1659)&gt;0,F1659*가정!$B$5,0))</f>
        <v>229000</v>
      </c>
      <c r="K1659" s="95" t="n">
        <f aca="false">IF(N(F1659)&gt;0,F1659,IF(N(E1659)&gt;0,E1659/가정!$B$5,0))</f>
        <v>58090</v>
      </c>
      <c r="L1659" s="95" t="n">
        <f aca="false">IF(B1659="CN",IF(N(I1659)&gt;0,I1659*가정!$B$3,K1659*(1+가정!$B$6)),IF(N(H1659)&gt;0,H1659*가정!$B$3,J1659*가정!$B$4))</f>
        <v>78223.572</v>
      </c>
      <c r="M1659" s="95" t="n">
        <f aca="false">D1659*J1659</f>
        <v>6870000</v>
      </c>
      <c r="N1659" s="95" t="n">
        <f aca="false">D1659*K1659</f>
        <v>1742700</v>
      </c>
      <c r="O1659" s="95" t="n">
        <f aca="false">D1659*L1659</f>
        <v>2346707.16</v>
      </c>
      <c r="P1659" s="34" t="str">
        <f aca="false">TRIM(IF(N(E1659)&lt;=0,"택가보정 ","")&amp;IF(N(F1659)&lt;=0,"원가보정 ","")&amp;IF(AND(B1659&lt;&gt;"CN",N(H1659)&lt;=0),"공급가보정 ","")&amp;IF(AND(B1659="CN",N(I1659)&lt;=0),"중국공급가=원가+마진 ",""))</f>
        <v/>
      </c>
    </row>
    <row r="1660" customFormat="false" ht="15.75" hidden="false" customHeight="true" outlineLevel="0" collapsed="false">
      <c r="A1660" s="94" t="s">
        <v>1685</v>
      </c>
      <c r="B1660" s="34" t="str">
        <f aca="false">IF(A1660="100","HK",IF(A1660="200","CN",IF(A1660="300","TW","홀세일")))</f>
        <v>CN</v>
      </c>
      <c r="C1660" s="94" t="s">
        <v>1756</v>
      </c>
      <c r="D1660" s="95" t="n">
        <v>423</v>
      </c>
      <c r="E1660" s="95" t="n">
        <v>499000</v>
      </c>
      <c r="F1660" s="95" t="n">
        <v>124576</v>
      </c>
      <c r="G1660" s="34" t="n">
        <v>3.43</v>
      </c>
      <c r="H1660" s="34" t="n">
        <v>124.9</v>
      </c>
      <c r="J1660" s="95" t="n">
        <f aca="false">IF(N(E1660)&gt;0,E1660,IF(N(F1660)&gt;0,F1660*가정!$B$5,0))</f>
        <v>499000</v>
      </c>
      <c r="K1660" s="95" t="n">
        <f aca="false">IF(N(F1660)&gt;0,F1660,IF(N(E1660)&gt;0,E1660/가정!$B$5,0))</f>
        <v>124576</v>
      </c>
      <c r="L1660" s="95" t="n">
        <f aca="false">IF(B1660="CN",IF(N(I1660)&gt;0,I1660*가정!$B$3,K1660*(1+가정!$B$6)),IF(N(H1660)&gt;0,H1660*가정!$B$3,J1660*가정!$B$4))</f>
        <v>130804.8</v>
      </c>
      <c r="M1660" s="95" t="n">
        <f aca="false">D1660*J1660</f>
        <v>211077000</v>
      </c>
      <c r="N1660" s="95" t="n">
        <f aca="false">D1660*K1660</f>
        <v>52695648</v>
      </c>
      <c r="O1660" s="95" t="n">
        <f aca="false">D1660*L1660</f>
        <v>55330430.4</v>
      </c>
      <c r="P1660" s="34" t="str">
        <f aca="false">TRIM(IF(N(E1660)&lt;=0,"택가보정 ","")&amp;IF(N(F1660)&lt;=0,"원가보정 ","")&amp;IF(AND(B1660&lt;&gt;"CN",N(H1660)&lt;=0),"공급가보정 ","")&amp;IF(AND(B1660="CN",N(I1660)&lt;=0),"중국공급가=원가+마진 ",""))</f>
        <v>중국공급가=원가+마진</v>
      </c>
    </row>
    <row r="1661" customFormat="false" ht="15.75" hidden="false" customHeight="true" outlineLevel="0" collapsed="false">
      <c r="A1661" s="94" t="s">
        <v>1685</v>
      </c>
      <c r="B1661" s="34" t="str">
        <f aca="false">IF(A1661="100","HK",IF(A1661="200","CN",IF(A1661="300","TW","홀세일")))</f>
        <v>CN</v>
      </c>
      <c r="C1661" s="94" t="s">
        <v>724</v>
      </c>
      <c r="D1661" s="95" t="n">
        <v>317</v>
      </c>
      <c r="E1661" s="95"/>
      <c r="F1661" s="95" t="n">
        <v>19800</v>
      </c>
      <c r="G1661" s="34" t="n">
        <v>0</v>
      </c>
      <c r="H1661" s="34" t="n">
        <v>23.7</v>
      </c>
      <c r="J1661" s="95" t="n">
        <f aca="false">IF(N(E1661)&gt;0,E1661,IF(N(F1661)&gt;0,F1661*가정!$B$5,0))</f>
        <v>79200</v>
      </c>
      <c r="K1661" s="95" t="n">
        <f aca="false">IF(N(F1661)&gt;0,F1661,IF(N(E1661)&gt;0,E1661/가정!$B$5,0))</f>
        <v>19800</v>
      </c>
      <c r="L1661" s="95" t="n">
        <f aca="false">IF(B1661="CN",IF(N(I1661)&gt;0,I1661*가정!$B$3,K1661*(1+가정!$B$6)),IF(N(H1661)&gt;0,H1661*가정!$B$3,J1661*가정!$B$4))</f>
        <v>20790</v>
      </c>
      <c r="M1661" s="95" t="n">
        <f aca="false">D1661*J1661</f>
        <v>25106400</v>
      </c>
      <c r="N1661" s="95" t="n">
        <f aca="false">D1661*K1661</f>
        <v>6276600</v>
      </c>
      <c r="O1661" s="95" t="n">
        <f aca="false">D1661*L1661</f>
        <v>6590430</v>
      </c>
      <c r="P1661" s="34" t="str">
        <f aca="false">TRIM(IF(N(E1661)&lt;=0,"택가보정 ","")&amp;IF(N(F1661)&lt;=0,"원가보정 ","")&amp;IF(AND(B1661&lt;&gt;"CN",N(H1661)&lt;=0),"공급가보정 ","")&amp;IF(AND(B1661="CN",N(I1661)&lt;=0),"중국공급가=원가+마진 ",""))</f>
        <v>택가보정 중국공급가=원가+마진</v>
      </c>
    </row>
    <row r="1662" customFormat="false" ht="15" hidden="false" customHeight="true" outlineLevel="0" collapsed="false">
      <c r="A1662" s="94" t="s">
        <v>1686</v>
      </c>
      <c r="B1662" s="34" t="str">
        <f aca="false">IF(A1662="100","HK",IF(A1662="200","CN",IF(A1662="300","TW","홀세일")))</f>
        <v>TW</v>
      </c>
      <c r="C1662" s="94" t="s">
        <v>724</v>
      </c>
      <c r="D1662" s="95" t="n">
        <v>100</v>
      </c>
      <c r="E1662" s="95"/>
      <c r="F1662" s="95" t="n">
        <v>19800</v>
      </c>
      <c r="G1662" s="34" t="n">
        <v>0</v>
      </c>
      <c r="H1662" s="34" t="n">
        <v>23.7</v>
      </c>
      <c r="J1662" s="95" t="n">
        <f aca="false">IF(N(E1662)&gt;0,E1662,IF(N(F1662)&gt;0,F1662*가정!$B$5,0))</f>
        <v>79200</v>
      </c>
      <c r="K1662" s="95" t="n">
        <f aca="false">IF(N(F1662)&gt;0,F1662,IF(N(E1662)&gt;0,E1662/가정!$B$5,0))</f>
        <v>19800</v>
      </c>
      <c r="L1662" s="95" t="n">
        <f aca="false">IF(B1662="CN",IF(N(I1662)&gt;0,I1662*가정!$B$3,K1662*(1+가정!$B$6)),IF(N(H1662)&gt;0,H1662*가정!$B$3,J1662*가정!$B$4))</f>
        <v>32297.886</v>
      </c>
      <c r="M1662" s="95" t="n">
        <f aca="false">D1662*J1662</f>
        <v>7920000</v>
      </c>
      <c r="N1662" s="95" t="n">
        <f aca="false">D1662*K1662</f>
        <v>1980000</v>
      </c>
      <c r="O1662" s="95" t="n">
        <f aca="false">D1662*L1662</f>
        <v>3229788.6</v>
      </c>
      <c r="P1662" s="34" t="str">
        <f aca="false">TRIM(IF(N(E1662)&lt;=0,"택가보정 ","")&amp;IF(N(F1662)&lt;=0,"원가보정 ","")&amp;IF(AND(B1662&lt;&gt;"CN",N(H1662)&lt;=0),"공급가보정 ","")&amp;IF(AND(B1662="CN",N(I1662)&lt;=0),"중국공급가=원가+마진 ",""))</f>
        <v>택가보정</v>
      </c>
    </row>
    <row r="1663" customFormat="false" ht="15" hidden="false" customHeight="true" outlineLevel="0" collapsed="false">
      <c r="A1663" s="94" t="s">
        <v>1684</v>
      </c>
      <c r="B1663" s="34" t="str">
        <f aca="false">IF(A1663="100","HK",IF(A1663="200","CN",IF(A1663="300","TW","홀세일")))</f>
        <v>HK</v>
      </c>
      <c r="C1663" s="94" t="s">
        <v>726</v>
      </c>
      <c r="D1663" s="95" t="n">
        <v>240</v>
      </c>
      <c r="E1663" s="95"/>
      <c r="F1663" s="95" t="n">
        <v>30100</v>
      </c>
      <c r="G1663" s="34" t="n">
        <v>0</v>
      </c>
      <c r="H1663" s="34" t="n">
        <v>26.3</v>
      </c>
      <c r="J1663" s="95" t="n">
        <f aca="false">IF(N(E1663)&gt;0,E1663,IF(N(F1663)&gt;0,F1663*가정!$B$5,0))</f>
        <v>120400</v>
      </c>
      <c r="K1663" s="95" t="n">
        <f aca="false">IF(N(F1663)&gt;0,F1663,IF(N(E1663)&gt;0,E1663/가정!$B$5,0))</f>
        <v>30100</v>
      </c>
      <c r="L1663" s="95" t="n">
        <f aca="false">IF(B1663="CN",IF(N(I1663)&gt;0,I1663*가정!$B$3,K1663*(1+가정!$B$6)),IF(N(H1663)&gt;0,H1663*가정!$B$3,J1663*가정!$B$4))</f>
        <v>35841.114</v>
      </c>
      <c r="M1663" s="95" t="n">
        <f aca="false">D1663*J1663</f>
        <v>28896000</v>
      </c>
      <c r="N1663" s="95" t="n">
        <f aca="false">D1663*K1663</f>
        <v>7224000</v>
      </c>
      <c r="O1663" s="95" t="n">
        <f aca="false">D1663*L1663</f>
        <v>8601867.36</v>
      </c>
      <c r="P1663" s="34" t="str">
        <f aca="false">TRIM(IF(N(E1663)&lt;=0,"택가보정 ","")&amp;IF(N(F1663)&lt;=0,"원가보정 ","")&amp;IF(AND(B1663&lt;&gt;"CN",N(H1663)&lt;=0),"공급가보정 ","")&amp;IF(AND(B1663="CN",N(I1663)&lt;=0),"중국공급가=원가+마진 ",""))</f>
        <v>택가보정</v>
      </c>
    </row>
    <row r="1664" customFormat="false" ht="15.75" hidden="false" customHeight="true" outlineLevel="0" collapsed="false">
      <c r="A1664" s="94" t="s">
        <v>1685</v>
      </c>
      <c r="B1664" s="34" t="str">
        <f aca="false">IF(A1664="100","HK",IF(A1664="200","CN",IF(A1664="300","TW","홀세일")))</f>
        <v>CN</v>
      </c>
      <c r="C1664" s="94" t="s">
        <v>726</v>
      </c>
      <c r="D1664" s="95" t="n">
        <v>367</v>
      </c>
      <c r="E1664" s="95"/>
      <c r="F1664" s="95" t="n">
        <v>30100</v>
      </c>
      <c r="G1664" s="34" t="n">
        <v>0</v>
      </c>
      <c r="H1664" s="34" t="n">
        <v>26.3</v>
      </c>
      <c r="J1664" s="95" t="n">
        <f aca="false">IF(N(E1664)&gt;0,E1664,IF(N(F1664)&gt;0,F1664*가정!$B$5,0))</f>
        <v>120400</v>
      </c>
      <c r="K1664" s="95" t="n">
        <f aca="false">IF(N(F1664)&gt;0,F1664,IF(N(E1664)&gt;0,E1664/가정!$B$5,0))</f>
        <v>30100</v>
      </c>
      <c r="L1664" s="95" t="n">
        <f aca="false">IF(B1664="CN",IF(N(I1664)&gt;0,I1664*가정!$B$3,K1664*(1+가정!$B$6)),IF(N(H1664)&gt;0,H1664*가정!$B$3,J1664*가정!$B$4))</f>
        <v>31605</v>
      </c>
      <c r="M1664" s="95" t="n">
        <f aca="false">D1664*J1664</f>
        <v>44186800</v>
      </c>
      <c r="N1664" s="95" t="n">
        <f aca="false">D1664*K1664</f>
        <v>11046700</v>
      </c>
      <c r="O1664" s="95" t="n">
        <f aca="false">D1664*L1664</f>
        <v>11599035</v>
      </c>
      <c r="P1664" s="34" t="str">
        <f aca="false">TRIM(IF(N(E1664)&lt;=0,"택가보정 ","")&amp;IF(N(F1664)&lt;=0,"원가보정 ","")&amp;IF(AND(B1664&lt;&gt;"CN",N(H1664)&lt;=0),"공급가보정 ","")&amp;IF(AND(B1664="CN",N(I1664)&lt;=0),"중국공급가=원가+마진 ",""))</f>
        <v>택가보정 중국공급가=원가+마진</v>
      </c>
    </row>
    <row r="1665" customFormat="false" ht="15.75" hidden="false" customHeight="true" outlineLevel="0" collapsed="false">
      <c r="A1665" s="94" t="s">
        <v>1685</v>
      </c>
      <c r="B1665" s="34" t="str">
        <f aca="false">IF(A1665="100","HK",IF(A1665="200","CN",IF(A1665="300","TW","홀세일")))</f>
        <v>CN</v>
      </c>
      <c r="C1665" s="94" t="s">
        <v>726</v>
      </c>
      <c r="D1665" s="95" t="n">
        <v>367</v>
      </c>
      <c r="E1665" s="95"/>
      <c r="F1665" s="95" t="n">
        <v>30100</v>
      </c>
      <c r="G1665" s="34" t="n">
        <v>0</v>
      </c>
      <c r="H1665" s="34" t="n">
        <v>26.3</v>
      </c>
      <c r="J1665" s="95" t="n">
        <f aca="false">IF(N(E1665)&gt;0,E1665,IF(N(F1665)&gt;0,F1665*가정!$B$5,0))</f>
        <v>120400</v>
      </c>
      <c r="K1665" s="95" t="n">
        <f aca="false">IF(N(F1665)&gt;0,F1665,IF(N(E1665)&gt;0,E1665/가정!$B$5,0))</f>
        <v>30100</v>
      </c>
      <c r="L1665" s="95" t="n">
        <f aca="false">IF(B1665="CN",IF(N(I1665)&gt;0,I1665*가정!$B$3,K1665*(1+가정!$B$6)),IF(N(H1665)&gt;0,H1665*가정!$B$3,J1665*가정!$B$4))</f>
        <v>31605</v>
      </c>
      <c r="M1665" s="95" t="n">
        <f aca="false">D1665*J1665</f>
        <v>44186800</v>
      </c>
      <c r="N1665" s="95" t="n">
        <f aca="false">D1665*K1665</f>
        <v>11046700</v>
      </c>
      <c r="O1665" s="95" t="n">
        <f aca="false">D1665*L1665</f>
        <v>11599035</v>
      </c>
      <c r="P1665" s="34" t="str">
        <f aca="false">TRIM(IF(N(E1665)&lt;=0,"택가보정 ","")&amp;IF(N(F1665)&lt;=0,"원가보정 ","")&amp;IF(AND(B1665&lt;&gt;"CN",N(H1665)&lt;=0),"공급가보정 ","")&amp;IF(AND(B1665="CN",N(I1665)&lt;=0),"중국공급가=원가+마진 ",""))</f>
        <v>택가보정 중국공급가=원가+마진</v>
      </c>
    </row>
    <row r="1666" customFormat="false" ht="15" hidden="false" customHeight="true" outlineLevel="0" collapsed="false">
      <c r="A1666" s="94" t="s">
        <v>1686</v>
      </c>
      <c r="B1666" s="34" t="str">
        <f aca="false">IF(A1666="100","HK",IF(A1666="200","CN",IF(A1666="300","TW","홀세일")))</f>
        <v>TW</v>
      </c>
      <c r="C1666" s="94" t="s">
        <v>726</v>
      </c>
      <c r="D1666" s="95" t="n">
        <v>1000</v>
      </c>
      <c r="E1666" s="95"/>
      <c r="F1666" s="95" t="n">
        <v>30100</v>
      </c>
      <c r="G1666" s="34" t="n">
        <v>0</v>
      </c>
      <c r="H1666" s="34" t="n">
        <v>26.3</v>
      </c>
      <c r="J1666" s="95" t="n">
        <f aca="false">IF(N(E1666)&gt;0,E1666,IF(N(F1666)&gt;0,F1666*가정!$B$5,0))</f>
        <v>120400</v>
      </c>
      <c r="K1666" s="95" t="n">
        <f aca="false">IF(N(F1666)&gt;0,F1666,IF(N(E1666)&gt;0,E1666/가정!$B$5,0))</f>
        <v>30100</v>
      </c>
      <c r="L1666" s="95" t="n">
        <f aca="false">IF(B1666="CN",IF(N(I1666)&gt;0,I1666*가정!$B$3,K1666*(1+가정!$B$6)),IF(N(H1666)&gt;0,H1666*가정!$B$3,J1666*가정!$B$4))</f>
        <v>35841.114</v>
      </c>
      <c r="M1666" s="95" t="n">
        <f aca="false">D1666*J1666</f>
        <v>120400000</v>
      </c>
      <c r="N1666" s="95" t="n">
        <f aca="false">D1666*K1666</f>
        <v>30100000</v>
      </c>
      <c r="O1666" s="95" t="n">
        <f aca="false">D1666*L1666</f>
        <v>35841114</v>
      </c>
      <c r="P1666" s="34" t="str">
        <f aca="false">TRIM(IF(N(E1666)&lt;=0,"택가보정 ","")&amp;IF(N(F1666)&lt;=0,"원가보정 ","")&amp;IF(AND(B1666&lt;&gt;"CN",N(H1666)&lt;=0),"공급가보정 ","")&amp;IF(AND(B1666="CN",N(I1666)&lt;=0),"중국공급가=원가+마진 ",""))</f>
        <v>택가보정</v>
      </c>
    </row>
    <row r="1667" customFormat="false" ht="15.75" hidden="false" customHeight="true" outlineLevel="0" collapsed="false">
      <c r="A1667" s="94" t="s">
        <v>1685</v>
      </c>
      <c r="B1667" s="34" t="str">
        <f aca="false">IF(A1667="100","HK",IF(A1667="200","CN",IF(A1667="300","TW","홀세일")))</f>
        <v>CN</v>
      </c>
      <c r="C1667" s="94" t="s">
        <v>1188</v>
      </c>
      <c r="D1667" s="95" t="n">
        <v>312</v>
      </c>
      <c r="E1667" s="95"/>
      <c r="F1667" s="95" t="n">
        <v>29201</v>
      </c>
      <c r="G1667" s="34" t="n">
        <v>0</v>
      </c>
      <c r="J1667" s="95" t="n">
        <f aca="false">IF(N(E1667)&gt;0,E1667,IF(N(F1667)&gt;0,F1667*가정!$B$5,0))</f>
        <v>116804</v>
      </c>
      <c r="K1667" s="95" t="n">
        <f aca="false">IF(N(F1667)&gt;0,F1667,IF(N(E1667)&gt;0,E1667/가정!$B$5,0))</f>
        <v>29201</v>
      </c>
      <c r="L1667" s="95" t="n">
        <f aca="false">IF(B1667="CN",IF(N(I1667)&gt;0,I1667*가정!$B$3,K1667*(1+가정!$B$6)),IF(N(H1667)&gt;0,H1667*가정!$B$3,J1667*가정!$B$4))</f>
        <v>30661.05</v>
      </c>
      <c r="M1667" s="95" t="n">
        <f aca="false">D1667*J1667</f>
        <v>36442848</v>
      </c>
      <c r="N1667" s="95" t="n">
        <f aca="false">D1667*K1667</f>
        <v>9110712</v>
      </c>
      <c r="O1667" s="95" t="n">
        <f aca="false">D1667*L1667</f>
        <v>9566247.6</v>
      </c>
      <c r="P1667" s="34" t="str">
        <f aca="false">TRIM(IF(N(E1667)&lt;=0,"택가보정 ","")&amp;IF(N(F1667)&lt;=0,"원가보정 ","")&amp;IF(AND(B1667&lt;&gt;"CN",N(H1667)&lt;=0),"공급가보정 ","")&amp;IF(AND(B1667="CN",N(I1667)&lt;=0),"중국공급가=원가+마진 ",""))</f>
        <v>택가보정 중국공급가=원가+마진</v>
      </c>
    </row>
    <row r="1668" customFormat="false" ht="15.75" hidden="false" customHeight="true" outlineLevel="0" collapsed="false">
      <c r="A1668" s="94" t="s">
        <v>1685</v>
      </c>
      <c r="B1668" s="34" t="str">
        <f aca="false">IF(A1668="100","HK",IF(A1668="200","CN",IF(A1668="300","TW","홀세일")))</f>
        <v>CN</v>
      </c>
      <c r="C1668" s="94" t="s">
        <v>1190</v>
      </c>
      <c r="D1668" s="95" t="n">
        <v>713</v>
      </c>
      <c r="E1668" s="95"/>
      <c r="F1668" s="95" t="n">
        <v>32692</v>
      </c>
      <c r="G1668" s="34" t="n">
        <v>0</v>
      </c>
      <c r="J1668" s="95" t="n">
        <f aca="false">IF(N(E1668)&gt;0,E1668,IF(N(F1668)&gt;0,F1668*가정!$B$5,0))</f>
        <v>130768</v>
      </c>
      <c r="K1668" s="95" t="n">
        <f aca="false">IF(N(F1668)&gt;0,F1668,IF(N(E1668)&gt;0,E1668/가정!$B$5,0))</f>
        <v>32692</v>
      </c>
      <c r="L1668" s="95" t="n">
        <f aca="false">IF(B1668="CN",IF(N(I1668)&gt;0,I1668*가정!$B$3,K1668*(1+가정!$B$6)),IF(N(H1668)&gt;0,H1668*가정!$B$3,J1668*가정!$B$4))</f>
        <v>34326.6</v>
      </c>
      <c r="M1668" s="95" t="n">
        <f aca="false">D1668*J1668</f>
        <v>93237584</v>
      </c>
      <c r="N1668" s="95" t="n">
        <f aca="false">D1668*K1668</f>
        <v>23309396</v>
      </c>
      <c r="O1668" s="95" t="n">
        <f aca="false">D1668*L1668</f>
        <v>24474865.8</v>
      </c>
      <c r="P1668" s="34" t="str">
        <f aca="false">TRIM(IF(N(E1668)&lt;=0,"택가보정 ","")&amp;IF(N(F1668)&lt;=0,"원가보정 ","")&amp;IF(AND(B1668&lt;&gt;"CN",N(H1668)&lt;=0),"공급가보정 ","")&amp;IF(AND(B1668="CN",N(I1668)&lt;=0),"중국공급가=원가+마진 ",""))</f>
        <v>택가보정 중국공급가=원가+마진</v>
      </c>
    </row>
    <row r="1669" customFormat="false" ht="15.75" hidden="false" customHeight="true" outlineLevel="0" collapsed="false">
      <c r="A1669" s="94" t="s">
        <v>1685</v>
      </c>
      <c r="B1669" s="34" t="str">
        <f aca="false">IF(A1669="100","HK",IF(A1669="200","CN",IF(A1669="300","TW","홀세일")))</f>
        <v>CN</v>
      </c>
      <c r="C1669" s="94" t="s">
        <v>1191</v>
      </c>
      <c r="D1669" s="95" t="n">
        <v>342</v>
      </c>
      <c r="E1669" s="95"/>
      <c r="F1669" s="95" t="n">
        <v>33602</v>
      </c>
      <c r="G1669" s="34" t="n">
        <v>0</v>
      </c>
      <c r="J1669" s="95" t="n">
        <f aca="false">IF(N(E1669)&gt;0,E1669,IF(N(F1669)&gt;0,F1669*가정!$B$5,0))</f>
        <v>134408</v>
      </c>
      <c r="K1669" s="95" t="n">
        <f aca="false">IF(N(F1669)&gt;0,F1669,IF(N(E1669)&gt;0,E1669/가정!$B$5,0))</f>
        <v>33602</v>
      </c>
      <c r="L1669" s="95" t="n">
        <f aca="false">IF(B1669="CN",IF(N(I1669)&gt;0,I1669*가정!$B$3,K1669*(1+가정!$B$6)),IF(N(H1669)&gt;0,H1669*가정!$B$3,J1669*가정!$B$4))</f>
        <v>35282.1</v>
      </c>
      <c r="M1669" s="95" t="n">
        <f aca="false">D1669*J1669</f>
        <v>45967536</v>
      </c>
      <c r="N1669" s="95" t="n">
        <f aca="false">D1669*K1669</f>
        <v>11491884</v>
      </c>
      <c r="O1669" s="95" t="n">
        <f aca="false">D1669*L1669</f>
        <v>12066478.2</v>
      </c>
      <c r="P1669" s="34" t="str">
        <f aca="false">TRIM(IF(N(E1669)&lt;=0,"택가보정 ","")&amp;IF(N(F1669)&lt;=0,"원가보정 ","")&amp;IF(AND(B1669&lt;&gt;"CN",N(H1669)&lt;=0),"공급가보정 ","")&amp;IF(AND(B1669="CN",N(I1669)&lt;=0),"중국공급가=원가+마진 ",""))</f>
        <v>택가보정 중국공급가=원가+마진</v>
      </c>
    </row>
    <row r="1670" customFormat="false" ht="15.75" hidden="false" customHeight="true" outlineLevel="0" collapsed="false">
      <c r="A1670" s="94" t="s">
        <v>1685</v>
      </c>
      <c r="B1670" s="34" t="str">
        <f aca="false">IF(A1670="100","HK",IF(A1670="200","CN",IF(A1670="300","TW","홀세일")))</f>
        <v>CN</v>
      </c>
      <c r="C1670" s="94" t="s">
        <v>1192</v>
      </c>
      <c r="D1670" s="95" t="n">
        <v>202</v>
      </c>
      <c r="E1670" s="95" t="n">
        <v>89000</v>
      </c>
      <c r="F1670" s="95" t="n">
        <v>26704</v>
      </c>
      <c r="G1670" s="34" t="n">
        <v>3.69</v>
      </c>
      <c r="H1670" s="34" t="n">
        <v>22.3</v>
      </c>
      <c r="J1670" s="95" t="n">
        <f aca="false">IF(N(E1670)&gt;0,E1670,IF(N(F1670)&gt;0,F1670*가정!$B$5,0))</f>
        <v>89000</v>
      </c>
      <c r="K1670" s="95" t="n">
        <f aca="false">IF(N(F1670)&gt;0,F1670,IF(N(E1670)&gt;0,E1670/가정!$B$5,0))</f>
        <v>26704</v>
      </c>
      <c r="L1670" s="95" t="n">
        <f aca="false">IF(B1670="CN",IF(N(I1670)&gt;0,I1670*가정!$B$3,K1670*(1+가정!$B$6)),IF(N(H1670)&gt;0,H1670*가정!$B$3,J1670*가정!$B$4))</f>
        <v>28039.2</v>
      </c>
      <c r="M1670" s="95" t="n">
        <f aca="false">D1670*J1670</f>
        <v>17978000</v>
      </c>
      <c r="N1670" s="95" t="n">
        <f aca="false">D1670*K1670</f>
        <v>5394208</v>
      </c>
      <c r="O1670" s="95" t="n">
        <f aca="false">D1670*L1670</f>
        <v>5663918.4</v>
      </c>
      <c r="P1670" s="34" t="str">
        <f aca="false">TRIM(IF(N(E1670)&lt;=0,"택가보정 ","")&amp;IF(N(F1670)&lt;=0,"원가보정 ","")&amp;IF(AND(B1670&lt;&gt;"CN",N(H1670)&lt;=0),"공급가보정 ","")&amp;IF(AND(B1670="CN",N(I1670)&lt;=0),"중국공급가=원가+마진 ",""))</f>
        <v>중국공급가=원가+마진</v>
      </c>
    </row>
    <row r="1671" customFormat="false" ht="15" hidden="false" customHeight="true" outlineLevel="0" collapsed="false">
      <c r="A1671" s="94" t="s">
        <v>1684</v>
      </c>
      <c r="B1671" s="34" t="str">
        <f aca="false">IF(A1671="100","HK",IF(A1671="200","CN",IF(A1671="300","TW","홀세일")))</f>
        <v>HK</v>
      </c>
      <c r="C1671" s="94" t="s">
        <v>1034</v>
      </c>
      <c r="D1671" s="95" t="n">
        <v>240</v>
      </c>
      <c r="E1671" s="95"/>
      <c r="F1671" s="95" t="n">
        <v>38400</v>
      </c>
      <c r="G1671" s="34" t="n">
        <v>0</v>
      </c>
      <c r="H1671" s="34" t="n">
        <v>31.6</v>
      </c>
      <c r="J1671" s="95" t="n">
        <f aca="false">IF(N(E1671)&gt;0,E1671,IF(N(F1671)&gt;0,F1671*가정!$B$5,0))</f>
        <v>153600</v>
      </c>
      <c r="K1671" s="95" t="n">
        <f aca="false">IF(N(F1671)&gt;0,F1671,IF(N(E1671)&gt;0,E1671/가정!$B$5,0))</f>
        <v>38400</v>
      </c>
      <c r="L1671" s="95" t="n">
        <f aca="false">IF(B1671="CN",IF(N(I1671)&gt;0,I1671*가정!$B$3,K1671*(1+가정!$B$6)),IF(N(H1671)&gt;0,H1671*가정!$B$3,J1671*가정!$B$4))</f>
        <v>43063.848</v>
      </c>
      <c r="M1671" s="95" t="n">
        <f aca="false">D1671*J1671</f>
        <v>36864000</v>
      </c>
      <c r="N1671" s="95" t="n">
        <f aca="false">D1671*K1671</f>
        <v>9216000</v>
      </c>
      <c r="O1671" s="95" t="n">
        <f aca="false">D1671*L1671</f>
        <v>10335323.52</v>
      </c>
      <c r="P1671" s="34" t="str">
        <f aca="false">TRIM(IF(N(E1671)&lt;=0,"택가보정 ","")&amp;IF(N(F1671)&lt;=0,"원가보정 ","")&amp;IF(AND(B1671&lt;&gt;"CN",N(H1671)&lt;=0),"공급가보정 ","")&amp;IF(AND(B1671="CN",N(I1671)&lt;=0),"중국공급가=원가+마진 ",""))</f>
        <v>택가보정</v>
      </c>
    </row>
    <row r="1672" customFormat="false" ht="15.75" hidden="false" customHeight="true" outlineLevel="0" collapsed="false">
      <c r="A1672" s="94" t="s">
        <v>1685</v>
      </c>
      <c r="B1672" s="34" t="str">
        <f aca="false">IF(A1672="100","HK",IF(A1672="200","CN",IF(A1672="300","TW","홀세일")))</f>
        <v>CN</v>
      </c>
      <c r="C1672" s="94" t="s">
        <v>1034</v>
      </c>
      <c r="D1672" s="95" t="n">
        <v>513</v>
      </c>
      <c r="E1672" s="95"/>
      <c r="F1672" s="95" t="n">
        <v>38400</v>
      </c>
      <c r="G1672" s="34" t="n">
        <v>0</v>
      </c>
      <c r="H1672" s="34" t="n">
        <v>31.6</v>
      </c>
      <c r="J1672" s="95" t="n">
        <f aca="false">IF(N(E1672)&gt;0,E1672,IF(N(F1672)&gt;0,F1672*가정!$B$5,0))</f>
        <v>153600</v>
      </c>
      <c r="K1672" s="95" t="n">
        <f aca="false">IF(N(F1672)&gt;0,F1672,IF(N(E1672)&gt;0,E1672/가정!$B$5,0))</f>
        <v>38400</v>
      </c>
      <c r="L1672" s="95" t="n">
        <f aca="false">IF(B1672="CN",IF(N(I1672)&gt;0,I1672*가정!$B$3,K1672*(1+가정!$B$6)),IF(N(H1672)&gt;0,H1672*가정!$B$3,J1672*가정!$B$4))</f>
        <v>40320</v>
      </c>
      <c r="M1672" s="95" t="n">
        <f aca="false">D1672*J1672</f>
        <v>78796800</v>
      </c>
      <c r="N1672" s="95" t="n">
        <f aca="false">D1672*K1672</f>
        <v>19699200</v>
      </c>
      <c r="O1672" s="95" t="n">
        <f aca="false">D1672*L1672</f>
        <v>20684160</v>
      </c>
      <c r="P1672" s="34" t="str">
        <f aca="false">TRIM(IF(N(E1672)&lt;=0,"택가보정 ","")&amp;IF(N(F1672)&lt;=0,"원가보정 ","")&amp;IF(AND(B1672&lt;&gt;"CN",N(H1672)&lt;=0),"공급가보정 ","")&amp;IF(AND(B1672="CN",N(I1672)&lt;=0),"중국공급가=원가+마진 ",""))</f>
        <v>택가보정 중국공급가=원가+마진</v>
      </c>
    </row>
    <row r="1673" customFormat="false" ht="15" hidden="false" customHeight="true" outlineLevel="0" collapsed="false">
      <c r="A1673" s="94" t="s">
        <v>1689</v>
      </c>
      <c r="B1673" s="34" t="str">
        <f aca="false">IF(A1673="100","HK",IF(A1673="200","CN",IF(A1673="300","TW","홀세일")))</f>
        <v>홀세일</v>
      </c>
      <c r="C1673" s="94" t="s">
        <v>1034</v>
      </c>
      <c r="D1673" s="95" t="n">
        <v>60</v>
      </c>
      <c r="E1673" s="95"/>
      <c r="F1673" s="95" t="n">
        <v>38400</v>
      </c>
      <c r="G1673" s="34" t="n">
        <v>0</v>
      </c>
      <c r="H1673" s="34" t="n">
        <v>31.6</v>
      </c>
      <c r="J1673" s="95" t="n">
        <f aca="false">IF(N(E1673)&gt;0,E1673,IF(N(F1673)&gt;0,F1673*가정!$B$5,0))</f>
        <v>153600</v>
      </c>
      <c r="K1673" s="95" t="n">
        <f aca="false">IF(N(F1673)&gt;0,F1673,IF(N(E1673)&gt;0,E1673/가정!$B$5,0))</f>
        <v>38400</v>
      </c>
      <c r="L1673" s="95" t="n">
        <f aca="false">IF(B1673="CN",IF(N(I1673)&gt;0,I1673*가정!$B$3,K1673*(1+가정!$B$6)),IF(N(H1673)&gt;0,H1673*가정!$B$3,J1673*가정!$B$4))</f>
        <v>43063.848</v>
      </c>
      <c r="M1673" s="95" t="n">
        <f aca="false">D1673*J1673</f>
        <v>9216000</v>
      </c>
      <c r="N1673" s="95" t="n">
        <f aca="false">D1673*K1673</f>
        <v>2304000</v>
      </c>
      <c r="O1673" s="95" t="n">
        <f aca="false">D1673*L1673</f>
        <v>2583830.88</v>
      </c>
      <c r="P1673" s="34" t="str">
        <f aca="false">TRIM(IF(N(E1673)&lt;=0,"택가보정 ","")&amp;IF(N(F1673)&lt;=0,"원가보정 ","")&amp;IF(AND(B1673&lt;&gt;"CN",N(H1673)&lt;=0),"공급가보정 ","")&amp;IF(AND(B1673="CN",N(I1673)&lt;=0),"중국공급가=원가+마진 ",""))</f>
        <v>택가보정</v>
      </c>
    </row>
    <row r="1674" customFormat="false" ht="15.75" hidden="false" customHeight="true" outlineLevel="0" collapsed="false">
      <c r="A1674" s="94" t="s">
        <v>1685</v>
      </c>
      <c r="B1674" s="34" t="str">
        <f aca="false">IF(A1674="100","HK",IF(A1674="200","CN",IF(A1674="300","TW","홀세일")))</f>
        <v>CN</v>
      </c>
      <c r="C1674" s="94" t="s">
        <v>1194</v>
      </c>
      <c r="D1674" s="95" t="n">
        <v>578</v>
      </c>
      <c r="E1674" s="95" t="n">
        <v>99000</v>
      </c>
      <c r="F1674" s="95" t="n">
        <v>22510</v>
      </c>
      <c r="G1674" s="34" t="n">
        <v>4.35</v>
      </c>
      <c r="H1674" s="34" t="n">
        <v>24.8</v>
      </c>
      <c r="J1674" s="95" t="n">
        <f aca="false">IF(N(E1674)&gt;0,E1674,IF(N(F1674)&gt;0,F1674*가정!$B$5,0))</f>
        <v>99000</v>
      </c>
      <c r="K1674" s="95" t="n">
        <f aca="false">IF(N(F1674)&gt;0,F1674,IF(N(E1674)&gt;0,E1674/가정!$B$5,0))</f>
        <v>22510</v>
      </c>
      <c r="L1674" s="95" t="n">
        <f aca="false">IF(B1674="CN",IF(N(I1674)&gt;0,I1674*가정!$B$3,K1674*(1+가정!$B$6)),IF(N(H1674)&gt;0,H1674*가정!$B$3,J1674*가정!$B$4))</f>
        <v>23635.5</v>
      </c>
      <c r="M1674" s="95" t="n">
        <f aca="false">D1674*J1674</f>
        <v>57222000</v>
      </c>
      <c r="N1674" s="95" t="n">
        <f aca="false">D1674*K1674</f>
        <v>13010780</v>
      </c>
      <c r="O1674" s="95" t="n">
        <f aca="false">D1674*L1674</f>
        <v>13661319</v>
      </c>
      <c r="P1674" s="34" t="str">
        <f aca="false">TRIM(IF(N(E1674)&lt;=0,"택가보정 ","")&amp;IF(N(F1674)&lt;=0,"원가보정 ","")&amp;IF(AND(B1674&lt;&gt;"CN",N(H1674)&lt;=0),"공급가보정 ","")&amp;IF(AND(B1674="CN",N(I1674)&lt;=0),"중국공급가=원가+마진 ",""))</f>
        <v>중국공급가=원가+마진</v>
      </c>
    </row>
    <row r="1675" customFormat="false" ht="15.75" hidden="false" customHeight="true" outlineLevel="0" collapsed="false">
      <c r="A1675" s="94" t="s">
        <v>1685</v>
      </c>
      <c r="B1675" s="34" t="str">
        <f aca="false">IF(A1675="100","HK",IF(A1675="200","CN",IF(A1675="300","TW","홀세일")))</f>
        <v>CN</v>
      </c>
      <c r="C1675" s="94" t="s">
        <v>1196</v>
      </c>
      <c r="D1675" s="95" t="n">
        <v>1426</v>
      </c>
      <c r="E1675" s="95"/>
      <c r="F1675" s="95" t="n">
        <v>24200</v>
      </c>
      <c r="G1675" s="34" t="n">
        <v>0</v>
      </c>
      <c r="J1675" s="95" t="n">
        <f aca="false">IF(N(E1675)&gt;0,E1675,IF(N(F1675)&gt;0,F1675*가정!$B$5,0))</f>
        <v>96800</v>
      </c>
      <c r="K1675" s="95" t="n">
        <f aca="false">IF(N(F1675)&gt;0,F1675,IF(N(E1675)&gt;0,E1675/가정!$B$5,0))</f>
        <v>24200</v>
      </c>
      <c r="L1675" s="95" t="n">
        <f aca="false">IF(B1675="CN",IF(N(I1675)&gt;0,I1675*가정!$B$3,K1675*(1+가정!$B$6)),IF(N(H1675)&gt;0,H1675*가정!$B$3,J1675*가정!$B$4))</f>
        <v>25410</v>
      </c>
      <c r="M1675" s="95" t="n">
        <f aca="false">D1675*J1675</f>
        <v>138036800</v>
      </c>
      <c r="N1675" s="95" t="n">
        <f aca="false">D1675*K1675</f>
        <v>34509200</v>
      </c>
      <c r="O1675" s="95" t="n">
        <f aca="false">D1675*L1675</f>
        <v>36234660</v>
      </c>
      <c r="P1675" s="34" t="str">
        <f aca="false">TRIM(IF(N(E1675)&lt;=0,"택가보정 ","")&amp;IF(N(F1675)&lt;=0,"원가보정 ","")&amp;IF(AND(B1675&lt;&gt;"CN",N(H1675)&lt;=0),"공급가보정 ","")&amp;IF(AND(B1675="CN",N(I1675)&lt;=0),"중국공급가=원가+마진 ",""))</f>
        <v>택가보정 중국공급가=원가+마진</v>
      </c>
    </row>
    <row r="1676" customFormat="false" ht="15.75" hidden="false" customHeight="true" outlineLevel="0" collapsed="false">
      <c r="A1676" s="94" t="s">
        <v>1685</v>
      </c>
      <c r="B1676" s="34" t="str">
        <f aca="false">IF(A1676="100","HK",IF(A1676="200","CN",IF(A1676="300","TW","홀세일")))</f>
        <v>CN</v>
      </c>
      <c r="C1676" s="94" t="s">
        <v>1197</v>
      </c>
      <c r="D1676" s="95" t="n">
        <v>678</v>
      </c>
      <c r="E1676" s="95"/>
      <c r="F1676" s="95" t="n">
        <v>28200</v>
      </c>
      <c r="G1676" s="34" t="n">
        <v>0</v>
      </c>
      <c r="J1676" s="95" t="n">
        <f aca="false">IF(N(E1676)&gt;0,E1676,IF(N(F1676)&gt;0,F1676*가정!$B$5,0))</f>
        <v>112800</v>
      </c>
      <c r="K1676" s="95" t="n">
        <f aca="false">IF(N(F1676)&gt;0,F1676,IF(N(E1676)&gt;0,E1676/가정!$B$5,0))</f>
        <v>28200</v>
      </c>
      <c r="L1676" s="95" t="n">
        <f aca="false">IF(B1676="CN",IF(N(I1676)&gt;0,I1676*가정!$B$3,K1676*(1+가정!$B$6)),IF(N(H1676)&gt;0,H1676*가정!$B$3,J1676*가정!$B$4))</f>
        <v>29610</v>
      </c>
      <c r="M1676" s="95" t="n">
        <f aca="false">D1676*J1676</f>
        <v>76478400</v>
      </c>
      <c r="N1676" s="95" t="n">
        <f aca="false">D1676*K1676</f>
        <v>19119600</v>
      </c>
      <c r="O1676" s="95" t="n">
        <f aca="false">D1676*L1676</f>
        <v>20075580</v>
      </c>
      <c r="P1676" s="34" t="str">
        <f aca="false">TRIM(IF(N(E1676)&lt;=0,"택가보정 ","")&amp;IF(N(F1676)&lt;=0,"원가보정 ","")&amp;IF(AND(B1676&lt;&gt;"CN",N(H1676)&lt;=0),"공급가보정 ","")&amp;IF(AND(B1676="CN",N(I1676)&lt;=0),"중국공급가=원가+마진 ",""))</f>
        <v>택가보정 중국공급가=원가+마진</v>
      </c>
    </row>
    <row r="1677" customFormat="false" ht="15.75" hidden="false" customHeight="true" outlineLevel="0" collapsed="false">
      <c r="A1677" s="94" t="s">
        <v>1685</v>
      </c>
      <c r="B1677" s="34" t="str">
        <f aca="false">IF(A1677="100","HK",IF(A1677="200","CN",IF(A1677="300","TW","홀세일")))</f>
        <v>CN</v>
      </c>
      <c r="C1677" s="94" t="s">
        <v>728</v>
      </c>
      <c r="D1677" s="95" t="n">
        <v>1024</v>
      </c>
      <c r="E1677" s="95" t="n">
        <v>159000</v>
      </c>
      <c r="F1677" s="95" t="n">
        <v>47877</v>
      </c>
      <c r="G1677" s="34" t="n">
        <v>4.16</v>
      </c>
      <c r="H1677" s="34" t="n">
        <v>42.2</v>
      </c>
      <c r="J1677" s="95" t="n">
        <f aca="false">IF(N(E1677)&gt;0,E1677,IF(N(F1677)&gt;0,F1677*가정!$B$5,0))</f>
        <v>159000</v>
      </c>
      <c r="K1677" s="95" t="n">
        <f aca="false">IF(N(F1677)&gt;0,F1677,IF(N(E1677)&gt;0,E1677/가정!$B$5,0))</f>
        <v>47877</v>
      </c>
      <c r="L1677" s="95" t="n">
        <f aca="false">IF(B1677="CN",IF(N(I1677)&gt;0,I1677*가정!$B$3,K1677*(1+가정!$B$6)),IF(N(H1677)&gt;0,H1677*가정!$B$3,J1677*가정!$B$4))</f>
        <v>50270.85</v>
      </c>
      <c r="M1677" s="95" t="n">
        <f aca="false">D1677*J1677</f>
        <v>162816000</v>
      </c>
      <c r="N1677" s="95" t="n">
        <f aca="false">D1677*K1677</f>
        <v>49026048</v>
      </c>
      <c r="O1677" s="95" t="n">
        <f aca="false">D1677*L1677</f>
        <v>51477350.4</v>
      </c>
      <c r="P1677" s="34" t="str">
        <f aca="false">TRIM(IF(N(E1677)&lt;=0,"택가보정 ","")&amp;IF(N(F1677)&lt;=0,"원가보정 ","")&amp;IF(AND(B1677&lt;&gt;"CN",N(H1677)&lt;=0),"공급가보정 ","")&amp;IF(AND(B1677="CN",N(I1677)&lt;=0),"중국공급가=원가+마진 ",""))</f>
        <v>중국공급가=원가+마진</v>
      </c>
    </row>
    <row r="1678" customFormat="false" ht="15" hidden="false" customHeight="true" outlineLevel="0" collapsed="false">
      <c r="A1678" s="94" t="s">
        <v>1686</v>
      </c>
      <c r="B1678" s="34" t="str">
        <f aca="false">IF(A1678="100","HK",IF(A1678="200","CN",IF(A1678="300","TW","홀세일")))</f>
        <v>TW</v>
      </c>
      <c r="C1678" s="94" t="s">
        <v>728</v>
      </c>
      <c r="D1678" s="95" t="n">
        <v>300</v>
      </c>
      <c r="E1678" s="95" t="n">
        <v>159000</v>
      </c>
      <c r="F1678" s="95" t="n">
        <v>47877</v>
      </c>
      <c r="G1678" s="34" t="n">
        <v>4.16</v>
      </c>
      <c r="H1678" s="34" t="n">
        <v>42.2</v>
      </c>
      <c r="J1678" s="95" t="n">
        <f aca="false">IF(N(E1678)&gt;0,E1678,IF(N(F1678)&gt;0,F1678*가정!$B$5,0))</f>
        <v>159000</v>
      </c>
      <c r="K1678" s="95" t="n">
        <f aca="false">IF(N(F1678)&gt;0,F1678,IF(N(E1678)&gt;0,E1678/가정!$B$5,0))</f>
        <v>47877</v>
      </c>
      <c r="L1678" s="95" t="n">
        <f aca="false">IF(B1678="CN",IF(N(I1678)&gt;0,I1678*가정!$B$3,K1678*(1+가정!$B$6)),IF(N(H1678)&gt;0,H1678*가정!$B$3,J1678*가정!$B$4))</f>
        <v>57509.316</v>
      </c>
      <c r="M1678" s="95" t="n">
        <f aca="false">D1678*J1678</f>
        <v>47700000</v>
      </c>
      <c r="N1678" s="95" t="n">
        <f aca="false">D1678*K1678</f>
        <v>14363100</v>
      </c>
      <c r="O1678" s="95" t="n">
        <f aca="false">D1678*L1678</f>
        <v>17252794.8</v>
      </c>
      <c r="P1678" s="34" t="str">
        <f aca="false">TRIM(IF(N(E1678)&lt;=0,"택가보정 ","")&amp;IF(N(F1678)&lt;=0,"원가보정 ","")&amp;IF(AND(B1678&lt;&gt;"CN",N(H1678)&lt;=0),"공급가보정 ","")&amp;IF(AND(B1678="CN",N(I1678)&lt;=0),"중국공급가=원가+마진 ",""))</f>
        <v/>
      </c>
    </row>
    <row r="1679" customFormat="false" ht="15.75" hidden="false" customHeight="true" outlineLevel="0" collapsed="false">
      <c r="A1679" s="94" t="s">
        <v>1685</v>
      </c>
      <c r="B1679" s="34" t="str">
        <f aca="false">IF(A1679="100","HK",IF(A1679="200","CN",IF(A1679="300","TW","홀세일")))</f>
        <v>CN</v>
      </c>
      <c r="C1679" s="94" t="s">
        <v>1198</v>
      </c>
      <c r="D1679" s="95" t="n">
        <v>387</v>
      </c>
      <c r="E1679" s="95" t="n">
        <v>129000</v>
      </c>
      <c r="F1679" s="95" t="n">
        <v>43043</v>
      </c>
      <c r="G1679" s="34" t="n">
        <v>4.48</v>
      </c>
      <c r="H1679" s="34" t="n">
        <v>34.3</v>
      </c>
      <c r="J1679" s="95" t="n">
        <f aca="false">IF(N(E1679)&gt;0,E1679,IF(N(F1679)&gt;0,F1679*가정!$B$5,0))</f>
        <v>129000</v>
      </c>
      <c r="K1679" s="95" t="n">
        <f aca="false">IF(N(F1679)&gt;0,F1679,IF(N(E1679)&gt;0,E1679/가정!$B$5,0))</f>
        <v>43043</v>
      </c>
      <c r="L1679" s="95" t="n">
        <f aca="false">IF(B1679="CN",IF(N(I1679)&gt;0,I1679*가정!$B$3,K1679*(1+가정!$B$6)),IF(N(H1679)&gt;0,H1679*가정!$B$3,J1679*가정!$B$4))</f>
        <v>45195.15</v>
      </c>
      <c r="M1679" s="95" t="n">
        <f aca="false">D1679*J1679</f>
        <v>49923000</v>
      </c>
      <c r="N1679" s="95" t="n">
        <f aca="false">D1679*K1679</f>
        <v>16657641</v>
      </c>
      <c r="O1679" s="95" t="n">
        <f aca="false">D1679*L1679</f>
        <v>17490523.05</v>
      </c>
      <c r="P1679" s="34" t="str">
        <f aca="false">TRIM(IF(N(E1679)&lt;=0,"택가보정 ","")&amp;IF(N(F1679)&lt;=0,"원가보정 ","")&amp;IF(AND(B1679&lt;&gt;"CN",N(H1679)&lt;=0),"공급가보정 ","")&amp;IF(AND(B1679="CN",N(I1679)&lt;=0),"중국공급가=원가+마진 ",""))</f>
        <v>중국공급가=원가+마진</v>
      </c>
    </row>
    <row r="1680" customFormat="false" ht="15.75" hidden="false" customHeight="true" outlineLevel="0" collapsed="false">
      <c r="A1680" s="94" t="s">
        <v>1685</v>
      </c>
      <c r="B1680" s="34" t="str">
        <f aca="false">IF(A1680="100","HK",IF(A1680="200","CN",IF(A1680="300","TW","홀세일")))</f>
        <v>CN</v>
      </c>
      <c r="C1680" s="94" t="s">
        <v>1200</v>
      </c>
      <c r="D1680" s="95" t="n">
        <v>1208</v>
      </c>
      <c r="E1680" s="95"/>
      <c r="F1680" s="95" t="n">
        <v>40400</v>
      </c>
      <c r="G1680" s="34" t="n">
        <v>0</v>
      </c>
      <c r="J1680" s="95" t="n">
        <f aca="false">IF(N(E1680)&gt;0,E1680,IF(N(F1680)&gt;0,F1680*가정!$B$5,0))</f>
        <v>161600</v>
      </c>
      <c r="K1680" s="95" t="n">
        <f aca="false">IF(N(F1680)&gt;0,F1680,IF(N(E1680)&gt;0,E1680/가정!$B$5,0))</f>
        <v>40400</v>
      </c>
      <c r="L1680" s="95" t="n">
        <f aca="false">IF(B1680="CN",IF(N(I1680)&gt;0,I1680*가정!$B$3,K1680*(1+가정!$B$6)),IF(N(H1680)&gt;0,H1680*가정!$B$3,J1680*가정!$B$4))</f>
        <v>42420</v>
      </c>
      <c r="M1680" s="95" t="n">
        <f aca="false">D1680*J1680</f>
        <v>195212800</v>
      </c>
      <c r="N1680" s="95" t="n">
        <f aca="false">D1680*K1680</f>
        <v>48803200</v>
      </c>
      <c r="O1680" s="95" t="n">
        <f aca="false">D1680*L1680</f>
        <v>51243360</v>
      </c>
      <c r="P1680" s="34" t="str">
        <f aca="false">TRIM(IF(N(E1680)&lt;=0,"택가보정 ","")&amp;IF(N(F1680)&lt;=0,"원가보정 ","")&amp;IF(AND(B1680&lt;&gt;"CN",N(H1680)&lt;=0),"공급가보정 ","")&amp;IF(AND(B1680="CN",N(I1680)&lt;=0),"중국공급가=원가+마진 ",""))</f>
        <v>택가보정 중국공급가=원가+마진</v>
      </c>
    </row>
    <row r="1681" customFormat="false" ht="15" hidden="false" customHeight="true" outlineLevel="0" collapsed="false">
      <c r="A1681" s="94" t="s">
        <v>1684</v>
      </c>
      <c r="B1681" s="34" t="str">
        <f aca="false">IF(A1681="100","HK",IF(A1681="200","CN",IF(A1681="300","TW","홀세일")))</f>
        <v>HK</v>
      </c>
      <c r="C1681" s="94" t="s">
        <v>1036</v>
      </c>
      <c r="D1681" s="95" t="n">
        <v>750</v>
      </c>
      <c r="E1681" s="95"/>
      <c r="F1681" s="95" t="n">
        <v>32940</v>
      </c>
      <c r="G1681" s="34" t="n">
        <v>0</v>
      </c>
      <c r="H1681" s="34" t="n">
        <v>37.3</v>
      </c>
      <c r="J1681" s="95" t="n">
        <f aca="false">IF(N(E1681)&gt;0,E1681,IF(N(F1681)&gt;0,F1681*가정!$B$5,0))</f>
        <v>131760</v>
      </c>
      <c r="K1681" s="95" t="n">
        <f aca="false">IF(N(F1681)&gt;0,F1681,IF(N(E1681)&gt;0,E1681/가정!$B$5,0))</f>
        <v>32940</v>
      </c>
      <c r="L1681" s="95" t="n">
        <f aca="false">IF(B1681="CN",IF(N(I1681)&gt;0,I1681*가정!$B$3,K1681*(1+가정!$B$6)),IF(N(H1681)&gt;0,H1681*가정!$B$3,J1681*가정!$B$4))</f>
        <v>50831.694</v>
      </c>
      <c r="M1681" s="95" t="n">
        <f aca="false">D1681*J1681</f>
        <v>98820000</v>
      </c>
      <c r="N1681" s="95" t="n">
        <f aca="false">D1681*K1681</f>
        <v>24705000</v>
      </c>
      <c r="O1681" s="95" t="n">
        <f aca="false">D1681*L1681</f>
        <v>38123770.5</v>
      </c>
      <c r="P1681" s="34" t="str">
        <f aca="false">TRIM(IF(N(E1681)&lt;=0,"택가보정 ","")&amp;IF(N(F1681)&lt;=0,"원가보정 ","")&amp;IF(AND(B1681&lt;&gt;"CN",N(H1681)&lt;=0),"공급가보정 ","")&amp;IF(AND(B1681="CN",N(I1681)&lt;=0),"중국공급가=원가+마진 ",""))</f>
        <v>택가보정</v>
      </c>
    </row>
    <row r="1682" customFormat="false" ht="15.75" hidden="false" customHeight="true" outlineLevel="0" collapsed="false">
      <c r="A1682" s="94" t="s">
        <v>1685</v>
      </c>
      <c r="B1682" s="34" t="str">
        <f aca="false">IF(A1682="100","HK",IF(A1682="200","CN",IF(A1682="300","TW","홀세일")))</f>
        <v>CN</v>
      </c>
      <c r="C1682" s="94" t="s">
        <v>1036</v>
      </c>
      <c r="D1682" s="95" t="n">
        <v>1668</v>
      </c>
      <c r="E1682" s="95"/>
      <c r="F1682" s="95" t="n">
        <v>32940</v>
      </c>
      <c r="G1682" s="34" t="n">
        <v>0</v>
      </c>
      <c r="H1682" s="34" t="n">
        <v>37.3</v>
      </c>
      <c r="J1682" s="95" t="n">
        <f aca="false">IF(N(E1682)&gt;0,E1682,IF(N(F1682)&gt;0,F1682*가정!$B$5,0))</f>
        <v>131760</v>
      </c>
      <c r="K1682" s="95" t="n">
        <f aca="false">IF(N(F1682)&gt;0,F1682,IF(N(E1682)&gt;0,E1682/가정!$B$5,0))</f>
        <v>32940</v>
      </c>
      <c r="L1682" s="95" t="n">
        <f aca="false">IF(B1682="CN",IF(N(I1682)&gt;0,I1682*가정!$B$3,K1682*(1+가정!$B$6)),IF(N(H1682)&gt;0,H1682*가정!$B$3,J1682*가정!$B$4))</f>
        <v>34587</v>
      </c>
      <c r="M1682" s="95" t="n">
        <f aca="false">D1682*J1682</f>
        <v>219775680</v>
      </c>
      <c r="N1682" s="95" t="n">
        <f aca="false">D1682*K1682</f>
        <v>54943920</v>
      </c>
      <c r="O1682" s="95" t="n">
        <f aca="false">D1682*L1682</f>
        <v>57691116</v>
      </c>
      <c r="P1682" s="34" t="str">
        <f aca="false">TRIM(IF(N(E1682)&lt;=0,"택가보정 ","")&amp;IF(N(F1682)&lt;=0,"원가보정 ","")&amp;IF(AND(B1682&lt;&gt;"CN",N(H1682)&lt;=0),"공급가보정 ","")&amp;IF(AND(B1682="CN",N(I1682)&lt;=0),"중국공급가=원가+마진 ",""))</f>
        <v>택가보정 중국공급가=원가+마진</v>
      </c>
    </row>
    <row r="1683" customFormat="false" ht="15" hidden="false" customHeight="true" outlineLevel="0" collapsed="false">
      <c r="A1683" s="94" t="s">
        <v>1690</v>
      </c>
      <c r="B1683" s="34" t="str">
        <f aca="false">IF(A1683="100","HK",IF(A1683="200","CN",IF(A1683="300","TW","홀세일")))</f>
        <v>홀세일</v>
      </c>
      <c r="C1683" s="94" t="s">
        <v>1524</v>
      </c>
      <c r="D1683" s="95" t="n">
        <v>720</v>
      </c>
      <c r="E1683" s="95" t="n">
        <v>89000</v>
      </c>
      <c r="F1683" s="95" t="n">
        <v>14300</v>
      </c>
      <c r="G1683" s="34" t="n">
        <v>0</v>
      </c>
      <c r="H1683" s="34" t="n">
        <v>22.3</v>
      </c>
      <c r="J1683" s="95" t="n">
        <f aca="false">IF(N(E1683)&gt;0,E1683,IF(N(F1683)&gt;0,F1683*가정!$B$5,0))</f>
        <v>89000</v>
      </c>
      <c r="K1683" s="95" t="n">
        <f aca="false">IF(N(F1683)&gt;0,F1683,IF(N(E1683)&gt;0,E1683/가정!$B$5,0))</f>
        <v>14300</v>
      </c>
      <c r="L1683" s="95" t="n">
        <f aca="false">IF(B1683="CN",IF(N(I1683)&gt;0,I1683*가정!$B$3,K1683*(1+가정!$B$6)),IF(N(H1683)&gt;0,H1683*가정!$B$3,J1683*가정!$B$4))</f>
        <v>30389.994</v>
      </c>
      <c r="M1683" s="95" t="n">
        <f aca="false">D1683*J1683</f>
        <v>64080000</v>
      </c>
      <c r="N1683" s="95" t="n">
        <f aca="false">D1683*K1683</f>
        <v>10296000</v>
      </c>
      <c r="O1683" s="95" t="n">
        <f aca="false">D1683*L1683</f>
        <v>21880795.68</v>
      </c>
      <c r="P1683" s="34" t="str">
        <f aca="false">TRIM(IF(N(E1683)&lt;=0,"택가보정 ","")&amp;IF(N(F1683)&lt;=0,"원가보정 ","")&amp;IF(AND(B1683&lt;&gt;"CN",N(H1683)&lt;=0),"공급가보정 ","")&amp;IF(AND(B1683="CN",N(I1683)&lt;=0),"중국공급가=원가+마진 ",""))</f>
        <v/>
      </c>
    </row>
    <row r="1684" customFormat="false" ht="15" hidden="false" customHeight="true" outlineLevel="0" collapsed="false">
      <c r="A1684" s="94" t="s">
        <v>1684</v>
      </c>
      <c r="B1684" s="34" t="str">
        <f aca="false">IF(A1684="100","HK",IF(A1684="200","CN",IF(A1684="300","TW","홀세일")))</f>
        <v>HK</v>
      </c>
      <c r="C1684" s="94" t="s">
        <v>1037</v>
      </c>
      <c r="D1684" s="95" t="n">
        <v>720</v>
      </c>
      <c r="E1684" s="95"/>
      <c r="F1684" s="95" t="n">
        <v>20896</v>
      </c>
      <c r="G1684" s="34" t="n">
        <v>0</v>
      </c>
      <c r="H1684" s="34" t="n">
        <v>22.3</v>
      </c>
      <c r="J1684" s="95" t="n">
        <f aca="false">IF(N(E1684)&gt;0,E1684,IF(N(F1684)&gt;0,F1684*가정!$B$5,0))</f>
        <v>83584</v>
      </c>
      <c r="K1684" s="95" t="n">
        <f aca="false">IF(N(F1684)&gt;0,F1684,IF(N(E1684)&gt;0,E1684/가정!$B$5,0))</f>
        <v>20896</v>
      </c>
      <c r="L1684" s="95" t="n">
        <f aca="false">IF(B1684="CN",IF(N(I1684)&gt;0,I1684*가정!$B$3,K1684*(1+가정!$B$6)),IF(N(H1684)&gt;0,H1684*가정!$B$3,J1684*가정!$B$4))</f>
        <v>30389.994</v>
      </c>
      <c r="M1684" s="95" t="n">
        <f aca="false">D1684*J1684</f>
        <v>60180480</v>
      </c>
      <c r="N1684" s="95" t="n">
        <f aca="false">D1684*K1684</f>
        <v>15045120</v>
      </c>
      <c r="O1684" s="95" t="n">
        <f aca="false">D1684*L1684</f>
        <v>21880795.68</v>
      </c>
      <c r="P1684" s="34" t="str">
        <f aca="false">TRIM(IF(N(E1684)&lt;=0,"택가보정 ","")&amp;IF(N(F1684)&lt;=0,"원가보정 ","")&amp;IF(AND(B1684&lt;&gt;"CN",N(H1684)&lt;=0),"공급가보정 ","")&amp;IF(AND(B1684="CN",N(I1684)&lt;=0),"중국공급가=원가+마진 ",""))</f>
        <v>택가보정</v>
      </c>
    </row>
    <row r="1685" customFormat="false" ht="15.75" hidden="false" customHeight="true" outlineLevel="0" collapsed="false">
      <c r="A1685" s="94" t="s">
        <v>1685</v>
      </c>
      <c r="B1685" s="34" t="str">
        <f aca="false">IF(A1685="100","HK",IF(A1685="200","CN",IF(A1685="300","TW","홀세일")))</f>
        <v>CN</v>
      </c>
      <c r="C1685" s="94" t="s">
        <v>1037</v>
      </c>
      <c r="D1685" s="95" t="n">
        <v>664</v>
      </c>
      <c r="E1685" s="95"/>
      <c r="F1685" s="95" t="n">
        <v>20896</v>
      </c>
      <c r="G1685" s="34" t="n">
        <v>0</v>
      </c>
      <c r="H1685" s="34" t="n">
        <v>22.3</v>
      </c>
      <c r="J1685" s="95" t="n">
        <f aca="false">IF(N(E1685)&gt;0,E1685,IF(N(F1685)&gt;0,F1685*가정!$B$5,0))</f>
        <v>83584</v>
      </c>
      <c r="K1685" s="95" t="n">
        <f aca="false">IF(N(F1685)&gt;0,F1685,IF(N(E1685)&gt;0,E1685/가정!$B$5,0))</f>
        <v>20896</v>
      </c>
      <c r="L1685" s="95" t="n">
        <f aca="false">IF(B1685="CN",IF(N(I1685)&gt;0,I1685*가정!$B$3,K1685*(1+가정!$B$6)),IF(N(H1685)&gt;0,H1685*가정!$B$3,J1685*가정!$B$4))</f>
        <v>21940.8</v>
      </c>
      <c r="M1685" s="95" t="n">
        <f aca="false">D1685*J1685</f>
        <v>55499776</v>
      </c>
      <c r="N1685" s="95" t="n">
        <f aca="false">D1685*K1685</f>
        <v>13874944</v>
      </c>
      <c r="O1685" s="95" t="n">
        <f aca="false">D1685*L1685</f>
        <v>14568691.2</v>
      </c>
      <c r="P1685" s="34" t="str">
        <f aca="false">TRIM(IF(N(E1685)&lt;=0,"택가보정 ","")&amp;IF(N(F1685)&lt;=0,"원가보정 ","")&amp;IF(AND(B1685&lt;&gt;"CN",N(H1685)&lt;=0),"공급가보정 ","")&amp;IF(AND(B1685="CN",N(I1685)&lt;=0),"중국공급가=원가+마진 ",""))</f>
        <v>택가보정 중국공급가=원가+마진</v>
      </c>
    </row>
    <row r="1686" customFormat="false" ht="15" hidden="false" customHeight="true" outlineLevel="0" collapsed="false">
      <c r="A1686" s="94" t="s">
        <v>1684</v>
      </c>
      <c r="B1686" s="34" t="str">
        <f aca="false">IF(A1686="100","HK",IF(A1686="200","CN",IF(A1686="300","TW","홀세일")))</f>
        <v>HK</v>
      </c>
      <c r="C1686" s="94" t="s">
        <v>730</v>
      </c>
      <c r="D1686" s="95" t="n">
        <v>100</v>
      </c>
      <c r="E1686" s="95"/>
      <c r="F1686" s="95" t="n">
        <v>17100</v>
      </c>
      <c r="G1686" s="34" t="n">
        <v>0</v>
      </c>
      <c r="H1686" s="34" t="n">
        <v>18.4</v>
      </c>
      <c r="J1686" s="95" t="n">
        <f aca="false">IF(N(E1686)&gt;0,E1686,IF(N(F1686)&gt;0,F1686*가정!$B$5,0))</f>
        <v>68400</v>
      </c>
      <c r="K1686" s="95" t="n">
        <f aca="false">IF(N(F1686)&gt;0,F1686,IF(N(E1686)&gt;0,E1686/가정!$B$5,0))</f>
        <v>17100</v>
      </c>
      <c r="L1686" s="95" t="n">
        <f aca="false">IF(B1686="CN",IF(N(I1686)&gt;0,I1686*가정!$B$3,K1686*(1+가정!$B$6)),IF(N(H1686)&gt;0,H1686*가정!$B$3,J1686*가정!$B$4))</f>
        <v>25075.152</v>
      </c>
      <c r="M1686" s="95" t="n">
        <f aca="false">D1686*J1686</f>
        <v>6840000</v>
      </c>
      <c r="N1686" s="95" t="n">
        <f aca="false">D1686*K1686</f>
        <v>1710000</v>
      </c>
      <c r="O1686" s="95" t="n">
        <f aca="false">D1686*L1686</f>
        <v>2507515.2</v>
      </c>
      <c r="P1686" s="34" t="str">
        <f aca="false">TRIM(IF(N(E1686)&lt;=0,"택가보정 ","")&amp;IF(N(F1686)&lt;=0,"원가보정 ","")&amp;IF(AND(B1686&lt;&gt;"CN",N(H1686)&lt;=0),"공급가보정 ","")&amp;IF(AND(B1686="CN",N(I1686)&lt;=0),"중국공급가=원가+마진 ",""))</f>
        <v>택가보정</v>
      </c>
    </row>
    <row r="1687" customFormat="false" ht="15.75" hidden="false" customHeight="true" outlineLevel="0" collapsed="false">
      <c r="A1687" s="94" t="s">
        <v>1685</v>
      </c>
      <c r="B1687" s="34" t="str">
        <f aca="false">IF(A1687="100","HK",IF(A1687="200","CN",IF(A1687="300","TW","홀세일")))</f>
        <v>CN</v>
      </c>
      <c r="C1687" s="94" t="s">
        <v>730</v>
      </c>
      <c r="D1687" s="95" t="n">
        <v>302</v>
      </c>
      <c r="E1687" s="95"/>
      <c r="F1687" s="95" t="n">
        <v>17100</v>
      </c>
      <c r="G1687" s="34" t="n">
        <v>0</v>
      </c>
      <c r="H1687" s="34" t="n">
        <v>18.4</v>
      </c>
      <c r="J1687" s="95" t="n">
        <f aca="false">IF(N(E1687)&gt;0,E1687,IF(N(F1687)&gt;0,F1687*가정!$B$5,0))</f>
        <v>68400</v>
      </c>
      <c r="K1687" s="95" t="n">
        <f aca="false">IF(N(F1687)&gt;0,F1687,IF(N(E1687)&gt;0,E1687/가정!$B$5,0))</f>
        <v>17100</v>
      </c>
      <c r="L1687" s="95" t="n">
        <f aca="false">IF(B1687="CN",IF(N(I1687)&gt;0,I1687*가정!$B$3,K1687*(1+가정!$B$6)),IF(N(H1687)&gt;0,H1687*가정!$B$3,J1687*가정!$B$4))</f>
        <v>17955</v>
      </c>
      <c r="M1687" s="95" t="n">
        <f aca="false">D1687*J1687</f>
        <v>20656800</v>
      </c>
      <c r="N1687" s="95" t="n">
        <f aca="false">D1687*K1687</f>
        <v>5164200</v>
      </c>
      <c r="O1687" s="95" t="n">
        <f aca="false">D1687*L1687</f>
        <v>5422410</v>
      </c>
      <c r="P1687" s="34" t="str">
        <f aca="false">TRIM(IF(N(E1687)&lt;=0,"택가보정 ","")&amp;IF(N(F1687)&lt;=0,"원가보정 ","")&amp;IF(AND(B1687&lt;&gt;"CN",N(H1687)&lt;=0),"공급가보정 ","")&amp;IF(AND(B1687="CN",N(I1687)&lt;=0),"중국공급가=원가+마진 ",""))</f>
        <v>택가보정 중국공급가=원가+마진</v>
      </c>
    </row>
    <row r="1688" customFormat="false" ht="15" hidden="false" customHeight="true" outlineLevel="0" collapsed="false">
      <c r="A1688" s="94" t="s">
        <v>1686</v>
      </c>
      <c r="B1688" s="34" t="str">
        <f aca="false">IF(A1688="100","HK",IF(A1688="200","CN",IF(A1688="300","TW","홀세일")))</f>
        <v>TW</v>
      </c>
      <c r="C1688" s="94" t="s">
        <v>730</v>
      </c>
      <c r="D1688" s="95" t="n">
        <v>680</v>
      </c>
      <c r="E1688" s="95"/>
      <c r="F1688" s="95" t="n">
        <v>17100</v>
      </c>
      <c r="G1688" s="34" t="n">
        <v>0</v>
      </c>
      <c r="H1688" s="34" t="n">
        <v>18.4</v>
      </c>
      <c r="J1688" s="95" t="n">
        <f aca="false">IF(N(E1688)&gt;0,E1688,IF(N(F1688)&gt;0,F1688*가정!$B$5,0))</f>
        <v>68400</v>
      </c>
      <c r="K1688" s="95" t="n">
        <f aca="false">IF(N(F1688)&gt;0,F1688,IF(N(E1688)&gt;0,E1688/가정!$B$5,0))</f>
        <v>17100</v>
      </c>
      <c r="L1688" s="95" t="n">
        <f aca="false">IF(B1688="CN",IF(N(I1688)&gt;0,I1688*가정!$B$3,K1688*(1+가정!$B$6)),IF(N(H1688)&gt;0,H1688*가정!$B$3,J1688*가정!$B$4))</f>
        <v>25075.152</v>
      </c>
      <c r="M1688" s="95" t="n">
        <f aca="false">D1688*J1688</f>
        <v>46512000</v>
      </c>
      <c r="N1688" s="95" t="n">
        <f aca="false">D1688*K1688</f>
        <v>11628000</v>
      </c>
      <c r="O1688" s="95" t="n">
        <f aca="false">D1688*L1688</f>
        <v>17051103.36</v>
      </c>
      <c r="P1688" s="34" t="str">
        <f aca="false">TRIM(IF(N(E1688)&lt;=0,"택가보정 ","")&amp;IF(N(F1688)&lt;=0,"원가보정 ","")&amp;IF(AND(B1688&lt;&gt;"CN",N(H1688)&lt;=0),"공급가보정 ","")&amp;IF(AND(B1688="CN",N(I1688)&lt;=0),"중국공급가=원가+마진 ",""))</f>
        <v>택가보정</v>
      </c>
    </row>
    <row r="1689" customFormat="false" ht="15" hidden="false" customHeight="true" outlineLevel="0" collapsed="false">
      <c r="A1689" s="94" t="s">
        <v>1692</v>
      </c>
      <c r="B1689" s="34" t="str">
        <f aca="false">IF(A1689="100","HK",IF(A1689="200","CN",IF(A1689="300","TW","홀세일")))</f>
        <v>홀세일</v>
      </c>
      <c r="C1689" s="94" t="s">
        <v>1486</v>
      </c>
      <c r="D1689" s="95" t="n">
        <v>1340</v>
      </c>
      <c r="E1689" s="95" t="n">
        <v>59000</v>
      </c>
      <c r="F1689" s="95" t="n">
        <v>13300</v>
      </c>
      <c r="G1689" s="34" t="n">
        <v>0</v>
      </c>
      <c r="H1689" s="34" t="n">
        <v>14.8</v>
      </c>
      <c r="J1689" s="95" t="n">
        <f aca="false">IF(N(E1689)&gt;0,E1689,IF(N(F1689)&gt;0,F1689*가정!$B$5,0))</f>
        <v>59000</v>
      </c>
      <c r="K1689" s="95" t="n">
        <f aca="false">IF(N(F1689)&gt;0,F1689,IF(N(E1689)&gt;0,E1689/가정!$B$5,0))</f>
        <v>13300</v>
      </c>
      <c r="L1689" s="95" t="n">
        <f aca="false">IF(B1689="CN",IF(N(I1689)&gt;0,I1689*가정!$B$3,K1689*(1+가정!$B$6)),IF(N(H1689)&gt;0,H1689*가정!$B$3,J1689*가정!$B$4))</f>
        <v>20169.144</v>
      </c>
      <c r="M1689" s="95" t="n">
        <f aca="false">D1689*J1689</f>
        <v>79060000</v>
      </c>
      <c r="N1689" s="95" t="n">
        <f aca="false">D1689*K1689</f>
        <v>17822000</v>
      </c>
      <c r="O1689" s="95" t="n">
        <f aca="false">D1689*L1689</f>
        <v>27026652.96</v>
      </c>
      <c r="P1689" s="34" t="str">
        <f aca="false">TRIM(IF(N(E1689)&lt;=0,"택가보정 ","")&amp;IF(N(F1689)&lt;=0,"원가보정 ","")&amp;IF(AND(B1689&lt;&gt;"CN",N(H1689)&lt;=0),"공급가보정 ","")&amp;IF(AND(B1689="CN",N(I1689)&lt;=0),"중국공급가=원가+마진 ",""))</f>
        <v/>
      </c>
    </row>
    <row r="1690" customFormat="false" ht="15" hidden="false" customHeight="true" outlineLevel="0" collapsed="false">
      <c r="A1690" s="94" t="s">
        <v>1689</v>
      </c>
      <c r="B1690" s="34" t="str">
        <f aca="false">IF(A1690="100","HK",IF(A1690="200","CN",IF(A1690="300","TW","홀세일")))</f>
        <v>홀세일</v>
      </c>
      <c r="C1690" s="94" t="s">
        <v>1486</v>
      </c>
      <c r="D1690" s="95" t="n">
        <v>130</v>
      </c>
      <c r="E1690" s="95" t="n">
        <v>59000</v>
      </c>
      <c r="F1690" s="95" t="n">
        <v>13300</v>
      </c>
      <c r="G1690" s="34" t="n">
        <v>0</v>
      </c>
      <c r="H1690" s="34" t="n">
        <v>14.8</v>
      </c>
      <c r="J1690" s="95" t="n">
        <f aca="false">IF(N(E1690)&gt;0,E1690,IF(N(F1690)&gt;0,F1690*가정!$B$5,0))</f>
        <v>59000</v>
      </c>
      <c r="K1690" s="95" t="n">
        <f aca="false">IF(N(F1690)&gt;0,F1690,IF(N(E1690)&gt;0,E1690/가정!$B$5,0))</f>
        <v>13300</v>
      </c>
      <c r="L1690" s="95" t="n">
        <f aca="false">IF(B1690="CN",IF(N(I1690)&gt;0,I1690*가정!$B$3,K1690*(1+가정!$B$6)),IF(N(H1690)&gt;0,H1690*가정!$B$3,J1690*가정!$B$4))</f>
        <v>20169.144</v>
      </c>
      <c r="M1690" s="95" t="n">
        <f aca="false">D1690*J1690</f>
        <v>7670000</v>
      </c>
      <c r="N1690" s="95" t="n">
        <f aca="false">D1690*K1690</f>
        <v>1729000</v>
      </c>
      <c r="O1690" s="95" t="n">
        <f aca="false">D1690*L1690</f>
        <v>2621988.72</v>
      </c>
      <c r="P1690" s="34" t="str">
        <f aca="false">TRIM(IF(N(E1690)&lt;=0,"택가보정 ","")&amp;IF(N(F1690)&lt;=0,"원가보정 ","")&amp;IF(AND(B1690&lt;&gt;"CN",N(H1690)&lt;=0),"공급가보정 ","")&amp;IF(AND(B1690="CN",N(I1690)&lt;=0),"중국공급가=원가+마진 ",""))</f>
        <v/>
      </c>
    </row>
    <row r="1691" customFormat="false" ht="15" hidden="false" customHeight="true" outlineLevel="0" collapsed="false">
      <c r="A1691" s="94" t="s">
        <v>1690</v>
      </c>
      <c r="B1691" s="34" t="str">
        <f aca="false">IF(A1691="100","HK",IF(A1691="200","CN",IF(A1691="300","TW","홀세일")))</f>
        <v>홀세일</v>
      </c>
      <c r="C1691" s="94" t="s">
        <v>1486</v>
      </c>
      <c r="D1691" s="95" t="n">
        <v>708</v>
      </c>
      <c r="E1691" s="95" t="n">
        <v>59000</v>
      </c>
      <c r="F1691" s="95" t="n">
        <v>13300</v>
      </c>
      <c r="G1691" s="34" t="n">
        <v>0</v>
      </c>
      <c r="H1691" s="34" t="n">
        <v>14.8</v>
      </c>
      <c r="J1691" s="95" t="n">
        <f aca="false">IF(N(E1691)&gt;0,E1691,IF(N(F1691)&gt;0,F1691*가정!$B$5,0))</f>
        <v>59000</v>
      </c>
      <c r="K1691" s="95" t="n">
        <f aca="false">IF(N(F1691)&gt;0,F1691,IF(N(E1691)&gt;0,E1691/가정!$B$5,0))</f>
        <v>13300</v>
      </c>
      <c r="L1691" s="95" t="n">
        <f aca="false">IF(B1691="CN",IF(N(I1691)&gt;0,I1691*가정!$B$3,K1691*(1+가정!$B$6)),IF(N(H1691)&gt;0,H1691*가정!$B$3,J1691*가정!$B$4))</f>
        <v>20169.144</v>
      </c>
      <c r="M1691" s="95" t="n">
        <f aca="false">D1691*J1691</f>
        <v>41772000</v>
      </c>
      <c r="N1691" s="95" t="n">
        <f aca="false">D1691*K1691</f>
        <v>9416400</v>
      </c>
      <c r="O1691" s="95" t="n">
        <f aca="false">D1691*L1691</f>
        <v>14279753.952</v>
      </c>
      <c r="P1691" s="34" t="str">
        <f aca="false">TRIM(IF(N(E1691)&lt;=0,"택가보정 ","")&amp;IF(N(F1691)&lt;=0,"원가보정 ","")&amp;IF(AND(B1691&lt;&gt;"CN",N(H1691)&lt;=0),"공급가보정 ","")&amp;IF(AND(B1691="CN",N(I1691)&lt;=0),"중국공급가=원가+마진 ",""))</f>
        <v/>
      </c>
    </row>
    <row r="1692" customFormat="false" ht="15" hidden="false" customHeight="true" outlineLevel="0" collapsed="false">
      <c r="A1692" s="94" t="s">
        <v>1690</v>
      </c>
      <c r="B1692" s="34" t="str">
        <f aca="false">IF(A1692="100","HK",IF(A1692="200","CN",IF(A1692="300","TW","홀세일")))</f>
        <v>홀세일</v>
      </c>
      <c r="C1692" s="94" t="s">
        <v>1757</v>
      </c>
      <c r="D1692" s="95" t="n">
        <v>420</v>
      </c>
      <c r="E1692" s="95"/>
      <c r="F1692" s="95" t="n">
        <v>21200</v>
      </c>
      <c r="G1692" s="34" t="n">
        <v>0</v>
      </c>
      <c r="J1692" s="95" t="n">
        <f aca="false">IF(N(E1692)&gt;0,E1692,IF(N(F1692)&gt;0,F1692*가정!$B$5,0))</f>
        <v>84800</v>
      </c>
      <c r="K1692" s="95" t="n">
        <f aca="false">IF(N(F1692)&gt;0,F1692,IF(N(E1692)&gt;0,E1692/가정!$B$5,0))</f>
        <v>21200</v>
      </c>
      <c r="L1692" s="95" t="n">
        <f aca="false">IF(B1692="CN",IF(N(I1692)&gt;0,I1692*가정!$B$3,K1692*(1+가정!$B$6)),IF(N(H1692)&gt;0,H1692*가정!$B$3,J1692*가정!$B$4))</f>
        <v>27984</v>
      </c>
      <c r="M1692" s="95" t="n">
        <f aca="false">D1692*J1692</f>
        <v>35616000</v>
      </c>
      <c r="N1692" s="95" t="n">
        <f aca="false">D1692*K1692</f>
        <v>8904000</v>
      </c>
      <c r="O1692" s="95" t="n">
        <f aca="false">D1692*L1692</f>
        <v>11753280</v>
      </c>
      <c r="P1692" s="34" t="str">
        <f aca="false">TRIM(IF(N(E1692)&lt;=0,"택가보정 ","")&amp;IF(N(F1692)&lt;=0,"원가보정 ","")&amp;IF(AND(B1692&lt;&gt;"CN",N(H1692)&lt;=0),"공급가보정 ","")&amp;IF(AND(B1692="CN",N(I1692)&lt;=0),"중국공급가=원가+마진 ",""))</f>
        <v>택가보정 공급가보정</v>
      </c>
    </row>
    <row r="1693" customFormat="false" ht="15" hidden="false" customHeight="true" outlineLevel="0" collapsed="false">
      <c r="A1693" s="94" t="s">
        <v>1688</v>
      </c>
      <c r="B1693" s="34" t="str">
        <f aca="false">IF(A1693="100","HK",IF(A1693="200","CN",IF(A1693="300","TW","홀세일")))</f>
        <v>홀세일</v>
      </c>
      <c r="C1693" s="94" t="s">
        <v>1419</v>
      </c>
      <c r="D1693" s="95" t="n">
        <v>180</v>
      </c>
      <c r="E1693" s="95" t="n">
        <v>59000</v>
      </c>
      <c r="F1693" s="95" t="n">
        <v>14200</v>
      </c>
      <c r="G1693" s="34" t="n">
        <v>0</v>
      </c>
      <c r="H1693" s="34" t="n">
        <v>14.8</v>
      </c>
      <c r="J1693" s="95" t="n">
        <f aca="false">IF(N(E1693)&gt;0,E1693,IF(N(F1693)&gt;0,F1693*가정!$B$5,0))</f>
        <v>59000</v>
      </c>
      <c r="K1693" s="95" t="n">
        <f aca="false">IF(N(F1693)&gt;0,F1693,IF(N(E1693)&gt;0,E1693/가정!$B$5,0))</f>
        <v>14200</v>
      </c>
      <c r="L1693" s="95" t="n">
        <f aca="false">IF(B1693="CN",IF(N(I1693)&gt;0,I1693*가정!$B$3,K1693*(1+가정!$B$6)),IF(N(H1693)&gt;0,H1693*가정!$B$3,J1693*가정!$B$4))</f>
        <v>20169.144</v>
      </c>
      <c r="M1693" s="95" t="n">
        <f aca="false">D1693*J1693</f>
        <v>10620000</v>
      </c>
      <c r="N1693" s="95" t="n">
        <f aca="false">D1693*K1693</f>
        <v>2556000</v>
      </c>
      <c r="O1693" s="95" t="n">
        <f aca="false">D1693*L1693</f>
        <v>3630445.92</v>
      </c>
      <c r="P1693" s="34" t="str">
        <f aca="false">TRIM(IF(N(E1693)&lt;=0,"택가보정 ","")&amp;IF(N(F1693)&lt;=0,"원가보정 ","")&amp;IF(AND(B1693&lt;&gt;"CN",N(H1693)&lt;=0),"공급가보정 ","")&amp;IF(AND(B1693="CN",N(I1693)&lt;=0),"중국공급가=원가+마진 ",""))</f>
        <v/>
      </c>
    </row>
    <row r="1694" customFormat="false" ht="15" hidden="false" customHeight="true" outlineLevel="0" collapsed="false">
      <c r="A1694" s="94" t="s">
        <v>1690</v>
      </c>
      <c r="B1694" s="34" t="str">
        <f aca="false">IF(A1694="100","HK",IF(A1694="200","CN",IF(A1694="300","TW","홀세일")))</f>
        <v>홀세일</v>
      </c>
      <c r="C1694" s="94" t="s">
        <v>1419</v>
      </c>
      <c r="D1694" s="95" t="n">
        <v>1074</v>
      </c>
      <c r="E1694" s="95" t="n">
        <v>59000</v>
      </c>
      <c r="F1694" s="95" t="n">
        <v>14200</v>
      </c>
      <c r="G1694" s="34" t="n">
        <v>0</v>
      </c>
      <c r="H1694" s="34" t="n">
        <v>14.8</v>
      </c>
      <c r="J1694" s="95" t="n">
        <f aca="false">IF(N(E1694)&gt;0,E1694,IF(N(F1694)&gt;0,F1694*가정!$B$5,0))</f>
        <v>59000</v>
      </c>
      <c r="K1694" s="95" t="n">
        <f aca="false">IF(N(F1694)&gt;0,F1694,IF(N(E1694)&gt;0,E1694/가정!$B$5,0))</f>
        <v>14200</v>
      </c>
      <c r="L1694" s="95" t="n">
        <f aca="false">IF(B1694="CN",IF(N(I1694)&gt;0,I1694*가정!$B$3,K1694*(1+가정!$B$6)),IF(N(H1694)&gt;0,H1694*가정!$B$3,J1694*가정!$B$4))</f>
        <v>20169.144</v>
      </c>
      <c r="M1694" s="95" t="n">
        <f aca="false">D1694*J1694</f>
        <v>63366000</v>
      </c>
      <c r="N1694" s="95" t="n">
        <f aca="false">D1694*K1694</f>
        <v>15250800</v>
      </c>
      <c r="O1694" s="95" t="n">
        <f aca="false">D1694*L1694</f>
        <v>21661660.656</v>
      </c>
      <c r="P1694" s="34" t="str">
        <f aca="false">TRIM(IF(N(E1694)&lt;=0,"택가보정 ","")&amp;IF(N(F1694)&lt;=0,"원가보정 ","")&amp;IF(AND(B1694&lt;&gt;"CN",N(H1694)&lt;=0),"공급가보정 ","")&amp;IF(AND(B1694="CN",N(I1694)&lt;=0),"중국공급가=원가+마진 ",""))</f>
        <v/>
      </c>
    </row>
    <row r="1695" customFormat="false" ht="15" hidden="false" customHeight="true" outlineLevel="0" collapsed="false">
      <c r="A1695" s="94" t="s">
        <v>1690</v>
      </c>
      <c r="B1695" s="34" t="str">
        <f aca="false">IF(A1695="100","HK",IF(A1695="200","CN",IF(A1695="300","TW","홀세일")))</f>
        <v>홀세일</v>
      </c>
      <c r="C1695" s="94" t="s">
        <v>1526</v>
      </c>
      <c r="D1695" s="95" t="n">
        <v>576</v>
      </c>
      <c r="E1695" s="95" t="n">
        <v>69000</v>
      </c>
      <c r="F1695" s="95" t="n">
        <v>17100</v>
      </c>
      <c r="G1695" s="34" t="n">
        <v>0</v>
      </c>
      <c r="H1695" s="34" t="n">
        <v>17.3</v>
      </c>
      <c r="J1695" s="95" t="n">
        <f aca="false">IF(N(E1695)&gt;0,E1695,IF(N(F1695)&gt;0,F1695*가정!$B$5,0))</f>
        <v>69000</v>
      </c>
      <c r="K1695" s="95" t="n">
        <f aca="false">IF(N(F1695)&gt;0,F1695,IF(N(E1695)&gt;0,E1695/가정!$B$5,0))</f>
        <v>17100</v>
      </c>
      <c r="L1695" s="95" t="n">
        <f aca="false">IF(B1695="CN",IF(N(I1695)&gt;0,I1695*가정!$B$3,K1695*(1+가정!$B$6)),IF(N(H1695)&gt;0,H1695*가정!$B$3,J1695*가정!$B$4))</f>
        <v>23576.094</v>
      </c>
      <c r="M1695" s="95" t="n">
        <f aca="false">D1695*J1695</f>
        <v>39744000</v>
      </c>
      <c r="N1695" s="95" t="n">
        <f aca="false">D1695*K1695</f>
        <v>9849600</v>
      </c>
      <c r="O1695" s="95" t="n">
        <f aca="false">D1695*L1695</f>
        <v>13579830.144</v>
      </c>
      <c r="P1695" s="34" t="str">
        <f aca="false">TRIM(IF(N(E1695)&lt;=0,"택가보정 ","")&amp;IF(N(F1695)&lt;=0,"원가보정 ","")&amp;IF(AND(B1695&lt;&gt;"CN",N(H1695)&lt;=0),"공급가보정 ","")&amp;IF(AND(B1695="CN",N(I1695)&lt;=0),"중국공급가=원가+마진 ",""))</f>
        <v/>
      </c>
    </row>
    <row r="1696" customFormat="false" ht="15" hidden="false" customHeight="true" outlineLevel="0" collapsed="false">
      <c r="A1696" s="94" t="s">
        <v>1686</v>
      </c>
      <c r="B1696" s="34" t="str">
        <f aca="false">IF(A1696="100","HK",IF(A1696="200","CN",IF(A1696="300","TW","홀세일")))</f>
        <v>TW</v>
      </c>
      <c r="C1696" s="94" t="s">
        <v>735</v>
      </c>
      <c r="D1696" s="95" t="n">
        <v>800</v>
      </c>
      <c r="E1696" s="95" t="n">
        <v>69000</v>
      </c>
      <c r="F1696" s="95" t="n">
        <v>15500</v>
      </c>
      <c r="G1696" s="34" t="n">
        <v>3.85</v>
      </c>
      <c r="H1696" s="34" t="n">
        <v>17.3</v>
      </c>
      <c r="J1696" s="95" t="n">
        <f aca="false">IF(N(E1696)&gt;0,E1696,IF(N(F1696)&gt;0,F1696*가정!$B$5,0))</f>
        <v>69000</v>
      </c>
      <c r="K1696" s="95" t="n">
        <f aca="false">IF(N(F1696)&gt;0,F1696,IF(N(E1696)&gt;0,E1696/가정!$B$5,0))</f>
        <v>15500</v>
      </c>
      <c r="L1696" s="95" t="n">
        <f aca="false">IF(B1696="CN",IF(N(I1696)&gt;0,I1696*가정!$B$3,K1696*(1+가정!$B$6)),IF(N(H1696)&gt;0,H1696*가정!$B$3,J1696*가정!$B$4))</f>
        <v>23576.094</v>
      </c>
      <c r="M1696" s="95" t="n">
        <f aca="false">D1696*J1696</f>
        <v>55200000</v>
      </c>
      <c r="N1696" s="95" t="n">
        <f aca="false">D1696*K1696</f>
        <v>12400000</v>
      </c>
      <c r="O1696" s="95" t="n">
        <f aca="false">D1696*L1696</f>
        <v>18860875.2</v>
      </c>
      <c r="P1696" s="34" t="str">
        <f aca="false">TRIM(IF(N(E1696)&lt;=0,"택가보정 ","")&amp;IF(N(F1696)&lt;=0,"원가보정 ","")&amp;IF(AND(B1696&lt;&gt;"CN",N(H1696)&lt;=0),"공급가보정 ","")&amp;IF(AND(B1696="CN",N(I1696)&lt;=0),"중국공급가=원가+마진 ",""))</f>
        <v/>
      </c>
    </row>
    <row r="1697" customFormat="false" ht="15" hidden="false" customHeight="true" outlineLevel="0" collapsed="false">
      <c r="A1697" s="94" t="s">
        <v>1686</v>
      </c>
      <c r="B1697" s="34" t="str">
        <f aca="false">IF(A1697="100","HK",IF(A1697="200","CN",IF(A1697="300","TW","홀세일")))</f>
        <v>TW</v>
      </c>
      <c r="C1697" s="94" t="s">
        <v>737</v>
      </c>
      <c r="D1697" s="95" t="n">
        <v>850</v>
      </c>
      <c r="E1697" s="95"/>
      <c r="F1697" s="95" t="n">
        <v>10500</v>
      </c>
      <c r="G1697" s="34" t="n">
        <v>4.58</v>
      </c>
      <c r="H1697" s="34" t="n">
        <v>14.8</v>
      </c>
      <c r="J1697" s="95" t="n">
        <f aca="false">IF(N(E1697)&gt;0,E1697,IF(N(F1697)&gt;0,F1697*가정!$B$5,0))</f>
        <v>42000</v>
      </c>
      <c r="K1697" s="95" t="n">
        <f aca="false">IF(N(F1697)&gt;0,F1697,IF(N(E1697)&gt;0,E1697/가정!$B$5,0))</f>
        <v>10500</v>
      </c>
      <c r="L1697" s="95" t="n">
        <f aca="false">IF(B1697="CN",IF(N(I1697)&gt;0,I1697*가정!$B$3,K1697*(1+가정!$B$6)),IF(N(H1697)&gt;0,H1697*가정!$B$3,J1697*가정!$B$4))</f>
        <v>20169.144</v>
      </c>
      <c r="M1697" s="95" t="n">
        <f aca="false">D1697*J1697</f>
        <v>35700000</v>
      </c>
      <c r="N1697" s="95" t="n">
        <f aca="false">D1697*K1697</f>
        <v>8925000</v>
      </c>
      <c r="O1697" s="95" t="n">
        <f aca="false">D1697*L1697</f>
        <v>17143772.4</v>
      </c>
      <c r="P1697" s="34" t="str">
        <f aca="false">TRIM(IF(N(E1697)&lt;=0,"택가보정 ","")&amp;IF(N(F1697)&lt;=0,"원가보정 ","")&amp;IF(AND(B1697&lt;&gt;"CN",N(H1697)&lt;=0),"공급가보정 ","")&amp;IF(AND(B1697="CN",N(I1697)&lt;=0),"중국공급가=원가+마진 ",""))</f>
        <v>택가보정</v>
      </c>
    </row>
    <row r="1698" customFormat="false" ht="15" hidden="false" customHeight="true" outlineLevel="0" collapsed="false">
      <c r="A1698" s="94" t="s">
        <v>1686</v>
      </c>
      <c r="B1698" s="34" t="str">
        <f aca="false">IF(A1698="100","HK",IF(A1698="200","CN",IF(A1698="300","TW","홀세일")))</f>
        <v>TW</v>
      </c>
      <c r="C1698" s="94" t="s">
        <v>739</v>
      </c>
      <c r="D1698" s="95" t="n">
        <v>800</v>
      </c>
      <c r="E1698" s="95" t="n">
        <v>59000</v>
      </c>
      <c r="F1698" s="95" t="n">
        <v>10500</v>
      </c>
      <c r="G1698" s="34" t="n">
        <v>4.47</v>
      </c>
      <c r="H1698" s="34" t="n">
        <v>14.8</v>
      </c>
      <c r="J1698" s="95" t="n">
        <f aca="false">IF(N(E1698)&gt;0,E1698,IF(N(F1698)&gt;0,F1698*가정!$B$5,0))</f>
        <v>59000</v>
      </c>
      <c r="K1698" s="95" t="n">
        <f aca="false">IF(N(F1698)&gt;0,F1698,IF(N(E1698)&gt;0,E1698/가정!$B$5,0))</f>
        <v>10500</v>
      </c>
      <c r="L1698" s="95" t="n">
        <f aca="false">IF(B1698="CN",IF(N(I1698)&gt;0,I1698*가정!$B$3,K1698*(1+가정!$B$6)),IF(N(H1698)&gt;0,H1698*가정!$B$3,J1698*가정!$B$4))</f>
        <v>20169.144</v>
      </c>
      <c r="M1698" s="95" t="n">
        <f aca="false">D1698*J1698</f>
        <v>47200000</v>
      </c>
      <c r="N1698" s="95" t="n">
        <f aca="false">D1698*K1698</f>
        <v>8400000</v>
      </c>
      <c r="O1698" s="95" t="n">
        <f aca="false">D1698*L1698</f>
        <v>16135315.2</v>
      </c>
      <c r="P1698" s="34" t="str">
        <f aca="false">TRIM(IF(N(E1698)&lt;=0,"택가보정 ","")&amp;IF(N(F1698)&lt;=0,"원가보정 ","")&amp;IF(AND(B1698&lt;&gt;"CN",N(H1698)&lt;=0),"공급가보정 ","")&amp;IF(AND(B1698="CN",N(I1698)&lt;=0),"중국공급가=원가+마진 ",""))</f>
        <v/>
      </c>
    </row>
    <row r="1699" customFormat="false" ht="15" hidden="false" customHeight="true" outlineLevel="0" collapsed="false">
      <c r="A1699" s="94" t="s">
        <v>1686</v>
      </c>
      <c r="B1699" s="34" t="str">
        <f aca="false">IF(A1699="100","HK",IF(A1699="200","CN",IF(A1699="300","TW","홀세일")))</f>
        <v>TW</v>
      </c>
      <c r="C1699" s="94" t="s">
        <v>741</v>
      </c>
      <c r="D1699" s="95" t="n">
        <v>800</v>
      </c>
      <c r="E1699" s="95" t="n">
        <v>69000</v>
      </c>
      <c r="F1699" s="95" t="n">
        <v>14600</v>
      </c>
      <c r="G1699" s="34" t="n">
        <v>3.97</v>
      </c>
      <c r="H1699" s="34" t="n">
        <v>17.3</v>
      </c>
      <c r="J1699" s="95" t="n">
        <f aca="false">IF(N(E1699)&gt;0,E1699,IF(N(F1699)&gt;0,F1699*가정!$B$5,0))</f>
        <v>69000</v>
      </c>
      <c r="K1699" s="95" t="n">
        <f aca="false">IF(N(F1699)&gt;0,F1699,IF(N(E1699)&gt;0,E1699/가정!$B$5,0))</f>
        <v>14600</v>
      </c>
      <c r="L1699" s="95" t="n">
        <f aca="false">IF(B1699="CN",IF(N(I1699)&gt;0,I1699*가정!$B$3,K1699*(1+가정!$B$6)),IF(N(H1699)&gt;0,H1699*가정!$B$3,J1699*가정!$B$4))</f>
        <v>23576.094</v>
      </c>
      <c r="M1699" s="95" t="n">
        <f aca="false">D1699*J1699</f>
        <v>55200000</v>
      </c>
      <c r="N1699" s="95" t="n">
        <f aca="false">D1699*K1699</f>
        <v>11680000</v>
      </c>
      <c r="O1699" s="95" t="n">
        <f aca="false">D1699*L1699</f>
        <v>18860875.2</v>
      </c>
      <c r="P1699" s="34" t="str">
        <f aca="false">TRIM(IF(N(E1699)&lt;=0,"택가보정 ","")&amp;IF(N(F1699)&lt;=0,"원가보정 ","")&amp;IF(AND(B1699&lt;&gt;"CN",N(H1699)&lt;=0),"공급가보정 ","")&amp;IF(AND(B1699="CN",N(I1699)&lt;=0),"중국공급가=원가+마진 ",""))</f>
        <v/>
      </c>
    </row>
    <row r="1700" customFormat="false" ht="15" hidden="false" customHeight="true" outlineLevel="0" collapsed="false">
      <c r="A1700" s="94" t="s">
        <v>1686</v>
      </c>
      <c r="B1700" s="34" t="str">
        <f aca="false">IF(A1700="100","HK",IF(A1700="200","CN",IF(A1700="300","TW","홀세일")))</f>
        <v>TW</v>
      </c>
      <c r="C1700" s="94" t="s">
        <v>743</v>
      </c>
      <c r="D1700" s="95" t="n">
        <v>800</v>
      </c>
      <c r="E1700" s="95" t="n">
        <v>69000</v>
      </c>
      <c r="F1700" s="95" t="n">
        <v>14300</v>
      </c>
      <c r="G1700" s="34" t="n">
        <v>3.97</v>
      </c>
      <c r="H1700" s="34" t="n">
        <v>17.3</v>
      </c>
      <c r="J1700" s="95" t="n">
        <f aca="false">IF(N(E1700)&gt;0,E1700,IF(N(F1700)&gt;0,F1700*가정!$B$5,0))</f>
        <v>69000</v>
      </c>
      <c r="K1700" s="95" t="n">
        <f aca="false">IF(N(F1700)&gt;0,F1700,IF(N(E1700)&gt;0,E1700/가정!$B$5,0))</f>
        <v>14300</v>
      </c>
      <c r="L1700" s="95" t="n">
        <f aca="false">IF(B1700="CN",IF(N(I1700)&gt;0,I1700*가정!$B$3,K1700*(1+가정!$B$6)),IF(N(H1700)&gt;0,H1700*가정!$B$3,J1700*가정!$B$4))</f>
        <v>23576.094</v>
      </c>
      <c r="M1700" s="95" t="n">
        <f aca="false">D1700*J1700</f>
        <v>55200000</v>
      </c>
      <c r="N1700" s="95" t="n">
        <f aca="false">D1700*K1700</f>
        <v>11440000</v>
      </c>
      <c r="O1700" s="95" t="n">
        <f aca="false">D1700*L1700</f>
        <v>18860875.2</v>
      </c>
      <c r="P1700" s="34" t="str">
        <f aca="false">TRIM(IF(N(E1700)&lt;=0,"택가보정 ","")&amp;IF(N(F1700)&lt;=0,"원가보정 ","")&amp;IF(AND(B1700&lt;&gt;"CN",N(H1700)&lt;=0),"공급가보정 ","")&amp;IF(AND(B1700="CN",N(I1700)&lt;=0),"중국공급가=원가+마진 ",""))</f>
        <v/>
      </c>
    </row>
    <row r="1701" customFormat="false" ht="15" hidden="false" customHeight="true" outlineLevel="0" collapsed="false">
      <c r="A1701" s="94" t="s">
        <v>1686</v>
      </c>
      <c r="B1701" s="34" t="str">
        <f aca="false">IF(A1701="100","HK",IF(A1701="200","CN",IF(A1701="300","TW","홀세일")))</f>
        <v>TW</v>
      </c>
      <c r="C1701" s="94" t="s">
        <v>745</v>
      </c>
      <c r="D1701" s="95" t="n">
        <v>800</v>
      </c>
      <c r="E1701" s="95" t="n">
        <v>69000</v>
      </c>
      <c r="F1701" s="95" t="n">
        <v>15200</v>
      </c>
      <c r="G1701" s="34" t="n">
        <v>3.97</v>
      </c>
      <c r="H1701" s="34" t="n">
        <v>17.3</v>
      </c>
      <c r="J1701" s="95" t="n">
        <f aca="false">IF(N(E1701)&gt;0,E1701,IF(N(F1701)&gt;0,F1701*가정!$B$5,0))</f>
        <v>69000</v>
      </c>
      <c r="K1701" s="95" t="n">
        <f aca="false">IF(N(F1701)&gt;0,F1701,IF(N(E1701)&gt;0,E1701/가정!$B$5,0))</f>
        <v>15200</v>
      </c>
      <c r="L1701" s="95" t="n">
        <f aca="false">IF(B1701="CN",IF(N(I1701)&gt;0,I1701*가정!$B$3,K1701*(1+가정!$B$6)),IF(N(H1701)&gt;0,H1701*가정!$B$3,J1701*가정!$B$4))</f>
        <v>23576.094</v>
      </c>
      <c r="M1701" s="95" t="n">
        <f aca="false">D1701*J1701</f>
        <v>55200000</v>
      </c>
      <c r="N1701" s="95" t="n">
        <f aca="false">D1701*K1701</f>
        <v>12160000</v>
      </c>
      <c r="O1701" s="95" t="n">
        <f aca="false">D1701*L1701</f>
        <v>18860875.2</v>
      </c>
      <c r="P1701" s="34" t="str">
        <f aca="false">TRIM(IF(N(E1701)&lt;=0,"택가보정 ","")&amp;IF(N(F1701)&lt;=0,"원가보정 ","")&amp;IF(AND(B1701&lt;&gt;"CN",N(H1701)&lt;=0),"공급가보정 ","")&amp;IF(AND(B1701="CN",N(I1701)&lt;=0),"중국공급가=원가+마진 ",""))</f>
        <v/>
      </c>
    </row>
    <row r="1702" customFormat="false" ht="15" hidden="false" customHeight="true" outlineLevel="0" collapsed="false">
      <c r="A1702" s="94" t="s">
        <v>1684</v>
      </c>
      <c r="B1702" s="34" t="str">
        <f aca="false">IF(A1702="100","HK",IF(A1702="200","CN",IF(A1702="300","TW","홀세일")))</f>
        <v>HK</v>
      </c>
      <c r="C1702" s="94" t="s">
        <v>1050</v>
      </c>
      <c r="D1702" s="95" t="n">
        <v>800</v>
      </c>
      <c r="E1702" s="95" t="n">
        <v>69000</v>
      </c>
      <c r="F1702" s="95" t="n">
        <v>14000</v>
      </c>
      <c r="G1702" s="34" t="n">
        <v>4.18</v>
      </c>
      <c r="H1702" s="34" t="n">
        <v>17.3</v>
      </c>
      <c r="J1702" s="95" t="n">
        <f aca="false">IF(N(E1702)&gt;0,E1702,IF(N(F1702)&gt;0,F1702*가정!$B$5,0))</f>
        <v>69000</v>
      </c>
      <c r="K1702" s="95" t="n">
        <f aca="false">IF(N(F1702)&gt;0,F1702,IF(N(E1702)&gt;0,E1702/가정!$B$5,0))</f>
        <v>14000</v>
      </c>
      <c r="L1702" s="95" t="n">
        <f aca="false">IF(B1702="CN",IF(N(I1702)&gt;0,I1702*가정!$B$3,K1702*(1+가정!$B$6)),IF(N(H1702)&gt;0,H1702*가정!$B$3,J1702*가정!$B$4))</f>
        <v>23576.094</v>
      </c>
      <c r="M1702" s="95" t="n">
        <f aca="false">D1702*J1702</f>
        <v>55200000</v>
      </c>
      <c r="N1702" s="95" t="n">
        <f aca="false">D1702*K1702</f>
        <v>11200000</v>
      </c>
      <c r="O1702" s="95" t="n">
        <f aca="false">D1702*L1702</f>
        <v>18860875.2</v>
      </c>
      <c r="P1702" s="34" t="str">
        <f aca="false">TRIM(IF(N(E1702)&lt;=0,"택가보정 ","")&amp;IF(N(F1702)&lt;=0,"원가보정 ","")&amp;IF(AND(B1702&lt;&gt;"CN",N(H1702)&lt;=0),"공급가보정 ","")&amp;IF(AND(B1702="CN",N(I1702)&lt;=0),"중국공급가=원가+마진 ",""))</f>
        <v/>
      </c>
    </row>
    <row r="1703" customFormat="false" ht="15" hidden="false" customHeight="true" outlineLevel="0" collapsed="false">
      <c r="A1703" s="94" t="s">
        <v>1684</v>
      </c>
      <c r="B1703" s="34" t="str">
        <f aca="false">IF(A1703="100","HK",IF(A1703="200","CN",IF(A1703="300","TW","홀세일")))</f>
        <v>HK</v>
      </c>
      <c r="C1703" s="94" t="s">
        <v>1052</v>
      </c>
      <c r="D1703" s="95" t="n">
        <v>400</v>
      </c>
      <c r="E1703" s="95" t="n">
        <v>59000</v>
      </c>
      <c r="F1703" s="95" t="n">
        <v>12000</v>
      </c>
      <c r="G1703" s="34" t="n">
        <v>4.13</v>
      </c>
      <c r="H1703" s="34" t="n">
        <v>14.8</v>
      </c>
      <c r="J1703" s="95" t="n">
        <f aca="false">IF(N(E1703)&gt;0,E1703,IF(N(F1703)&gt;0,F1703*가정!$B$5,0))</f>
        <v>59000</v>
      </c>
      <c r="K1703" s="95" t="n">
        <f aca="false">IF(N(F1703)&gt;0,F1703,IF(N(E1703)&gt;0,E1703/가정!$B$5,0))</f>
        <v>12000</v>
      </c>
      <c r="L1703" s="95" t="n">
        <f aca="false">IF(B1703="CN",IF(N(I1703)&gt;0,I1703*가정!$B$3,K1703*(1+가정!$B$6)),IF(N(H1703)&gt;0,H1703*가정!$B$3,J1703*가정!$B$4))</f>
        <v>20169.144</v>
      </c>
      <c r="M1703" s="95" t="n">
        <f aca="false">D1703*J1703</f>
        <v>23600000</v>
      </c>
      <c r="N1703" s="95" t="n">
        <f aca="false">D1703*K1703</f>
        <v>4800000</v>
      </c>
      <c r="O1703" s="95" t="n">
        <f aca="false">D1703*L1703</f>
        <v>8067657.6</v>
      </c>
      <c r="P1703" s="34" t="str">
        <f aca="false">TRIM(IF(N(E1703)&lt;=0,"택가보정 ","")&amp;IF(N(F1703)&lt;=0,"원가보정 ","")&amp;IF(AND(B1703&lt;&gt;"CN",N(H1703)&lt;=0),"공급가보정 ","")&amp;IF(AND(B1703="CN",N(I1703)&lt;=0),"중국공급가=원가+마진 ",""))</f>
        <v/>
      </c>
    </row>
    <row r="1704" customFormat="false" ht="15" hidden="false" customHeight="true" outlineLevel="0" collapsed="false">
      <c r="A1704" s="94" t="s">
        <v>1684</v>
      </c>
      <c r="B1704" s="34" t="str">
        <f aca="false">IF(A1704="100","HK",IF(A1704="200","CN",IF(A1704="300","TW","홀세일")))</f>
        <v>HK</v>
      </c>
      <c r="C1704" s="94" t="s">
        <v>1054</v>
      </c>
      <c r="D1704" s="95" t="n">
        <v>400</v>
      </c>
      <c r="E1704" s="95" t="n">
        <v>59000</v>
      </c>
      <c r="F1704" s="95" t="n">
        <v>10300</v>
      </c>
      <c r="G1704" s="34" t="n">
        <v>4.51</v>
      </c>
      <c r="H1704" s="34" t="n">
        <v>14.8</v>
      </c>
      <c r="J1704" s="95" t="n">
        <f aca="false">IF(N(E1704)&gt;0,E1704,IF(N(F1704)&gt;0,F1704*가정!$B$5,0))</f>
        <v>59000</v>
      </c>
      <c r="K1704" s="95" t="n">
        <f aca="false">IF(N(F1704)&gt;0,F1704,IF(N(E1704)&gt;0,E1704/가정!$B$5,0))</f>
        <v>10300</v>
      </c>
      <c r="L1704" s="95" t="n">
        <f aca="false">IF(B1704="CN",IF(N(I1704)&gt;0,I1704*가정!$B$3,K1704*(1+가정!$B$6)),IF(N(H1704)&gt;0,H1704*가정!$B$3,J1704*가정!$B$4))</f>
        <v>20169.144</v>
      </c>
      <c r="M1704" s="95" t="n">
        <f aca="false">D1704*J1704</f>
        <v>23600000</v>
      </c>
      <c r="N1704" s="95" t="n">
        <f aca="false">D1704*K1704</f>
        <v>4120000</v>
      </c>
      <c r="O1704" s="95" t="n">
        <f aca="false">D1704*L1704</f>
        <v>8067657.6</v>
      </c>
      <c r="P1704" s="34" t="str">
        <f aca="false">TRIM(IF(N(E1704)&lt;=0,"택가보정 ","")&amp;IF(N(F1704)&lt;=0,"원가보정 ","")&amp;IF(AND(B1704&lt;&gt;"CN",N(H1704)&lt;=0),"공급가보정 ","")&amp;IF(AND(B1704="CN",N(I1704)&lt;=0),"중국공급가=원가+마진 ",""))</f>
        <v/>
      </c>
    </row>
    <row r="1705" customFormat="false" ht="15" hidden="false" customHeight="true" outlineLevel="0" collapsed="false">
      <c r="A1705" s="94" t="s">
        <v>1684</v>
      </c>
      <c r="B1705" s="34" t="str">
        <f aca="false">IF(A1705="100","HK",IF(A1705="200","CN",IF(A1705="300","TW","홀세일")))</f>
        <v>HK</v>
      </c>
      <c r="C1705" s="94" t="s">
        <v>1056</v>
      </c>
      <c r="D1705" s="95" t="n">
        <v>400</v>
      </c>
      <c r="E1705" s="95" t="n">
        <v>59000</v>
      </c>
      <c r="F1705" s="95" t="n">
        <v>11500</v>
      </c>
      <c r="G1705" s="34" t="n">
        <v>4.75</v>
      </c>
      <c r="H1705" s="34" t="n">
        <v>14.8</v>
      </c>
      <c r="J1705" s="95" t="n">
        <f aca="false">IF(N(E1705)&gt;0,E1705,IF(N(F1705)&gt;0,F1705*가정!$B$5,0))</f>
        <v>59000</v>
      </c>
      <c r="K1705" s="95" t="n">
        <f aca="false">IF(N(F1705)&gt;0,F1705,IF(N(E1705)&gt;0,E1705/가정!$B$5,0))</f>
        <v>11500</v>
      </c>
      <c r="L1705" s="95" t="n">
        <f aca="false">IF(B1705="CN",IF(N(I1705)&gt;0,I1705*가정!$B$3,K1705*(1+가정!$B$6)),IF(N(H1705)&gt;0,H1705*가정!$B$3,J1705*가정!$B$4))</f>
        <v>20169.144</v>
      </c>
      <c r="M1705" s="95" t="n">
        <f aca="false">D1705*J1705</f>
        <v>23600000</v>
      </c>
      <c r="N1705" s="95" t="n">
        <f aca="false">D1705*K1705</f>
        <v>4600000</v>
      </c>
      <c r="O1705" s="95" t="n">
        <f aca="false">D1705*L1705</f>
        <v>8067657.6</v>
      </c>
      <c r="P1705" s="34" t="str">
        <f aca="false">TRIM(IF(N(E1705)&lt;=0,"택가보정 ","")&amp;IF(N(F1705)&lt;=0,"원가보정 ","")&amp;IF(AND(B1705&lt;&gt;"CN",N(H1705)&lt;=0),"공급가보정 ","")&amp;IF(AND(B1705="CN",N(I1705)&lt;=0),"중국공급가=원가+마진 ",""))</f>
        <v/>
      </c>
    </row>
    <row r="1706" customFormat="false" ht="15" hidden="false" customHeight="true" outlineLevel="0" collapsed="false">
      <c r="A1706" s="94" t="s">
        <v>1684</v>
      </c>
      <c r="B1706" s="34" t="str">
        <f aca="false">IF(A1706="100","HK",IF(A1706="200","CN",IF(A1706="300","TW","홀세일")))</f>
        <v>HK</v>
      </c>
      <c r="C1706" s="94" t="s">
        <v>1058</v>
      </c>
      <c r="D1706" s="95" t="n">
        <v>400</v>
      </c>
      <c r="E1706" s="95" t="n">
        <v>59000</v>
      </c>
      <c r="F1706" s="95" t="n">
        <v>10300</v>
      </c>
      <c r="G1706" s="34" t="n">
        <v>4.75</v>
      </c>
      <c r="H1706" s="34" t="n">
        <v>14.8</v>
      </c>
      <c r="J1706" s="95" t="n">
        <f aca="false">IF(N(E1706)&gt;0,E1706,IF(N(F1706)&gt;0,F1706*가정!$B$5,0))</f>
        <v>59000</v>
      </c>
      <c r="K1706" s="95" t="n">
        <f aca="false">IF(N(F1706)&gt;0,F1706,IF(N(E1706)&gt;0,E1706/가정!$B$5,0))</f>
        <v>10300</v>
      </c>
      <c r="L1706" s="95" t="n">
        <f aca="false">IF(B1706="CN",IF(N(I1706)&gt;0,I1706*가정!$B$3,K1706*(1+가정!$B$6)),IF(N(H1706)&gt;0,H1706*가정!$B$3,J1706*가정!$B$4))</f>
        <v>20169.144</v>
      </c>
      <c r="M1706" s="95" t="n">
        <f aca="false">D1706*J1706</f>
        <v>23600000</v>
      </c>
      <c r="N1706" s="95" t="n">
        <f aca="false">D1706*K1706</f>
        <v>4120000</v>
      </c>
      <c r="O1706" s="95" t="n">
        <f aca="false">D1706*L1706</f>
        <v>8067657.6</v>
      </c>
      <c r="P1706" s="34" t="str">
        <f aca="false">TRIM(IF(N(E1706)&lt;=0,"택가보정 ","")&amp;IF(N(F1706)&lt;=0,"원가보정 ","")&amp;IF(AND(B1706&lt;&gt;"CN",N(H1706)&lt;=0),"공급가보정 ","")&amp;IF(AND(B1706="CN",N(I1706)&lt;=0),"중국공급가=원가+마진 ",""))</f>
        <v/>
      </c>
    </row>
    <row r="1707" customFormat="false" ht="15" hidden="false" customHeight="true" outlineLevel="0" collapsed="false">
      <c r="A1707" s="94" t="s">
        <v>1684</v>
      </c>
      <c r="B1707" s="34" t="str">
        <f aca="false">IF(A1707="100","HK",IF(A1707="200","CN",IF(A1707="300","TW","홀세일")))</f>
        <v>HK</v>
      </c>
      <c r="C1707" s="94" t="s">
        <v>1038</v>
      </c>
      <c r="D1707" s="95" t="n">
        <v>400</v>
      </c>
      <c r="E1707" s="95" t="n">
        <v>69000</v>
      </c>
      <c r="F1707" s="95" t="n">
        <v>10300</v>
      </c>
      <c r="G1707" s="34" t="n">
        <v>0</v>
      </c>
      <c r="H1707" s="34" t="n">
        <v>17.3</v>
      </c>
      <c r="J1707" s="95" t="n">
        <f aca="false">IF(N(E1707)&gt;0,E1707,IF(N(F1707)&gt;0,F1707*가정!$B$5,0))</f>
        <v>69000</v>
      </c>
      <c r="K1707" s="95" t="n">
        <f aca="false">IF(N(F1707)&gt;0,F1707,IF(N(E1707)&gt;0,E1707/가정!$B$5,0))</f>
        <v>10300</v>
      </c>
      <c r="L1707" s="95" t="n">
        <f aca="false">IF(B1707="CN",IF(N(I1707)&gt;0,I1707*가정!$B$3,K1707*(1+가정!$B$6)),IF(N(H1707)&gt;0,H1707*가정!$B$3,J1707*가정!$B$4))</f>
        <v>23576.094</v>
      </c>
      <c r="M1707" s="95" t="n">
        <f aca="false">D1707*J1707</f>
        <v>27600000</v>
      </c>
      <c r="N1707" s="95" t="n">
        <f aca="false">D1707*K1707</f>
        <v>4120000</v>
      </c>
      <c r="O1707" s="95" t="n">
        <f aca="false">D1707*L1707</f>
        <v>9430437.6</v>
      </c>
      <c r="P1707" s="34" t="str">
        <f aca="false">TRIM(IF(N(E1707)&lt;=0,"택가보정 ","")&amp;IF(N(F1707)&lt;=0,"원가보정 ","")&amp;IF(AND(B1707&lt;&gt;"CN",N(H1707)&lt;=0),"공급가보정 ","")&amp;IF(AND(B1707="CN",N(I1707)&lt;=0),"중국공급가=원가+마진 ",""))</f>
        <v/>
      </c>
    </row>
    <row r="1708" customFormat="false" ht="15" hidden="false" customHeight="true" outlineLevel="0" collapsed="false">
      <c r="A1708" s="94" t="s">
        <v>1684</v>
      </c>
      <c r="B1708" s="34" t="str">
        <f aca="false">IF(A1708="100","HK",IF(A1708="200","CN",IF(A1708="300","TW","홀세일")))</f>
        <v>HK</v>
      </c>
      <c r="C1708" s="94" t="s">
        <v>1040</v>
      </c>
      <c r="D1708" s="95" t="n">
        <v>400</v>
      </c>
      <c r="E1708" s="95" t="n">
        <v>69000</v>
      </c>
      <c r="F1708" s="95" t="n">
        <v>10300</v>
      </c>
      <c r="G1708" s="34" t="n">
        <v>0</v>
      </c>
      <c r="H1708" s="34" t="n">
        <v>17.3</v>
      </c>
      <c r="J1708" s="95" t="n">
        <f aca="false">IF(N(E1708)&gt;0,E1708,IF(N(F1708)&gt;0,F1708*가정!$B$5,0))</f>
        <v>69000</v>
      </c>
      <c r="K1708" s="95" t="n">
        <f aca="false">IF(N(F1708)&gt;0,F1708,IF(N(E1708)&gt;0,E1708/가정!$B$5,0))</f>
        <v>10300</v>
      </c>
      <c r="L1708" s="95" t="n">
        <f aca="false">IF(B1708="CN",IF(N(I1708)&gt;0,I1708*가정!$B$3,K1708*(1+가정!$B$6)),IF(N(H1708)&gt;0,H1708*가정!$B$3,J1708*가정!$B$4))</f>
        <v>23576.094</v>
      </c>
      <c r="M1708" s="95" t="n">
        <f aca="false">D1708*J1708</f>
        <v>27600000</v>
      </c>
      <c r="N1708" s="95" t="n">
        <f aca="false">D1708*K1708</f>
        <v>4120000</v>
      </c>
      <c r="O1708" s="95" t="n">
        <f aca="false">D1708*L1708</f>
        <v>9430437.6</v>
      </c>
      <c r="P1708" s="34" t="str">
        <f aca="false">TRIM(IF(N(E1708)&lt;=0,"택가보정 ","")&amp;IF(N(F1708)&lt;=0,"원가보정 ","")&amp;IF(AND(B1708&lt;&gt;"CN",N(H1708)&lt;=0),"공급가보정 ","")&amp;IF(AND(B1708="CN",N(I1708)&lt;=0),"중국공급가=원가+마진 ",""))</f>
        <v/>
      </c>
    </row>
    <row r="1709" customFormat="false" ht="15" hidden="false" customHeight="true" outlineLevel="0" collapsed="false">
      <c r="A1709" s="94" t="s">
        <v>1684</v>
      </c>
      <c r="B1709" s="34" t="str">
        <f aca="false">IF(A1709="100","HK",IF(A1709="200","CN",IF(A1709="300","TW","홀세일")))</f>
        <v>HK</v>
      </c>
      <c r="C1709" s="94" t="s">
        <v>1042</v>
      </c>
      <c r="D1709" s="95" t="n">
        <v>400</v>
      </c>
      <c r="E1709" s="95" t="n">
        <v>69000</v>
      </c>
      <c r="F1709" s="95" t="n">
        <v>10400</v>
      </c>
      <c r="G1709" s="34" t="n">
        <v>0</v>
      </c>
      <c r="H1709" s="34" t="n">
        <v>17.3</v>
      </c>
      <c r="J1709" s="95" t="n">
        <f aca="false">IF(N(E1709)&gt;0,E1709,IF(N(F1709)&gt;0,F1709*가정!$B$5,0))</f>
        <v>69000</v>
      </c>
      <c r="K1709" s="95" t="n">
        <f aca="false">IF(N(F1709)&gt;0,F1709,IF(N(E1709)&gt;0,E1709/가정!$B$5,0))</f>
        <v>10400</v>
      </c>
      <c r="L1709" s="95" t="n">
        <f aca="false">IF(B1709="CN",IF(N(I1709)&gt;0,I1709*가정!$B$3,K1709*(1+가정!$B$6)),IF(N(H1709)&gt;0,H1709*가정!$B$3,J1709*가정!$B$4))</f>
        <v>23576.094</v>
      </c>
      <c r="M1709" s="95" t="n">
        <f aca="false">D1709*J1709</f>
        <v>27600000</v>
      </c>
      <c r="N1709" s="95" t="n">
        <f aca="false">D1709*K1709</f>
        <v>4160000</v>
      </c>
      <c r="O1709" s="95" t="n">
        <f aca="false">D1709*L1709</f>
        <v>9430437.6</v>
      </c>
      <c r="P1709" s="34" t="str">
        <f aca="false">TRIM(IF(N(E1709)&lt;=0,"택가보정 ","")&amp;IF(N(F1709)&lt;=0,"원가보정 ","")&amp;IF(AND(B1709&lt;&gt;"CN",N(H1709)&lt;=0),"공급가보정 ","")&amp;IF(AND(B1709="CN",N(I1709)&lt;=0),"중국공급가=원가+마진 ",""))</f>
        <v/>
      </c>
    </row>
    <row r="1710" customFormat="false" ht="15" hidden="false" customHeight="true" outlineLevel="0" collapsed="false">
      <c r="A1710" s="94" t="s">
        <v>1684</v>
      </c>
      <c r="B1710" s="34" t="str">
        <f aca="false">IF(A1710="100","HK",IF(A1710="200","CN",IF(A1710="300","TW","홀세일")))</f>
        <v>HK</v>
      </c>
      <c r="C1710" s="94" t="s">
        <v>1044</v>
      </c>
      <c r="D1710" s="95" t="n">
        <v>400</v>
      </c>
      <c r="E1710" s="95" t="n">
        <v>69000</v>
      </c>
      <c r="F1710" s="95" t="n">
        <v>11000</v>
      </c>
      <c r="G1710" s="34" t="n">
        <v>0</v>
      </c>
      <c r="H1710" s="34" t="n">
        <v>17.3</v>
      </c>
      <c r="J1710" s="95" t="n">
        <f aca="false">IF(N(E1710)&gt;0,E1710,IF(N(F1710)&gt;0,F1710*가정!$B$5,0))</f>
        <v>69000</v>
      </c>
      <c r="K1710" s="95" t="n">
        <f aca="false">IF(N(F1710)&gt;0,F1710,IF(N(E1710)&gt;0,E1710/가정!$B$5,0))</f>
        <v>11000</v>
      </c>
      <c r="L1710" s="95" t="n">
        <f aca="false">IF(B1710="CN",IF(N(I1710)&gt;0,I1710*가정!$B$3,K1710*(1+가정!$B$6)),IF(N(H1710)&gt;0,H1710*가정!$B$3,J1710*가정!$B$4))</f>
        <v>23576.094</v>
      </c>
      <c r="M1710" s="95" t="n">
        <f aca="false">D1710*J1710</f>
        <v>27600000</v>
      </c>
      <c r="N1710" s="95" t="n">
        <f aca="false">D1710*K1710</f>
        <v>4400000</v>
      </c>
      <c r="O1710" s="95" t="n">
        <f aca="false">D1710*L1710</f>
        <v>9430437.6</v>
      </c>
      <c r="P1710" s="34" t="str">
        <f aca="false">TRIM(IF(N(E1710)&lt;=0,"택가보정 ","")&amp;IF(N(F1710)&lt;=0,"원가보정 ","")&amp;IF(AND(B1710&lt;&gt;"CN",N(H1710)&lt;=0),"공급가보정 ","")&amp;IF(AND(B1710="CN",N(I1710)&lt;=0),"중국공급가=원가+마진 ",""))</f>
        <v/>
      </c>
    </row>
    <row r="1711" customFormat="false" ht="15" hidden="false" customHeight="true" outlineLevel="0" collapsed="false">
      <c r="A1711" s="94" t="s">
        <v>1684</v>
      </c>
      <c r="B1711" s="34" t="str">
        <f aca="false">IF(A1711="100","HK",IF(A1711="200","CN",IF(A1711="300","TW","홀세일")))</f>
        <v>HK</v>
      </c>
      <c r="C1711" s="94" t="s">
        <v>1046</v>
      </c>
      <c r="D1711" s="95" t="n">
        <v>400</v>
      </c>
      <c r="E1711" s="95" t="n">
        <v>69000</v>
      </c>
      <c r="F1711" s="95" t="n">
        <v>14800</v>
      </c>
      <c r="G1711" s="34" t="n">
        <v>0</v>
      </c>
      <c r="H1711" s="34" t="n">
        <v>17.3</v>
      </c>
      <c r="J1711" s="95" t="n">
        <f aca="false">IF(N(E1711)&gt;0,E1711,IF(N(F1711)&gt;0,F1711*가정!$B$5,0))</f>
        <v>69000</v>
      </c>
      <c r="K1711" s="95" t="n">
        <f aca="false">IF(N(F1711)&gt;0,F1711,IF(N(E1711)&gt;0,E1711/가정!$B$5,0))</f>
        <v>14800</v>
      </c>
      <c r="L1711" s="95" t="n">
        <f aca="false">IF(B1711="CN",IF(N(I1711)&gt;0,I1711*가정!$B$3,K1711*(1+가정!$B$6)),IF(N(H1711)&gt;0,H1711*가정!$B$3,J1711*가정!$B$4))</f>
        <v>23576.094</v>
      </c>
      <c r="M1711" s="95" t="n">
        <f aca="false">D1711*J1711</f>
        <v>27600000</v>
      </c>
      <c r="N1711" s="95" t="n">
        <f aca="false">D1711*K1711</f>
        <v>5920000</v>
      </c>
      <c r="O1711" s="95" t="n">
        <f aca="false">D1711*L1711</f>
        <v>9430437.6</v>
      </c>
      <c r="P1711" s="34" t="str">
        <f aca="false">TRIM(IF(N(E1711)&lt;=0,"택가보정 ","")&amp;IF(N(F1711)&lt;=0,"원가보정 ","")&amp;IF(AND(B1711&lt;&gt;"CN",N(H1711)&lt;=0),"공급가보정 ","")&amp;IF(AND(B1711="CN",N(I1711)&lt;=0),"중국공급가=원가+마진 ",""))</f>
        <v/>
      </c>
    </row>
    <row r="1712" customFormat="false" ht="15" hidden="false" customHeight="true" outlineLevel="0" collapsed="false">
      <c r="A1712" s="94" t="s">
        <v>1684</v>
      </c>
      <c r="B1712" s="34" t="str">
        <f aca="false">IF(A1712="100","HK",IF(A1712="200","CN",IF(A1712="300","TW","홀세일")))</f>
        <v>HK</v>
      </c>
      <c r="C1712" s="94" t="s">
        <v>1048</v>
      </c>
      <c r="D1712" s="95" t="n">
        <v>400</v>
      </c>
      <c r="E1712" s="95" t="n">
        <v>69000</v>
      </c>
      <c r="F1712" s="95" t="n">
        <v>15000</v>
      </c>
      <c r="G1712" s="34" t="n">
        <v>0</v>
      </c>
      <c r="H1712" s="34" t="n">
        <v>17.3</v>
      </c>
      <c r="J1712" s="95" t="n">
        <f aca="false">IF(N(E1712)&gt;0,E1712,IF(N(F1712)&gt;0,F1712*가정!$B$5,0))</f>
        <v>69000</v>
      </c>
      <c r="K1712" s="95" t="n">
        <f aca="false">IF(N(F1712)&gt;0,F1712,IF(N(E1712)&gt;0,E1712/가정!$B$5,0))</f>
        <v>15000</v>
      </c>
      <c r="L1712" s="95" t="n">
        <f aca="false">IF(B1712="CN",IF(N(I1712)&gt;0,I1712*가정!$B$3,K1712*(1+가정!$B$6)),IF(N(H1712)&gt;0,H1712*가정!$B$3,J1712*가정!$B$4))</f>
        <v>23576.094</v>
      </c>
      <c r="M1712" s="95" t="n">
        <f aca="false">D1712*J1712</f>
        <v>27600000</v>
      </c>
      <c r="N1712" s="95" t="n">
        <f aca="false">D1712*K1712</f>
        <v>6000000</v>
      </c>
      <c r="O1712" s="95" t="n">
        <f aca="false">D1712*L1712</f>
        <v>9430437.6</v>
      </c>
      <c r="P1712" s="34" t="str">
        <f aca="false">TRIM(IF(N(E1712)&lt;=0,"택가보정 ","")&amp;IF(N(F1712)&lt;=0,"원가보정 ","")&amp;IF(AND(B1712&lt;&gt;"CN",N(H1712)&lt;=0),"공급가보정 ","")&amp;IF(AND(B1712="CN",N(I1712)&lt;=0),"중국공급가=원가+마진 ",""))</f>
        <v/>
      </c>
    </row>
    <row r="1713" customFormat="false" ht="15.75" hidden="false" customHeight="true" outlineLevel="0" collapsed="false">
      <c r="A1713" s="94" t="s">
        <v>1685</v>
      </c>
      <c r="B1713" s="34" t="str">
        <f aca="false">IF(A1713="100","HK",IF(A1713="200","CN",IF(A1713="300","TW","홀세일")))</f>
        <v>CN</v>
      </c>
      <c r="C1713" s="94" t="s">
        <v>1201</v>
      </c>
      <c r="D1713" s="95" t="n">
        <v>763</v>
      </c>
      <c r="E1713" s="95"/>
      <c r="F1713" s="95" t="n">
        <v>17205</v>
      </c>
      <c r="G1713" s="34" t="n">
        <v>0</v>
      </c>
      <c r="J1713" s="95" t="n">
        <f aca="false">IF(N(E1713)&gt;0,E1713,IF(N(F1713)&gt;0,F1713*가정!$B$5,0))</f>
        <v>68820</v>
      </c>
      <c r="K1713" s="95" t="n">
        <f aca="false">IF(N(F1713)&gt;0,F1713,IF(N(E1713)&gt;0,E1713/가정!$B$5,0))</f>
        <v>17205</v>
      </c>
      <c r="L1713" s="95" t="n">
        <f aca="false">IF(B1713="CN",IF(N(I1713)&gt;0,I1713*가정!$B$3,K1713*(1+가정!$B$6)),IF(N(H1713)&gt;0,H1713*가정!$B$3,J1713*가정!$B$4))</f>
        <v>18065.25</v>
      </c>
      <c r="M1713" s="95" t="n">
        <f aca="false">D1713*J1713</f>
        <v>52509660</v>
      </c>
      <c r="N1713" s="95" t="n">
        <f aca="false">D1713*K1713</f>
        <v>13127415</v>
      </c>
      <c r="O1713" s="95" t="n">
        <f aca="false">D1713*L1713</f>
        <v>13783785.75</v>
      </c>
      <c r="P1713" s="34" t="str">
        <f aca="false">TRIM(IF(N(E1713)&lt;=0,"택가보정 ","")&amp;IF(N(F1713)&lt;=0,"원가보정 ","")&amp;IF(AND(B1713&lt;&gt;"CN",N(H1713)&lt;=0),"공급가보정 ","")&amp;IF(AND(B1713="CN",N(I1713)&lt;=0),"중국공급가=원가+마진 ",""))</f>
        <v>택가보정 중국공급가=원가+마진</v>
      </c>
    </row>
    <row r="1714" customFormat="false" ht="15.75" hidden="false" customHeight="true" outlineLevel="0" collapsed="false">
      <c r="A1714" s="94" t="s">
        <v>1685</v>
      </c>
      <c r="B1714" s="34" t="str">
        <f aca="false">IF(A1714="100","HK",IF(A1714="200","CN",IF(A1714="300","TW","홀세일")))</f>
        <v>CN</v>
      </c>
      <c r="C1714" s="94" t="s">
        <v>1203</v>
      </c>
      <c r="D1714" s="95" t="n">
        <v>552</v>
      </c>
      <c r="E1714" s="95"/>
      <c r="F1714" s="95" t="n">
        <v>13404</v>
      </c>
      <c r="G1714" s="34" t="n">
        <v>0</v>
      </c>
      <c r="J1714" s="95" t="n">
        <f aca="false">IF(N(E1714)&gt;0,E1714,IF(N(F1714)&gt;0,F1714*가정!$B$5,0))</f>
        <v>53616</v>
      </c>
      <c r="K1714" s="95" t="n">
        <f aca="false">IF(N(F1714)&gt;0,F1714,IF(N(E1714)&gt;0,E1714/가정!$B$5,0))</f>
        <v>13404</v>
      </c>
      <c r="L1714" s="95" t="n">
        <f aca="false">IF(B1714="CN",IF(N(I1714)&gt;0,I1714*가정!$B$3,K1714*(1+가정!$B$6)),IF(N(H1714)&gt;0,H1714*가정!$B$3,J1714*가정!$B$4))</f>
        <v>14074.2</v>
      </c>
      <c r="M1714" s="95" t="n">
        <f aca="false">D1714*J1714</f>
        <v>29596032</v>
      </c>
      <c r="N1714" s="95" t="n">
        <f aca="false">D1714*K1714</f>
        <v>7399008</v>
      </c>
      <c r="O1714" s="95" t="n">
        <f aca="false">D1714*L1714</f>
        <v>7768958.4</v>
      </c>
      <c r="P1714" s="34" t="str">
        <f aca="false">TRIM(IF(N(E1714)&lt;=0,"택가보정 ","")&amp;IF(N(F1714)&lt;=0,"원가보정 ","")&amp;IF(AND(B1714&lt;&gt;"CN",N(H1714)&lt;=0),"공급가보정 ","")&amp;IF(AND(B1714="CN",N(I1714)&lt;=0),"중국공급가=원가+마진 ",""))</f>
        <v>택가보정 중국공급가=원가+마진</v>
      </c>
    </row>
    <row r="1715" customFormat="false" ht="15" hidden="false" customHeight="true" outlineLevel="0" collapsed="false">
      <c r="A1715" s="94" t="s">
        <v>1684</v>
      </c>
      <c r="B1715" s="34" t="str">
        <f aca="false">IF(A1715="100","HK",IF(A1715="200","CN",IF(A1715="300","TW","홀세일")))</f>
        <v>HK</v>
      </c>
      <c r="C1715" s="94" t="s">
        <v>733</v>
      </c>
      <c r="D1715" s="95" t="n">
        <v>70</v>
      </c>
      <c r="E1715" s="95" t="n">
        <v>32000</v>
      </c>
      <c r="F1715" s="95" t="n">
        <v>8300</v>
      </c>
      <c r="G1715" s="34" t="n">
        <v>3.34</v>
      </c>
      <c r="H1715" s="34" t="n">
        <v>8.1</v>
      </c>
      <c r="J1715" s="95" t="n">
        <f aca="false">IF(N(E1715)&gt;0,E1715,IF(N(F1715)&gt;0,F1715*가정!$B$5,0))</f>
        <v>32000</v>
      </c>
      <c r="K1715" s="95" t="n">
        <f aca="false">IF(N(F1715)&gt;0,F1715,IF(N(E1715)&gt;0,E1715/가정!$B$5,0))</f>
        <v>8300</v>
      </c>
      <c r="L1715" s="95" t="n">
        <f aca="false">IF(B1715="CN",IF(N(I1715)&gt;0,I1715*가정!$B$3,K1715*(1+가정!$B$6)),IF(N(H1715)&gt;0,H1715*가정!$B$3,J1715*가정!$B$4))</f>
        <v>11038.518</v>
      </c>
      <c r="M1715" s="95" t="n">
        <f aca="false">D1715*J1715</f>
        <v>2240000</v>
      </c>
      <c r="N1715" s="95" t="n">
        <f aca="false">D1715*K1715</f>
        <v>581000</v>
      </c>
      <c r="O1715" s="95" t="n">
        <f aca="false">D1715*L1715</f>
        <v>772696.26</v>
      </c>
      <c r="P1715" s="34" t="str">
        <f aca="false">TRIM(IF(N(E1715)&lt;=0,"택가보정 ","")&amp;IF(N(F1715)&lt;=0,"원가보정 ","")&amp;IF(AND(B1715&lt;&gt;"CN",N(H1715)&lt;=0),"공급가보정 ","")&amp;IF(AND(B1715="CN",N(I1715)&lt;=0),"중국공급가=원가+마진 ",""))</f>
        <v/>
      </c>
    </row>
    <row r="1716" customFormat="false" ht="15" hidden="false" customHeight="true" outlineLevel="0" collapsed="false">
      <c r="A1716" s="94" t="s">
        <v>1686</v>
      </c>
      <c r="B1716" s="34" t="str">
        <f aca="false">IF(A1716="100","HK",IF(A1716="200","CN",IF(A1716="300","TW","홀세일")))</f>
        <v>TW</v>
      </c>
      <c r="C1716" s="94" t="s">
        <v>733</v>
      </c>
      <c r="D1716" s="95" t="n">
        <v>500</v>
      </c>
      <c r="E1716" s="95" t="n">
        <v>32000</v>
      </c>
      <c r="F1716" s="95" t="n">
        <v>8300</v>
      </c>
      <c r="G1716" s="34" t="n">
        <v>3.34</v>
      </c>
      <c r="H1716" s="34" t="n">
        <v>8.1</v>
      </c>
      <c r="J1716" s="95" t="n">
        <f aca="false">IF(N(E1716)&gt;0,E1716,IF(N(F1716)&gt;0,F1716*가정!$B$5,0))</f>
        <v>32000</v>
      </c>
      <c r="K1716" s="95" t="n">
        <f aca="false">IF(N(F1716)&gt;0,F1716,IF(N(E1716)&gt;0,E1716/가정!$B$5,0))</f>
        <v>8300</v>
      </c>
      <c r="L1716" s="95" t="n">
        <f aca="false">IF(B1716="CN",IF(N(I1716)&gt;0,I1716*가정!$B$3,K1716*(1+가정!$B$6)),IF(N(H1716)&gt;0,H1716*가정!$B$3,J1716*가정!$B$4))</f>
        <v>11038.518</v>
      </c>
      <c r="M1716" s="95" t="n">
        <f aca="false">D1716*J1716</f>
        <v>16000000</v>
      </c>
      <c r="N1716" s="95" t="n">
        <f aca="false">D1716*K1716</f>
        <v>4150000</v>
      </c>
      <c r="O1716" s="95" t="n">
        <f aca="false">D1716*L1716</f>
        <v>5519259</v>
      </c>
      <c r="P1716" s="34" t="str">
        <f aca="false">TRIM(IF(N(E1716)&lt;=0,"택가보정 ","")&amp;IF(N(F1716)&lt;=0,"원가보정 ","")&amp;IF(AND(B1716&lt;&gt;"CN",N(H1716)&lt;=0),"공급가보정 ","")&amp;IF(AND(B1716="CN",N(I1716)&lt;=0),"중국공급가=원가+마진 ",""))</f>
        <v/>
      </c>
    </row>
    <row r="1717" customFormat="false" ht="15" hidden="false" customHeight="true" outlineLevel="0" collapsed="false">
      <c r="A1717" s="94" t="s">
        <v>1687</v>
      </c>
      <c r="B1717" s="34" t="str">
        <f aca="false">IF(A1717="100","HK",IF(A1717="200","CN",IF(A1717="300","TW","홀세일")))</f>
        <v>홀세일</v>
      </c>
      <c r="C1717" s="94" t="s">
        <v>733</v>
      </c>
      <c r="D1717" s="95" t="n">
        <v>430</v>
      </c>
      <c r="E1717" s="95" t="n">
        <v>32000</v>
      </c>
      <c r="F1717" s="95" t="n">
        <v>8300</v>
      </c>
      <c r="G1717" s="34" t="n">
        <v>3.34</v>
      </c>
      <c r="H1717" s="34" t="n">
        <v>8.1</v>
      </c>
      <c r="J1717" s="95" t="n">
        <f aca="false">IF(N(E1717)&gt;0,E1717,IF(N(F1717)&gt;0,F1717*가정!$B$5,0))</f>
        <v>32000</v>
      </c>
      <c r="K1717" s="95" t="n">
        <f aca="false">IF(N(F1717)&gt;0,F1717,IF(N(E1717)&gt;0,E1717/가정!$B$5,0))</f>
        <v>8300</v>
      </c>
      <c r="L1717" s="95" t="n">
        <f aca="false">IF(B1717="CN",IF(N(I1717)&gt;0,I1717*가정!$B$3,K1717*(1+가정!$B$6)),IF(N(H1717)&gt;0,H1717*가정!$B$3,J1717*가정!$B$4))</f>
        <v>11038.518</v>
      </c>
      <c r="M1717" s="95" t="n">
        <f aca="false">D1717*J1717</f>
        <v>13760000</v>
      </c>
      <c r="N1717" s="95" t="n">
        <f aca="false">D1717*K1717</f>
        <v>3569000</v>
      </c>
      <c r="O1717" s="95" t="n">
        <f aca="false">D1717*L1717</f>
        <v>4746562.74</v>
      </c>
      <c r="P1717" s="34" t="str">
        <f aca="false">TRIM(IF(N(E1717)&lt;=0,"택가보정 ","")&amp;IF(N(F1717)&lt;=0,"원가보정 ","")&amp;IF(AND(B1717&lt;&gt;"CN",N(H1717)&lt;=0),"공급가보정 ","")&amp;IF(AND(B1717="CN",N(I1717)&lt;=0),"중국공급가=원가+마진 ",""))</f>
        <v/>
      </c>
    </row>
    <row r="1718" customFormat="false" ht="15" hidden="false" customHeight="true" outlineLevel="0" collapsed="false">
      <c r="A1718" s="94" t="s">
        <v>1689</v>
      </c>
      <c r="B1718" s="34" t="str">
        <f aca="false">IF(A1718="100","HK",IF(A1718="200","CN",IF(A1718="300","TW","홀세일")))</f>
        <v>홀세일</v>
      </c>
      <c r="C1718" s="94" t="s">
        <v>733</v>
      </c>
      <c r="D1718" s="95" t="n">
        <v>210</v>
      </c>
      <c r="E1718" s="95" t="n">
        <v>32000</v>
      </c>
      <c r="F1718" s="95" t="n">
        <v>8300</v>
      </c>
      <c r="G1718" s="34" t="n">
        <v>3.34</v>
      </c>
      <c r="H1718" s="34" t="n">
        <v>8.1</v>
      </c>
      <c r="J1718" s="95" t="n">
        <f aca="false">IF(N(E1718)&gt;0,E1718,IF(N(F1718)&gt;0,F1718*가정!$B$5,0))</f>
        <v>32000</v>
      </c>
      <c r="K1718" s="95" t="n">
        <f aca="false">IF(N(F1718)&gt;0,F1718,IF(N(E1718)&gt;0,E1718/가정!$B$5,0))</f>
        <v>8300</v>
      </c>
      <c r="L1718" s="95" t="n">
        <f aca="false">IF(B1718="CN",IF(N(I1718)&gt;0,I1718*가정!$B$3,K1718*(1+가정!$B$6)),IF(N(H1718)&gt;0,H1718*가정!$B$3,J1718*가정!$B$4))</f>
        <v>11038.518</v>
      </c>
      <c r="M1718" s="95" t="n">
        <f aca="false">D1718*J1718</f>
        <v>6720000</v>
      </c>
      <c r="N1718" s="95" t="n">
        <f aca="false">D1718*K1718</f>
        <v>1743000</v>
      </c>
      <c r="O1718" s="95" t="n">
        <f aca="false">D1718*L1718</f>
        <v>2318088.78</v>
      </c>
      <c r="P1718" s="34" t="str">
        <f aca="false">TRIM(IF(N(E1718)&lt;=0,"택가보정 ","")&amp;IF(N(F1718)&lt;=0,"원가보정 ","")&amp;IF(AND(B1718&lt;&gt;"CN",N(H1718)&lt;=0),"공급가보정 ","")&amp;IF(AND(B1718="CN",N(I1718)&lt;=0),"중국공급가=원가+마진 ",""))</f>
        <v/>
      </c>
    </row>
    <row r="1719" customFormat="false" ht="15" hidden="false" customHeight="true" outlineLevel="0" collapsed="false">
      <c r="A1719" s="94" t="s">
        <v>1690</v>
      </c>
      <c r="B1719" s="34" t="str">
        <f aca="false">IF(A1719="100","HK",IF(A1719="200","CN",IF(A1719="300","TW","홀세일")))</f>
        <v>홀세일</v>
      </c>
      <c r="C1719" s="94" t="s">
        <v>733</v>
      </c>
      <c r="D1719" s="95" t="n">
        <v>204</v>
      </c>
      <c r="E1719" s="95" t="n">
        <v>32000</v>
      </c>
      <c r="F1719" s="95" t="n">
        <v>8300</v>
      </c>
      <c r="G1719" s="34" t="n">
        <v>3.34</v>
      </c>
      <c r="H1719" s="34" t="n">
        <v>8.1</v>
      </c>
      <c r="J1719" s="95" t="n">
        <f aca="false">IF(N(E1719)&gt;0,E1719,IF(N(F1719)&gt;0,F1719*가정!$B$5,0))</f>
        <v>32000</v>
      </c>
      <c r="K1719" s="95" t="n">
        <f aca="false">IF(N(F1719)&gt;0,F1719,IF(N(E1719)&gt;0,E1719/가정!$B$5,0))</f>
        <v>8300</v>
      </c>
      <c r="L1719" s="95" t="n">
        <f aca="false">IF(B1719="CN",IF(N(I1719)&gt;0,I1719*가정!$B$3,K1719*(1+가정!$B$6)),IF(N(H1719)&gt;0,H1719*가정!$B$3,J1719*가정!$B$4))</f>
        <v>11038.518</v>
      </c>
      <c r="M1719" s="95" t="n">
        <f aca="false">D1719*J1719</f>
        <v>6528000</v>
      </c>
      <c r="N1719" s="95" t="n">
        <f aca="false">D1719*K1719</f>
        <v>1693200</v>
      </c>
      <c r="O1719" s="95" t="n">
        <f aca="false">D1719*L1719</f>
        <v>2251857.672</v>
      </c>
      <c r="P1719" s="34" t="str">
        <f aca="false">TRIM(IF(N(E1719)&lt;=0,"택가보정 ","")&amp;IF(N(F1719)&lt;=0,"원가보정 ","")&amp;IF(AND(B1719&lt;&gt;"CN",N(H1719)&lt;=0),"공급가보정 ","")&amp;IF(AND(B1719="CN",N(I1719)&lt;=0),"중국공급가=원가+마진 ",""))</f>
        <v/>
      </c>
    </row>
    <row r="1720" customFormat="false" ht="15" hidden="false" customHeight="true" outlineLevel="0" collapsed="false">
      <c r="A1720" s="94" t="s">
        <v>1691</v>
      </c>
      <c r="B1720" s="34" t="str">
        <f aca="false">IF(A1720="100","HK",IF(A1720="200","CN",IF(A1720="300","TW","홀세일")))</f>
        <v>홀세일</v>
      </c>
      <c r="C1720" s="94" t="s">
        <v>733</v>
      </c>
      <c r="D1720" s="95" t="n">
        <v>2000</v>
      </c>
      <c r="E1720" s="95" t="n">
        <v>32000</v>
      </c>
      <c r="F1720" s="95" t="n">
        <v>8300</v>
      </c>
      <c r="G1720" s="34" t="n">
        <v>3.34</v>
      </c>
      <c r="H1720" s="34" t="n">
        <v>8.1</v>
      </c>
      <c r="J1720" s="95" t="n">
        <f aca="false">IF(N(E1720)&gt;0,E1720,IF(N(F1720)&gt;0,F1720*가정!$B$5,0))</f>
        <v>32000</v>
      </c>
      <c r="K1720" s="95" t="n">
        <f aca="false">IF(N(F1720)&gt;0,F1720,IF(N(E1720)&gt;0,E1720/가정!$B$5,0))</f>
        <v>8300</v>
      </c>
      <c r="L1720" s="95" t="n">
        <f aca="false">IF(B1720="CN",IF(N(I1720)&gt;0,I1720*가정!$B$3,K1720*(1+가정!$B$6)),IF(N(H1720)&gt;0,H1720*가정!$B$3,J1720*가정!$B$4))</f>
        <v>11038.518</v>
      </c>
      <c r="M1720" s="95" t="n">
        <f aca="false">D1720*J1720</f>
        <v>64000000</v>
      </c>
      <c r="N1720" s="95" t="n">
        <f aca="false">D1720*K1720</f>
        <v>16600000</v>
      </c>
      <c r="O1720" s="95" t="n">
        <f aca="false">D1720*L1720</f>
        <v>22077036</v>
      </c>
      <c r="P1720" s="34" t="str">
        <f aca="false">TRIM(IF(N(E1720)&lt;=0,"택가보정 ","")&amp;IF(N(F1720)&lt;=0,"원가보정 ","")&amp;IF(AND(B1720&lt;&gt;"CN",N(H1720)&lt;=0),"공급가보정 ","")&amp;IF(AND(B1720="CN",N(I1720)&lt;=0),"중국공급가=원가+마진 ",""))</f>
        <v/>
      </c>
    </row>
    <row r="1721" customFormat="false" ht="15" hidden="false" customHeight="true" outlineLevel="0" collapsed="false">
      <c r="A1721" s="94" t="s">
        <v>1687</v>
      </c>
      <c r="B1721" s="34" t="str">
        <f aca="false">IF(A1721="100","HK",IF(A1721="200","CN",IF(A1721="300","TW","홀세일")))</f>
        <v>홀세일</v>
      </c>
      <c r="C1721" s="94" t="s">
        <v>1635</v>
      </c>
      <c r="D1721" s="95" t="n">
        <v>400</v>
      </c>
      <c r="E1721" s="95" t="n">
        <v>34000</v>
      </c>
      <c r="F1721" s="95" t="n">
        <v>9500</v>
      </c>
      <c r="G1721" s="34" t="n">
        <v>3.12</v>
      </c>
      <c r="H1721" s="34" t="n">
        <v>8.6</v>
      </c>
      <c r="J1721" s="95" t="n">
        <f aca="false">IF(N(E1721)&gt;0,E1721,IF(N(F1721)&gt;0,F1721*가정!$B$5,0))</f>
        <v>34000</v>
      </c>
      <c r="K1721" s="95" t="n">
        <f aca="false">IF(N(F1721)&gt;0,F1721,IF(N(E1721)&gt;0,E1721/가정!$B$5,0))</f>
        <v>9500</v>
      </c>
      <c r="L1721" s="95" t="n">
        <f aca="false">IF(B1721="CN",IF(N(I1721)&gt;0,I1721*가정!$B$3,K1721*(1+가정!$B$6)),IF(N(H1721)&gt;0,H1721*가정!$B$3,J1721*가정!$B$4))</f>
        <v>11719.908</v>
      </c>
      <c r="M1721" s="95" t="n">
        <f aca="false">D1721*J1721</f>
        <v>13600000</v>
      </c>
      <c r="N1721" s="95" t="n">
        <f aca="false">D1721*K1721</f>
        <v>3800000</v>
      </c>
      <c r="O1721" s="95" t="n">
        <f aca="false">D1721*L1721</f>
        <v>4687963.2</v>
      </c>
      <c r="P1721" s="34" t="str">
        <f aca="false">TRIM(IF(N(E1721)&lt;=0,"택가보정 ","")&amp;IF(N(F1721)&lt;=0,"원가보정 ","")&amp;IF(AND(B1721&lt;&gt;"CN",N(H1721)&lt;=0),"공급가보정 ","")&amp;IF(AND(B1721="CN",N(I1721)&lt;=0),"중국공급가=원가+마진 ",""))</f>
        <v/>
      </c>
    </row>
    <row r="1722" customFormat="false" ht="15" hidden="false" customHeight="true" outlineLevel="0" collapsed="false">
      <c r="A1722" s="94" t="s">
        <v>1690</v>
      </c>
      <c r="B1722" s="34" t="str">
        <f aca="false">IF(A1722="100","HK",IF(A1722="200","CN",IF(A1722="300","TW","홀세일")))</f>
        <v>홀세일</v>
      </c>
      <c r="C1722" s="94" t="s">
        <v>1635</v>
      </c>
      <c r="D1722" s="95" t="n">
        <v>216</v>
      </c>
      <c r="E1722" s="95" t="n">
        <v>34000</v>
      </c>
      <c r="F1722" s="95" t="n">
        <v>9500</v>
      </c>
      <c r="G1722" s="34" t="n">
        <v>3.12</v>
      </c>
      <c r="H1722" s="34" t="n">
        <v>8.6</v>
      </c>
      <c r="J1722" s="95" t="n">
        <f aca="false">IF(N(E1722)&gt;0,E1722,IF(N(F1722)&gt;0,F1722*가정!$B$5,0))</f>
        <v>34000</v>
      </c>
      <c r="K1722" s="95" t="n">
        <f aca="false">IF(N(F1722)&gt;0,F1722,IF(N(E1722)&gt;0,E1722/가정!$B$5,0))</f>
        <v>9500</v>
      </c>
      <c r="L1722" s="95" t="n">
        <f aca="false">IF(B1722="CN",IF(N(I1722)&gt;0,I1722*가정!$B$3,K1722*(1+가정!$B$6)),IF(N(H1722)&gt;0,H1722*가정!$B$3,J1722*가정!$B$4))</f>
        <v>11719.908</v>
      </c>
      <c r="M1722" s="95" t="n">
        <f aca="false">D1722*J1722</f>
        <v>7344000</v>
      </c>
      <c r="N1722" s="95" t="n">
        <f aca="false">D1722*K1722</f>
        <v>2052000</v>
      </c>
      <c r="O1722" s="95" t="n">
        <f aca="false">D1722*L1722</f>
        <v>2531500.128</v>
      </c>
      <c r="P1722" s="34" t="str">
        <f aca="false">TRIM(IF(N(E1722)&lt;=0,"택가보정 ","")&amp;IF(N(F1722)&lt;=0,"원가보정 ","")&amp;IF(AND(B1722&lt;&gt;"CN",N(H1722)&lt;=0),"공급가보정 ","")&amp;IF(AND(B1722="CN",N(I1722)&lt;=0),"중국공급가=원가+마진 ",""))</f>
        <v/>
      </c>
    </row>
    <row r="1723" customFormat="false" ht="15" hidden="false" customHeight="true" outlineLevel="0" collapsed="false">
      <c r="A1723" s="94" t="s">
        <v>1691</v>
      </c>
      <c r="B1723" s="34" t="str">
        <f aca="false">IF(A1723="100","HK",IF(A1723="200","CN",IF(A1723="300","TW","홀세일")))</f>
        <v>홀세일</v>
      </c>
      <c r="C1723" s="94" t="s">
        <v>1635</v>
      </c>
      <c r="D1723" s="95" t="n">
        <v>1000</v>
      </c>
      <c r="E1723" s="95" t="n">
        <v>34000</v>
      </c>
      <c r="F1723" s="95" t="n">
        <v>9500</v>
      </c>
      <c r="G1723" s="34" t="n">
        <v>3.12</v>
      </c>
      <c r="H1723" s="34" t="n">
        <v>8.6</v>
      </c>
      <c r="J1723" s="95" t="n">
        <f aca="false">IF(N(E1723)&gt;0,E1723,IF(N(F1723)&gt;0,F1723*가정!$B$5,0))</f>
        <v>34000</v>
      </c>
      <c r="K1723" s="95" t="n">
        <f aca="false">IF(N(F1723)&gt;0,F1723,IF(N(E1723)&gt;0,E1723/가정!$B$5,0))</f>
        <v>9500</v>
      </c>
      <c r="L1723" s="95" t="n">
        <f aca="false">IF(B1723="CN",IF(N(I1723)&gt;0,I1723*가정!$B$3,K1723*(1+가정!$B$6)),IF(N(H1723)&gt;0,H1723*가정!$B$3,J1723*가정!$B$4))</f>
        <v>11719.908</v>
      </c>
      <c r="M1723" s="95" t="n">
        <f aca="false">D1723*J1723</f>
        <v>34000000</v>
      </c>
      <c r="N1723" s="95" t="n">
        <f aca="false">D1723*K1723</f>
        <v>9500000</v>
      </c>
      <c r="O1723" s="95" t="n">
        <f aca="false">D1723*L1723</f>
        <v>11719908</v>
      </c>
      <c r="P1723" s="34" t="str">
        <f aca="false">TRIM(IF(N(E1723)&lt;=0,"택가보정 ","")&amp;IF(N(F1723)&lt;=0,"원가보정 ","")&amp;IF(AND(B1723&lt;&gt;"CN",N(H1723)&lt;=0),"공급가보정 ","")&amp;IF(AND(B1723="CN",N(I1723)&lt;=0),"중국공급가=원가+마진 ",""))</f>
        <v/>
      </c>
    </row>
    <row r="1724" customFormat="false" ht="15" hidden="false" customHeight="true" outlineLevel="0" collapsed="false">
      <c r="A1724" s="94" t="s">
        <v>1684</v>
      </c>
      <c r="B1724" s="34" t="str">
        <f aca="false">IF(A1724="100","HK",IF(A1724="200","CN",IF(A1724="300","TW","홀세일")))</f>
        <v>HK</v>
      </c>
      <c r="C1724" s="94" t="s">
        <v>1421</v>
      </c>
      <c r="D1724" s="95" t="n">
        <v>100</v>
      </c>
      <c r="E1724" s="95" t="n">
        <v>36000</v>
      </c>
      <c r="F1724" s="95" t="n">
        <v>10000</v>
      </c>
      <c r="G1724" s="34" t="n">
        <v>3.15</v>
      </c>
      <c r="H1724" s="34" t="n">
        <v>9.1</v>
      </c>
      <c r="J1724" s="95" t="n">
        <f aca="false">IF(N(E1724)&gt;0,E1724,IF(N(F1724)&gt;0,F1724*가정!$B$5,0))</f>
        <v>36000</v>
      </c>
      <c r="K1724" s="95" t="n">
        <f aca="false">IF(N(F1724)&gt;0,F1724,IF(N(E1724)&gt;0,E1724/가정!$B$5,0))</f>
        <v>10000</v>
      </c>
      <c r="L1724" s="95" t="n">
        <f aca="false">IF(B1724="CN",IF(N(I1724)&gt;0,I1724*가정!$B$3,K1724*(1+가정!$B$6)),IF(N(H1724)&gt;0,H1724*가정!$B$3,J1724*가정!$B$4))</f>
        <v>12401.298</v>
      </c>
      <c r="M1724" s="95" t="n">
        <f aca="false">D1724*J1724</f>
        <v>3600000</v>
      </c>
      <c r="N1724" s="95" t="n">
        <f aca="false">D1724*K1724</f>
        <v>1000000</v>
      </c>
      <c r="O1724" s="95" t="n">
        <f aca="false">D1724*L1724</f>
        <v>1240129.8</v>
      </c>
      <c r="P1724" s="34" t="str">
        <f aca="false">TRIM(IF(N(E1724)&lt;=0,"택가보정 ","")&amp;IF(N(F1724)&lt;=0,"원가보정 ","")&amp;IF(AND(B1724&lt;&gt;"CN",N(H1724)&lt;=0),"공급가보정 ","")&amp;IF(AND(B1724="CN",N(I1724)&lt;=0),"중국공급가=원가+마진 ",""))</f>
        <v/>
      </c>
    </row>
    <row r="1725" customFormat="false" ht="15" hidden="false" customHeight="true" outlineLevel="0" collapsed="false">
      <c r="A1725" s="94" t="s">
        <v>1687</v>
      </c>
      <c r="B1725" s="34" t="str">
        <f aca="false">IF(A1725="100","HK",IF(A1725="200","CN",IF(A1725="300","TW","홀세일")))</f>
        <v>홀세일</v>
      </c>
      <c r="C1725" s="94" t="s">
        <v>1421</v>
      </c>
      <c r="D1725" s="95" t="n">
        <v>1500</v>
      </c>
      <c r="E1725" s="95" t="n">
        <v>36000</v>
      </c>
      <c r="F1725" s="95" t="n">
        <v>10000</v>
      </c>
      <c r="G1725" s="34" t="n">
        <v>3.15</v>
      </c>
      <c r="H1725" s="34" t="n">
        <v>9.1</v>
      </c>
      <c r="J1725" s="95" t="n">
        <f aca="false">IF(N(E1725)&gt;0,E1725,IF(N(F1725)&gt;0,F1725*가정!$B$5,0))</f>
        <v>36000</v>
      </c>
      <c r="K1725" s="95" t="n">
        <f aca="false">IF(N(F1725)&gt;0,F1725,IF(N(E1725)&gt;0,E1725/가정!$B$5,0))</f>
        <v>10000</v>
      </c>
      <c r="L1725" s="95" t="n">
        <f aca="false">IF(B1725="CN",IF(N(I1725)&gt;0,I1725*가정!$B$3,K1725*(1+가정!$B$6)),IF(N(H1725)&gt;0,H1725*가정!$B$3,J1725*가정!$B$4))</f>
        <v>12401.298</v>
      </c>
      <c r="M1725" s="95" t="n">
        <f aca="false">D1725*J1725</f>
        <v>54000000</v>
      </c>
      <c r="N1725" s="95" t="n">
        <f aca="false">D1725*K1725</f>
        <v>15000000</v>
      </c>
      <c r="O1725" s="95" t="n">
        <f aca="false">D1725*L1725</f>
        <v>18601947</v>
      </c>
      <c r="P1725" s="34" t="str">
        <f aca="false">TRIM(IF(N(E1725)&lt;=0,"택가보정 ","")&amp;IF(N(F1725)&lt;=0,"원가보정 ","")&amp;IF(AND(B1725&lt;&gt;"CN",N(H1725)&lt;=0),"공급가보정 ","")&amp;IF(AND(B1725="CN",N(I1725)&lt;=0),"중국공급가=원가+마진 ",""))</f>
        <v/>
      </c>
    </row>
    <row r="1726" customFormat="false" ht="15" hidden="false" customHeight="true" outlineLevel="0" collapsed="false">
      <c r="A1726" s="94" t="s">
        <v>1688</v>
      </c>
      <c r="B1726" s="34" t="str">
        <f aca="false">IF(A1726="100","HK",IF(A1726="200","CN",IF(A1726="300","TW","홀세일")))</f>
        <v>홀세일</v>
      </c>
      <c r="C1726" s="94" t="s">
        <v>1421</v>
      </c>
      <c r="D1726" s="95" t="n">
        <v>135</v>
      </c>
      <c r="E1726" s="95" t="n">
        <v>36000</v>
      </c>
      <c r="F1726" s="95" t="n">
        <v>10000</v>
      </c>
      <c r="G1726" s="34" t="n">
        <v>3.15</v>
      </c>
      <c r="H1726" s="34" t="n">
        <v>9.1</v>
      </c>
      <c r="J1726" s="95" t="n">
        <f aca="false">IF(N(E1726)&gt;0,E1726,IF(N(F1726)&gt;0,F1726*가정!$B$5,0))</f>
        <v>36000</v>
      </c>
      <c r="K1726" s="95" t="n">
        <f aca="false">IF(N(F1726)&gt;0,F1726,IF(N(E1726)&gt;0,E1726/가정!$B$5,0))</f>
        <v>10000</v>
      </c>
      <c r="L1726" s="95" t="n">
        <f aca="false">IF(B1726="CN",IF(N(I1726)&gt;0,I1726*가정!$B$3,K1726*(1+가정!$B$6)),IF(N(H1726)&gt;0,H1726*가정!$B$3,J1726*가정!$B$4))</f>
        <v>12401.298</v>
      </c>
      <c r="M1726" s="95" t="n">
        <f aca="false">D1726*J1726</f>
        <v>4860000</v>
      </c>
      <c r="N1726" s="95" t="n">
        <f aca="false">D1726*K1726</f>
        <v>1350000</v>
      </c>
      <c r="O1726" s="95" t="n">
        <f aca="false">D1726*L1726</f>
        <v>1674175.23</v>
      </c>
      <c r="P1726" s="34" t="str">
        <f aca="false">TRIM(IF(N(E1726)&lt;=0,"택가보정 ","")&amp;IF(N(F1726)&lt;=0,"원가보정 ","")&amp;IF(AND(B1726&lt;&gt;"CN",N(H1726)&lt;=0),"공급가보정 ","")&amp;IF(AND(B1726="CN",N(I1726)&lt;=0),"중국공급가=원가+마진 ",""))</f>
        <v/>
      </c>
    </row>
    <row r="1727" customFormat="false" ht="15" hidden="false" customHeight="true" outlineLevel="0" collapsed="false">
      <c r="A1727" s="94" t="s">
        <v>1690</v>
      </c>
      <c r="B1727" s="34" t="str">
        <f aca="false">IF(A1727="100","HK",IF(A1727="200","CN",IF(A1727="300","TW","홀세일")))</f>
        <v>홀세일</v>
      </c>
      <c r="C1727" s="94" t="s">
        <v>1421</v>
      </c>
      <c r="D1727" s="95" t="n">
        <v>240</v>
      </c>
      <c r="E1727" s="95" t="n">
        <v>36000</v>
      </c>
      <c r="F1727" s="95" t="n">
        <v>10000</v>
      </c>
      <c r="G1727" s="34" t="n">
        <v>3.15</v>
      </c>
      <c r="H1727" s="34" t="n">
        <v>9.1</v>
      </c>
      <c r="J1727" s="95" t="n">
        <f aca="false">IF(N(E1727)&gt;0,E1727,IF(N(F1727)&gt;0,F1727*가정!$B$5,0))</f>
        <v>36000</v>
      </c>
      <c r="K1727" s="95" t="n">
        <f aca="false">IF(N(F1727)&gt;0,F1727,IF(N(E1727)&gt;0,E1727/가정!$B$5,0))</f>
        <v>10000</v>
      </c>
      <c r="L1727" s="95" t="n">
        <f aca="false">IF(B1727="CN",IF(N(I1727)&gt;0,I1727*가정!$B$3,K1727*(1+가정!$B$6)),IF(N(H1727)&gt;0,H1727*가정!$B$3,J1727*가정!$B$4))</f>
        <v>12401.298</v>
      </c>
      <c r="M1727" s="95" t="n">
        <f aca="false">D1727*J1727</f>
        <v>8640000</v>
      </c>
      <c r="N1727" s="95" t="n">
        <f aca="false">D1727*K1727</f>
        <v>2400000</v>
      </c>
      <c r="O1727" s="95" t="n">
        <f aca="false">D1727*L1727</f>
        <v>2976311.52</v>
      </c>
      <c r="P1727" s="34" t="str">
        <f aca="false">TRIM(IF(N(E1727)&lt;=0,"택가보정 ","")&amp;IF(N(F1727)&lt;=0,"원가보정 ","")&amp;IF(AND(B1727&lt;&gt;"CN",N(H1727)&lt;=0),"공급가보정 ","")&amp;IF(AND(B1727="CN",N(I1727)&lt;=0),"중국공급가=원가+마진 ",""))</f>
        <v/>
      </c>
    </row>
    <row r="1728" customFormat="false" ht="15" hidden="false" customHeight="true" outlineLevel="0" collapsed="false">
      <c r="A1728" s="94" t="s">
        <v>1691</v>
      </c>
      <c r="B1728" s="34" t="str">
        <f aca="false">IF(A1728="100","HK",IF(A1728="200","CN",IF(A1728="300","TW","홀세일")))</f>
        <v>홀세일</v>
      </c>
      <c r="C1728" s="94" t="s">
        <v>1421</v>
      </c>
      <c r="D1728" s="95" t="n">
        <v>3000</v>
      </c>
      <c r="E1728" s="95" t="n">
        <v>36000</v>
      </c>
      <c r="F1728" s="95" t="n">
        <v>10000</v>
      </c>
      <c r="G1728" s="34" t="n">
        <v>3.15</v>
      </c>
      <c r="H1728" s="34" t="n">
        <v>9.1</v>
      </c>
      <c r="J1728" s="95" t="n">
        <f aca="false">IF(N(E1728)&gt;0,E1728,IF(N(F1728)&gt;0,F1728*가정!$B$5,0))</f>
        <v>36000</v>
      </c>
      <c r="K1728" s="95" t="n">
        <f aca="false">IF(N(F1728)&gt;0,F1728,IF(N(E1728)&gt;0,E1728/가정!$B$5,0))</f>
        <v>10000</v>
      </c>
      <c r="L1728" s="95" t="n">
        <f aca="false">IF(B1728="CN",IF(N(I1728)&gt;0,I1728*가정!$B$3,K1728*(1+가정!$B$6)),IF(N(H1728)&gt;0,H1728*가정!$B$3,J1728*가정!$B$4))</f>
        <v>12401.298</v>
      </c>
      <c r="M1728" s="95" t="n">
        <f aca="false">D1728*J1728</f>
        <v>108000000</v>
      </c>
      <c r="N1728" s="95" t="n">
        <f aca="false">D1728*K1728</f>
        <v>30000000</v>
      </c>
      <c r="O1728" s="95" t="n">
        <f aca="false">D1728*L1728</f>
        <v>37203894</v>
      </c>
      <c r="P1728" s="34" t="str">
        <f aca="false">TRIM(IF(N(E1728)&lt;=0,"택가보정 ","")&amp;IF(N(F1728)&lt;=0,"원가보정 ","")&amp;IF(AND(B1728&lt;&gt;"CN",N(H1728)&lt;=0),"공급가보정 ","")&amp;IF(AND(B1728="CN",N(I1728)&lt;=0),"중국공급가=원가+마진 ",""))</f>
        <v/>
      </c>
    </row>
    <row r="1729" customFormat="false" ht="15" hidden="false" customHeight="true" outlineLevel="0" collapsed="false">
      <c r="A1729" s="94" t="s">
        <v>1687</v>
      </c>
      <c r="B1729" s="34" t="str">
        <f aca="false">IF(A1729="100","HK",IF(A1729="200","CN",IF(A1729="300","TW","홀세일")))</f>
        <v>홀세일</v>
      </c>
      <c r="C1729" s="94" t="s">
        <v>1423</v>
      </c>
      <c r="D1729" s="95" t="n">
        <v>1600</v>
      </c>
      <c r="E1729" s="95" t="n">
        <v>36000</v>
      </c>
      <c r="F1729" s="95" t="n">
        <v>10100</v>
      </c>
      <c r="G1729" s="34" t="n">
        <v>3.15</v>
      </c>
      <c r="H1729" s="34" t="n">
        <v>9.1</v>
      </c>
      <c r="J1729" s="95" t="n">
        <f aca="false">IF(N(E1729)&gt;0,E1729,IF(N(F1729)&gt;0,F1729*가정!$B$5,0))</f>
        <v>36000</v>
      </c>
      <c r="K1729" s="95" t="n">
        <f aca="false">IF(N(F1729)&gt;0,F1729,IF(N(E1729)&gt;0,E1729/가정!$B$5,0))</f>
        <v>10100</v>
      </c>
      <c r="L1729" s="95" t="n">
        <f aca="false">IF(B1729="CN",IF(N(I1729)&gt;0,I1729*가정!$B$3,K1729*(1+가정!$B$6)),IF(N(H1729)&gt;0,H1729*가정!$B$3,J1729*가정!$B$4))</f>
        <v>12401.298</v>
      </c>
      <c r="M1729" s="95" t="n">
        <f aca="false">D1729*J1729</f>
        <v>57600000</v>
      </c>
      <c r="N1729" s="95" t="n">
        <f aca="false">D1729*K1729</f>
        <v>16160000</v>
      </c>
      <c r="O1729" s="95" t="n">
        <f aca="false">D1729*L1729</f>
        <v>19842076.8</v>
      </c>
      <c r="P1729" s="34" t="str">
        <f aca="false">TRIM(IF(N(E1729)&lt;=0,"택가보정 ","")&amp;IF(N(F1729)&lt;=0,"원가보정 ","")&amp;IF(AND(B1729&lt;&gt;"CN",N(H1729)&lt;=0),"공급가보정 ","")&amp;IF(AND(B1729="CN",N(I1729)&lt;=0),"중국공급가=원가+마진 ",""))</f>
        <v/>
      </c>
    </row>
    <row r="1730" customFormat="false" ht="15" hidden="false" customHeight="true" outlineLevel="0" collapsed="false">
      <c r="A1730" s="94" t="s">
        <v>1688</v>
      </c>
      <c r="B1730" s="34" t="str">
        <f aca="false">IF(A1730="100","HK",IF(A1730="200","CN",IF(A1730="300","TW","홀세일")))</f>
        <v>홀세일</v>
      </c>
      <c r="C1730" s="94" t="s">
        <v>1423</v>
      </c>
      <c r="D1730" s="95" t="n">
        <v>70</v>
      </c>
      <c r="E1730" s="95" t="n">
        <v>36000</v>
      </c>
      <c r="F1730" s="95" t="n">
        <v>10100</v>
      </c>
      <c r="G1730" s="34" t="n">
        <v>3.15</v>
      </c>
      <c r="H1730" s="34" t="n">
        <v>9.1</v>
      </c>
      <c r="J1730" s="95" t="n">
        <f aca="false">IF(N(E1730)&gt;0,E1730,IF(N(F1730)&gt;0,F1730*가정!$B$5,0))</f>
        <v>36000</v>
      </c>
      <c r="K1730" s="95" t="n">
        <f aca="false">IF(N(F1730)&gt;0,F1730,IF(N(E1730)&gt;0,E1730/가정!$B$5,0))</f>
        <v>10100</v>
      </c>
      <c r="L1730" s="95" t="n">
        <f aca="false">IF(B1730="CN",IF(N(I1730)&gt;0,I1730*가정!$B$3,K1730*(1+가정!$B$6)),IF(N(H1730)&gt;0,H1730*가정!$B$3,J1730*가정!$B$4))</f>
        <v>12401.298</v>
      </c>
      <c r="M1730" s="95" t="n">
        <f aca="false">D1730*J1730</f>
        <v>2520000</v>
      </c>
      <c r="N1730" s="95" t="n">
        <f aca="false">D1730*K1730</f>
        <v>707000</v>
      </c>
      <c r="O1730" s="95" t="n">
        <f aca="false">D1730*L1730</f>
        <v>868090.86</v>
      </c>
      <c r="P1730" s="34" t="str">
        <f aca="false">TRIM(IF(N(E1730)&lt;=0,"택가보정 ","")&amp;IF(N(F1730)&lt;=0,"원가보정 ","")&amp;IF(AND(B1730&lt;&gt;"CN",N(H1730)&lt;=0),"공급가보정 ","")&amp;IF(AND(B1730="CN",N(I1730)&lt;=0),"중국공급가=원가+마진 ",""))</f>
        <v/>
      </c>
    </row>
    <row r="1731" customFormat="false" ht="15" hidden="false" customHeight="true" outlineLevel="0" collapsed="false">
      <c r="A1731" s="94" t="s">
        <v>1690</v>
      </c>
      <c r="B1731" s="34" t="str">
        <f aca="false">IF(A1731="100","HK",IF(A1731="200","CN",IF(A1731="300","TW","홀세일")))</f>
        <v>홀세일</v>
      </c>
      <c r="C1731" s="94" t="s">
        <v>1423</v>
      </c>
      <c r="D1731" s="95" t="n">
        <v>204</v>
      </c>
      <c r="E1731" s="95" t="n">
        <v>36000</v>
      </c>
      <c r="F1731" s="95" t="n">
        <v>10100</v>
      </c>
      <c r="G1731" s="34" t="n">
        <v>3.15</v>
      </c>
      <c r="H1731" s="34" t="n">
        <v>9.1</v>
      </c>
      <c r="J1731" s="95" t="n">
        <f aca="false">IF(N(E1731)&gt;0,E1731,IF(N(F1731)&gt;0,F1731*가정!$B$5,0))</f>
        <v>36000</v>
      </c>
      <c r="K1731" s="95" t="n">
        <f aca="false">IF(N(F1731)&gt;0,F1731,IF(N(E1731)&gt;0,E1731/가정!$B$5,0))</f>
        <v>10100</v>
      </c>
      <c r="L1731" s="95" t="n">
        <f aca="false">IF(B1731="CN",IF(N(I1731)&gt;0,I1731*가정!$B$3,K1731*(1+가정!$B$6)),IF(N(H1731)&gt;0,H1731*가정!$B$3,J1731*가정!$B$4))</f>
        <v>12401.298</v>
      </c>
      <c r="M1731" s="95" t="n">
        <f aca="false">D1731*J1731</f>
        <v>7344000</v>
      </c>
      <c r="N1731" s="95" t="n">
        <f aca="false">D1731*K1731</f>
        <v>2060400</v>
      </c>
      <c r="O1731" s="95" t="n">
        <f aca="false">D1731*L1731</f>
        <v>2529864.792</v>
      </c>
      <c r="P1731" s="34" t="str">
        <f aca="false">TRIM(IF(N(E1731)&lt;=0,"택가보정 ","")&amp;IF(N(F1731)&lt;=0,"원가보정 ","")&amp;IF(AND(B1731&lt;&gt;"CN",N(H1731)&lt;=0),"공급가보정 ","")&amp;IF(AND(B1731="CN",N(I1731)&lt;=0),"중국공급가=원가+마진 ",""))</f>
        <v/>
      </c>
    </row>
    <row r="1732" customFormat="false" ht="15" hidden="false" customHeight="true" outlineLevel="0" collapsed="false">
      <c r="A1732" s="94" t="s">
        <v>1691</v>
      </c>
      <c r="B1732" s="34" t="str">
        <f aca="false">IF(A1732="100","HK",IF(A1732="200","CN",IF(A1732="300","TW","홀세일")))</f>
        <v>홀세일</v>
      </c>
      <c r="C1732" s="94" t="s">
        <v>1423</v>
      </c>
      <c r="D1732" s="95" t="n">
        <v>3000</v>
      </c>
      <c r="E1732" s="95" t="n">
        <v>36000</v>
      </c>
      <c r="F1732" s="95" t="n">
        <v>10100</v>
      </c>
      <c r="G1732" s="34" t="n">
        <v>3.15</v>
      </c>
      <c r="H1732" s="34" t="n">
        <v>9.1</v>
      </c>
      <c r="J1732" s="95" t="n">
        <f aca="false">IF(N(E1732)&gt;0,E1732,IF(N(F1732)&gt;0,F1732*가정!$B$5,0))</f>
        <v>36000</v>
      </c>
      <c r="K1732" s="95" t="n">
        <f aca="false">IF(N(F1732)&gt;0,F1732,IF(N(E1732)&gt;0,E1732/가정!$B$5,0))</f>
        <v>10100</v>
      </c>
      <c r="L1732" s="95" t="n">
        <f aca="false">IF(B1732="CN",IF(N(I1732)&gt;0,I1732*가정!$B$3,K1732*(1+가정!$B$6)),IF(N(H1732)&gt;0,H1732*가정!$B$3,J1732*가정!$B$4))</f>
        <v>12401.298</v>
      </c>
      <c r="M1732" s="95" t="n">
        <f aca="false">D1732*J1732</f>
        <v>108000000</v>
      </c>
      <c r="N1732" s="95" t="n">
        <f aca="false">D1732*K1732</f>
        <v>30300000</v>
      </c>
      <c r="O1732" s="95" t="n">
        <f aca="false">D1732*L1732</f>
        <v>37203894</v>
      </c>
      <c r="P1732" s="34" t="str">
        <f aca="false">TRIM(IF(N(E1732)&lt;=0,"택가보정 ","")&amp;IF(N(F1732)&lt;=0,"원가보정 ","")&amp;IF(AND(B1732&lt;&gt;"CN",N(H1732)&lt;=0),"공급가보정 ","")&amp;IF(AND(B1732="CN",N(I1732)&lt;=0),"중국공급가=원가+마진 ",""))</f>
        <v/>
      </c>
    </row>
    <row r="1733" customFormat="false" ht="15" hidden="false" customHeight="true" outlineLevel="0" collapsed="false">
      <c r="A1733" s="94" t="s">
        <v>1687</v>
      </c>
      <c r="B1733" s="34" t="str">
        <f aca="false">IF(A1733="100","HK",IF(A1733="200","CN",IF(A1733="300","TW","홀세일")))</f>
        <v>홀세일</v>
      </c>
      <c r="C1733" s="94" t="s">
        <v>1425</v>
      </c>
      <c r="D1733" s="95" t="n">
        <v>1600</v>
      </c>
      <c r="E1733" s="95" t="n">
        <v>36000</v>
      </c>
      <c r="F1733" s="95" t="n">
        <v>9800</v>
      </c>
      <c r="G1733" s="34" t="n">
        <v>3.15</v>
      </c>
      <c r="H1733" s="34" t="n">
        <v>9.1</v>
      </c>
      <c r="J1733" s="95" t="n">
        <f aca="false">IF(N(E1733)&gt;0,E1733,IF(N(F1733)&gt;0,F1733*가정!$B$5,0))</f>
        <v>36000</v>
      </c>
      <c r="K1733" s="95" t="n">
        <f aca="false">IF(N(F1733)&gt;0,F1733,IF(N(E1733)&gt;0,E1733/가정!$B$5,0))</f>
        <v>9800</v>
      </c>
      <c r="L1733" s="95" t="n">
        <f aca="false">IF(B1733="CN",IF(N(I1733)&gt;0,I1733*가정!$B$3,K1733*(1+가정!$B$6)),IF(N(H1733)&gt;0,H1733*가정!$B$3,J1733*가정!$B$4))</f>
        <v>12401.298</v>
      </c>
      <c r="M1733" s="95" t="n">
        <f aca="false">D1733*J1733</f>
        <v>57600000</v>
      </c>
      <c r="N1733" s="95" t="n">
        <f aca="false">D1733*K1733</f>
        <v>15680000</v>
      </c>
      <c r="O1733" s="95" t="n">
        <f aca="false">D1733*L1733</f>
        <v>19842076.8</v>
      </c>
      <c r="P1733" s="34" t="str">
        <f aca="false">TRIM(IF(N(E1733)&lt;=0,"택가보정 ","")&amp;IF(N(F1733)&lt;=0,"원가보정 ","")&amp;IF(AND(B1733&lt;&gt;"CN",N(H1733)&lt;=0),"공급가보정 ","")&amp;IF(AND(B1733="CN",N(I1733)&lt;=0),"중국공급가=원가+마진 ",""))</f>
        <v/>
      </c>
    </row>
    <row r="1734" customFormat="false" ht="15" hidden="false" customHeight="true" outlineLevel="0" collapsed="false">
      <c r="A1734" s="94" t="s">
        <v>1688</v>
      </c>
      <c r="B1734" s="34" t="str">
        <f aca="false">IF(A1734="100","HK",IF(A1734="200","CN",IF(A1734="300","TW","홀세일")))</f>
        <v>홀세일</v>
      </c>
      <c r="C1734" s="94" t="s">
        <v>1425</v>
      </c>
      <c r="D1734" s="95" t="n">
        <v>90</v>
      </c>
      <c r="E1734" s="95" t="n">
        <v>36000</v>
      </c>
      <c r="F1734" s="95" t="n">
        <v>9800</v>
      </c>
      <c r="G1734" s="34" t="n">
        <v>3.15</v>
      </c>
      <c r="H1734" s="34" t="n">
        <v>9.1</v>
      </c>
      <c r="J1734" s="95" t="n">
        <f aca="false">IF(N(E1734)&gt;0,E1734,IF(N(F1734)&gt;0,F1734*가정!$B$5,0))</f>
        <v>36000</v>
      </c>
      <c r="K1734" s="95" t="n">
        <f aca="false">IF(N(F1734)&gt;0,F1734,IF(N(E1734)&gt;0,E1734/가정!$B$5,0))</f>
        <v>9800</v>
      </c>
      <c r="L1734" s="95" t="n">
        <f aca="false">IF(B1734="CN",IF(N(I1734)&gt;0,I1734*가정!$B$3,K1734*(1+가정!$B$6)),IF(N(H1734)&gt;0,H1734*가정!$B$3,J1734*가정!$B$4))</f>
        <v>12401.298</v>
      </c>
      <c r="M1734" s="95" t="n">
        <f aca="false">D1734*J1734</f>
        <v>3240000</v>
      </c>
      <c r="N1734" s="95" t="n">
        <f aca="false">D1734*K1734</f>
        <v>882000</v>
      </c>
      <c r="O1734" s="95" t="n">
        <f aca="false">D1734*L1734</f>
        <v>1116116.82</v>
      </c>
      <c r="P1734" s="34" t="str">
        <f aca="false">TRIM(IF(N(E1734)&lt;=0,"택가보정 ","")&amp;IF(N(F1734)&lt;=0,"원가보정 ","")&amp;IF(AND(B1734&lt;&gt;"CN",N(H1734)&lt;=0),"공급가보정 ","")&amp;IF(AND(B1734="CN",N(I1734)&lt;=0),"중국공급가=원가+마진 ",""))</f>
        <v/>
      </c>
    </row>
    <row r="1735" customFormat="false" ht="15" hidden="false" customHeight="true" outlineLevel="0" collapsed="false">
      <c r="A1735" s="94" t="s">
        <v>1689</v>
      </c>
      <c r="B1735" s="34" t="str">
        <f aca="false">IF(A1735="100","HK",IF(A1735="200","CN",IF(A1735="300","TW","홀세일")))</f>
        <v>홀세일</v>
      </c>
      <c r="C1735" s="94" t="s">
        <v>1425</v>
      </c>
      <c r="D1735" s="95" t="n">
        <v>30</v>
      </c>
      <c r="E1735" s="95" t="n">
        <v>36000</v>
      </c>
      <c r="F1735" s="95" t="n">
        <v>9800</v>
      </c>
      <c r="G1735" s="34" t="n">
        <v>3.15</v>
      </c>
      <c r="H1735" s="34" t="n">
        <v>9.1</v>
      </c>
      <c r="J1735" s="95" t="n">
        <f aca="false">IF(N(E1735)&gt;0,E1735,IF(N(F1735)&gt;0,F1735*가정!$B$5,0))</f>
        <v>36000</v>
      </c>
      <c r="K1735" s="95" t="n">
        <f aca="false">IF(N(F1735)&gt;0,F1735,IF(N(E1735)&gt;0,E1735/가정!$B$5,0))</f>
        <v>9800</v>
      </c>
      <c r="L1735" s="95" t="n">
        <f aca="false">IF(B1735="CN",IF(N(I1735)&gt;0,I1735*가정!$B$3,K1735*(1+가정!$B$6)),IF(N(H1735)&gt;0,H1735*가정!$B$3,J1735*가정!$B$4))</f>
        <v>12401.298</v>
      </c>
      <c r="M1735" s="95" t="n">
        <f aca="false">D1735*J1735</f>
        <v>1080000</v>
      </c>
      <c r="N1735" s="95" t="n">
        <f aca="false">D1735*K1735</f>
        <v>294000</v>
      </c>
      <c r="O1735" s="95" t="n">
        <f aca="false">D1735*L1735</f>
        <v>372038.94</v>
      </c>
      <c r="P1735" s="34" t="str">
        <f aca="false">TRIM(IF(N(E1735)&lt;=0,"택가보정 ","")&amp;IF(N(F1735)&lt;=0,"원가보정 ","")&amp;IF(AND(B1735&lt;&gt;"CN",N(H1735)&lt;=0),"공급가보정 ","")&amp;IF(AND(B1735="CN",N(I1735)&lt;=0),"중국공급가=원가+마진 ",""))</f>
        <v/>
      </c>
    </row>
    <row r="1736" customFormat="false" ht="15" hidden="false" customHeight="true" outlineLevel="0" collapsed="false">
      <c r="A1736" s="94" t="s">
        <v>1690</v>
      </c>
      <c r="B1736" s="34" t="str">
        <f aca="false">IF(A1736="100","HK",IF(A1736="200","CN",IF(A1736="300","TW","홀세일")))</f>
        <v>홀세일</v>
      </c>
      <c r="C1736" s="94" t="s">
        <v>1425</v>
      </c>
      <c r="D1736" s="95" t="n">
        <v>276</v>
      </c>
      <c r="E1736" s="95" t="n">
        <v>36000</v>
      </c>
      <c r="F1736" s="95" t="n">
        <v>9800</v>
      </c>
      <c r="G1736" s="34" t="n">
        <v>3.15</v>
      </c>
      <c r="H1736" s="34" t="n">
        <v>9.1</v>
      </c>
      <c r="J1736" s="95" t="n">
        <f aca="false">IF(N(E1736)&gt;0,E1736,IF(N(F1736)&gt;0,F1736*가정!$B$5,0))</f>
        <v>36000</v>
      </c>
      <c r="K1736" s="95" t="n">
        <f aca="false">IF(N(F1736)&gt;0,F1736,IF(N(E1736)&gt;0,E1736/가정!$B$5,0))</f>
        <v>9800</v>
      </c>
      <c r="L1736" s="95" t="n">
        <f aca="false">IF(B1736="CN",IF(N(I1736)&gt;0,I1736*가정!$B$3,K1736*(1+가정!$B$6)),IF(N(H1736)&gt;0,H1736*가정!$B$3,J1736*가정!$B$4))</f>
        <v>12401.298</v>
      </c>
      <c r="M1736" s="95" t="n">
        <f aca="false">D1736*J1736</f>
        <v>9936000</v>
      </c>
      <c r="N1736" s="95" t="n">
        <f aca="false">D1736*K1736</f>
        <v>2704800</v>
      </c>
      <c r="O1736" s="95" t="n">
        <f aca="false">D1736*L1736</f>
        <v>3422758.248</v>
      </c>
      <c r="P1736" s="34" t="str">
        <f aca="false">TRIM(IF(N(E1736)&lt;=0,"택가보정 ","")&amp;IF(N(F1736)&lt;=0,"원가보정 ","")&amp;IF(AND(B1736&lt;&gt;"CN",N(H1736)&lt;=0),"공급가보정 ","")&amp;IF(AND(B1736="CN",N(I1736)&lt;=0),"중국공급가=원가+마진 ",""))</f>
        <v/>
      </c>
    </row>
    <row r="1737" customFormat="false" ht="15" hidden="false" customHeight="true" outlineLevel="0" collapsed="false">
      <c r="A1737" s="94" t="s">
        <v>1691</v>
      </c>
      <c r="B1737" s="34" t="str">
        <f aca="false">IF(A1737="100","HK",IF(A1737="200","CN",IF(A1737="300","TW","홀세일")))</f>
        <v>홀세일</v>
      </c>
      <c r="C1737" s="94" t="s">
        <v>1425</v>
      </c>
      <c r="D1737" s="95" t="n">
        <v>3000</v>
      </c>
      <c r="E1737" s="95" t="n">
        <v>36000</v>
      </c>
      <c r="F1737" s="95" t="n">
        <v>9800</v>
      </c>
      <c r="G1737" s="34" t="n">
        <v>3.15</v>
      </c>
      <c r="H1737" s="34" t="n">
        <v>9.1</v>
      </c>
      <c r="J1737" s="95" t="n">
        <f aca="false">IF(N(E1737)&gt;0,E1737,IF(N(F1737)&gt;0,F1737*가정!$B$5,0))</f>
        <v>36000</v>
      </c>
      <c r="K1737" s="95" t="n">
        <f aca="false">IF(N(F1737)&gt;0,F1737,IF(N(E1737)&gt;0,E1737/가정!$B$5,0))</f>
        <v>9800</v>
      </c>
      <c r="L1737" s="95" t="n">
        <f aca="false">IF(B1737="CN",IF(N(I1737)&gt;0,I1737*가정!$B$3,K1737*(1+가정!$B$6)),IF(N(H1737)&gt;0,H1737*가정!$B$3,J1737*가정!$B$4))</f>
        <v>12401.298</v>
      </c>
      <c r="M1737" s="95" t="n">
        <f aca="false">D1737*J1737</f>
        <v>108000000</v>
      </c>
      <c r="N1737" s="95" t="n">
        <f aca="false">D1737*K1737</f>
        <v>29400000</v>
      </c>
      <c r="O1737" s="95" t="n">
        <f aca="false">D1737*L1737</f>
        <v>37203894</v>
      </c>
      <c r="P1737" s="34" t="str">
        <f aca="false">TRIM(IF(N(E1737)&lt;=0,"택가보정 ","")&amp;IF(N(F1737)&lt;=0,"원가보정 ","")&amp;IF(AND(B1737&lt;&gt;"CN",N(H1737)&lt;=0),"공급가보정 ","")&amp;IF(AND(B1737="CN",N(I1737)&lt;=0),"중국공급가=원가+마진 ",""))</f>
        <v/>
      </c>
    </row>
    <row r="1738" customFormat="false" ht="15" hidden="false" customHeight="true" outlineLevel="0" collapsed="false">
      <c r="A1738" s="94" t="s">
        <v>1684</v>
      </c>
      <c r="B1738" s="34" t="str">
        <f aca="false">IF(A1738="100","HK",IF(A1738="200","CN",IF(A1738="300","TW","홀세일")))</f>
        <v>HK</v>
      </c>
      <c r="C1738" s="94" t="s">
        <v>1060</v>
      </c>
      <c r="D1738" s="95" t="n">
        <v>400</v>
      </c>
      <c r="E1738" s="95"/>
      <c r="F1738" s="95" t="n">
        <v>10800</v>
      </c>
      <c r="G1738" s="34" t="n">
        <v>0</v>
      </c>
      <c r="J1738" s="95" t="n">
        <f aca="false">IF(N(E1738)&gt;0,E1738,IF(N(F1738)&gt;0,F1738*가정!$B$5,0))</f>
        <v>43200</v>
      </c>
      <c r="K1738" s="95" t="n">
        <f aca="false">IF(N(F1738)&gt;0,F1738,IF(N(E1738)&gt;0,E1738/가정!$B$5,0))</f>
        <v>10800</v>
      </c>
      <c r="L1738" s="95" t="n">
        <f aca="false">IF(B1738="CN",IF(N(I1738)&gt;0,I1738*가정!$B$3,K1738*(1+가정!$B$6)),IF(N(H1738)&gt;0,H1738*가정!$B$3,J1738*가정!$B$4))</f>
        <v>14256</v>
      </c>
      <c r="M1738" s="95" t="n">
        <f aca="false">D1738*J1738</f>
        <v>17280000</v>
      </c>
      <c r="N1738" s="95" t="n">
        <f aca="false">D1738*K1738</f>
        <v>4320000</v>
      </c>
      <c r="O1738" s="95" t="n">
        <f aca="false">D1738*L1738</f>
        <v>5702400</v>
      </c>
      <c r="P1738" s="34" t="str">
        <f aca="false">TRIM(IF(N(E1738)&lt;=0,"택가보정 ","")&amp;IF(N(F1738)&lt;=0,"원가보정 ","")&amp;IF(AND(B1738&lt;&gt;"CN",N(H1738)&lt;=0),"공급가보정 ","")&amp;IF(AND(B1738="CN",N(I1738)&lt;=0),"중국공급가=원가+마진 ",""))</f>
        <v>택가보정 공급가보정</v>
      </c>
    </row>
    <row r="1739" customFormat="false" ht="15.75" hidden="false" customHeight="true" outlineLevel="0" collapsed="false">
      <c r="A1739" s="94" t="s">
        <v>1685</v>
      </c>
      <c r="B1739" s="34" t="str">
        <f aca="false">IF(A1739="100","HK",IF(A1739="200","CN",IF(A1739="300","TW","홀세일")))</f>
        <v>CN</v>
      </c>
      <c r="C1739" s="94" t="s">
        <v>747</v>
      </c>
      <c r="D1739" s="95" t="n">
        <v>497</v>
      </c>
      <c r="E1739" s="95" t="n">
        <v>159000</v>
      </c>
      <c r="F1739" s="95" t="n">
        <v>43658</v>
      </c>
      <c r="G1739" s="34" t="n">
        <v>9.15</v>
      </c>
      <c r="H1739" s="34" t="n">
        <v>39.8</v>
      </c>
      <c r="J1739" s="95" t="n">
        <f aca="false">IF(N(E1739)&gt;0,E1739,IF(N(F1739)&gt;0,F1739*가정!$B$5,0))</f>
        <v>159000</v>
      </c>
      <c r="K1739" s="95" t="n">
        <f aca="false">IF(N(F1739)&gt;0,F1739,IF(N(E1739)&gt;0,E1739/가정!$B$5,0))</f>
        <v>43658</v>
      </c>
      <c r="L1739" s="95" t="n">
        <f aca="false">IF(B1739="CN",IF(N(I1739)&gt;0,I1739*가정!$B$3,K1739*(1+가정!$B$6)),IF(N(H1739)&gt;0,H1739*가정!$B$3,J1739*가정!$B$4))</f>
        <v>45840.9</v>
      </c>
      <c r="M1739" s="95" t="n">
        <f aca="false">D1739*J1739</f>
        <v>79023000</v>
      </c>
      <c r="N1739" s="95" t="n">
        <f aca="false">D1739*K1739</f>
        <v>21698026</v>
      </c>
      <c r="O1739" s="95" t="n">
        <f aca="false">D1739*L1739</f>
        <v>22782927.3</v>
      </c>
      <c r="P1739" s="34" t="str">
        <f aca="false">TRIM(IF(N(E1739)&lt;=0,"택가보정 ","")&amp;IF(N(F1739)&lt;=0,"원가보정 ","")&amp;IF(AND(B1739&lt;&gt;"CN",N(H1739)&lt;=0),"공급가보정 ","")&amp;IF(AND(B1739="CN",N(I1739)&lt;=0),"중국공급가=원가+마진 ",""))</f>
        <v>중국공급가=원가+마진</v>
      </c>
    </row>
    <row r="1740" customFormat="false" ht="15" hidden="false" customHeight="true" outlineLevel="0" collapsed="false">
      <c r="A1740" s="94" t="s">
        <v>1686</v>
      </c>
      <c r="B1740" s="34" t="str">
        <f aca="false">IF(A1740="100","HK",IF(A1740="200","CN",IF(A1740="300","TW","홀세일")))</f>
        <v>TW</v>
      </c>
      <c r="C1740" s="94" t="s">
        <v>747</v>
      </c>
      <c r="D1740" s="95" t="n">
        <v>320</v>
      </c>
      <c r="E1740" s="95" t="n">
        <v>159000</v>
      </c>
      <c r="F1740" s="95" t="n">
        <v>43658</v>
      </c>
      <c r="G1740" s="34" t="n">
        <v>9.15</v>
      </c>
      <c r="H1740" s="34" t="n">
        <v>39.8</v>
      </c>
      <c r="J1740" s="95" t="n">
        <f aca="false">IF(N(E1740)&gt;0,E1740,IF(N(F1740)&gt;0,F1740*가정!$B$5,0))</f>
        <v>159000</v>
      </c>
      <c r="K1740" s="95" t="n">
        <f aca="false">IF(N(F1740)&gt;0,F1740,IF(N(E1740)&gt;0,E1740/가정!$B$5,0))</f>
        <v>43658</v>
      </c>
      <c r="L1740" s="95" t="n">
        <f aca="false">IF(B1740="CN",IF(N(I1740)&gt;0,I1740*가정!$B$3,K1740*(1+가정!$B$6)),IF(N(H1740)&gt;0,H1740*가정!$B$3,J1740*가정!$B$4))</f>
        <v>54238.644</v>
      </c>
      <c r="M1740" s="95" t="n">
        <f aca="false">D1740*J1740</f>
        <v>50880000</v>
      </c>
      <c r="N1740" s="95" t="n">
        <f aca="false">D1740*K1740</f>
        <v>13970560</v>
      </c>
      <c r="O1740" s="95" t="n">
        <f aca="false">D1740*L1740</f>
        <v>17356366.08</v>
      </c>
      <c r="P1740" s="34" t="str">
        <f aca="false">TRIM(IF(N(E1740)&lt;=0,"택가보정 ","")&amp;IF(N(F1740)&lt;=0,"원가보정 ","")&amp;IF(AND(B1740&lt;&gt;"CN",N(H1740)&lt;=0),"공급가보정 ","")&amp;IF(AND(B1740="CN",N(I1740)&lt;=0),"중국공급가=원가+마진 ",""))</f>
        <v/>
      </c>
    </row>
    <row r="1741" customFormat="false" ht="15" hidden="false" customHeight="true" outlineLevel="0" collapsed="false">
      <c r="A1741" s="94" t="s">
        <v>1688</v>
      </c>
      <c r="B1741" s="34" t="str">
        <f aca="false">IF(A1741="100","HK",IF(A1741="200","CN",IF(A1741="300","TW","홀세일")))</f>
        <v>홀세일</v>
      </c>
      <c r="C1741" s="94" t="s">
        <v>747</v>
      </c>
      <c r="D1741" s="95" t="n">
        <v>20</v>
      </c>
      <c r="E1741" s="95" t="n">
        <v>159000</v>
      </c>
      <c r="F1741" s="95" t="n">
        <v>43658</v>
      </c>
      <c r="G1741" s="34" t="n">
        <v>9.15</v>
      </c>
      <c r="H1741" s="34" t="n">
        <v>39.8</v>
      </c>
      <c r="J1741" s="95" t="n">
        <f aca="false">IF(N(E1741)&gt;0,E1741,IF(N(F1741)&gt;0,F1741*가정!$B$5,0))</f>
        <v>159000</v>
      </c>
      <c r="K1741" s="95" t="n">
        <f aca="false">IF(N(F1741)&gt;0,F1741,IF(N(E1741)&gt;0,E1741/가정!$B$5,0))</f>
        <v>43658</v>
      </c>
      <c r="L1741" s="95" t="n">
        <f aca="false">IF(B1741="CN",IF(N(I1741)&gt;0,I1741*가정!$B$3,K1741*(1+가정!$B$6)),IF(N(H1741)&gt;0,H1741*가정!$B$3,J1741*가정!$B$4))</f>
        <v>54238.644</v>
      </c>
      <c r="M1741" s="95" t="n">
        <f aca="false">D1741*J1741</f>
        <v>3180000</v>
      </c>
      <c r="N1741" s="95" t="n">
        <f aca="false">D1741*K1741</f>
        <v>873160</v>
      </c>
      <c r="O1741" s="95" t="n">
        <f aca="false">D1741*L1741</f>
        <v>1084772.88</v>
      </c>
      <c r="P1741" s="34" t="str">
        <f aca="false">TRIM(IF(N(E1741)&lt;=0,"택가보정 ","")&amp;IF(N(F1741)&lt;=0,"원가보정 ","")&amp;IF(AND(B1741&lt;&gt;"CN",N(H1741)&lt;=0),"공급가보정 ","")&amp;IF(AND(B1741="CN",N(I1741)&lt;=0),"중국공급가=원가+마진 ",""))</f>
        <v/>
      </c>
    </row>
    <row r="1742" customFormat="false" ht="15" hidden="false" customHeight="true" outlineLevel="0" collapsed="false">
      <c r="A1742" s="94" t="s">
        <v>1684</v>
      </c>
      <c r="B1742" s="34" t="str">
        <f aca="false">IF(A1742="100","HK",IF(A1742="200","CN",IF(A1742="300","TW","홀세일")))</f>
        <v>HK</v>
      </c>
      <c r="C1742" s="94" t="s">
        <v>749</v>
      </c>
      <c r="D1742" s="95" t="n">
        <v>310</v>
      </c>
      <c r="E1742" s="95"/>
      <c r="F1742" s="95" t="n">
        <v>35305</v>
      </c>
      <c r="G1742" s="34" t="n">
        <v>0</v>
      </c>
      <c r="H1742" s="34" t="n">
        <v>34.3</v>
      </c>
      <c r="J1742" s="95" t="n">
        <f aca="false">IF(N(E1742)&gt;0,E1742,IF(N(F1742)&gt;0,F1742*가정!$B$5,0))</f>
        <v>141220</v>
      </c>
      <c r="K1742" s="95" t="n">
        <f aca="false">IF(N(F1742)&gt;0,F1742,IF(N(E1742)&gt;0,E1742/가정!$B$5,0))</f>
        <v>35305</v>
      </c>
      <c r="L1742" s="95" t="n">
        <f aca="false">IF(B1742="CN",IF(N(I1742)&gt;0,I1742*가정!$B$3,K1742*(1+가정!$B$6)),IF(N(H1742)&gt;0,H1742*가정!$B$3,J1742*가정!$B$4))</f>
        <v>46743.354</v>
      </c>
      <c r="M1742" s="95" t="n">
        <f aca="false">D1742*J1742</f>
        <v>43778200</v>
      </c>
      <c r="N1742" s="95" t="n">
        <f aca="false">D1742*K1742</f>
        <v>10944550</v>
      </c>
      <c r="O1742" s="95" t="n">
        <f aca="false">D1742*L1742</f>
        <v>14490439.74</v>
      </c>
      <c r="P1742" s="34" t="str">
        <f aca="false">TRIM(IF(N(E1742)&lt;=0,"택가보정 ","")&amp;IF(N(F1742)&lt;=0,"원가보정 ","")&amp;IF(AND(B1742&lt;&gt;"CN",N(H1742)&lt;=0),"공급가보정 ","")&amp;IF(AND(B1742="CN",N(I1742)&lt;=0),"중국공급가=원가+마진 ",""))</f>
        <v>택가보정</v>
      </c>
    </row>
    <row r="1743" customFormat="false" ht="15.75" hidden="false" customHeight="true" outlineLevel="0" collapsed="false">
      <c r="A1743" s="94" t="s">
        <v>1685</v>
      </c>
      <c r="B1743" s="34" t="str">
        <f aca="false">IF(A1743="100","HK",IF(A1743="200","CN",IF(A1743="300","TW","홀세일")))</f>
        <v>CN</v>
      </c>
      <c r="C1743" s="94" t="s">
        <v>749</v>
      </c>
      <c r="D1743" s="95" t="n">
        <v>748</v>
      </c>
      <c r="E1743" s="95"/>
      <c r="F1743" s="95" t="n">
        <v>35305</v>
      </c>
      <c r="G1743" s="34" t="n">
        <v>0</v>
      </c>
      <c r="H1743" s="34" t="n">
        <v>34.3</v>
      </c>
      <c r="J1743" s="95" t="n">
        <f aca="false">IF(N(E1743)&gt;0,E1743,IF(N(F1743)&gt;0,F1743*가정!$B$5,0))</f>
        <v>141220</v>
      </c>
      <c r="K1743" s="95" t="n">
        <f aca="false">IF(N(F1743)&gt;0,F1743,IF(N(E1743)&gt;0,E1743/가정!$B$5,0))</f>
        <v>35305</v>
      </c>
      <c r="L1743" s="95" t="n">
        <f aca="false">IF(B1743="CN",IF(N(I1743)&gt;0,I1743*가정!$B$3,K1743*(1+가정!$B$6)),IF(N(H1743)&gt;0,H1743*가정!$B$3,J1743*가정!$B$4))</f>
        <v>37070.25</v>
      </c>
      <c r="M1743" s="95" t="n">
        <f aca="false">D1743*J1743</f>
        <v>105632560</v>
      </c>
      <c r="N1743" s="95" t="n">
        <f aca="false">D1743*K1743</f>
        <v>26408140</v>
      </c>
      <c r="O1743" s="95" t="n">
        <f aca="false">D1743*L1743</f>
        <v>27728547</v>
      </c>
      <c r="P1743" s="34" t="str">
        <f aca="false">TRIM(IF(N(E1743)&lt;=0,"택가보정 ","")&amp;IF(N(F1743)&lt;=0,"원가보정 ","")&amp;IF(AND(B1743&lt;&gt;"CN",N(H1743)&lt;=0),"공급가보정 ","")&amp;IF(AND(B1743="CN",N(I1743)&lt;=0),"중국공급가=원가+마진 ",""))</f>
        <v>택가보정 중국공급가=원가+마진</v>
      </c>
    </row>
    <row r="1744" customFormat="false" ht="15" hidden="false" customHeight="true" outlineLevel="0" collapsed="false">
      <c r="A1744" s="94" t="s">
        <v>1686</v>
      </c>
      <c r="B1744" s="34" t="str">
        <f aca="false">IF(A1744="100","HK",IF(A1744="200","CN",IF(A1744="300","TW","홀세일")))</f>
        <v>TW</v>
      </c>
      <c r="C1744" s="94" t="s">
        <v>749</v>
      </c>
      <c r="D1744" s="95" t="n">
        <v>360</v>
      </c>
      <c r="E1744" s="95"/>
      <c r="F1744" s="95" t="n">
        <v>35305</v>
      </c>
      <c r="G1744" s="34" t="n">
        <v>0</v>
      </c>
      <c r="H1744" s="34" t="n">
        <v>34.3</v>
      </c>
      <c r="J1744" s="95" t="n">
        <f aca="false">IF(N(E1744)&gt;0,E1744,IF(N(F1744)&gt;0,F1744*가정!$B$5,0))</f>
        <v>141220</v>
      </c>
      <c r="K1744" s="95" t="n">
        <f aca="false">IF(N(F1744)&gt;0,F1744,IF(N(E1744)&gt;0,E1744/가정!$B$5,0))</f>
        <v>35305</v>
      </c>
      <c r="L1744" s="95" t="n">
        <f aca="false">IF(B1744="CN",IF(N(I1744)&gt;0,I1744*가정!$B$3,K1744*(1+가정!$B$6)),IF(N(H1744)&gt;0,H1744*가정!$B$3,J1744*가정!$B$4))</f>
        <v>46743.354</v>
      </c>
      <c r="M1744" s="95" t="n">
        <f aca="false">D1744*J1744</f>
        <v>50839200</v>
      </c>
      <c r="N1744" s="95" t="n">
        <f aca="false">D1744*K1744</f>
        <v>12709800</v>
      </c>
      <c r="O1744" s="95" t="n">
        <f aca="false">D1744*L1744</f>
        <v>16827607.44</v>
      </c>
      <c r="P1744" s="34" t="str">
        <f aca="false">TRIM(IF(N(E1744)&lt;=0,"택가보정 ","")&amp;IF(N(F1744)&lt;=0,"원가보정 ","")&amp;IF(AND(B1744&lt;&gt;"CN",N(H1744)&lt;=0),"공급가보정 ","")&amp;IF(AND(B1744="CN",N(I1744)&lt;=0),"중국공급가=원가+마진 ",""))</f>
        <v>택가보정</v>
      </c>
    </row>
    <row r="1745" customFormat="false" ht="15.75" hidden="false" customHeight="true" outlineLevel="0" collapsed="false">
      <c r="A1745" s="94" t="s">
        <v>1685</v>
      </c>
      <c r="B1745" s="34" t="str">
        <f aca="false">IF(A1745="100","HK",IF(A1745="200","CN",IF(A1745="300","TW","홀세일")))</f>
        <v>CN</v>
      </c>
      <c r="C1745" s="94" t="s">
        <v>751</v>
      </c>
      <c r="D1745" s="95" t="n">
        <v>287</v>
      </c>
      <c r="E1745" s="95"/>
      <c r="F1745" s="95" t="n">
        <v>38494</v>
      </c>
      <c r="G1745" s="34" t="n">
        <v>0</v>
      </c>
      <c r="H1745" s="34" t="n">
        <v>39.6</v>
      </c>
      <c r="J1745" s="95" t="n">
        <f aca="false">IF(N(E1745)&gt;0,E1745,IF(N(F1745)&gt;0,F1745*가정!$B$5,0))</f>
        <v>153976</v>
      </c>
      <c r="K1745" s="95" t="n">
        <f aca="false">IF(N(F1745)&gt;0,F1745,IF(N(E1745)&gt;0,E1745/가정!$B$5,0))</f>
        <v>38494</v>
      </c>
      <c r="L1745" s="95" t="n">
        <f aca="false">IF(B1745="CN",IF(N(I1745)&gt;0,I1745*가정!$B$3,K1745*(1+가정!$B$6)),IF(N(H1745)&gt;0,H1745*가정!$B$3,J1745*가정!$B$4))</f>
        <v>40418.7</v>
      </c>
      <c r="M1745" s="95" t="n">
        <f aca="false">D1745*J1745</f>
        <v>44191112</v>
      </c>
      <c r="N1745" s="95" t="n">
        <f aca="false">D1745*K1745</f>
        <v>11047778</v>
      </c>
      <c r="O1745" s="95" t="n">
        <f aca="false">D1745*L1745</f>
        <v>11600166.9</v>
      </c>
      <c r="P1745" s="34" t="str">
        <f aca="false">TRIM(IF(N(E1745)&lt;=0,"택가보정 ","")&amp;IF(N(F1745)&lt;=0,"원가보정 ","")&amp;IF(AND(B1745&lt;&gt;"CN",N(H1745)&lt;=0),"공급가보정 ","")&amp;IF(AND(B1745="CN",N(I1745)&lt;=0),"중국공급가=원가+마진 ",""))</f>
        <v>택가보정 중국공급가=원가+마진</v>
      </c>
    </row>
    <row r="1746" customFormat="false" ht="15" hidden="false" customHeight="true" outlineLevel="0" collapsed="false">
      <c r="A1746" s="94" t="s">
        <v>1686</v>
      </c>
      <c r="B1746" s="34" t="str">
        <f aca="false">IF(A1746="100","HK",IF(A1746="200","CN",IF(A1746="300","TW","홀세일")))</f>
        <v>TW</v>
      </c>
      <c r="C1746" s="94" t="s">
        <v>751</v>
      </c>
      <c r="D1746" s="95" t="n">
        <v>320</v>
      </c>
      <c r="E1746" s="95"/>
      <c r="F1746" s="95" t="n">
        <v>38494</v>
      </c>
      <c r="G1746" s="34" t="n">
        <v>0</v>
      </c>
      <c r="H1746" s="34" t="n">
        <v>39.6</v>
      </c>
      <c r="J1746" s="95" t="n">
        <f aca="false">IF(N(E1746)&gt;0,E1746,IF(N(F1746)&gt;0,F1746*가정!$B$5,0))</f>
        <v>153976</v>
      </c>
      <c r="K1746" s="95" t="n">
        <f aca="false">IF(N(F1746)&gt;0,F1746,IF(N(E1746)&gt;0,E1746/가정!$B$5,0))</f>
        <v>38494</v>
      </c>
      <c r="L1746" s="95" t="n">
        <f aca="false">IF(B1746="CN",IF(N(I1746)&gt;0,I1746*가정!$B$3,K1746*(1+가정!$B$6)),IF(N(H1746)&gt;0,H1746*가정!$B$3,J1746*가정!$B$4))</f>
        <v>53966.088</v>
      </c>
      <c r="M1746" s="95" t="n">
        <f aca="false">D1746*J1746</f>
        <v>49272320</v>
      </c>
      <c r="N1746" s="95" t="n">
        <f aca="false">D1746*K1746</f>
        <v>12318080</v>
      </c>
      <c r="O1746" s="95" t="n">
        <f aca="false">D1746*L1746</f>
        <v>17269148.16</v>
      </c>
      <c r="P1746" s="34" t="str">
        <f aca="false">TRIM(IF(N(E1746)&lt;=0,"택가보정 ","")&amp;IF(N(F1746)&lt;=0,"원가보정 ","")&amp;IF(AND(B1746&lt;&gt;"CN",N(H1746)&lt;=0),"공급가보정 ","")&amp;IF(AND(B1746="CN",N(I1746)&lt;=0),"중국공급가=원가+마진 ",""))</f>
        <v>택가보정</v>
      </c>
    </row>
    <row r="1747" customFormat="false" ht="15" hidden="false" customHeight="true" outlineLevel="0" collapsed="false">
      <c r="A1747" s="94" t="s">
        <v>1684</v>
      </c>
      <c r="B1747" s="34" t="str">
        <f aca="false">IF(A1747="100","HK",IF(A1747="200","CN",IF(A1747="300","TW","홀세일")))</f>
        <v>HK</v>
      </c>
      <c r="C1747" s="94" t="s">
        <v>753</v>
      </c>
      <c r="D1747" s="95" t="n">
        <v>140</v>
      </c>
      <c r="E1747" s="95" t="n">
        <v>119000</v>
      </c>
      <c r="F1747" s="95" t="n">
        <v>34439</v>
      </c>
      <c r="G1747" s="34" t="n">
        <v>7.21</v>
      </c>
      <c r="H1747" s="34" t="n">
        <v>29.8</v>
      </c>
      <c r="J1747" s="95" t="n">
        <f aca="false">IF(N(E1747)&gt;0,E1747,IF(N(F1747)&gt;0,F1747*가정!$B$5,0))</f>
        <v>119000</v>
      </c>
      <c r="K1747" s="95" t="n">
        <f aca="false">IF(N(F1747)&gt;0,F1747,IF(N(E1747)&gt;0,E1747/가정!$B$5,0))</f>
        <v>34439</v>
      </c>
      <c r="L1747" s="95" t="n">
        <f aca="false">IF(B1747="CN",IF(N(I1747)&gt;0,I1747*가정!$B$3,K1747*(1+가정!$B$6)),IF(N(H1747)&gt;0,H1747*가정!$B$3,J1747*가정!$B$4))</f>
        <v>40610.844</v>
      </c>
      <c r="M1747" s="95" t="n">
        <f aca="false">D1747*J1747</f>
        <v>16660000</v>
      </c>
      <c r="N1747" s="95" t="n">
        <f aca="false">D1747*K1747</f>
        <v>4821460</v>
      </c>
      <c r="O1747" s="95" t="n">
        <f aca="false">D1747*L1747</f>
        <v>5685518.16</v>
      </c>
      <c r="P1747" s="34" t="str">
        <f aca="false">TRIM(IF(N(E1747)&lt;=0,"택가보정 ","")&amp;IF(N(F1747)&lt;=0,"원가보정 ","")&amp;IF(AND(B1747&lt;&gt;"CN",N(H1747)&lt;=0),"공급가보정 ","")&amp;IF(AND(B1747="CN",N(I1747)&lt;=0),"중국공급가=원가+마진 ",""))</f>
        <v/>
      </c>
    </row>
    <row r="1748" customFormat="false" ht="15.75" hidden="false" customHeight="true" outlineLevel="0" collapsed="false">
      <c r="A1748" s="94" t="s">
        <v>1685</v>
      </c>
      <c r="B1748" s="34" t="str">
        <f aca="false">IF(A1748="100","HK",IF(A1748="200","CN",IF(A1748="300","TW","홀세일")))</f>
        <v>CN</v>
      </c>
      <c r="C1748" s="94" t="s">
        <v>753</v>
      </c>
      <c r="D1748" s="95" t="n">
        <v>482</v>
      </c>
      <c r="E1748" s="95" t="n">
        <v>119000</v>
      </c>
      <c r="F1748" s="95" t="n">
        <v>34439</v>
      </c>
      <c r="G1748" s="34" t="n">
        <v>7.21</v>
      </c>
      <c r="H1748" s="34" t="n">
        <v>29.8</v>
      </c>
      <c r="J1748" s="95" t="n">
        <f aca="false">IF(N(E1748)&gt;0,E1748,IF(N(F1748)&gt;0,F1748*가정!$B$5,0))</f>
        <v>119000</v>
      </c>
      <c r="K1748" s="95" t="n">
        <f aca="false">IF(N(F1748)&gt;0,F1748,IF(N(E1748)&gt;0,E1748/가정!$B$5,0))</f>
        <v>34439</v>
      </c>
      <c r="L1748" s="95" t="n">
        <f aca="false">IF(B1748="CN",IF(N(I1748)&gt;0,I1748*가정!$B$3,K1748*(1+가정!$B$6)),IF(N(H1748)&gt;0,H1748*가정!$B$3,J1748*가정!$B$4))</f>
        <v>36160.95</v>
      </c>
      <c r="M1748" s="95" t="n">
        <f aca="false">D1748*J1748</f>
        <v>57358000</v>
      </c>
      <c r="N1748" s="95" t="n">
        <f aca="false">D1748*K1748</f>
        <v>16599598</v>
      </c>
      <c r="O1748" s="95" t="n">
        <f aca="false">D1748*L1748</f>
        <v>17429577.9</v>
      </c>
      <c r="P1748" s="34" t="str">
        <f aca="false">TRIM(IF(N(E1748)&lt;=0,"택가보정 ","")&amp;IF(N(F1748)&lt;=0,"원가보정 ","")&amp;IF(AND(B1748&lt;&gt;"CN",N(H1748)&lt;=0),"공급가보정 ","")&amp;IF(AND(B1748="CN",N(I1748)&lt;=0),"중국공급가=원가+마진 ",""))</f>
        <v>중국공급가=원가+마진</v>
      </c>
    </row>
    <row r="1749" customFormat="false" ht="15" hidden="false" customHeight="true" outlineLevel="0" collapsed="false">
      <c r="A1749" s="94" t="s">
        <v>1686</v>
      </c>
      <c r="B1749" s="34" t="str">
        <f aca="false">IF(A1749="100","HK",IF(A1749="200","CN",IF(A1749="300","TW","홀세일")))</f>
        <v>TW</v>
      </c>
      <c r="C1749" s="94" t="s">
        <v>753</v>
      </c>
      <c r="D1749" s="95" t="n">
        <v>450</v>
      </c>
      <c r="E1749" s="95" t="n">
        <v>119000</v>
      </c>
      <c r="F1749" s="95" t="n">
        <v>34439</v>
      </c>
      <c r="G1749" s="34" t="n">
        <v>7.21</v>
      </c>
      <c r="H1749" s="34" t="n">
        <v>29.8</v>
      </c>
      <c r="J1749" s="95" t="n">
        <f aca="false">IF(N(E1749)&gt;0,E1749,IF(N(F1749)&gt;0,F1749*가정!$B$5,0))</f>
        <v>119000</v>
      </c>
      <c r="K1749" s="95" t="n">
        <f aca="false">IF(N(F1749)&gt;0,F1749,IF(N(E1749)&gt;0,E1749/가정!$B$5,0))</f>
        <v>34439</v>
      </c>
      <c r="L1749" s="95" t="n">
        <f aca="false">IF(B1749="CN",IF(N(I1749)&gt;0,I1749*가정!$B$3,K1749*(1+가정!$B$6)),IF(N(H1749)&gt;0,H1749*가정!$B$3,J1749*가정!$B$4))</f>
        <v>40610.844</v>
      </c>
      <c r="M1749" s="95" t="n">
        <f aca="false">D1749*J1749</f>
        <v>53550000</v>
      </c>
      <c r="N1749" s="95" t="n">
        <f aca="false">D1749*K1749</f>
        <v>15497550</v>
      </c>
      <c r="O1749" s="95" t="n">
        <f aca="false">D1749*L1749</f>
        <v>18274879.8</v>
      </c>
      <c r="P1749" s="34" t="str">
        <f aca="false">TRIM(IF(N(E1749)&lt;=0,"택가보정 ","")&amp;IF(N(F1749)&lt;=0,"원가보정 ","")&amp;IF(AND(B1749&lt;&gt;"CN",N(H1749)&lt;=0),"공급가보정 ","")&amp;IF(AND(B1749="CN",N(I1749)&lt;=0),"중국공급가=원가+마진 ",""))</f>
        <v/>
      </c>
    </row>
    <row r="1750" customFormat="false" ht="15" hidden="false" customHeight="true" outlineLevel="0" collapsed="false">
      <c r="A1750" s="94" t="s">
        <v>1689</v>
      </c>
      <c r="B1750" s="34" t="str">
        <f aca="false">IF(A1750="100","HK",IF(A1750="200","CN",IF(A1750="300","TW","홀세일")))</f>
        <v>홀세일</v>
      </c>
      <c r="C1750" s="94" t="s">
        <v>753</v>
      </c>
      <c r="D1750" s="95" t="n">
        <v>30</v>
      </c>
      <c r="E1750" s="95" t="n">
        <v>119000</v>
      </c>
      <c r="F1750" s="95" t="n">
        <v>34439</v>
      </c>
      <c r="G1750" s="34" t="n">
        <v>7.21</v>
      </c>
      <c r="H1750" s="34" t="n">
        <v>29.8</v>
      </c>
      <c r="J1750" s="95" t="n">
        <f aca="false">IF(N(E1750)&gt;0,E1750,IF(N(F1750)&gt;0,F1750*가정!$B$5,0))</f>
        <v>119000</v>
      </c>
      <c r="K1750" s="95" t="n">
        <f aca="false">IF(N(F1750)&gt;0,F1750,IF(N(E1750)&gt;0,E1750/가정!$B$5,0))</f>
        <v>34439</v>
      </c>
      <c r="L1750" s="95" t="n">
        <f aca="false">IF(B1750="CN",IF(N(I1750)&gt;0,I1750*가정!$B$3,K1750*(1+가정!$B$6)),IF(N(H1750)&gt;0,H1750*가정!$B$3,J1750*가정!$B$4))</f>
        <v>40610.844</v>
      </c>
      <c r="M1750" s="95" t="n">
        <f aca="false">D1750*J1750</f>
        <v>3570000</v>
      </c>
      <c r="N1750" s="95" t="n">
        <f aca="false">D1750*K1750</f>
        <v>1033170</v>
      </c>
      <c r="O1750" s="95" t="n">
        <f aca="false">D1750*L1750</f>
        <v>1218325.32</v>
      </c>
      <c r="P1750" s="34" t="str">
        <f aca="false">TRIM(IF(N(E1750)&lt;=0,"택가보정 ","")&amp;IF(N(F1750)&lt;=0,"원가보정 ","")&amp;IF(AND(B1750&lt;&gt;"CN",N(H1750)&lt;=0),"공급가보정 ","")&amp;IF(AND(B1750="CN",N(I1750)&lt;=0),"중국공급가=원가+마진 ",""))</f>
        <v/>
      </c>
    </row>
    <row r="1751" customFormat="false" ht="15.75" hidden="false" customHeight="true" outlineLevel="0" collapsed="false">
      <c r="A1751" s="94" t="s">
        <v>1685</v>
      </c>
      <c r="B1751" s="34" t="str">
        <f aca="false">IF(A1751="100","HK",IF(A1751="200","CN",IF(A1751="300","TW","홀세일")))</f>
        <v>CN</v>
      </c>
      <c r="C1751" s="94" t="s">
        <v>755</v>
      </c>
      <c r="D1751" s="95" t="n">
        <v>563</v>
      </c>
      <c r="E1751" s="95"/>
      <c r="F1751" s="95" t="n">
        <v>43398</v>
      </c>
      <c r="G1751" s="34" t="n">
        <v>0</v>
      </c>
      <c r="H1751" s="34" t="n">
        <v>39.6</v>
      </c>
      <c r="J1751" s="95" t="n">
        <f aca="false">IF(N(E1751)&gt;0,E1751,IF(N(F1751)&gt;0,F1751*가정!$B$5,0))</f>
        <v>173592</v>
      </c>
      <c r="K1751" s="95" t="n">
        <f aca="false">IF(N(F1751)&gt;0,F1751,IF(N(E1751)&gt;0,E1751/가정!$B$5,0))</f>
        <v>43398</v>
      </c>
      <c r="L1751" s="95" t="n">
        <f aca="false">IF(B1751="CN",IF(N(I1751)&gt;0,I1751*가정!$B$3,K1751*(1+가정!$B$6)),IF(N(H1751)&gt;0,H1751*가정!$B$3,J1751*가정!$B$4))</f>
        <v>45567.9</v>
      </c>
      <c r="M1751" s="95" t="n">
        <f aca="false">D1751*J1751</f>
        <v>97732296</v>
      </c>
      <c r="N1751" s="95" t="n">
        <f aca="false">D1751*K1751</f>
        <v>24433074</v>
      </c>
      <c r="O1751" s="95" t="n">
        <f aca="false">D1751*L1751</f>
        <v>25654727.7</v>
      </c>
      <c r="P1751" s="34" t="str">
        <f aca="false">TRIM(IF(N(E1751)&lt;=0,"택가보정 ","")&amp;IF(N(F1751)&lt;=0,"원가보정 ","")&amp;IF(AND(B1751&lt;&gt;"CN",N(H1751)&lt;=0),"공급가보정 ","")&amp;IF(AND(B1751="CN",N(I1751)&lt;=0),"중국공급가=원가+마진 ",""))</f>
        <v>택가보정 중국공급가=원가+마진</v>
      </c>
    </row>
    <row r="1752" customFormat="false" ht="15" hidden="false" customHeight="true" outlineLevel="0" collapsed="false">
      <c r="A1752" s="94" t="s">
        <v>1686</v>
      </c>
      <c r="B1752" s="34" t="str">
        <f aca="false">IF(A1752="100","HK",IF(A1752="200","CN",IF(A1752="300","TW","홀세일")))</f>
        <v>TW</v>
      </c>
      <c r="C1752" s="94" t="s">
        <v>755</v>
      </c>
      <c r="D1752" s="95" t="n">
        <v>130</v>
      </c>
      <c r="E1752" s="95"/>
      <c r="F1752" s="95" t="n">
        <v>43398</v>
      </c>
      <c r="G1752" s="34" t="n">
        <v>0</v>
      </c>
      <c r="H1752" s="34" t="n">
        <v>39.6</v>
      </c>
      <c r="J1752" s="95" t="n">
        <f aca="false">IF(N(E1752)&gt;0,E1752,IF(N(F1752)&gt;0,F1752*가정!$B$5,0))</f>
        <v>173592</v>
      </c>
      <c r="K1752" s="95" t="n">
        <f aca="false">IF(N(F1752)&gt;0,F1752,IF(N(E1752)&gt;0,E1752/가정!$B$5,0))</f>
        <v>43398</v>
      </c>
      <c r="L1752" s="95" t="n">
        <f aca="false">IF(B1752="CN",IF(N(I1752)&gt;0,I1752*가정!$B$3,K1752*(1+가정!$B$6)),IF(N(H1752)&gt;0,H1752*가정!$B$3,J1752*가정!$B$4))</f>
        <v>53966.088</v>
      </c>
      <c r="M1752" s="95" t="n">
        <f aca="false">D1752*J1752</f>
        <v>22566960</v>
      </c>
      <c r="N1752" s="95" t="n">
        <f aca="false">D1752*K1752</f>
        <v>5641740</v>
      </c>
      <c r="O1752" s="95" t="n">
        <f aca="false">D1752*L1752</f>
        <v>7015591.44</v>
      </c>
      <c r="P1752" s="34" t="str">
        <f aca="false">TRIM(IF(N(E1752)&lt;=0,"택가보정 ","")&amp;IF(N(F1752)&lt;=0,"원가보정 ","")&amp;IF(AND(B1752&lt;&gt;"CN",N(H1752)&lt;=0),"공급가보정 ","")&amp;IF(AND(B1752="CN",N(I1752)&lt;=0),"중국공급가=원가+마진 ",""))</f>
        <v>택가보정</v>
      </c>
    </row>
    <row r="1753" customFormat="false" ht="15" hidden="false" customHeight="true" outlineLevel="0" collapsed="false">
      <c r="A1753" s="94" t="s">
        <v>1684</v>
      </c>
      <c r="B1753" s="34" t="str">
        <f aca="false">IF(A1753="100","HK",IF(A1753="200","CN",IF(A1753="300","TW","홀세일")))</f>
        <v>HK</v>
      </c>
      <c r="C1753" s="94" t="s">
        <v>757</v>
      </c>
      <c r="D1753" s="95" t="n">
        <v>200</v>
      </c>
      <c r="E1753" s="95" t="n">
        <v>169000</v>
      </c>
      <c r="F1753" s="95" t="n">
        <v>59500</v>
      </c>
      <c r="G1753" s="34" t="n">
        <v>10.24</v>
      </c>
      <c r="H1753" s="34" t="n">
        <v>42.3</v>
      </c>
      <c r="J1753" s="95" t="n">
        <f aca="false">IF(N(E1753)&gt;0,E1753,IF(N(F1753)&gt;0,F1753*가정!$B$5,0))</f>
        <v>169000</v>
      </c>
      <c r="K1753" s="95" t="n">
        <f aca="false">IF(N(F1753)&gt;0,F1753,IF(N(E1753)&gt;0,E1753/가정!$B$5,0))</f>
        <v>59500</v>
      </c>
      <c r="L1753" s="95" t="n">
        <f aca="false">IF(B1753="CN",IF(N(I1753)&gt;0,I1753*가정!$B$3,K1753*(1+가정!$B$6)),IF(N(H1753)&gt;0,H1753*가정!$B$3,J1753*가정!$B$4))</f>
        <v>57645.594</v>
      </c>
      <c r="M1753" s="95" t="n">
        <f aca="false">D1753*J1753</f>
        <v>33800000</v>
      </c>
      <c r="N1753" s="95" t="n">
        <f aca="false">D1753*K1753</f>
        <v>11900000</v>
      </c>
      <c r="O1753" s="95" t="n">
        <f aca="false">D1753*L1753</f>
        <v>11529118.8</v>
      </c>
      <c r="P1753" s="34" t="str">
        <f aca="false">TRIM(IF(N(E1753)&lt;=0,"택가보정 ","")&amp;IF(N(F1753)&lt;=0,"원가보정 ","")&amp;IF(AND(B1753&lt;&gt;"CN",N(H1753)&lt;=0),"공급가보정 ","")&amp;IF(AND(B1753="CN",N(I1753)&lt;=0),"중국공급가=원가+마진 ",""))</f>
        <v/>
      </c>
    </row>
    <row r="1754" customFormat="false" ht="15" hidden="false" customHeight="true" outlineLevel="0" collapsed="false">
      <c r="A1754" s="94" t="s">
        <v>1686</v>
      </c>
      <c r="B1754" s="34" t="str">
        <f aca="false">IF(A1754="100","HK",IF(A1754="200","CN",IF(A1754="300","TW","홀세일")))</f>
        <v>TW</v>
      </c>
      <c r="C1754" s="94" t="s">
        <v>757</v>
      </c>
      <c r="D1754" s="95" t="n">
        <v>320</v>
      </c>
      <c r="E1754" s="95" t="n">
        <v>169000</v>
      </c>
      <c r="F1754" s="95" t="n">
        <v>59500</v>
      </c>
      <c r="G1754" s="34" t="n">
        <v>10.24</v>
      </c>
      <c r="H1754" s="34" t="n">
        <v>42.3</v>
      </c>
      <c r="J1754" s="95" t="n">
        <f aca="false">IF(N(E1754)&gt;0,E1754,IF(N(F1754)&gt;0,F1754*가정!$B$5,0))</f>
        <v>169000</v>
      </c>
      <c r="K1754" s="95" t="n">
        <f aca="false">IF(N(F1754)&gt;0,F1754,IF(N(E1754)&gt;0,E1754/가정!$B$5,0))</f>
        <v>59500</v>
      </c>
      <c r="L1754" s="95" t="n">
        <f aca="false">IF(B1754="CN",IF(N(I1754)&gt;0,I1754*가정!$B$3,K1754*(1+가정!$B$6)),IF(N(H1754)&gt;0,H1754*가정!$B$3,J1754*가정!$B$4))</f>
        <v>57645.594</v>
      </c>
      <c r="M1754" s="95" t="n">
        <f aca="false">D1754*J1754</f>
        <v>54080000</v>
      </c>
      <c r="N1754" s="95" t="n">
        <f aca="false">D1754*K1754</f>
        <v>19040000</v>
      </c>
      <c r="O1754" s="95" t="n">
        <f aca="false">D1754*L1754</f>
        <v>18446590.08</v>
      </c>
      <c r="P1754" s="34" t="str">
        <f aca="false">TRIM(IF(N(E1754)&lt;=0,"택가보정 ","")&amp;IF(N(F1754)&lt;=0,"원가보정 ","")&amp;IF(AND(B1754&lt;&gt;"CN",N(H1754)&lt;=0),"공급가보정 ","")&amp;IF(AND(B1754="CN",N(I1754)&lt;=0),"중국공급가=원가+마진 ",""))</f>
        <v/>
      </c>
    </row>
    <row r="1755" customFormat="false" ht="15" hidden="false" customHeight="true" outlineLevel="0" collapsed="false">
      <c r="A1755" s="94" t="s">
        <v>1689</v>
      </c>
      <c r="B1755" s="34" t="str">
        <f aca="false">IF(A1755="100","HK",IF(A1755="200","CN",IF(A1755="300","TW","홀세일")))</f>
        <v>홀세일</v>
      </c>
      <c r="C1755" s="94" t="s">
        <v>757</v>
      </c>
      <c r="D1755" s="95" t="n">
        <v>55</v>
      </c>
      <c r="E1755" s="95" t="n">
        <v>169000</v>
      </c>
      <c r="F1755" s="95" t="n">
        <v>59500</v>
      </c>
      <c r="G1755" s="34" t="n">
        <v>10.24</v>
      </c>
      <c r="H1755" s="34" t="n">
        <v>42.3</v>
      </c>
      <c r="J1755" s="95" t="n">
        <f aca="false">IF(N(E1755)&gt;0,E1755,IF(N(F1755)&gt;0,F1755*가정!$B$5,0))</f>
        <v>169000</v>
      </c>
      <c r="K1755" s="95" t="n">
        <f aca="false">IF(N(F1755)&gt;0,F1755,IF(N(E1755)&gt;0,E1755/가정!$B$5,0))</f>
        <v>59500</v>
      </c>
      <c r="L1755" s="95" t="n">
        <f aca="false">IF(B1755="CN",IF(N(I1755)&gt;0,I1755*가정!$B$3,K1755*(1+가정!$B$6)),IF(N(H1755)&gt;0,H1755*가정!$B$3,J1755*가정!$B$4))</f>
        <v>57645.594</v>
      </c>
      <c r="M1755" s="95" t="n">
        <f aca="false">D1755*J1755</f>
        <v>9295000</v>
      </c>
      <c r="N1755" s="95" t="n">
        <f aca="false">D1755*K1755</f>
        <v>3272500</v>
      </c>
      <c r="O1755" s="95" t="n">
        <f aca="false">D1755*L1755</f>
        <v>3170507.67</v>
      </c>
      <c r="P1755" s="34" t="str">
        <f aca="false">TRIM(IF(N(E1755)&lt;=0,"택가보정 ","")&amp;IF(N(F1755)&lt;=0,"원가보정 ","")&amp;IF(AND(B1755&lt;&gt;"CN",N(H1755)&lt;=0),"공급가보정 ","")&amp;IF(AND(B1755="CN",N(I1755)&lt;=0),"중국공급가=원가+마진 ",""))</f>
        <v/>
      </c>
    </row>
    <row r="1756" customFormat="false" ht="15" hidden="false" customHeight="true" outlineLevel="0" collapsed="false">
      <c r="A1756" s="94" t="s">
        <v>1684</v>
      </c>
      <c r="B1756" s="34" t="str">
        <f aca="false">IF(A1756="100","HK",IF(A1756="200","CN",IF(A1756="300","TW","홀세일")))</f>
        <v>HK</v>
      </c>
      <c r="C1756" s="94" t="s">
        <v>1062</v>
      </c>
      <c r="D1756" s="95" t="n">
        <v>200</v>
      </c>
      <c r="E1756" s="95" t="n">
        <v>169000</v>
      </c>
      <c r="F1756" s="95" t="n">
        <v>47994</v>
      </c>
      <c r="G1756" s="34" t="n">
        <v>11.82</v>
      </c>
      <c r="H1756" s="34" t="n">
        <v>42.3</v>
      </c>
      <c r="J1756" s="95" t="n">
        <f aca="false">IF(N(E1756)&gt;0,E1756,IF(N(F1756)&gt;0,F1756*가정!$B$5,0))</f>
        <v>169000</v>
      </c>
      <c r="K1756" s="95" t="n">
        <f aca="false">IF(N(F1756)&gt;0,F1756,IF(N(E1756)&gt;0,E1756/가정!$B$5,0))</f>
        <v>47994</v>
      </c>
      <c r="L1756" s="95" t="n">
        <f aca="false">IF(B1756="CN",IF(N(I1756)&gt;0,I1756*가정!$B$3,K1756*(1+가정!$B$6)),IF(N(H1756)&gt;0,H1756*가정!$B$3,J1756*가정!$B$4))</f>
        <v>57645.594</v>
      </c>
      <c r="M1756" s="95" t="n">
        <f aca="false">D1756*J1756</f>
        <v>33800000</v>
      </c>
      <c r="N1756" s="95" t="n">
        <f aca="false">D1756*K1756</f>
        <v>9598800</v>
      </c>
      <c r="O1756" s="95" t="n">
        <f aca="false">D1756*L1756</f>
        <v>11529118.8</v>
      </c>
      <c r="P1756" s="34" t="str">
        <f aca="false">TRIM(IF(N(E1756)&lt;=0,"택가보정 ","")&amp;IF(N(F1756)&lt;=0,"원가보정 ","")&amp;IF(AND(B1756&lt;&gt;"CN",N(H1756)&lt;=0),"공급가보정 ","")&amp;IF(AND(B1756="CN",N(I1756)&lt;=0),"중국공급가=원가+마진 ",""))</f>
        <v/>
      </c>
    </row>
    <row r="1757" customFormat="false" ht="15.75" hidden="false" customHeight="true" outlineLevel="0" collapsed="false">
      <c r="A1757" s="94" t="s">
        <v>1685</v>
      </c>
      <c r="B1757" s="34" t="str">
        <f aca="false">IF(A1757="100","HK",IF(A1757="200","CN",IF(A1757="300","TW","홀세일")))</f>
        <v>CN</v>
      </c>
      <c r="C1757" s="94" t="s">
        <v>1062</v>
      </c>
      <c r="D1757" s="95" t="n">
        <v>1100</v>
      </c>
      <c r="E1757" s="95" t="n">
        <v>169000</v>
      </c>
      <c r="F1757" s="95" t="n">
        <v>47994</v>
      </c>
      <c r="G1757" s="34" t="n">
        <v>11.82</v>
      </c>
      <c r="H1757" s="34" t="n">
        <v>42.3</v>
      </c>
      <c r="J1757" s="95" t="n">
        <f aca="false">IF(N(E1757)&gt;0,E1757,IF(N(F1757)&gt;0,F1757*가정!$B$5,0))</f>
        <v>169000</v>
      </c>
      <c r="K1757" s="95" t="n">
        <f aca="false">IF(N(F1757)&gt;0,F1757,IF(N(E1757)&gt;0,E1757/가정!$B$5,0))</f>
        <v>47994</v>
      </c>
      <c r="L1757" s="95" t="n">
        <f aca="false">IF(B1757="CN",IF(N(I1757)&gt;0,I1757*가정!$B$3,K1757*(1+가정!$B$6)),IF(N(H1757)&gt;0,H1757*가정!$B$3,J1757*가정!$B$4))</f>
        <v>50393.7</v>
      </c>
      <c r="M1757" s="95" t="n">
        <f aca="false">D1757*J1757</f>
        <v>185900000</v>
      </c>
      <c r="N1757" s="95" t="n">
        <f aca="false">D1757*K1757</f>
        <v>52793400</v>
      </c>
      <c r="O1757" s="95" t="n">
        <f aca="false">D1757*L1757</f>
        <v>55433070</v>
      </c>
      <c r="P1757" s="34" t="str">
        <f aca="false">TRIM(IF(N(E1757)&lt;=0,"택가보정 ","")&amp;IF(N(F1757)&lt;=0,"원가보정 ","")&amp;IF(AND(B1757&lt;&gt;"CN",N(H1757)&lt;=0),"공급가보정 ","")&amp;IF(AND(B1757="CN",N(I1757)&lt;=0),"중국공급가=원가+마진 ",""))</f>
        <v>중국공급가=원가+마진</v>
      </c>
    </row>
    <row r="1758" customFormat="false" ht="15" hidden="false" customHeight="true" outlineLevel="0" collapsed="false">
      <c r="A1758" s="94" t="s">
        <v>1689</v>
      </c>
      <c r="B1758" s="34" t="str">
        <f aca="false">IF(A1758="100","HK",IF(A1758="200","CN",IF(A1758="300","TW","홀세일")))</f>
        <v>홀세일</v>
      </c>
      <c r="C1758" s="94" t="s">
        <v>1062</v>
      </c>
      <c r="D1758" s="95" t="n">
        <v>55</v>
      </c>
      <c r="E1758" s="95" t="n">
        <v>169000</v>
      </c>
      <c r="F1758" s="95" t="n">
        <v>47994</v>
      </c>
      <c r="G1758" s="34" t="n">
        <v>11.82</v>
      </c>
      <c r="H1758" s="34" t="n">
        <v>42.3</v>
      </c>
      <c r="J1758" s="95" t="n">
        <f aca="false">IF(N(E1758)&gt;0,E1758,IF(N(F1758)&gt;0,F1758*가정!$B$5,0))</f>
        <v>169000</v>
      </c>
      <c r="K1758" s="95" t="n">
        <f aca="false">IF(N(F1758)&gt;0,F1758,IF(N(E1758)&gt;0,E1758/가정!$B$5,0))</f>
        <v>47994</v>
      </c>
      <c r="L1758" s="95" t="n">
        <f aca="false">IF(B1758="CN",IF(N(I1758)&gt;0,I1758*가정!$B$3,K1758*(1+가정!$B$6)),IF(N(H1758)&gt;0,H1758*가정!$B$3,J1758*가정!$B$4))</f>
        <v>57645.594</v>
      </c>
      <c r="M1758" s="95" t="n">
        <f aca="false">D1758*J1758</f>
        <v>9295000</v>
      </c>
      <c r="N1758" s="95" t="n">
        <f aca="false">D1758*K1758</f>
        <v>2639670</v>
      </c>
      <c r="O1758" s="95" t="n">
        <f aca="false">D1758*L1758</f>
        <v>3170507.67</v>
      </c>
      <c r="P1758" s="34" t="str">
        <f aca="false">TRIM(IF(N(E1758)&lt;=0,"택가보정 ","")&amp;IF(N(F1758)&lt;=0,"원가보정 ","")&amp;IF(AND(B1758&lt;&gt;"CN",N(H1758)&lt;=0),"공급가보정 ","")&amp;IF(AND(B1758="CN",N(I1758)&lt;=0),"중국공급가=원가+마진 ",""))</f>
        <v/>
      </c>
    </row>
    <row r="1759" customFormat="false" ht="15" hidden="false" customHeight="true" outlineLevel="0" collapsed="false">
      <c r="A1759" s="94" t="s">
        <v>1684</v>
      </c>
      <c r="B1759" s="34" t="str">
        <f aca="false">IF(A1759="100","HK",IF(A1759="200","CN",IF(A1759="300","TW","홀세일")))</f>
        <v>HK</v>
      </c>
      <c r="C1759" s="94" t="s">
        <v>1064</v>
      </c>
      <c r="D1759" s="95" t="n">
        <v>120</v>
      </c>
      <c r="E1759" s="95" t="n">
        <v>139000</v>
      </c>
      <c r="F1759" s="95" t="n">
        <v>43541</v>
      </c>
      <c r="G1759" s="34" t="n">
        <v>11.18</v>
      </c>
      <c r="H1759" s="34" t="n">
        <v>34.8</v>
      </c>
      <c r="J1759" s="95" t="n">
        <f aca="false">IF(N(E1759)&gt;0,E1759,IF(N(F1759)&gt;0,F1759*가정!$B$5,0))</f>
        <v>139000</v>
      </c>
      <c r="K1759" s="95" t="n">
        <f aca="false">IF(N(F1759)&gt;0,F1759,IF(N(E1759)&gt;0,E1759/가정!$B$5,0))</f>
        <v>43541</v>
      </c>
      <c r="L1759" s="95" t="n">
        <f aca="false">IF(B1759="CN",IF(N(I1759)&gt;0,I1759*가정!$B$3,K1759*(1+가정!$B$6)),IF(N(H1759)&gt;0,H1759*가정!$B$3,J1759*가정!$B$4))</f>
        <v>47424.744</v>
      </c>
      <c r="M1759" s="95" t="n">
        <f aca="false">D1759*J1759</f>
        <v>16680000</v>
      </c>
      <c r="N1759" s="95" t="n">
        <f aca="false">D1759*K1759</f>
        <v>5224920</v>
      </c>
      <c r="O1759" s="95" t="n">
        <f aca="false">D1759*L1759</f>
        <v>5690969.28</v>
      </c>
      <c r="P1759" s="34" t="str">
        <f aca="false">TRIM(IF(N(E1759)&lt;=0,"택가보정 ","")&amp;IF(N(F1759)&lt;=0,"원가보정 ","")&amp;IF(AND(B1759&lt;&gt;"CN",N(H1759)&lt;=0),"공급가보정 ","")&amp;IF(AND(B1759="CN",N(I1759)&lt;=0),"중국공급가=원가+마진 ",""))</f>
        <v/>
      </c>
    </row>
    <row r="1760" customFormat="false" ht="15.75" hidden="false" customHeight="true" outlineLevel="0" collapsed="false">
      <c r="A1760" s="94" t="s">
        <v>1685</v>
      </c>
      <c r="B1760" s="34" t="str">
        <f aca="false">IF(A1760="100","HK",IF(A1760="200","CN",IF(A1760="300","TW","홀세일")))</f>
        <v>CN</v>
      </c>
      <c r="C1760" s="94" t="s">
        <v>1064</v>
      </c>
      <c r="D1760" s="95" t="n">
        <v>507</v>
      </c>
      <c r="E1760" s="95" t="n">
        <v>139000</v>
      </c>
      <c r="F1760" s="95" t="n">
        <v>43541</v>
      </c>
      <c r="G1760" s="34" t="n">
        <v>11.18</v>
      </c>
      <c r="H1760" s="34" t="n">
        <v>34.8</v>
      </c>
      <c r="J1760" s="95" t="n">
        <f aca="false">IF(N(E1760)&gt;0,E1760,IF(N(F1760)&gt;0,F1760*가정!$B$5,0))</f>
        <v>139000</v>
      </c>
      <c r="K1760" s="95" t="n">
        <f aca="false">IF(N(F1760)&gt;0,F1760,IF(N(E1760)&gt;0,E1760/가정!$B$5,0))</f>
        <v>43541</v>
      </c>
      <c r="L1760" s="95" t="n">
        <f aca="false">IF(B1760="CN",IF(N(I1760)&gt;0,I1760*가정!$B$3,K1760*(1+가정!$B$6)),IF(N(H1760)&gt;0,H1760*가정!$B$3,J1760*가정!$B$4))</f>
        <v>45718.05</v>
      </c>
      <c r="M1760" s="95" t="n">
        <f aca="false">D1760*J1760</f>
        <v>70473000</v>
      </c>
      <c r="N1760" s="95" t="n">
        <f aca="false">D1760*K1760</f>
        <v>22075287</v>
      </c>
      <c r="O1760" s="95" t="n">
        <f aca="false">D1760*L1760</f>
        <v>23179051.35</v>
      </c>
      <c r="P1760" s="34" t="str">
        <f aca="false">TRIM(IF(N(E1760)&lt;=0,"택가보정 ","")&amp;IF(N(F1760)&lt;=0,"원가보정 ","")&amp;IF(AND(B1760&lt;&gt;"CN",N(H1760)&lt;=0),"공급가보정 ","")&amp;IF(AND(B1760="CN",N(I1760)&lt;=0),"중국공급가=원가+마진 ",""))</f>
        <v>중국공급가=원가+마진</v>
      </c>
    </row>
    <row r="1761" customFormat="false" ht="15" hidden="false" customHeight="true" outlineLevel="0" collapsed="false">
      <c r="A1761" s="94" t="s">
        <v>1689</v>
      </c>
      <c r="B1761" s="34" t="str">
        <f aca="false">IF(A1761="100","HK",IF(A1761="200","CN",IF(A1761="300","TW","홀세일")))</f>
        <v>홀세일</v>
      </c>
      <c r="C1761" s="94" t="s">
        <v>1064</v>
      </c>
      <c r="D1761" s="95" t="n">
        <v>25</v>
      </c>
      <c r="E1761" s="95" t="n">
        <v>139000</v>
      </c>
      <c r="F1761" s="95" t="n">
        <v>43541</v>
      </c>
      <c r="G1761" s="34" t="n">
        <v>11.18</v>
      </c>
      <c r="H1761" s="34" t="n">
        <v>34.8</v>
      </c>
      <c r="J1761" s="95" t="n">
        <f aca="false">IF(N(E1761)&gt;0,E1761,IF(N(F1761)&gt;0,F1761*가정!$B$5,0))</f>
        <v>139000</v>
      </c>
      <c r="K1761" s="95" t="n">
        <f aca="false">IF(N(F1761)&gt;0,F1761,IF(N(E1761)&gt;0,E1761/가정!$B$5,0))</f>
        <v>43541</v>
      </c>
      <c r="L1761" s="95" t="n">
        <f aca="false">IF(B1761="CN",IF(N(I1761)&gt;0,I1761*가정!$B$3,K1761*(1+가정!$B$6)),IF(N(H1761)&gt;0,H1761*가정!$B$3,J1761*가정!$B$4))</f>
        <v>47424.744</v>
      </c>
      <c r="M1761" s="95" t="n">
        <f aca="false">D1761*J1761</f>
        <v>3475000</v>
      </c>
      <c r="N1761" s="95" t="n">
        <f aca="false">D1761*K1761</f>
        <v>1088525</v>
      </c>
      <c r="O1761" s="95" t="n">
        <f aca="false">D1761*L1761</f>
        <v>1185618.6</v>
      </c>
      <c r="P1761" s="34" t="str">
        <f aca="false">TRIM(IF(N(E1761)&lt;=0,"택가보정 ","")&amp;IF(N(F1761)&lt;=0,"원가보정 ","")&amp;IF(AND(B1761&lt;&gt;"CN",N(H1761)&lt;=0),"공급가보정 ","")&amp;IF(AND(B1761="CN",N(I1761)&lt;=0),"중국공급가=원가+마진 ",""))</f>
        <v/>
      </c>
    </row>
    <row r="1762" customFormat="false" ht="15.75" hidden="false" customHeight="true" outlineLevel="0" collapsed="false">
      <c r="A1762" s="94" t="s">
        <v>1685</v>
      </c>
      <c r="B1762" s="34" t="str">
        <f aca="false">IF(A1762="100","HK",IF(A1762="200","CN",IF(A1762="300","TW","홀세일")))</f>
        <v>CN</v>
      </c>
      <c r="C1762" s="94" t="s">
        <v>1205</v>
      </c>
      <c r="D1762" s="95" t="n">
        <v>1089</v>
      </c>
      <c r="E1762" s="95"/>
      <c r="F1762" s="95" t="n">
        <v>41400</v>
      </c>
      <c r="G1762" s="34" t="n">
        <v>0</v>
      </c>
      <c r="J1762" s="95" t="n">
        <f aca="false">IF(N(E1762)&gt;0,E1762,IF(N(F1762)&gt;0,F1762*가정!$B$5,0))</f>
        <v>165600</v>
      </c>
      <c r="K1762" s="95" t="n">
        <f aca="false">IF(N(F1762)&gt;0,F1762,IF(N(E1762)&gt;0,E1762/가정!$B$5,0))</f>
        <v>41400</v>
      </c>
      <c r="L1762" s="95" t="n">
        <f aca="false">IF(B1762="CN",IF(N(I1762)&gt;0,I1762*가정!$B$3,K1762*(1+가정!$B$6)),IF(N(H1762)&gt;0,H1762*가정!$B$3,J1762*가정!$B$4))</f>
        <v>43470</v>
      </c>
      <c r="M1762" s="95" t="n">
        <f aca="false">D1762*J1762</f>
        <v>180338400</v>
      </c>
      <c r="N1762" s="95" t="n">
        <f aca="false">D1762*K1762</f>
        <v>45084600</v>
      </c>
      <c r="O1762" s="95" t="n">
        <f aca="false">D1762*L1762</f>
        <v>47338830</v>
      </c>
      <c r="P1762" s="34" t="str">
        <f aca="false">TRIM(IF(N(E1762)&lt;=0,"택가보정 ","")&amp;IF(N(F1762)&lt;=0,"원가보정 ","")&amp;IF(AND(B1762&lt;&gt;"CN",N(H1762)&lt;=0),"공급가보정 ","")&amp;IF(AND(B1762="CN",N(I1762)&lt;=0),"중국공급가=원가+마진 ",""))</f>
        <v>택가보정 중국공급가=원가+마진</v>
      </c>
    </row>
    <row r="1763" customFormat="false" ht="15" hidden="false" customHeight="true" outlineLevel="0" collapsed="false">
      <c r="A1763" s="94" t="s">
        <v>1684</v>
      </c>
      <c r="B1763" s="34" t="str">
        <f aca="false">IF(A1763="100","HK",IF(A1763="200","CN",IF(A1763="300","TW","홀세일")))</f>
        <v>HK</v>
      </c>
      <c r="C1763" s="94" t="s">
        <v>759</v>
      </c>
      <c r="D1763" s="95" t="n">
        <v>100</v>
      </c>
      <c r="E1763" s="95" t="n">
        <v>149000</v>
      </c>
      <c r="F1763" s="95" t="n">
        <v>38324</v>
      </c>
      <c r="G1763" s="34" t="n">
        <v>4.77</v>
      </c>
      <c r="H1763" s="34" t="n">
        <v>37.3</v>
      </c>
      <c r="J1763" s="95" t="n">
        <f aca="false">IF(N(E1763)&gt;0,E1763,IF(N(F1763)&gt;0,F1763*가정!$B$5,0))</f>
        <v>149000</v>
      </c>
      <c r="K1763" s="95" t="n">
        <f aca="false">IF(N(F1763)&gt;0,F1763,IF(N(E1763)&gt;0,E1763/가정!$B$5,0))</f>
        <v>38324</v>
      </c>
      <c r="L1763" s="95" t="n">
        <f aca="false">IF(B1763="CN",IF(N(I1763)&gt;0,I1763*가정!$B$3,K1763*(1+가정!$B$6)),IF(N(H1763)&gt;0,H1763*가정!$B$3,J1763*가정!$B$4))</f>
        <v>50831.694</v>
      </c>
      <c r="M1763" s="95" t="n">
        <f aca="false">D1763*J1763</f>
        <v>14900000</v>
      </c>
      <c r="N1763" s="95" t="n">
        <f aca="false">D1763*K1763</f>
        <v>3832400</v>
      </c>
      <c r="O1763" s="95" t="n">
        <f aca="false">D1763*L1763</f>
        <v>5083169.4</v>
      </c>
      <c r="P1763" s="34" t="str">
        <f aca="false">TRIM(IF(N(E1763)&lt;=0,"택가보정 ","")&amp;IF(N(F1763)&lt;=0,"원가보정 ","")&amp;IF(AND(B1763&lt;&gt;"CN",N(H1763)&lt;=0),"공급가보정 ","")&amp;IF(AND(B1763="CN",N(I1763)&lt;=0),"중국공급가=원가+마진 ",""))</f>
        <v/>
      </c>
    </row>
    <row r="1764" customFormat="false" ht="15.75" hidden="false" customHeight="true" outlineLevel="0" collapsed="false">
      <c r="A1764" s="94" t="s">
        <v>1685</v>
      </c>
      <c r="B1764" s="34" t="str">
        <f aca="false">IF(A1764="100","HK",IF(A1764="200","CN",IF(A1764="300","TW","홀세일")))</f>
        <v>CN</v>
      </c>
      <c r="C1764" s="94" t="s">
        <v>759</v>
      </c>
      <c r="D1764" s="95" t="n">
        <v>676</v>
      </c>
      <c r="E1764" s="95" t="n">
        <v>149000</v>
      </c>
      <c r="F1764" s="95" t="n">
        <v>38324</v>
      </c>
      <c r="G1764" s="34" t="n">
        <v>4.77</v>
      </c>
      <c r="H1764" s="34" t="n">
        <v>37.3</v>
      </c>
      <c r="J1764" s="95" t="n">
        <f aca="false">IF(N(E1764)&gt;0,E1764,IF(N(F1764)&gt;0,F1764*가정!$B$5,0))</f>
        <v>149000</v>
      </c>
      <c r="K1764" s="95" t="n">
        <f aca="false">IF(N(F1764)&gt;0,F1764,IF(N(E1764)&gt;0,E1764/가정!$B$5,0))</f>
        <v>38324</v>
      </c>
      <c r="L1764" s="95" t="n">
        <f aca="false">IF(B1764="CN",IF(N(I1764)&gt;0,I1764*가정!$B$3,K1764*(1+가정!$B$6)),IF(N(H1764)&gt;0,H1764*가정!$B$3,J1764*가정!$B$4))</f>
        <v>40240.2</v>
      </c>
      <c r="M1764" s="95" t="n">
        <f aca="false">D1764*J1764</f>
        <v>100724000</v>
      </c>
      <c r="N1764" s="95" t="n">
        <f aca="false">D1764*K1764</f>
        <v>25907024</v>
      </c>
      <c r="O1764" s="95" t="n">
        <f aca="false">D1764*L1764</f>
        <v>27202375.2</v>
      </c>
      <c r="P1764" s="34" t="str">
        <f aca="false">TRIM(IF(N(E1764)&lt;=0,"택가보정 ","")&amp;IF(N(F1764)&lt;=0,"원가보정 ","")&amp;IF(AND(B1764&lt;&gt;"CN",N(H1764)&lt;=0),"공급가보정 ","")&amp;IF(AND(B1764="CN",N(I1764)&lt;=0),"중국공급가=원가+마진 ",""))</f>
        <v>중국공급가=원가+마진</v>
      </c>
    </row>
    <row r="1765" customFormat="false" ht="15" hidden="false" customHeight="true" outlineLevel="0" collapsed="false">
      <c r="A1765" s="94" t="s">
        <v>1686</v>
      </c>
      <c r="B1765" s="34" t="str">
        <f aca="false">IF(A1765="100","HK",IF(A1765="200","CN",IF(A1765="300","TW","홀세일")))</f>
        <v>TW</v>
      </c>
      <c r="C1765" s="94" t="s">
        <v>759</v>
      </c>
      <c r="D1765" s="95" t="n">
        <v>150</v>
      </c>
      <c r="E1765" s="95" t="n">
        <v>149000</v>
      </c>
      <c r="F1765" s="95" t="n">
        <v>38324</v>
      </c>
      <c r="G1765" s="34" t="n">
        <v>4.77</v>
      </c>
      <c r="H1765" s="34" t="n">
        <v>37.3</v>
      </c>
      <c r="J1765" s="95" t="n">
        <f aca="false">IF(N(E1765)&gt;0,E1765,IF(N(F1765)&gt;0,F1765*가정!$B$5,0))</f>
        <v>149000</v>
      </c>
      <c r="K1765" s="95" t="n">
        <f aca="false">IF(N(F1765)&gt;0,F1765,IF(N(E1765)&gt;0,E1765/가정!$B$5,0))</f>
        <v>38324</v>
      </c>
      <c r="L1765" s="95" t="n">
        <f aca="false">IF(B1765="CN",IF(N(I1765)&gt;0,I1765*가정!$B$3,K1765*(1+가정!$B$6)),IF(N(H1765)&gt;0,H1765*가정!$B$3,J1765*가정!$B$4))</f>
        <v>50831.694</v>
      </c>
      <c r="M1765" s="95" t="n">
        <f aca="false">D1765*J1765</f>
        <v>22350000</v>
      </c>
      <c r="N1765" s="95" t="n">
        <f aca="false">D1765*K1765</f>
        <v>5748600</v>
      </c>
      <c r="O1765" s="95" t="n">
        <f aca="false">D1765*L1765</f>
        <v>7624754.1</v>
      </c>
      <c r="P1765" s="34" t="str">
        <f aca="false">TRIM(IF(N(E1765)&lt;=0,"택가보정 ","")&amp;IF(N(F1765)&lt;=0,"원가보정 ","")&amp;IF(AND(B1765&lt;&gt;"CN",N(H1765)&lt;=0),"공급가보정 ","")&amp;IF(AND(B1765="CN",N(I1765)&lt;=0),"중국공급가=원가+마진 ",""))</f>
        <v/>
      </c>
    </row>
    <row r="1766" customFormat="false" ht="15" hidden="false" customHeight="true" outlineLevel="0" collapsed="false">
      <c r="A1766" s="94" t="s">
        <v>1684</v>
      </c>
      <c r="B1766" s="34" t="str">
        <f aca="false">IF(A1766="100","HK",IF(A1766="200","CN",IF(A1766="300","TW","홀세일")))</f>
        <v>HK</v>
      </c>
      <c r="C1766" s="94" t="s">
        <v>1066</v>
      </c>
      <c r="D1766" s="95" t="n">
        <v>210</v>
      </c>
      <c r="E1766" s="95"/>
      <c r="F1766" s="95" t="n">
        <v>38732</v>
      </c>
      <c r="G1766" s="34" t="n">
        <v>0</v>
      </c>
      <c r="H1766" s="34" t="n">
        <v>39.6</v>
      </c>
      <c r="J1766" s="95" t="n">
        <f aca="false">IF(N(E1766)&gt;0,E1766,IF(N(F1766)&gt;0,F1766*가정!$B$5,0))</f>
        <v>154928</v>
      </c>
      <c r="K1766" s="95" t="n">
        <f aca="false">IF(N(F1766)&gt;0,F1766,IF(N(E1766)&gt;0,E1766/가정!$B$5,0))</f>
        <v>38732</v>
      </c>
      <c r="L1766" s="95" t="n">
        <f aca="false">IF(B1766="CN",IF(N(I1766)&gt;0,I1766*가정!$B$3,K1766*(1+가정!$B$6)),IF(N(H1766)&gt;0,H1766*가정!$B$3,J1766*가정!$B$4))</f>
        <v>53966.088</v>
      </c>
      <c r="M1766" s="95" t="n">
        <f aca="false">D1766*J1766</f>
        <v>32534880</v>
      </c>
      <c r="N1766" s="95" t="n">
        <f aca="false">D1766*K1766</f>
        <v>8133720</v>
      </c>
      <c r="O1766" s="95" t="n">
        <f aca="false">D1766*L1766</f>
        <v>11332878.48</v>
      </c>
      <c r="P1766" s="34" t="str">
        <f aca="false">TRIM(IF(N(E1766)&lt;=0,"택가보정 ","")&amp;IF(N(F1766)&lt;=0,"원가보정 ","")&amp;IF(AND(B1766&lt;&gt;"CN",N(H1766)&lt;=0),"공급가보정 ","")&amp;IF(AND(B1766="CN",N(I1766)&lt;=0),"중국공급가=원가+마진 ",""))</f>
        <v>택가보정</v>
      </c>
    </row>
    <row r="1767" customFormat="false" ht="15.75" hidden="false" customHeight="true" outlineLevel="0" collapsed="false">
      <c r="A1767" s="94" t="s">
        <v>1685</v>
      </c>
      <c r="B1767" s="34" t="str">
        <f aca="false">IF(A1767="100","HK",IF(A1767="200","CN",IF(A1767="300","TW","홀세일")))</f>
        <v>CN</v>
      </c>
      <c r="C1767" s="94" t="s">
        <v>1066</v>
      </c>
      <c r="D1767" s="95" t="n">
        <v>412</v>
      </c>
      <c r="E1767" s="95"/>
      <c r="F1767" s="95" t="n">
        <v>38732</v>
      </c>
      <c r="G1767" s="34" t="n">
        <v>0</v>
      </c>
      <c r="H1767" s="34" t="n">
        <v>39.6</v>
      </c>
      <c r="J1767" s="95" t="n">
        <f aca="false">IF(N(E1767)&gt;0,E1767,IF(N(F1767)&gt;0,F1767*가정!$B$5,0))</f>
        <v>154928</v>
      </c>
      <c r="K1767" s="95" t="n">
        <f aca="false">IF(N(F1767)&gt;0,F1767,IF(N(E1767)&gt;0,E1767/가정!$B$5,0))</f>
        <v>38732</v>
      </c>
      <c r="L1767" s="95" t="n">
        <f aca="false">IF(B1767="CN",IF(N(I1767)&gt;0,I1767*가정!$B$3,K1767*(1+가정!$B$6)),IF(N(H1767)&gt;0,H1767*가정!$B$3,J1767*가정!$B$4))</f>
        <v>40668.6</v>
      </c>
      <c r="M1767" s="95" t="n">
        <f aca="false">D1767*J1767</f>
        <v>63830336</v>
      </c>
      <c r="N1767" s="95" t="n">
        <f aca="false">D1767*K1767</f>
        <v>15957584</v>
      </c>
      <c r="O1767" s="95" t="n">
        <f aca="false">D1767*L1767</f>
        <v>16755463.2</v>
      </c>
      <c r="P1767" s="34" t="str">
        <f aca="false">TRIM(IF(N(E1767)&lt;=0,"택가보정 ","")&amp;IF(N(F1767)&lt;=0,"원가보정 ","")&amp;IF(AND(B1767&lt;&gt;"CN",N(H1767)&lt;=0),"공급가보정 ","")&amp;IF(AND(B1767="CN",N(I1767)&lt;=0),"중국공급가=원가+마진 ",""))</f>
        <v>택가보정 중국공급가=원가+마진</v>
      </c>
    </row>
    <row r="1768" customFormat="false" ht="15.75" hidden="false" customHeight="true" outlineLevel="0" collapsed="false">
      <c r="A1768" s="94" t="s">
        <v>1685</v>
      </c>
      <c r="B1768" s="34" t="str">
        <f aca="false">IF(A1768="100","HK",IF(A1768="200","CN",IF(A1768="300","TW","홀세일")))</f>
        <v>CN</v>
      </c>
      <c r="C1768" s="94" t="s">
        <v>1066</v>
      </c>
      <c r="D1768" s="95" t="n">
        <v>412</v>
      </c>
      <c r="E1768" s="95"/>
      <c r="F1768" s="95" t="n">
        <v>38732</v>
      </c>
      <c r="G1768" s="34" t="n">
        <v>0</v>
      </c>
      <c r="H1768" s="34" t="n">
        <v>39.6</v>
      </c>
      <c r="J1768" s="95" t="n">
        <f aca="false">IF(N(E1768)&gt;0,E1768,IF(N(F1768)&gt;0,F1768*가정!$B$5,0))</f>
        <v>154928</v>
      </c>
      <c r="K1768" s="95" t="n">
        <f aca="false">IF(N(F1768)&gt;0,F1768,IF(N(E1768)&gt;0,E1768/가정!$B$5,0))</f>
        <v>38732</v>
      </c>
      <c r="L1768" s="95" t="n">
        <f aca="false">IF(B1768="CN",IF(N(I1768)&gt;0,I1768*가정!$B$3,K1768*(1+가정!$B$6)),IF(N(H1768)&gt;0,H1768*가정!$B$3,J1768*가정!$B$4))</f>
        <v>40668.6</v>
      </c>
      <c r="M1768" s="95" t="n">
        <f aca="false">D1768*J1768</f>
        <v>63830336</v>
      </c>
      <c r="N1768" s="95" t="n">
        <f aca="false">D1768*K1768</f>
        <v>15957584</v>
      </c>
      <c r="O1768" s="95" t="n">
        <f aca="false">D1768*L1768</f>
        <v>16755463.2</v>
      </c>
      <c r="P1768" s="34" t="str">
        <f aca="false">TRIM(IF(N(E1768)&lt;=0,"택가보정 ","")&amp;IF(N(F1768)&lt;=0,"원가보정 ","")&amp;IF(AND(B1768&lt;&gt;"CN",N(H1768)&lt;=0),"공급가보정 ","")&amp;IF(AND(B1768="CN",N(I1768)&lt;=0),"중국공급가=원가+마진 ",""))</f>
        <v>택가보정 중국공급가=원가+마진</v>
      </c>
    </row>
    <row r="1769" customFormat="false" ht="15.75" hidden="false" customHeight="true" outlineLevel="0" collapsed="false">
      <c r="A1769" s="94" t="s">
        <v>1685</v>
      </c>
      <c r="B1769" s="34" t="str">
        <f aca="false">IF(A1769="100","HK",IF(A1769="200","CN",IF(A1769="300","TW","홀세일")))</f>
        <v>CN</v>
      </c>
      <c r="C1769" s="94" t="s">
        <v>1207</v>
      </c>
      <c r="D1769" s="95" t="n">
        <v>122</v>
      </c>
      <c r="E1769" s="95" t="n">
        <v>189000</v>
      </c>
      <c r="F1769" s="95" t="n">
        <v>54100</v>
      </c>
      <c r="G1769" s="34" t="n">
        <v>3.01</v>
      </c>
      <c r="H1769" s="34" t="n">
        <v>47.3</v>
      </c>
      <c r="J1769" s="95" t="n">
        <f aca="false">IF(N(E1769)&gt;0,E1769,IF(N(F1769)&gt;0,F1769*가정!$B$5,0))</f>
        <v>189000</v>
      </c>
      <c r="K1769" s="95" t="n">
        <f aca="false">IF(N(F1769)&gt;0,F1769,IF(N(E1769)&gt;0,E1769/가정!$B$5,0))</f>
        <v>54100</v>
      </c>
      <c r="L1769" s="95" t="n">
        <f aca="false">IF(B1769="CN",IF(N(I1769)&gt;0,I1769*가정!$B$3,K1769*(1+가정!$B$6)),IF(N(H1769)&gt;0,H1769*가정!$B$3,J1769*가정!$B$4))</f>
        <v>56805</v>
      </c>
      <c r="M1769" s="95" t="n">
        <f aca="false">D1769*J1769</f>
        <v>23058000</v>
      </c>
      <c r="N1769" s="95" t="n">
        <f aca="false">D1769*K1769</f>
        <v>6600200</v>
      </c>
      <c r="O1769" s="95" t="n">
        <f aca="false">D1769*L1769</f>
        <v>6930210</v>
      </c>
      <c r="P1769" s="34" t="str">
        <f aca="false">TRIM(IF(N(E1769)&lt;=0,"택가보정 ","")&amp;IF(N(F1769)&lt;=0,"원가보정 ","")&amp;IF(AND(B1769&lt;&gt;"CN",N(H1769)&lt;=0),"공급가보정 ","")&amp;IF(AND(B1769="CN",N(I1769)&lt;=0),"중국공급가=원가+마진 ",""))</f>
        <v>중국공급가=원가+마진</v>
      </c>
    </row>
    <row r="1770" customFormat="false" ht="15" hidden="false" customHeight="true" outlineLevel="0" collapsed="false">
      <c r="A1770" s="94" t="s">
        <v>1684</v>
      </c>
      <c r="B1770" s="34" t="str">
        <f aca="false">IF(A1770="100","HK",IF(A1770="200","CN",IF(A1770="300","TW","홀세일")))</f>
        <v>HK</v>
      </c>
      <c r="C1770" s="94" t="s">
        <v>761</v>
      </c>
      <c r="D1770" s="95" t="n">
        <v>140</v>
      </c>
      <c r="E1770" s="95" t="n">
        <v>169000</v>
      </c>
      <c r="F1770" s="95" t="n">
        <v>50679</v>
      </c>
      <c r="G1770" s="34" t="n">
        <v>2.99</v>
      </c>
      <c r="H1770" s="34" t="n">
        <v>42.3</v>
      </c>
      <c r="J1770" s="95" t="n">
        <f aca="false">IF(N(E1770)&gt;0,E1770,IF(N(F1770)&gt;0,F1770*가정!$B$5,0))</f>
        <v>169000</v>
      </c>
      <c r="K1770" s="95" t="n">
        <f aca="false">IF(N(F1770)&gt;0,F1770,IF(N(E1770)&gt;0,E1770/가정!$B$5,0))</f>
        <v>50679</v>
      </c>
      <c r="L1770" s="95" t="n">
        <f aca="false">IF(B1770="CN",IF(N(I1770)&gt;0,I1770*가정!$B$3,K1770*(1+가정!$B$6)),IF(N(H1770)&gt;0,H1770*가정!$B$3,J1770*가정!$B$4))</f>
        <v>57645.594</v>
      </c>
      <c r="M1770" s="95" t="n">
        <f aca="false">D1770*J1770</f>
        <v>23660000</v>
      </c>
      <c r="N1770" s="95" t="n">
        <f aca="false">D1770*K1770</f>
        <v>7095060</v>
      </c>
      <c r="O1770" s="95" t="n">
        <f aca="false">D1770*L1770</f>
        <v>8070383.16</v>
      </c>
      <c r="P1770" s="34" t="str">
        <f aca="false">TRIM(IF(N(E1770)&lt;=0,"택가보정 ","")&amp;IF(N(F1770)&lt;=0,"원가보정 ","")&amp;IF(AND(B1770&lt;&gt;"CN",N(H1770)&lt;=0),"공급가보정 ","")&amp;IF(AND(B1770="CN",N(I1770)&lt;=0),"중국공급가=원가+마진 ",""))</f>
        <v/>
      </c>
    </row>
    <row r="1771" customFormat="false" ht="15.75" hidden="false" customHeight="true" outlineLevel="0" collapsed="false">
      <c r="A1771" s="94" t="s">
        <v>1685</v>
      </c>
      <c r="B1771" s="34" t="str">
        <f aca="false">IF(A1771="100","HK",IF(A1771="200","CN",IF(A1771="300","TW","홀세일")))</f>
        <v>CN</v>
      </c>
      <c r="C1771" s="94" t="s">
        <v>761</v>
      </c>
      <c r="D1771" s="95" t="n">
        <v>276</v>
      </c>
      <c r="E1771" s="95" t="n">
        <v>169000</v>
      </c>
      <c r="F1771" s="95" t="n">
        <v>50679</v>
      </c>
      <c r="G1771" s="34" t="n">
        <v>2.99</v>
      </c>
      <c r="H1771" s="34" t="n">
        <v>42.3</v>
      </c>
      <c r="J1771" s="95" t="n">
        <f aca="false">IF(N(E1771)&gt;0,E1771,IF(N(F1771)&gt;0,F1771*가정!$B$5,0))</f>
        <v>169000</v>
      </c>
      <c r="K1771" s="95" t="n">
        <f aca="false">IF(N(F1771)&gt;0,F1771,IF(N(E1771)&gt;0,E1771/가정!$B$5,0))</f>
        <v>50679</v>
      </c>
      <c r="L1771" s="95" t="n">
        <f aca="false">IF(B1771="CN",IF(N(I1771)&gt;0,I1771*가정!$B$3,K1771*(1+가정!$B$6)),IF(N(H1771)&gt;0,H1771*가정!$B$3,J1771*가정!$B$4))</f>
        <v>53212.95</v>
      </c>
      <c r="M1771" s="95" t="n">
        <f aca="false">D1771*J1771</f>
        <v>46644000</v>
      </c>
      <c r="N1771" s="95" t="n">
        <f aca="false">D1771*K1771</f>
        <v>13987404</v>
      </c>
      <c r="O1771" s="95" t="n">
        <f aca="false">D1771*L1771</f>
        <v>14686774.2</v>
      </c>
      <c r="P1771" s="34" t="str">
        <f aca="false">TRIM(IF(N(E1771)&lt;=0,"택가보정 ","")&amp;IF(N(F1771)&lt;=0,"원가보정 ","")&amp;IF(AND(B1771&lt;&gt;"CN",N(H1771)&lt;=0),"공급가보정 ","")&amp;IF(AND(B1771="CN",N(I1771)&lt;=0),"중국공급가=원가+마진 ",""))</f>
        <v>중국공급가=원가+마진</v>
      </c>
    </row>
    <row r="1772" customFormat="false" ht="15" hidden="false" customHeight="true" outlineLevel="0" collapsed="false">
      <c r="A1772" s="94" t="s">
        <v>1686</v>
      </c>
      <c r="B1772" s="34" t="str">
        <f aca="false">IF(A1772="100","HK",IF(A1772="200","CN",IF(A1772="300","TW","홀세일")))</f>
        <v>TW</v>
      </c>
      <c r="C1772" s="94" t="s">
        <v>761</v>
      </c>
      <c r="D1772" s="95" t="n">
        <v>280</v>
      </c>
      <c r="E1772" s="95" t="n">
        <v>169000</v>
      </c>
      <c r="F1772" s="95" t="n">
        <v>50679</v>
      </c>
      <c r="G1772" s="34" t="n">
        <v>2.99</v>
      </c>
      <c r="H1772" s="34" t="n">
        <v>42.3</v>
      </c>
      <c r="J1772" s="95" t="n">
        <f aca="false">IF(N(E1772)&gt;0,E1772,IF(N(F1772)&gt;0,F1772*가정!$B$5,0))</f>
        <v>169000</v>
      </c>
      <c r="K1772" s="95" t="n">
        <f aca="false">IF(N(F1772)&gt;0,F1772,IF(N(E1772)&gt;0,E1772/가정!$B$5,0))</f>
        <v>50679</v>
      </c>
      <c r="L1772" s="95" t="n">
        <f aca="false">IF(B1772="CN",IF(N(I1772)&gt;0,I1772*가정!$B$3,K1772*(1+가정!$B$6)),IF(N(H1772)&gt;0,H1772*가정!$B$3,J1772*가정!$B$4))</f>
        <v>57645.594</v>
      </c>
      <c r="M1772" s="95" t="n">
        <f aca="false">D1772*J1772</f>
        <v>47320000</v>
      </c>
      <c r="N1772" s="95" t="n">
        <f aca="false">D1772*K1772</f>
        <v>14190120</v>
      </c>
      <c r="O1772" s="95" t="n">
        <f aca="false">D1772*L1772</f>
        <v>16140766.32</v>
      </c>
      <c r="P1772" s="34" t="str">
        <f aca="false">TRIM(IF(N(E1772)&lt;=0,"택가보정 ","")&amp;IF(N(F1772)&lt;=0,"원가보정 ","")&amp;IF(AND(B1772&lt;&gt;"CN",N(H1772)&lt;=0),"공급가보정 ","")&amp;IF(AND(B1772="CN",N(I1772)&lt;=0),"중국공급가=원가+마진 ",""))</f>
        <v/>
      </c>
    </row>
    <row r="1773" customFormat="false" ht="15" hidden="false" customHeight="true" outlineLevel="0" collapsed="false">
      <c r="A1773" s="94" t="s">
        <v>1688</v>
      </c>
      <c r="B1773" s="34" t="str">
        <f aca="false">IF(A1773="100","HK",IF(A1773="200","CN",IF(A1773="300","TW","홀세일")))</f>
        <v>홀세일</v>
      </c>
      <c r="C1773" s="94" t="s">
        <v>761</v>
      </c>
      <c r="D1773" s="95" t="n">
        <v>15</v>
      </c>
      <c r="E1773" s="95" t="n">
        <v>169000</v>
      </c>
      <c r="F1773" s="95" t="n">
        <v>50679</v>
      </c>
      <c r="G1773" s="34" t="n">
        <v>2.99</v>
      </c>
      <c r="H1773" s="34" t="n">
        <v>42.3</v>
      </c>
      <c r="J1773" s="95" t="n">
        <f aca="false">IF(N(E1773)&gt;0,E1773,IF(N(F1773)&gt;0,F1773*가정!$B$5,0))</f>
        <v>169000</v>
      </c>
      <c r="K1773" s="95" t="n">
        <f aca="false">IF(N(F1773)&gt;0,F1773,IF(N(E1773)&gt;0,E1773/가정!$B$5,0))</f>
        <v>50679</v>
      </c>
      <c r="L1773" s="95" t="n">
        <f aca="false">IF(B1773="CN",IF(N(I1773)&gt;0,I1773*가정!$B$3,K1773*(1+가정!$B$6)),IF(N(H1773)&gt;0,H1773*가정!$B$3,J1773*가정!$B$4))</f>
        <v>57645.594</v>
      </c>
      <c r="M1773" s="95" t="n">
        <f aca="false">D1773*J1773</f>
        <v>2535000</v>
      </c>
      <c r="N1773" s="95" t="n">
        <f aca="false">D1773*K1773</f>
        <v>760185</v>
      </c>
      <c r="O1773" s="95" t="n">
        <f aca="false">D1773*L1773</f>
        <v>864683.91</v>
      </c>
      <c r="P1773" s="34" t="str">
        <f aca="false">TRIM(IF(N(E1773)&lt;=0,"택가보정 ","")&amp;IF(N(F1773)&lt;=0,"원가보정 ","")&amp;IF(AND(B1773&lt;&gt;"CN",N(H1773)&lt;=0),"공급가보정 ","")&amp;IF(AND(B1773="CN",N(I1773)&lt;=0),"중국공급가=원가+마진 ",""))</f>
        <v/>
      </c>
    </row>
    <row r="1774" customFormat="false" ht="15.75" hidden="false" customHeight="true" outlineLevel="0" collapsed="false">
      <c r="A1774" s="94" t="s">
        <v>1685</v>
      </c>
      <c r="B1774" s="34" t="str">
        <f aca="false">IF(A1774="100","HK",IF(A1774="200","CN",IF(A1774="300","TW","홀세일")))</f>
        <v>CN</v>
      </c>
      <c r="C1774" s="94" t="s">
        <v>1209</v>
      </c>
      <c r="D1774" s="95" t="n">
        <v>483</v>
      </c>
      <c r="E1774" s="95" t="n">
        <v>89000</v>
      </c>
      <c r="F1774" s="95" t="n">
        <v>24695</v>
      </c>
      <c r="G1774" s="34" t="n">
        <v>4.57</v>
      </c>
      <c r="H1774" s="34" t="n">
        <v>22.3</v>
      </c>
      <c r="J1774" s="95" t="n">
        <f aca="false">IF(N(E1774)&gt;0,E1774,IF(N(F1774)&gt;0,F1774*가정!$B$5,0))</f>
        <v>89000</v>
      </c>
      <c r="K1774" s="95" t="n">
        <f aca="false">IF(N(F1774)&gt;0,F1774,IF(N(E1774)&gt;0,E1774/가정!$B$5,0))</f>
        <v>24695</v>
      </c>
      <c r="L1774" s="95" t="n">
        <f aca="false">IF(B1774="CN",IF(N(I1774)&gt;0,I1774*가정!$B$3,K1774*(1+가정!$B$6)),IF(N(H1774)&gt;0,H1774*가정!$B$3,J1774*가정!$B$4))</f>
        <v>25929.75</v>
      </c>
      <c r="M1774" s="95" t="n">
        <f aca="false">D1774*J1774</f>
        <v>42987000</v>
      </c>
      <c r="N1774" s="95" t="n">
        <f aca="false">D1774*K1774</f>
        <v>11927685</v>
      </c>
      <c r="O1774" s="95" t="n">
        <f aca="false">D1774*L1774</f>
        <v>12524069.25</v>
      </c>
      <c r="P1774" s="34" t="str">
        <f aca="false">TRIM(IF(N(E1774)&lt;=0,"택가보정 ","")&amp;IF(N(F1774)&lt;=0,"원가보정 ","")&amp;IF(AND(B1774&lt;&gt;"CN",N(H1774)&lt;=0),"공급가보정 ","")&amp;IF(AND(B1774="CN",N(I1774)&lt;=0),"중국공급가=원가+마진 ",""))</f>
        <v>중국공급가=원가+마진</v>
      </c>
    </row>
    <row r="1775" customFormat="false" ht="15.75" hidden="false" customHeight="true" outlineLevel="0" collapsed="false">
      <c r="A1775" s="94" t="s">
        <v>1685</v>
      </c>
      <c r="B1775" s="34" t="str">
        <f aca="false">IF(A1775="100","HK",IF(A1775="200","CN",IF(A1775="300","TW","홀세일")))</f>
        <v>CN</v>
      </c>
      <c r="C1775" s="94" t="s">
        <v>1211</v>
      </c>
      <c r="D1775" s="95" t="n">
        <v>533</v>
      </c>
      <c r="E1775" s="95"/>
      <c r="F1775" s="95" t="n">
        <v>27197</v>
      </c>
      <c r="G1775" s="34" t="n">
        <v>0</v>
      </c>
      <c r="H1775" s="34" t="n">
        <v>29</v>
      </c>
      <c r="J1775" s="95" t="n">
        <f aca="false">IF(N(E1775)&gt;0,E1775,IF(N(F1775)&gt;0,F1775*가정!$B$5,0))</f>
        <v>108788</v>
      </c>
      <c r="K1775" s="95" t="n">
        <f aca="false">IF(N(F1775)&gt;0,F1775,IF(N(E1775)&gt;0,E1775/가정!$B$5,0))</f>
        <v>27197</v>
      </c>
      <c r="L1775" s="95" t="n">
        <f aca="false">IF(B1775="CN",IF(N(I1775)&gt;0,I1775*가정!$B$3,K1775*(1+가정!$B$6)),IF(N(H1775)&gt;0,H1775*가정!$B$3,J1775*가정!$B$4))</f>
        <v>28556.85</v>
      </c>
      <c r="M1775" s="95" t="n">
        <f aca="false">D1775*J1775</f>
        <v>57984004</v>
      </c>
      <c r="N1775" s="95" t="n">
        <f aca="false">D1775*K1775</f>
        <v>14496001</v>
      </c>
      <c r="O1775" s="95" t="n">
        <f aca="false">D1775*L1775</f>
        <v>15220801.05</v>
      </c>
      <c r="P1775" s="34" t="str">
        <f aca="false">TRIM(IF(N(E1775)&lt;=0,"택가보정 ","")&amp;IF(N(F1775)&lt;=0,"원가보정 ","")&amp;IF(AND(B1775&lt;&gt;"CN",N(H1775)&lt;=0),"공급가보정 ","")&amp;IF(AND(B1775="CN",N(I1775)&lt;=0),"중국공급가=원가+마진 ",""))</f>
        <v>택가보정 중국공급가=원가+마진</v>
      </c>
    </row>
    <row r="1776" customFormat="false" ht="15" hidden="false" customHeight="true" outlineLevel="0" collapsed="false">
      <c r="A1776" s="94" t="s">
        <v>1684</v>
      </c>
      <c r="B1776" s="34" t="str">
        <f aca="false">IF(A1776="100","HK",IF(A1776="200","CN",IF(A1776="300","TW","홀세일")))</f>
        <v>HK</v>
      </c>
      <c r="C1776" s="94" t="s">
        <v>1068</v>
      </c>
      <c r="D1776" s="95" t="n">
        <v>90</v>
      </c>
      <c r="E1776" s="95"/>
      <c r="F1776" s="95" t="n">
        <v>31301</v>
      </c>
      <c r="G1776" s="34" t="n">
        <v>0</v>
      </c>
      <c r="H1776" s="34" t="n">
        <v>26.3</v>
      </c>
      <c r="J1776" s="95" t="n">
        <f aca="false">IF(N(E1776)&gt;0,E1776,IF(N(F1776)&gt;0,F1776*가정!$B$5,0))</f>
        <v>125204</v>
      </c>
      <c r="K1776" s="95" t="n">
        <f aca="false">IF(N(F1776)&gt;0,F1776,IF(N(E1776)&gt;0,E1776/가정!$B$5,0))</f>
        <v>31301</v>
      </c>
      <c r="L1776" s="95" t="n">
        <f aca="false">IF(B1776="CN",IF(N(I1776)&gt;0,I1776*가정!$B$3,K1776*(1+가정!$B$6)),IF(N(H1776)&gt;0,H1776*가정!$B$3,J1776*가정!$B$4))</f>
        <v>35841.114</v>
      </c>
      <c r="M1776" s="95" t="n">
        <f aca="false">D1776*J1776</f>
        <v>11268360</v>
      </c>
      <c r="N1776" s="95" t="n">
        <f aca="false">D1776*K1776</f>
        <v>2817090</v>
      </c>
      <c r="O1776" s="95" t="n">
        <f aca="false">D1776*L1776</f>
        <v>3225700.26</v>
      </c>
      <c r="P1776" s="34" t="str">
        <f aca="false">TRIM(IF(N(E1776)&lt;=0,"택가보정 ","")&amp;IF(N(F1776)&lt;=0,"원가보정 ","")&amp;IF(AND(B1776&lt;&gt;"CN",N(H1776)&lt;=0),"공급가보정 ","")&amp;IF(AND(B1776="CN",N(I1776)&lt;=0),"중국공급가=원가+마진 ",""))</f>
        <v>택가보정</v>
      </c>
    </row>
    <row r="1777" customFormat="false" ht="15.75" hidden="false" customHeight="true" outlineLevel="0" collapsed="false">
      <c r="A1777" s="94" t="s">
        <v>1685</v>
      </c>
      <c r="B1777" s="34" t="str">
        <f aca="false">IF(A1777="100","HK",IF(A1777="200","CN",IF(A1777="300","TW","홀세일")))</f>
        <v>CN</v>
      </c>
      <c r="C1777" s="94" t="s">
        <v>1068</v>
      </c>
      <c r="D1777" s="95" t="n">
        <v>322</v>
      </c>
      <c r="E1777" s="95"/>
      <c r="F1777" s="95" t="n">
        <v>31301</v>
      </c>
      <c r="G1777" s="34" t="n">
        <v>0</v>
      </c>
      <c r="H1777" s="34" t="n">
        <v>26.3</v>
      </c>
      <c r="J1777" s="95" t="n">
        <f aca="false">IF(N(E1777)&gt;0,E1777,IF(N(F1777)&gt;0,F1777*가정!$B$5,0))</f>
        <v>125204</v>
      </c>
      <c r="K1777" s="95" t="n">
        <f aca="false">IF(N(F1777)&gt;0,F1777,IF(N(E1777)&gt;0,E1777/가정!$B$5,0))</f>
        <v>31301</v>
      </c>
      <c r="L1777" s="95" t="n">
        <f aca="false">IF(B1777="CN",IF(N(I1777)&gt;0,I1777*가정!$B$3,K1777*(1+가정!$B$6)),IF(N(H1777)&gt;0,H1777*가정!$B$3,J1777*가정!$B$4))</f>
        <v>32866.05</v>
      </c>
      <c r="M1777" s="95" t="n">
        <f aca="false">D1777*J1777</f>
        <v>40315688</v>
      </c>
      <c r="N1777" s="95" t="n">
        <f aca="false">D1777*K1777</f>
        <v>10078922</v>
      </c>
      <c r="O1777" s="95" t="n">
        <f aca="false">D1777*L1777</f>
        <v>10582868.1</v>
      </c>
      <c r="P1777" s="34" t="str">
        <f aca="false">TRIM(IF(N(E1777)&lt;=0,"택가보정 ","")&amp;IF(N(F1777)&lt;=0,"원가보정 ","")&amp;IF(AND(B1777&lt;&gt;"CN",N(H1777)&lt;=0),"공급가보정 ","")&amp;IF(AND(B1777="CN",N(I1777)&lt;=0),"중국공급가=원가+마진 ",""))</f>
        <v>택가보정 중국공급가=원가+마진</v>
      </c>
    </row>
    <row r="1778" customFormat="false" ht="15" hidden="false" customHeight="true" outlineLevel="0" collapsed="false">
      <c r="A1778" s="94" t="s">
        <v>1684</v>
      </c>
      <c r="B1778" s="34" t="str">
        <f aca="false">IF(A1778="100","HK",IF(A1778="200","CN",IF(A1778="300","TW","홀세일")))</f>
        <v>HK</v>
      </c>
      <c r="C1778" s="94" t="s">
        <v>1070</v>
      </c>
      <c r="D1778" s="95" t="n">
        <v>100</v>
      </c>
      <c r="E1778" s="95"/>
      <c r="F1778" s="95" t="n">
        <v>17899</v>
      </c>
      <c r="G1778" s="34" t="n">
        <v>0</v>
      </c>
      <c r="H1778" s="34" t="n">
        <v>18.4</v>
      </c>
      <c r="J1778" s="95" t="n">
        <f aca="false">IF(N(E1778)&gt;0,E1778,IF(N(F1778)&gt;0,F1778*가정!$B$5,0))</f>
        <v>71596</v>
      </c>
      <c r="K1778" s="95" t="n">
        <f aca="false">IF(N(F1778)&gt;0,F1778,IF(N(E1778)&gt;0,E1778/가정!$B$5,0))</f>
        <v>17899</v>
      </c>
      <c r="L1778" s="95" t="n">
        <f aca="false">IF(B1778="CN",IF(N(I1778)&gt;0,I1778*가정!$B$3,K1778*(1+가정!$B$6)),IF(N(H1778)&gt;0,H1778*가정!$B$3,J1778*가정!$B$4))</f>
        <v>25075.152</v>
      </c>
      <c r="M1778" s="95" t="n">
        <f aca="false">D1778*J1778</f>
        <v>7159600</v>
      </c>
      <c r="N1778" s="95" t="n">
        <f aca="false">D1778*K1778</f>
        <v>1789900</v>
      </c>
      <c r="O1778" s="95" t="n">
        <f aca="false">D1778*L1778</f>
        <v>2507515.2</v>
      </c>
      <c r="P1778" s="34" t="str">
        <f aca="false">TRIM(IF(N(E1778)&lt;=0,"택가보정 ","")&amp;IF(N(F1778)&lt;=0,"원가보정 ","")&amp;IF(AND(B1778&lt;&gt;"CN",N(H1778)&lt;=0),"공급가보정 ","")&amp;IF(AND(B1778="CN",N(I1778)&lt;=0),"중국공급가=원가+마진 ",""))</f>
        <v>택가보정</v>
      </c>
    </row>
    <row r="1779" customFormat="false" ht="15.75" hidden="false" customHeight="true" outlineLevel="0" collapsed="false">
      <c r="A1779" s="94" t="s">
        <v>1685</v>
      </c>
      <c r="B1779" s="34" t="str">
        <f aca="false">IF(A1779="100","HK",IF(A1779="200","CN",IF(A1779="300","TW","홀세일")))</f>
        <v>CN</v>
      </c>
      <c r="C1779" s="94" t="s">
        <v>1070</v>
      </c>
      <c r="D1779" s="95" t="n">
        <v>372</v>
      </c>
      <c r="E1779" s="95"/>
      <c r="F1779" s="95" t="n">
        <v>17899</v>
      </c>
      <c r="G1779" s="34" t="n">
        <v>0</v>
      </c>
      <c r="H1779" s="34" t="n">
        <v>18.4</v>
      </c>
      <c r="J1779" s="95" t="n">
        <f aca="false">IF(N(E1779)&gt;0,E1779,IF(N(F1779)&gt;0,F1779*가정!$B$5,0))</f>
        <v>71596</v>
      </c>
      <c r="K1779" s="95" t="n">
        <f aca="false">IF(N(F1779)&gt;0,F1779,IF(N(E1779)&gt;0,E1779/가정!$B$5,0))</f>
        <v>17899</v>
      </c>
      <c r="L1779" s="95" t="n">
        <f aca="false">IF(B1779="CN",IF(N(I1779)&gt;0,I1779*가정!$B$3,K1779*(1+가정!$B$6)),IF(N(H1779)&gt;0,H1779*가정!$B$3,J1779*가정!$B$4))</f>
        <v>18793.95</v>
      </c>
      <c r="M1779" s="95" t="n">
        <f aca="false">D1779*J1779</f>
        <v>26633712</v>
      </c>
      <c r="N1779" s="95" t="n">
        <f aca="false">D1779*K1779</f>
        <v>6658428</v>
      </c>
      <c r="O1779" s="95" t="n">
        <f aca="false">D1779*L1779</f>
        <v>6991349.4</v>
      </c>
      <c r="P1779" s="34" t="str">
        <f aca="false">TRIM(IF(N(E1779)&lt;=0,"택가보정 ","")&amp;IF(N(F1779)&lt;=0,"원가보정 ","")&amp;IF(AND(B1779&lt;&gt;"CN",N(H1779)&lt;=0),"공급가보정 ","")&amp;IF(AND(B1779="CN",N(I1779)&lt;=0),"중국공급가=원가+마진 ",""))</f>
        <v>택가보정 중국공급가=원가+마진</v>
      </c>
    </row>
    <row r="1780" customFormat="false" ht="15" hidden="false" customHeight="true" outlineLevel="0" collapsed="false">
      <c r="A1780" s="94" t="s">
        <v>1684</v>
      </c>
      <c r="B1780" s="34" t="str">
        <f aca="false">IF(A1780="100","HK",IF(A1780="200","CN",IF(A1780="300","TW","홀세일")))</f>
        <v>HK</v>
      </c>
      <c r="C1780" s="94" t="s">
        <v>1072</v>
      </c>
      <c r="D1780" s="95" t="n">
        <v>180</v>
      </c>
      <c r="E1780" s="95"/>
      <c r="F1780" s="95" t="n">
        <v>31102</v>
      </c>
      <c r="G1780" s="34" t="n">
        <v>0</v>
      </c>
      <c r="H1780" s="34" t="n">
        <v>29</v>
      </c>
      <c r="J1780" s="95" t="n">
        <f aca="false">IF(N(E1780)&gt;0,E1780,IF(N(F1780)&gt;0,F1780*가정!$B$5,0))</f>
        <v>124408</v>
      </c>
      <c r="K1780" s="95" t="n">
        <f aca="false">IF(N(F1780)&gt;0,F1780,IF(N(E1780)&gt;0,E1780/가정!$B$5,0))</f>
        <v>31102</v>
      </c>
      <c r="L1780" s="95" t="n">
        <f aca="false">IF(B1780="CN",IF(N(I1780)&gt;0,I1780*가정!$B$3,K1780*(1+가정!$B$6)),IF(N(H1780)&gt;0,H1780*가정!$B$3,J1780*가정!$B$4))</f>
        <v>39520.62</v>
      </c>
      <c r="M1780" s="95" t="n">
        <f aca="false">D1780*J1780</f>
        <v>22393440</v>
      </c>
      <c r="N1780" s="95" t="n">
        <f aca="false">D1780*K1780</f>
        <v>5598360</v>
      </c>
      <c r="O1780" s="95" t="n">
        <f aca="false">D1780*L1780</f>
        <v>7113711.6</v>
      </c>
      <c r="P1780" s="34" t="str">
        <f aca="false">TRIM(IF(N(E1780)&lt;=0,"택가보정 ","")&amp;IF(N(F1780)&lt;=0,"원가보정 ","")&amp;IF(AND(B1780&lt;&gt;"CN",N(H1780)&lt;=0),"공급가보정 ","")&amp;IF(AND(B1780="CN",N(I1780)&lt;=0),"중국공급가=원가+마진 ",""))</f>
        <v>택가보정</v>
      </c>
    </row>
    <row r="1781" customFormat="false" ht="15.75" hidden="false" customHeight="true" outlineLevel="0" collapsed="false">
      <c r="A1781" s="94" t="s">
        <v>1685</v>
      </c>
      <c r="B1781" s="34" t="str">
        <f aca="false">IF(A1781="100","HK",IF(A1781="200","CN",IF(A1781="300","TW","홀세일")))</f>
        <v>CN</v>
      </c>
      <c r="C1781" s="94" t="s">
        <v>1072</v>
      </c>
      <c r="D1781" s="95" t="n">
        <v>603</v>
      </c>
      <c r="E1781" s="95"/>
      <c r="F1781" s="95" t="n">
        <v>31102</v>
      </c>
      <c r="G1781" s="34" t="n">
        <v>0</v>
      </c>
      <c r="H1781" s="34" t="n">
        <v>29</v>
      </c>
      <c r="J1781" s="95" t="n">
        <f aca="false">IF(N(E1781)&gt;0,E1781,IF(N(F1781)&gt;0,F1781*가정!$B$5,0))</f>
        <v>124408</v>
      </c>
      <c r="K1781" s="95" t="n">
        <f aca="false">IF(N(F1781)&gt;0,F1781,IF(N(E1781)&gt;0,E1781/가정!$B$5,0))</f>
        <v>31102</v>
      </c>
      <c r="L1781" s="95" t="n">
        <f aca="false">IF(B1781="CN",IF(N(I1781)&gt;0,I1781*가정!$B$3,K1781*(1+가정!$B$6)),IF(N(H1781)&gt;0,H1781*가정!$B$3,J1781*가정!$B$4))</f>
        <v>32657.1</v>
      </c>
      <c r="M1781" s="95" t="n">
        <f aca="false">D1781*J1781</f>
        <v>75018024</v>
      </c>
      <c r="N1781" s="95" t="n">
        <f aca="false">D1781*K1781</f>
        <v>18754506</v>
      </c>
      <c r="O1781" s="95" t="n">
        <f aca="false">D1781*L1781</f>
        <v>19692231.3</v>
      </c>
      <c r="P1781" s="34" t="str">
        <f aca="false">TRIM(IF(N(E1781)&lt;=0,"택가보정 ","")&amp;IF(N(F1781)&lt;=0,"원가보정 ","")&amp;IF(AND(B1781&lt;&gt;"CN",N(H1781)&lt;=0),"공급가보정 ","")&amp;IF(AND(B1781="CN",N(I1781)&lt;=0),"중국공급가=원가+마진 ",""))</f>
        <v>택가보정 중국공급가=원가+마진</v>
      </c>
    </row>
    <row r="1782" customFormat="false" ht="15.75" hidden="false" customHeight="true" outlineLevel="0" collapsed="false">
      <c r="A1782" s="94" t="s">
        <v>1685</v>
      </c>
      <c r="B1782" s="34" t="str">
        <f aca="false">IF(A1782="100","HK",IF(A1782="200","CN",IF(A1782="300","TW","홀세일")))</f>
        <v>CN</v>
      </c>
      <c r="C1782" s="94" t="s">
        <v>1213</v>
      </c>
      <c r="D1782" s="95" t="n">
        <v>527</v>
      </c>
      <c r="E1782" s="95" t="n">
        <v>99000</v>
      </c>
      <c r="F1782" s="95" t="n">
        <v>21388</v>
      </c>
      <c r="G1782" s="34" t="n">
        <v>3.28</v>
      </c>
      <c r="H1782" s="34" t="n">
        <v>24.8</v>
      </c>
      <c r="J1782" s="95" t="n">
        <f aca="false">IF(N(E1782)&gt;0,E1782,IF(N(F1782)&gt;0,F1782*가정!$B$5,0))</f>
        <v>99000</v>
      </c>
      <c r="K1782" s="95" t="n">
        <f aca="false">IF(N(F1782)&gt;0,F1782,IF(N(E1782)&gt;0,E1782/가정!$B$5,0))</f>
        <v>21388</v>
      </c>
      <c r="L1782" s="95" t="n">
        <f aca="false">IF(B1782="CN",IF(N(I1782)&gt;0,I1782*가정!$B$3,K1782*(1+가정!$B$6)),IF(N(H1782)&gt;0,H1782*가정!$B$3,J1782*가정!$B$4))</f>
        <v>22457.4</v>
      </c>
      <c r="M1782" s="95" t="n">
        <f aca="false">D1782*J1782</f>
        <v>52173000</v>
      </c>
      <c r="N1782" s="95" t="n">
        <f aca="false">D1782*K1782</f>
        <v>11271476</v>
      </c>
      <c r="O1782" s="95" t="n">
        <f aca="false">D1782*L1782</f>
        <v>11835049.8</v>
      </c>
      <c r="P1782" s="34" t="str">
        <f aca="false">TRIM(IF(N(E1782)&lt;=0,"택가보정 ","")&amp;IF(N(F1782)&lt;=0,"원가보정 ","")&amp;IF(AND(B1782&lt;&gt;"CN",N(H1782)&lt;=0),"공급가보정 ","")&amp;IF(AND(B1782="CN",N(I1782)&lt;=0),"중국공급가=원가+마진 ",""))</f>
        <v>중국공급가=원가+마진</v>
      </c>
    </row>
    <row r="1783" customFormat="false" ht="15" hidden="false" customHeight="true" outlineLevel="0" collapsed="false">
      <c r="A1783" s="94" t="s">
        <v>1689</v>
      </c>
      <c r="B1783" s="34" t="str">
        <f aca="false">IF(A1783="100","HK",IF(A1783="200","CN",IF(A1783="300","TW","홀세일")))</f>
        <v>홀세일</v>
      </c>
      <c r="C1783" s="94" t="s">
        <v>1213</v>
      </c>
      <c r="D1783" s="95" t="n">
        <v>25</v>
      </c>
      <c r="E1783" s="95" t="n">
        <v>99000</v>
      </c>
      <c r="F1783" s="95" t="n">
        <v>21388</v>
      </c>
      <c r="G1783" s="34" t="n">
        <v>3.28</v>
      </c>
      <c r="H1783" s="34" t="n">
        <v>24.8</v>
      </c>
      <c r="J1783" s="95" t="n">
        <f aca="false">IF(N(E1783)&gt;0,E1783,IF(N(F1783)&gt;0,F1783*가정!$B$5,0))</f>
        <v>99000</v>
      </c>
      <c r="K1783" s="95" t="n">
        <f aca="false">IF(N(F1783)&gt;0,F1783,IF(N(E1783)&gt;0,E1783/가정!$B$5,0))</f>
        <v>21388</v>
      </c>
      <c r="L1783" s="95" t="n">
        <f aca="false">IF(B1783="CN",IF(N(I1783)&gt;0,I1783*가정!$B$3,K1783*(1+가정!$B$6)),IF(N(H1783)&gt;0,H1783*가정!$B$3,J1783*가정!$B$4))</f>
        <v>33796.944</v>
      </c>
      <c r="M1783" s="95" t="n">
        <f aca="false">D1783*J1783</f>
        <v>2475000</v>
      </c>
      <c r="N1783" s="95" t="n">
        <f aca="false">D1783*K1783</f>
        <v>534700</v>
      </c>
      <c r="O1783" s="95" t="n">
        <f aca="false">D1783*L1783</f>
        <v>844923.6</v>
      </c>
      <c r="P1783" s="34" t="str">
        <f aca="false">TRIM(IF(N(E1783)&lt;=0,"택가보정 ","")&amp;IF(N(F1783)&lt;=0,"원가보정 ","")&amp;IF(AND(B1783&lt;&gt;"CN",N(H1783)&lt;=0),"공급가보정 ","")&amp;IF(AND(B1783="CN",N(I1783)&lt;=0),"중국공급가=원가+마진 ",""))</f>
        <v/>
      </c>
    </row>
    <row r="1784" customFormat="false" ht="15.75" hidden="false" customHeight="true" outlineLevel="0" collapsed="false">
      <c r="A1784" s="94" t="s">
        <v>1685</v>
      </c>
      <c r="B1784" s="34" t="str">
        <f aca="false">IF(A1784="100","HK",IF(A1784="200","CN",IF(A1784="300","TW","홀세일")))</f>
        <v>CN</v>
      </c>
      <c r="C1784" s="94" t="s">
        <v>1215</v>
      </c>
      <c r="D1784" s="95" t="n">
        <v>533</v>
      </c>
      <c r="E1784" s="95" t="n">
        <v>79000</v>
      </c>
      <c r="F1784" s="95" t="n">
        <v>17078</v>
      </c>
      <c r="G1784" s="34" t="n">
        <v>3.92</v>
      </c>
      <c r="H1784" s="34" t="n">
        <v>19.8</v>
      </c>
      <c r="J1784" s="95" t="n">
        <f aca="false">IF(N(E1784)&gt;0,E1784,IF(N(F1784)&gt;0,F1784*가정!$B$5,0))</f>
        <v>79000</v>
      </c>
      <c r="K1784" s="95" t="n">
        <f aca="false">IF(N(F1784)&gt;0,F1784,IF(N(E1784)&gt;0,E1784/가정!$B$5,0))</f>
        <v>17078</v>
      </c>
      <c r="L1784" s="95" t="n">
        <f aca="false">IF(B1784="CN",IF(N(I1784)&gt;0,I1784*가정!$B$3,K1784*(1+가정!$B$6)),IF(N(H1784)&gt;0,H1784*가정!$B$3,J1784*가정!$B$4))</f>
        <v>17931.9</v>
      </c>
      <c r="M1784" s="95" t="n">
        <f aca="false">D1784*J1784</f>
        <v>42107000</v>
      </c>
      <c r="N1784" s="95" t="n">
        <f aca="false">D1784*K1784</f>
        <v>9102574</v>
      </c>
      <c r="O1784" s="95" t="n">
        <f aca="false">D1784*L1784</f>
        <v>9557702.7</v>
      </c>
      <c r="P1784" s="34" t="str">
        <f aca="false">TRIM(IF(N(E1784)&lt;=0,"택가보정 ","")&amp;IF(N(F1784)&lt;=0,"원가보정 ","")&amp;IF(AND(B1784&lt;&gt;"CN",N(H1784)&lt;=0),"공급가보정 ","")&amp;IF(AND(B1784="CN",N(I1784)&lt;=0),"중국공급가=원가+마진 ",""))</f>
        <v>중국공급가=원가+마진</v>
      </c>
    </row>
    <row r="1785" customFormat="false" ht="15" hidden="false" customHeight="true" outlineLevel="0" collapsed="false">
      <c r="A1785" s="94" t="s">
        <v>1689</v>
      </c>
      <c r="B1785" s="34" t="str">
        <f aca="false">IF(A1785="100","HK",IF(A1785="200","CN",IF(A1785="300","TW","홀세일")))</f>
        <v>홀세일</v>
      </c>
      <c r="C1785" s="94" t="s">
        <v>1215</v>
      </c>
      <c r="D1785" s="95" t="n">
        <v>100</v>
      </c>
      <c r="E1785" s="95" t="n">
        <v>79000</v>
      </c>
      <c r="F1785" s="95" t="n">
        <v>17078</v>
      </c>
      <c r="G1785" s="34" t="n">
        <v>3.92</v>
      </c>
      <c r="H1785" s="34" t="n">
        <v>19.8</v>
      </c>
      <c r="J1785" s="95" t="n">
        <f aca="false">IF(N(E1785)&gt;0,E1785,IF(N(F1785)&gt;0,F1785*가정!$B$5,0))</f>
        <v>79000</v>
      </c>
      <c r="K1785" s="95" t="n">
        <f aca="false">IF(N(F1785)&gt;0,F1785,IF(N(E1785)&gt;0,E1785/가정!$B$5,0))</f>
        <v>17078</v>
      </c>
      <c r="L1785" s="95" t="n">
        <f aca="false">IF(B1785="CN",IF(N(I1785)&gt;0,I1785*가정!$B$3,K1785*(1+가정!$B$6)),IF(N(H1785)&gt;0,H1785*가정!$B$3,J1785*가정!$B$4))</f>
        <v>26983.044</v>
      </c>
      <c r="M1785" s="95" t="n">
        <f aca="false">D1785*J1785</f>
        <v>7900000</v>
      </c>
      <c r="N1785" s="95" t="n">
        <f aca="false">D1785*K1785</f>
        <v>1707800</v>
      </c>
      <c r="O1785" s="95" t="n">
        <f aca="false">D1785*L1785</f>
        <v>2698304.4</v>
      </c>
      <c r="P1785" s="34" t="str">
        <f aca="false">TRIM(IF(N(E1785)&lt;=0,"택가보정 ","")&amp;IF(N(F1785)&lt;=0,"원가보정 ","")&amp;IF(AND(B1785&lt;&gt;"CN",N(H1785)&lt;=0),"공급가보정 ","")&amp;IF(AND(B1785="CN",N(I1785)&lt;=0),"중국공급가=원가+마진 ",""))</f>
        <v/>
      </c>
    </row>
    <row r="1786" customFormat="false" ht="15" hidden="false" customHeight="true" outlineLevel="0" collapsed="false">
      <c r="A1786" s="94" t="s">
        <v>1684</v>
      </c>
      <c r="B1786" s="34" t="str">
        <f aca="false">IF(A1786="100","HK",IF(A1786="200","CN",IF(A1786="300","TW","홀세일")))</f>
        <v>HK</v>
      </c>
      <c r="C1786" s="94" t="s">
        <v>765</v>
      </c>
      <c r="D1786" s="95" t="n">
        <v>200</v>
      </c>
      <c r="E1786" s="95" t="n">
        <v>99000</v>
      </c>
      <c r="F1786" s="95" t="n">
        <v>30135</v>
      </c>
      <c r="G1786" s="34" t="n">
        <v>2.69</v>
      </c>
      <c r="H1786" s="34" t="n">
        <v>24.8</v>
      </c>
      <c r="J1786" s="95" t="n">
        <f aca="false">IF(N(E1786)&gt;0,E1786,IF(N(F1786)&gt;0,F1786*가정!$B$5,0))</f>
        <v>99000</v>
      </c>
      <c r="K1786" s="95" t="n">
        <f aca="false">IF(N(F1786)&gt;0,F1786,IF(N(E1786)&gt;0,E1786/가정!$B$5,0))</f>
        <v>30135</v>
      </c>
      <c r="L1786" s="95" t="n">
        <f aca="false">IF(B1786="CN",IF(N(I1786)&gt;0,I1786*가정!$B$3,K1786*(1+가정!$B$6)),IF(N(H1786)&gt;0,H1786*가정!$B$3,J1786*가정!$B$4))</f>
        <v>33796.944</v>
      </c>
      <c r="M1786" s="95" t="n">
        <f aca="false">D1786*J1786</f>
        <v>19800000</v>
      </c>
      <c r="N1786" s="95" t="n">
        <f aca="false">D1786*K1786</f>
        <v>6027000</v>
      </c>
      <c r="O1786" s="95" t="n">
        <f aca="false">D1786*L1786</f>
        <v>6759388.8</v>
      </c>
      <c r="P1786" s="34" t="str">
        <f aca="false">TRIM(IF(N(E1786)&lt;=0,"택가보정 ","")&amp;IF(N(F1786)&lt;=0,"원가보정 ","")&amp;IF(AND(B1786&lt;&gt;"CN",N(H1786)&lt;=0),"공급가보정 ","")&amp;IF(AND(B1786="CN",N(I1786)&lt;=0),"중국공급가=원가+마진 ",""))</f>
        <v/>
      </c>
    </row>
    <row r="1787" customFormat="false" ht="15.75" hidden="false" customHeight="true" outlineLevel="0" collapsed="false">
      <c r="A1787" s="94" t="s">
        <v>1685</v>
      </c>
      <c r="B1787" s="34" t="str">
        <f aca="false">IF(A1787="100","HK",IF(A1787="200","CN",IF(A1787="300","TW","홀세일")))</f>
        <v>CN</v>
      </c>
      <c r="C1787" s="94" t="s">
        <v>765</v>
      </c>
      <c r="D1787" s="95" t="n">
        <v>392</v>
      </c>
      <c r="E1787" s="95" t="n">
        <v>99000</v>
      </c>
      <c r="F1787" s="95" t="n">
        <v>30135</v>
      </c>
      <c r="G1787" s="34" t="n">
        <v>2.69</v>
      </c>
      <c r="H1787" s="34" t="n">
        <v>24.8</v>
      </c>
      <c r="J1787" s="95" t="n">
        <f aca="false">IF(N(E1787)&gt;0,E1787,IF(N(F1787)&gt;0,F1787*가정!$B$5,0))</f>
        <v>99000</v>
      </c>
      <c r="K1787" s="95" t="n">
        <f aca="false">IF(N(F1787)&gt;0,F1787,IF(N(E1787)&gt;0,E1787/가정!$B$5,0))</f>
        <v>30135</v>
      </c>
      <c r="L1787" s="95" t="n">
        <f aca="false">IF(B1787="CN",IF(N(I1787)&gt;0,I1787*가정!$B$3,K1787*(1+가정!$B$6)),IF(N(H1787)&gt;0,H1787*가정!$B$3,J1787*가정!$B$4))</f>
        <v>31641.75</v>
      </c>
      <c r="M1787" s="95" t="n">
        <f aca="false">D1787*J1787</f>
        <v>38808000</v>
      </c>
      <c r="N1787" s="95" t="n">
        <f aca="false">D1787*K1787</f>
        <v>11812920</v>
      </c>
      <c r="O1787" s="95" t="n">
        <f aca="false">D1787*L1787</f>
        <v>12403566</v>
      </c>
      <c r="P1787" s="34" t="str">
        <f aca="false">TRIM(IF(N(E1787)&lt;=0,"택가보정 ","")&amp;IF(N(F1787)&lt;=0,"원가보정 ","")&amp;IF(AND(B1787&lt;&gt;"CN",N(H1787)&lt;=0),"공급가보정 ","")&amp;IF(AND(B1787="CN",N(I1787)&lt;=0),"중국공급가=원가+마진 ",""))</f>
        <v>중국공급가=원가+마진</v>
      </c>
    </row>
    <row r="1788" customFormat="false" ht="15.75" hidden="false" customHeight="true" outlineLevel="0" collapsed="false">
      <c r="A1788" s="94" t="s">
        <v>1685</v>
      </c>
      <c r="B1788" s="34" t="str">
        <f aca="false">IF(A1788="100","HK",IF(A1788="200","CN",IF(A1788="300","TW","홀세일")))</f>
        <v>CN</v>
      </c>
      <c r="C1788" s="94" t="s">
        <v>765</v>
      </c>
      <c r="D1788" s="95" t="n">
        <v>392</v>
      </c>
      <c r="E1788" s="95" t="n">
        <v>99000</v>
      </c>
      <c r="F1788" s="95" t="n">
        <v>30135</v>
      </c>
      <c r="G1788" s="34" t="n">
        <v>2.69</v>
      </c>
      <c r="H1788" s="34" t="n">
        <v>24.8</v>
      </c>
      <c r="J1788" s="95" t="n">
        <f aca="false">IF(N(E1788)&gt;0,E1788,IF(N(F1788)&gt;0,F1788*가정!$B$5,0))</f>
        <v>99000</v>
      </c>
      <c r="K1788" s="95" t="n">
        <f aca="false">IF(N(F1788)&gt;0,F1788,IF(N(E1788)&gt;0,E1788/가정!$B$5,0))</f>
        <v>30135</v>
      </c>
      <c r="L1788" s="95" t="n">
        <f aca="false">IF(B1788="CN",IF(N(I1788)&gt;0,I1788*가정!$B$3,K1788*(1+가정!$B$6)),IF(N(H1788)&gt;0,H1788*가정!$B$3,J1788*가정!$B$4))</f>
        <v>31641.75</v>
      </c>
      <c r="M1788" s="95" t="n">
        <f aca="false">D1788*J1788</f>
        <v>38808000</v>
      </c>
      <c r="N1788" s="95" t="n">
        <f aca="false">D1788*K1788</f>
        <v>11812920</v>
      </c>
      <c r="O1788" s="95" t="n">
        <f aca="false">D1788*L1788</f>
        <v>12403566</v>
      </c>
      <c r="P1788" s="34" t="str">
        <f aca="false">TRIM(IF(N(E1788)&lt;=0,"택가보정 ","")&amp;IF(N(F1788)&lt;=0,"원가보정 ","")&amp;IF(AND(B1788&lt;&gt;"CN",N(H1788)&lt;=0),"공급가보정 ","")&amp;IF(AND(B1788="CN",N(I1788)&lt;=0),"중국공급가=원가+마진 ",""))</f>
        <v>중국공급가=원가+마진</v>
      </c>
    </row>
    <row r="1789" customFormat="false" ht="15" hidden="false" customHeight="true" outlineLevel="0" collapsed="false">
      <c r="A1789" s="94" t="s">
        <v>1686</v>
      </c>
      <c r="B1789" s="34" t="str">
        <f aca="false">IF(A1789="100","HK",IF(A1789="200","CN",IF(A1789="300","TW","홀세일")))</f>
        <v>TW</v>
      </c>
      <c r="C1789" s="94" t="s">
        <v>765</v>
      </c>
      <c r="D1789" s="95" t="n">
        <v>360</v>
      </c>
      <c r="E1789" s="95" t="n">
        <v>99000</v>
      </c>
      <c r="F1789" s="95" t="n">
        <v>30135</v>
      </c>
      <c r="G1789" s="34" t="n">
        <v>2.69</v>
      </c>
      <c r="H1789" s="34" t="n">
        <v>24.8</v>
      </c>
      <c r="J1789" s="95" t="n">
        <f aca="false">IF(N(E1789)&gt;0,E1789,IF(N(F1789)&gt;0,F1789*가정!$B$5,0))</f>
        <v>99000</v>
      </c>
      <c r="K1789" s="95" t="n">
        <f aca="false">IF(N(F1789)&gt;0,F1789,IF(N(E1789)&gt;0,E1789/가정!$B$5,0))</f>
        <v>30135</v>
      </c>
      <c r="L1789" s="95" t="n">
        <f aca="false">IF(B1789="CN",IF(N(I1789)&gt;0,I1789*가정!$B$3,K1789*(1+가정!$B$6)),IF(N(H1789)&gt;0,H1789*가정!$B$3,J1789*가정!$B$4))</f>
        <v>33796.944</v>
      </c>
      <c r="M1789" s="95" t="n">
        <f aca="false">D1789*J1789</f>
        <v>35640000</v>
      </c>
      <c r="N1789" s="95" t="n">
        <f aca="false">D1789*K1789</f>
        <v>10848600</v>
      </c>
      <c r="O1789" s="95" t="n">
        <f aca="false">D1789*L1789</f>
        <v>12166899.84</v>
      </c>
      <c r="P1789" s="34" t="str">
        <f aca="false">TRIM(IF(N(E1789)&lt;=0,"택가보정 ","")&amp;IF(N(F1789)&lt;=0,"원가보정 ","")&amp;IF(AND(B1789&lt;&gt;"CN",N(H1789)&lt;=0),"공급가보정 ","")&amp;IF(AND(B1789="CN",N(I1789)&lt;=0),"중국공급가=원가+마진 ",""))</f>
        <v/>
      </c>
    </row>
    <row r="1790" customFormat="false" ht="15.75" hidden="false" customHeight="true" outlineLevel="0" collapsed="false">
      <c r="A1790" s="94" t="s">
        <v>1685</v>
      </c>
      <c r="B1790" s="34" t="str">
        <f aca="false">IF(A1790="100","HK",IF(A1790="200","CN",IF(A1790="300","TW","홀세일")))</f>
        <v>CN</v>
      </c>
      <c r="C1790" s="94" t="s">
        <v>1217</v>
      </c>
      <c r="D1790" s="95" t="n">
        <v>598</v>
      </c>
      <c r="E1790" s="95"/>
      <c r="F1790" s="95" t="n">
        <v>29399</v>
      </c>
      <c r="G1790" s="34" t="n">
        <v>0</v>
      </c>
      <c r="H1790" s="34" t="n">
        <v>26.3</v>
      </c>
      <c r="J1790" s="95" t="n">
        <f aca="false">IF(N(E1790)&gt;0,E1790,IF(N(F1790)&gt;0,F1790*가정!$B$5,0))</f>
        <v>117596</v>
      </c>
      <c r="K1790" s="95" t="n">
        <f aca="false">IF(N(F1790)&gt;0,F1790,IF(N(E1790)&gt;0,E1790/가정!$B$5,0))</f>
        <v>29399</v>
      </c>
      <c r="L1790" s="95" t="n">
        <f aca="false">IF(B1790="CN",IF(N(I1790)&gt;0,I1790*가정!$B$3,K1790*(1+가정!$B$6)),IF(N(H1790)&gt;0,H1790*가정!$B$3,J1790*가정!$B$4))</f>
        <v>30868.95</v>
      </c>
      <c r="M1790" s="95" t="n">
        <f aca="false">D1790*J1790</f>
        <v>70322408</v>
      </c>
      <c r="N1790" s="95" t="n">
        <f aca="false">D1790*K1790</f>
        <v>17580602</v>
      </c>
      <c r="O1790" s="95" t="n">
        <f aca="false">D1790*L1790</f>
        <v>18459632.1</v>
      </c>
      <c r="P1790" s="34" t="str">
        <f aca="false">TRIM(IF(N(E1790)&lt;=0,"택가보정 ","")&amp;IF(N(F1790)&lt;=0,"원가보정 ","")&amp;IF(AND(B1790&lt;&gt;"CN",N(H1790)&lt;=0),"공급가보정 ","")&amp;IF(AND(B1790="CN",N(I1790)&lt;=0),"중국공급가=원가+마진 ",""))</f>
        <v>택가보정 중국공급가=원가+마진</v>
      </c>
    </row>
    <row r="1791" customFormat="false" ht="15" hidden="false" customHeight="true" outlineLevel="0" collapsed="false">
      <c r="A1791" s="94" t="s">
        <v>1692</v>
      </c>
      <c r="B1791" s="34" t="str">
        <f aca="false">IF(A1791="100","HK",IF(A1791="200","CN",IF(A1791="300","TW","홀세일")))</f>
        <v>홀세일</v>
      </c>
      <c r="C1791" s="94" t="s">
        <v>1488</v>
      </c>
      <c r="D1791" s="95" t="n">
        <v>80</v>
      </c>
      <c r="E1791" s="95" t="n">
        <v>59000</v>
      </c>
      <c r="F1791" s="95" t="n">
        <v>10900</v>
      </c>
      <c r="G1791" s="34" t="n">
        <v>0</v>
      </c>
      <c r="H1791" s="34" t="n">
        <v>14.8</v>
      </c>
      <c r="J1791" s="95" t="n">
        <f aca="false">IF(N(E1791)&gt;0,E1791,IF(N(F1791)&gt;0,F1791*가정!$B$5,0))</f>
        <v>59000</v>
      </c>
      <c r="K1791" s="95" t="n">
        <f aca="false">IF(N(F1791)&gt;0,F1791,IF(N(E1791)&gt;0,E1791/가정!$B$5,0))</f>
        <v>10900</v>
      </c>
      <c r="L1791" s="95" t="n">
        <f aca="false">IF(B1791="CN",IF(N(I1791)&gt;0,I1791*가정!$B$3,K1791*(1+가정!$B$6)),IF(N(H1791)&gt;0,H1791*가정!$B$3,J1791*가정!$B$4))</f>
        <v>20169.144</v>
      </c>
      <c r="M1791" s="95" t="n">
        <f aca="false">D1791*J1791</f>
        <v>4720000</v>
      </c>
      <c r="N1791" s="95" t="n">
        <f aca="false">D1791*K1791</f>
        <v>872000</v>
      </c>
      <c r="O1791" s="95" t="n">
        <f aca="false">D1791*L1791</f>
        <v>1613531.52</v>
      </c>
      <c r="P1791" s="34" t="str">
        <f aca="false">TRIM(IF(N(E1791)&lt;=0,"택가보정 ","")&amp;IF(N(F1791)&lt;=0,"원가보정 ","")&amp;IF(AND(B1791&lt;&gt;"CN",N(H1791)&lt;=0),"공급가보정 ","")&amp;IF(AND(B1791="CN",N(I1791)&lt;=0),"중국공급가=원가+마진 ",""))</f>
        <v/>
      </c>
    </row>
    <row r="1792" customFormat="false" ht="15" hidden="false" customHeight="true" outlineLevel="0" collapsed="false">
      <c r="A1792" s="94" t="s">
        <v>1690</v>
      </c>
      <c r="B1792" s="34" t="str">
        <f aca="false">IF(A1792="100","HK",IF(A1792="200","CN",IF(A1792="300","TW","홀세일")))</f>
        <v>홀세일</v>
      </c>
      <c r="C1792" s="94" t="s">
        <v>1488</v>
      </c>
      <c r="D1792" s="95" t="n">
        <v>804</v>
      </c>
      <c r="E1792" s="95" t="n">
        <v>59000</v>
      </c>
      <c r="F1792" s="95" t="n">
        <v>10900</v>
      </c>
      <c r="G1792" s="34" t="n">
        <v>0</v>
      </c>
      <c r="H1792" s="34" t="n">
        <v>14.8</v>
      </c>
      <c r="J1792" s="95" t="n">
        <f aca="false">IF(N(E1792)&gt;0,E1792,IF(N(F1792)&gt;0,F1792*가정!$B$5,0))</f>
        <v>59000</v>
      </c>
      <c r="K1792" s="95" t="n">
        <f aca="false">IF(N(F1792)&gt;0,F1792,IF(N(E1792)&gt;0,E1792/가정!$B$5,0))</f>
        <v>10900</v>
      </c>
      <c r="L1792" s="95" t="n">
        <f aca="false">IF(B1792="CN",IF(N(I1792)&gt;0,I1792*가정!$B$3,K1792*(1+가정!$B$6)),IF(N(H1792)&gt;0,H1792*가정!$B$3,J1792*가정!$B$4))</f>
        <v>20169.144</v>
      </c>
      <c r="M1792" s="95" t="n">
        <f aca="false">D1792*J1792</f>
        <v>47436000</v>
      </c>
      <c r="N1792" s="95" t="n">
        <f aca="false">D1792*K1792</f>
        <v>8763600</v>
      </c>
      <c r="O1792" s="95" t="n">
        <f aca="false">D1792*L1792</f>
        <v>16215991.776</v>
      </c>
      <c r="P1792" s="34" t="str">
        <f aca="false">TRIM(IF(N(E1792)&lt;=0,"택가보정 ","")&amp;IF(N(F1792)&lt;=0,"원가보정 ","")&amp;IF(AND(B1792&lt;&gt;"CN",N(H1792)&lt;=0),"공급가보정 ","")&amp;IF(AND(B1792="CN",N(I1792)&lt;=0),"중국공급가=원가+마진 ",""))</f>
        <v/>
      </c>
    </row>
    <row r="1793" customFormat="false" ht="15" hidden="false" customHeight="true" outlineLevel="0" collapsed="false">
      <c r="A1793" s="94" t="s">
        <v>1690</v>
      </c>
      <c r="B1793" s="34" t="str">
        <f aca="false">IF(A1793="100","HK",IF(A1793="200","CN",IF(A1793="300","TW","홀세일")))</f>
        <v>홀세일</v>
      </c>
      <c r="C1793" s="94" t="s">
        <v>1758</v>
      </c>
      <c r="D1793" s="95" t="n">
        <v>400</v>
      </c>
      <c r="E1793" s="95"/>
      <c r="F1793" s="95" t="n">
        <v>12300</v>
      </c>
      <c r="G1793" s="34" t="n">
        <v>0</v>
      </c>
      <c r="J1793" s="95" t="n">
        <f aca="false">IF(N(E1793)&gt;0,E1793,IF(N(F1793)&gt;0,F1793*가정!$B$5,0))</f>
        <v>49200</v>
      </c>
      <c r="K1793" s="95" t="n">
        <f aca="false">IF(N(F1793)&gt;0,F1793,IF(N(E1793)&gt;0,E1793/가정!$B$5,0))</f>
        <v>12300</v>
      </c>
      <c r="L1793" s="95" t="n">
        <f aca="false">IF(B1793="CN",IF(N(I1793)&gt;0,I1793*가정!$B$3,K1793*(1+가정!$B$6)),IF(N(H1793)&gt;0,H1793*가정!$B$3,J1793*가정!$B$4))</f>
        <v>16236</v>
      </c>
      <c r="M1793" s="95" t="n">
        <f aca="false">D1793*J1793</f>
        <v>19680000</v>
      </c>
      <c r="N1793" s="95" t="n">
        <f aca="false">D1793*K1793</f>
        <v>4920000</v>
      </c>
      <c r="O1793" s="95" t="n">
        <f aca="false">D1793*L1793</f>
        <v>6494400</v>
      </c>
      <c r="P1793" s="34" t="str">
        <f aca="false">TRIM(IF(N(E1793)&lt;=0,"택가보정 ","")&amp;IF(N(F1793)&lt;=0,"원가보정 ","")&amp;IF(AND(B1793&lt;&gt;"CN",N(H1793)&lt;=0),"공급가보정 ","")&amp;IF(AND(B1793="CN",N(I1793)&lt;=0),"중국공급가=원가+마진 ",""))</f>
        <v>택가보정 공급가보정</v>
      </c>
    </row>
    <row r="1794" customFormat="false" ht="15" hidden="false" customHeight="true" outlineLevel="0" collapsed="false">
      <c r="A1794" s="94" t="s">
        <v>1684</v>
      </c>
      <c r="B1794" s="34" t="str">
        <f aca="false">IF(A1794="100","HK",IF(A1794="200","CN",IF(A1794="300","TW","홀세일")))</f>
        <v>HK</v>
      </c>
      <c r="C1794" s="94" t="s">
        <v>763</v>
      </c>
      <c r="D1794" s="95" t="n">
        <v>35</v>
      </c>
      <c r="E1794" s="95" t="n">
        <v>34000</v>
      </c>
      <c r="F1794" s="95" t="n">
        <v>8600</v>
      </c>
      <c r="G1794" s="34" t="n">
        <v>3.51</v>
      </c>
      <c r="H1794" s="34" t="n">
        <v>8.6</v>
      </c>
      <c r="J1794" s="95" t="n">
        <f aca="false">IF(N(E1794)&gt;0,E1794,IF(N(F1794)&gt;0,F1794*가정!$B$5,0))</f>
        <v>34000</v>
      </c>
      <c r="K1794" s="95" t="n">
        <f aca="false">IF(N(F1794)&gt;0,F1794,IF(N(E1794)&gt;0,E1794/가정!$B$5,0))</f>
        <v>8600</v>
      </c>
      <c r="L1794" s="95" t="n">
        <f aca="false">IF(B1794="CN",IF(N(I1794)&gt;0,I1794*가정!$B$3,K1794*(1+가정!$B$6)),IF(N(H1794)&gt;0,H1794*가정!$B$3,J1794*가정!$B$4))</f>
        <v>11719.908</v>
      </c>
      <c r="M1794" s="95" t="n">
        <f aca="false">D1794*J1794</f>
        <v>1190000</v>
      </c>
      <c r="N1794" s="95" t="n">
        <f aca="false">D1794*K1794</f>
        <v>301000</v>
      </c>
      <c r="O1794" s="95" t="n">
        <f aca="false">D1794*L1794</f>
        <v>410196.78</v>
      </c>
      <c r="P1794" s="34" t="str">
        <f aca="false">TRIM(IF(N(E1794)&lt;=0,"택가보정 ","")&amp;IF(N(F1794)&lt;=0,"원가보정 ","")&amp;IF(AND(B1794&lt;&gt;"CN",N(H1794)&lt;=0),"공급가보정 ","")&amp;IF(AND(B1794="CN",N(I1794)&lt;=0),"중국공급가=원가+마진 ",""))</f>
        <v/>
      </c>
    </row>
    <row r="1795" customFormat="false" ht="15" hidden="false" customHeight="true" outlineLevel="0" collapsed="false">
      <c r="A1795" s="94" t="s">
        <v>1686</v>
      </c>
      <c r="B1795" s="34" t="str">
        <f aca="false">IF(A1795="100","HK",IF(A1795="200","CN",IF(A1795="300","TW","홀세일")))</f>
        <v>TW</v>
      </c>
      <c r="C1795" s="94" t="s">
        <v>763</v>
      </c>
      <c r="D1795" s="95" t="n">
        <v>340</v>
      </c>
      <c r="E1795" s="95" t="n">
        <v>34000</v>
      </c>
      <c r="F1795" s="95" t="n">
        <v>8600</v>
      </c>
      <c r="G1795" s="34" t="n">
        <v>3.51</v>
      </c>
      <c r="H1795" s="34" t="n">
        <v>8.6</v>
      </c>
      <c r="J1795" s="95" t="n">
        <f aca="false">IF(N(E1795)&gt;0,E1795,IF(N(F1795)&gt;0,F1795*가정!$B$5,0))</f>
        <v>34000</v>
      </c>
      <c r="K1795" s="95" t="n">
        <f aca="false">IF(N(F1795)&gt;0,F1795,IF(N(E1795)&gt;0,E1795/가정!$B$5,0))</f>
        <v>8600</v>
      </c>
      <c r="L1795" s="95" t="n">
        <f aca="false">IF(B1795="CN",IF(N(I1795)&gt;0,I1795*가정!$B$3,K1795*(1+가정!$B$6)),IF(N(H1795)&gt;0,H1795*가정!$B$3,J1795*가정!$B$4))</f>
        <v>11719.908</v>
      </c>
      <c r="M1795" s="95" t="n">
        <f aca="false">D1795*J1795</f>
        <v>11560000</v>
      </c>
      <c r="N1795" s="95" t="n">
        <f aca="false">D1795*K1795</f>
        <v>2924000</v>
      </c>
      <c r="O1795" s="95" t="n">
        <f aca="false">D1795*L1795</f>
        <v>3984768.72</v>
      </c>
      <c r="P1795" s="34" t="str">
        <f aca="false">TRIM(IF(N(E1795)&lt;=0,"택가보정 ","")&amp;IF(N(F1795)&lt;=0,"원가보정 ","")&amp;IF(AND(B1795&lt;&gt;"CN",N(H1795)&lt;=0),"공급가보정 ","")&amp;IF(AND(B1795="CN",N(I1795)&lt;=0),"중국공급가=원가+마진 ",""))</f>
        <v/>
      </c>
    </row>
    <row r="1796" customFormat="false" ht="15" hidden="false" customHeight="true" outlineLevel="0" collapsed="false">
      <c r="A1796" s="94" t="s">
        <v>1687</v>
      </c>
      <c r="B1796" s="34" t="str">
        <f aca="false">IF(A1796="100","HK",IF(A1796="200","CN",IF(A1796="300","TW","홀세일")))</f>
        <v>홀세일</v>
      </c>
      <c r="C1796" s="94" t="s">
        <v>763</v>
      </c>
      <c r="D1796" s="95" t="n">
        <v>35</v>
      </c>
      <c r="E1796" s="95" t="n">
        <v>34000</v>
      </c>
      <c r="F1796" s="95" t="n">
        <v>8600</v>
      </c>
      <c r="G1796" s="34" t="n">
        <v>3.51</v>
      </c>
      <c r="H1796" s="34" t="n">
        <v>8.6</v>
      </c>
      <c r="J1796" s="95" t="n">
        <f aca="false">IF(N(E1796)&gt;0,E1796,IF(N(F1796)&gt;0,F1796*가정!$B$5,0))</f>
        <v>34000</v>
      </c>
      <c r="K1796" s="95" t="n">
        <f aca="false">IF(N(F1796)&gt;0,F1796,IF(N(E1796)&gt;0,E1796/가정!$B$5,0))</f>
        <v>8600</v>
      </c>
      <c r="L1796" s="95" t="n">
        <f aca="false">IF(B1796="CN",IF(N(I1796)&gt;0,I1796*가정!$B$3,K1796*(1+가정!$B$6)),IF(N(H1796)&gt;0,H1796*가정!$B$3,J1796*가정!$B$4))</f>
        <v>11719.908</v>
      </c>
      <c r="M1796" s="95" t="n">
        <f aca="false">D1796*J1796</f>
        <v>1190000</v>
      </c>
      <c r="N1796" s="95" t="n">
        <f aca="false">D1796*K1796</f>
        <v>301000</v>
      </c>
      <c r="O1796" s="95" t="n">
        <f aca="false">D1796*L1796</f>
        <v>410196.78</v>
      </c>
      <c r="P1796" s="34" t="str">
        <f aca="false">TRIM(IF(N(E1796)&lt;=0,"택가보정 ","")&amp;IF(N(F1796)&lt;=0,"원가보정 ","")&amp;IF(AND(B1796&lt;&gt;"CN",N(H1796)&lt;=0),"공급가보정 ","")&amp;IF(AND(B1796="CN",N(I1796)&lt;=0),"중국공급가=원가+마진 ",""))</f>
        <v/>
      </c>
    </row>
    <row r="1797" customFormat="false" ht="15" hidden="false" customHeight="true" outlineLevel="0" collapsed="false">
      <c r="A1797" s="94" t="s">
        <v>1689</v>
      </c>
      <c r="B1797" s="34" t="str">
        <f aca="false">IF(A1797="100","HK",IF(A1797="200","CN",IF(A1797="300","TW","홀세일")))</f>
        <v>홀세일</v>
      </c>
      <c r="C1797" s="94" t="s">
        <v>763</v>
      </c>
      <c r="D1797" s="95" t="n">
        <v>40</v>
      </c>
      <c r="E1797" s="95" t="n">
        <v>34000</v>
      </c>
      <c r="F1797" s="95" t="n">
        <v>8600</v>
      </c>
      <c r="G1797" s="34" t="n">
        <v>3.51</v>
      </c>
      <c r="H1797" s="34" t="n">
        <v>8.6</v>
      </c>
      <c r="J1797" s="95" t="n">
        <f aca="false">IF(N(E1797)&gt;0,E1797,IF(N(F1797)&gt;0,F1797*가정!$B$5,0))</f>
        <v>34000</v>
      </c>
      <c r="K1797" s="95" t="n">
        <f aca="false">IF(N(F1797)&gt;0,F1797,IF(N(E1797)&gt;0,E1797/가정!$B$5,0))</f>
        <v>8600</v>
      </c>
      <c r="L1797" s="95" t="n">
        <f aca="false">IF(B1797="CN",IF(N(I1797)&gt;0,I1797*가정!$B$3,K1797*(1+가정!$B$6)),IF(N(H1797)&gt;0,H1797*가정!$B$3,J1797*가정!$B$4))</f>
        <v>11719.908</v>
      </c>
      <c r="M1797" s="95" t="n">
        <f aca="false">D1797*J1797</f>
        <v>1360000</v>
      </c>
      <c r="N1797" s="95" t="n">
        <f aca="false">D1797*K1797</f>
        <v>344000</v>
      </c>
      <c r="O1797" s="95" t="n">
        <f aca="false">D1797*L1797</f>
        <v>468796.32</v>
      </c>
      <c r="P1797" s="34" t="str">
        <f aca="false">TRIM(IF(N(E1797)&lt;=0,"택가보정 ","")&amp;IF(N(F1797)&lt;=0,"원가보정 ","")&amp;IF(AND(B1797&lt;&gt;"CN",N(H1797)&lt;=0),"공급가보정 ","")&amp;IF(AND(B1797="CN",N(I1797)&lt;=0),"중국공급가=원가+마진 ",""))</f>
        <v/>
      </c>
    </row>
    <row r="1798" customFormat="false" ht="15" hidden="false" customHeight="true" outlineLevel="0" collapsed="false">
      <c r="A1798" s="94" t="s">
        <v>1690</v>
      </c>
      <c r="B1798" s="34" t="str">
        <f aca="false">IF(A1798="100","HK",IF(A1798="200","CN",IF(A1798="300","TW","홀세일")))</f>
        <v>홀세일</v>
      </c>
      <c r="C1798" s="94" t="s">
        <v>763</v>
      </c>
      <c r="D1798" s="95" t="n">
        <v>194</v>
      </c>
      <c r="E1798" s="95" t="n">
        <v>34000</v>
      </c>
      <c r="F1798" s="95" t="n">
        <v>8600</v>
      </c>
      <c r="G1798" s="34" t="n">
        <v>3.51</v>
      </c>
      <c r="H1798" s="34" t="n">
        <v>8.6</v>
      </c>
      <c r="J1798" s="95" t="n">
        <f aca="false">IF(N(E1798)&gt;0,E1798,IF(N(F1798)&gt;0,F1798*가정!$B$5,0))</f>
        <v>34000</v>
      </c>
      <c r="K1798" s="95" t="n">
        <f aca="false">IF(N(F1798)&gt;0,F1798,IF(N(E1798)&gt;0,E1798/가정!$B$5,0))</f>
        <v>8600</v>
      </c>
      <c r="L1798" s="95" t="n">
        <f aca="false">IF(B1798="CN",IF(N(I1798)&gt;0,I1798*가정!$B$3,K1798*(1+가정!$B$6)),IF(N(H1798)&gt;0,H1798*가정!$B$3,J1798*가정!$B$4))</f>
        <v>11719.908</v>
      </c>
      <c r="M1798" s="95" t="n">
        <f aca="false">D1798*J1798</f>
        <v>6596000</v>
      </c>
      <c r="N1798" s="95" t="n">
        <f aca="false">D1798*K1798</f>
        <v>1668400</v>
      </c>
      <c r="O1798" s="95" t="n">
        <f aca="false">D1798*L1798</f>
        <v>2273662.152</v>
      </c>
      <c r="P1798" s="34" t="str">
        <f aca="false">TRIM(IF(N(E1798)&lt;=0,"택가보정 ","")&amp;IF(N(F1798)&lt;=0,"원가보정 ","")&amp;IF(AND(B1798&lt;&gt;"CN",N(H1798)&lt;=0),"공급가보정 ","")&amp;IF(AND(B1798="CN",N(I1798)&lt;=0),"중국공급가=원가+마진 ",""))</f>
        <v/>
      </c>
    </row>
    <row r="1799" customFormat="false" ht="15" hidden="false" customHeight="true" outlineLevel="0" collapsed="false">
      <c r="A1799" s="94" t="s">
        <v>1691</v>
      </c>
      <c r="B1799" s="34" t="str">
        <f aca="false">IF(A1799="100","HK",IF(A1799="200","CN",IF(A1799="300","TW","홀세일")))</f>
        <v>홀세일</v>
      </c>
      <c r="C1799" s="94" t="s">
        <v>763</v>
      </c>
      <c r="D1799" s="95" t="n">
        <v>2000</v>
      </c>
      <c r="E1799" s="95" t="n">
        <v>34000</v>
      </c>
      <c r="F1799" s="95" t="n">
        <v>8600</v>
      </c>
      <c r="G1799" s="34" t="n">
        <v>3.51</v>
      </c>
      <c r="H1799" s="34" t="n">
        <v>8.6</v>
      </c>
      <c r="J1799" s="95" t="n">
        <f aca="false">IF(N(E1799)&gt;0,E1799,IF(N(F1799)&gt;0,F1799*가정!$B$5,0))</f>
        <v>34000</v>
      </c>
      <c r="K1799" s="95" t="n">
        <f aca="false">IF(N(F1799)&gt;0,F1799,IF(N(E1799)&gt;0,E1799/가정!$B$5,0))</f>
        <v>8600</v>
      </c>
      <c r="L1799" s="95" t="n">
        <f aca="false">IF(B1799="CN",IF(N(I1799)&gt;0,I1799*가정!$B$3,K1799*(1+가정!$B$6)),IF(N(H1799)&gt;0,H1799*가정!$B$3,J1799*가정!$B$4))</f>
        <v>11719.908</v>
      </c>
      <c r="M1799" s="95" t="n">
        <f aca="false">D1799*J1799</f>
        <v>68000000</v>
      </c>
      <c r="N1799" s="95" t="n">
        <f aca="false">D1799*K1799</f>
        <v>17200000</v>
      </c>
      <c r="O1799" s="95" t="n">
        <f aca="false">D1799*L1799</f>
        <v>23439816</v>
      </c>
      <c r="P1799" s="34" t="str">
        <f aca="false">TRIM(IF(N(E1799)&lt;=0,"택가보정 ","")&amp;IF(N(F1799)&lt;=0,"원가보정 ","")&amp;IF(AND(B1799&lt;&gt;"CN",N(H1799)&lt;=0),"공급가보정 ","")&amp;IF(AND(B1799="CN",N(I1799)&lt;=0),"중국공급가=원가+마진 ",""))</f>
        <v/>
      </c>
    </row>
    <row r="1800" customFormat="false" ht="15" hidden="false" customHeight="true" outlineLevel="0" collapsed="false">
      <c r="A1800" s="94" t="s">
        <v>1688</v>
      </c>
      <c r="B1800" s="34" t="str">
        <f aca="false">IF(A1800="100","HK",IF(A1800="200","CN",IF(A1800="300","TW","홀세일")))</f>
        <v>홀세일</v>
      </c>
      <c r="C1800" s="94" t="s">
        <v>1427</v>
      </c>
      <c r="D1800" s="95" t="n">
        <v>400</v>
      </c>
      <c r="E1800" s="95" t="n">
        <v>49000</v>
      </c>
      <c r="F1800" s="95" t="n">
        <v>9000</v>
      </c>
      <c r="G1800" s="34" t="n">
        <v>4.95</v>
      </c>
      <c r="H1800" s="34" t="n">
        <v>13.1</v>
      </c>
      <c r="J1800" s="95" t="n">
        <f aca="false">IF(N(E1800)&gt;0,E1800,IF(N(F1800)&gt;0,F1800*가정!$B$5,0))</f>
        <v>49000</v>
      </c>
      <c r="K1800" s="95" t="n">
        <f aca="false">IF(N(F1800)&gt;0,F1800,IF(N(E1800)&gt;0,E1800/가정!$B$5,0))</f>
        <v>9000</v>
      </c>
      <c r="L1800" s="95" t="n">
        <f aca="false">IF(B1800="CN",IF(N(I1800)&gt;0,I1800*가정!$B$3,K1800*(1+가정!$B$6)),IF(N(H1800)&gt;0,H1800*가정!$B$3,J1800*가정!$B$4))</f>
        <v>17852.418</v>
      </c>
      <c r="M1800" s="95" t="n">
        <f aca="false">D1800*J1800</f>
        <v>19600000</v>
      </c>
      <c r="N1800" s="95" t="n">
        <f aca="false">D1800*K1800</f>
        <v>3600000</v>
      </c>
      <c r="O1800" s="95" t="n">
        <f aca="false">D1800*L1800</f>
        <v>7140967.2</v>
      </c>
      <c r="P1800" s="34" t="str">
        <f aca="false">TRIM(IF(N(E1800)&lt;=0,"택가보정 ","")&amp;IF(N(F1800)&lt;=0,"원가보정 ","")&amp;IF(AND(B1800&lt;&gt;"CN",N(H1800)&lt;=0),"공급가보정 ","")&amp;IF(AND(B1800="CN",N(I1800)&lt;=0),"중국공급가=원가+마진 ",""))</f>
        <v/>
      </c>
    </row>
    <row r="1801" customFormat="false" ht="15" hidden="false" customHeight="true" outlineLevel="0" collapsed="false">
      <c r="A1801" s="94" t="s">
        <v>1688</v>
      </c>
      <c r="B1801" s="34" t="str">
        <f aca="false">IF(A1801="100","HK",IF(A1801="200","CN",IF(A1801="300","TW","홀세일")))</f>
        <v>홀세일</v>
      </c>
      <c r="C1801" s="94" t="s">
        <v>1429</v>
      </c>
      <c r="D1801" s="95" t="n">
        <v>400</v>
      </c>
      <c r="E1801" s="95"/>
      <c r="F1801" s="95" t="n">
        <v>9600</v>
      </c>
      <c r="G1801" s="34" t="n">
        <v>0</v>
      </c>
      <c r="J1801" s="95" t="n">
        <f aca="false">IF(N(E1801)&gt;0,E1801,IF(N(F1801)&gt;0,F1801*가정!$B$5,0))</f>
        <v>38400</v>
      </c>
      <c r="K1801" s="95" t="n">
        <f aca="false">IF(N(F1801)&gt;0,F1801,IF(N(E1801)&gt;0,E1801/가정!$B$5,0))</f>
        <v>9600</v>
      </c>
      <c r="L1801" s="95" t="n">
        <f aca="false">IF(B1801="CN",IF(N(I1801)&gt;0,I1801*가정!$B$3,K1801*(1+가정!$B$6)),IF(N(H1801)&gt;0,H1801*가정!$B$3,J1801*가정!$B$4))</f>
        <v>12672</v>
      </c>
      <c r="M1801" s="95" t="n">
        <f aca="false">D1801*J1801</f>
        <v>15360000</v>
      </c>
      <c r="N1801" s="95" t="n">
        <f aca="false">D1801*K1801</f>
        <v>3840000</v>
      </c>
      <c r="O1801" s="95" t="n">
        <f aca="false">D1801*L1801</f>
        <v>5068800</v>
      </c>
      <c r="P1801" s="34" t="str">
        <f aca="false">TRIM(IF(N(E1801)&lt;=0,"택가보정 ","")&amp;IF(N(F1801)&lt;=0,"원가보정 ","")&amp;IF(AND(B1801&lt;&gt;"CN",N(H1801)&lt;=0),"공급가보정 ","")&amp;IF(AND(B1801="CN",N(I1801)&lt;=0),"중국공급가=원가+마진 ",""))</f>
        <v>택가보정 공급가보정</v>
      </c>
    </row>
    <row r="1802" customFormat="false" ht="15" hidden="false" customHeight="true" outlineLevel="0" collapsed="false">
      <c r="A1802" s="94" t="s">
        <v>1685</v>
      </c>
      <c r="B1802" s="34" t="str">
        <f aca="false">IF(A1802="100","HK",IF(A1802="200","CN",IF(A1802="300","TW","홀세일")))</f>
        <v>CN</v>
      </c>
      <c r="C1802" s="94" t="s">
        <v>1219</v>
      </c>
      <c r="D1802" s="95" t="n">
        <v>402</v>
      </c>
      <c r="E1802" s="95" t="n">
        <v>189000</v>
      </c>
      <c r="F1802" s="95" t="n">
        <v>52102</v>
      </c>
      <c r="G1802" s="34" t="n">
        <v>2.76</v>
      </c>
      <c r="H1802" s="34" t="n">
        <v>44.5</v>
      </c>
      <c r="I1802" s="34" t="n">
        <v>41.8</v>
      </c>
      <c r="J1802" s="95" t="n">
        <f aca="false">IF(N(E1802)&gt;0,E1802,IF(N(F1802)&gt;0,F1802*가정!$B$5,0))</f>
        <v>189000</v>
      </c>
      <c r="K1802" s="95" t="n">
        <f aca="false">IF(N(F1802)&gt;0,F1802,IF(N(E1802)&gt;0,E1802/가정!$B$5,0))</f>
        <v>52102</v>
      </c>
      <c r="L1802" s="95" t="n">
        <f aca="false">IF(B1802="CN",IF(N(I1802)&gt;0,I1802*가정!$B$3,K1802*(1+가정!$B$6)),IF(N(H1802)&gt;0,H1802*가정!$B$3,J1802*가정!$B$4))</f>
        <v>56964.204</v>
      </c>
      <c r="M1802" s="95" t="n">
        <f aca="false">D1802*J1802</f>
        <v>75978000</v>
      </c>
      <c r="N1802" s="95" t="n">
        <f aca="false">D1802*K1802</f>
        <v>20945004</v>
      </c>
      <c r="O1802" s="95" t="n">
        <f aca="false">D1802*L1802</f>
        <v>22899610.008</v>
      </c>
      <c r="P1802" s="34" t="str">
        <f aca="false">TRIM(IF(N(E1802)&lt;=0,"택가보정 ","")&amp;IF(N(F1802)&lt;=0,"원가보정 ","")&amp;IF(AND(B1802&lt;&gt;"CN",N(H1802)&lt;=0),"공급가보정 ","")&amp;IF(AND(B1802="CN",N(I1802)&lt;=0),"중국공급가=원가+마진 ",""))</f>
        <v/>
      </c>
    </row>
    <row r="1803" customFormat="false" ht="15" hidden="false" customHeight="true" outlineLevel="0" collapsed="false">
      <c r="A1803" s="94" t="s">
        <v>1685</v>
      </c>
      <c r="B1803" s="34" t="str">
        <f aca="false">IF(A1803="100","HK",IF(A1803="200","CN",IF(A1803="300","TW","홀세일")))</f>
        <v>CN</v>
      </c>
      <c r="C1803" s="94" t="s">
        <v>1219</v>
      </c>
      <c r="D1803" s="95" t="n">
        <v>402</v>
      </c>
      <c r="E1803" s="95" t="n">
        <v>189000</v>
      </c>
      <c r="F1803" s="95" t="n">
        <v>52102</v>
      </c>
      <c r="G1803" s="34" t="n">
        <v>2.76</v>
      </c>
      <c r="H1803" s="34" t="n">
        <v>44.5</v>
      </c>
      <c r="I1803" s="34" t="n">
        <v>41.8</v>
      </c>
      <c r="J1803" s="95" t="n">
        <f aca="false">IF(N(E1803)&gt;0,E1803,IF(N(F1803)&gt;0,F1803*가정!$B$5,0))</f>
        <v>189000</v>
      </c>
      <c r="K1803" s="95" t="n">
        <f aca="false">IF(N(F1803)&gt;0,F1803,IF(N(E1803)&gt;0,E1803/가정!$B$5,0))</f>
        <v>52102</v>
      </c>
      <c r="L1803" s="95" t="n">
        <f aca="false">IF(B1803="CN",IF(N(I1803)&gt;0,I1803*가정!$B$3,K1803*(1+가정!$B$6)),IF(N(H1803)&gt;0,H1803*가정!$B$3,J1803*가정!$B$4))</f>
        <v>56964.204</v>
      </c>
      <c r="M1803" s="95" t="n">
        <f aca="false">D1803*J1803</f>
        <v>75978000</v>
      </c>
      <c r="N1803" s="95" t="n">
        <f aca="false">D1803*K1803</f>
        <v>20945004</v>
      </c>
      <c r="O1803" s="95" t="n">
        <f aca="false">D1803*L1803</f>
        <v>22899610.008</v>
      </c>
      <c r="P1803" s="34" t="str">
        <f aca="false">TRIM(IF(N(E1803)&lt;=0,"택가보정 ","")&amp;IF(N(F1803)&lt;=0,"원가보정 ","")&amp;IF(AND(B1803&lt;&gt;"CN",N(H1803)&lt;=0),"공급가보정 ","")&amp;IF(AND(B1803="CN",N(I1803)&lt;=0),"중국공급가=원가+마진 ",""))</f>
        <v/>
      </c>
    </row>
    <row r="1804" customFormat="false" ht="15" hidden="false" customHeight="true" outlineLevel="0" collapsed="false">
      <c r="A1804" s="94" t="s">
        <v>1685</v>
      </c>
      <c r="B1804" s="34" t="str">
        <f aca="false">IF(A1804="100","HK",IF(A1804="200","CN",IF(A1804="300","TW","홀세일")))</f>
        <v>CN</v>
      </c>
      <c r="C1804" s="94" t="s">
        <v>1221</v>
      </c>
      <c r="D1804" s="95" t="n">
        <v>344</v>
      </c>
      <c r="E1804" s="95" t="n">
        <v>179000</v>
      </c>
      <c r="F1804" s="95" t="n">
        <v>52700</v>
      </c>
      <c r="G1804" s="34" t="n">
        <v>3.31</v>
      </c>
      <c r="H1804" s="34" t="n">
        <v>42.1</v>
      </c>
      <c r="I1804" s="34" t="n">
        <v>42</v>
      </c>
      <c r="J1804" s="95" t="n">
        <f aca="false">IF(N(E1804)&gt;0,E1804,IF(N(F1804)&gt;0,F1804*가정!$B$5,0))</f>
        <v>179000</v>
      </c>
      <c r="K1804" s="95" t="n">
        <f aca="false">IF(N(F1804)&gt;0,F1804,IF(N(E1804)&gt;0,E1804/가정!$B$5,0))</f>
        <v>52700</v>
      </c>
      <c r="L1804" s="95" t="n">
        <f aca="false">IF(B1804="CN",IF(N(I1804)&gt;0,I1804*가정!$B$3,K1804*(1+가정!$B$6)),IF(N(H1804)&gt;0,H1804*가정!$B$3,J1804*가정!$B$4))</f>
        <v>57236.76</v>
      </c>
      <c r="M1804" s="95" t="n">
        <f aca="false">D1804*J1804</f>
        <v>61576000</v>
      </c>
      <c r="N1804" s="95" t="n">
        <f aca="false">D1804*K1804</f>
        <v>18128800</v>
      </c>
      <c r="O1804" s="95" t="n">
        <f aca="false">D1804*L1804</f>
        <v>19689445.44</v>
      </c>
      <c r="P1804" s="34" t="str">
        <f aca="false">TRIM(IF(N(E1804)&lt;=0,"택가보정 ","")&amp;IF(N(F1804)&lt;=0,"원가보정 ","")&amp;IF(AND(B1804&lt;&gt;"CN",N(H1804)&lt;=0),"공급가보정 ","")&amp;IF(AND(B1804="CN",N(I1804)&lt;=0),"중국공급가=원가+마진 ",""))</f>
        <v/>
      </c>
    </row>
    <row r="1805" customFormat="false" ht="15" hidden="false" customHeight="true" outlineLevel="0" collapsed="false">
      <c r="A1805" s="94" t="s">
        <v>1685</v>
      </c>
      <c r="B1805" s="34" t="str">
        <f aca="false">IF(A1805="100","HK",IF(A1805="200","CN",IF(A1805="300","TW","홀세일")))</f>
        <v>CN</v>
      </c>
      <c r="C1805" s="94" t="s">
        <v>1223</v>
      </c>
      <c r="D1805" s="95" t="n">
        <v>75</v>
      </c>
      <c r="E1805" s="95" t="n">
        <v>239000</v>
      </c>
      <c r="F1805" s="95" t="n">
        <v>67495</v>
      </c>
      <c r="G1805" s="34" t="n">
        <v>2.69</v>
      </c>
      <c r="H1805" s="34" t="n">
        <v>56.2</v>
      </c>
      <c r="I1805" s="34" t="n">
        <v>53.5</v>
      </c>
      <c r="J1805" s="95" t="n">
        <f aca="false">IF(N(E1805)&gt;0,E1805,IF(N(F1805)&gt;0,F1805*가정!$B$5,0))</f>
        <v>239000</v>
      </c>
      <c r="K1805" s="95" t="n">
        <f aca="false">IF(N(F1805)&gt;0,F1805,IF(N(E1805)&gt;0,E1805/가정!$B$5,0))</f>
        <v>67495</v>
      </c>
      <c r="L1805" s="95" t="n">
        <f aca="false">IF(B1805="CN",IF(N(I1805)&gt;0,I1805*가정!$B$3,K1805*(1+가정!$B$6)),IF(N(H1805)&gt;0,H1805*가정!$B$3,J1805*가정!$B$4))</f>
        <v>72908.73</v>
      </c>
      <c r="M1805" s="95" t="n">
        <f aca="false">D1805*J1805</f>
        <v>17925000</v>
      </c>
      <c r="N1805" s="95" t="n">
        <f aca="false">D1805*K1805</f>
        <v>5062125</v>
      </c>
      <c r="O1805" s="95" t="n">
        <f aca="false">D1805*L1805</f>
        <v>5468154.75</v>
      </c>
      <c r="P1805" s="34" t="str">
        <f aca="false">TRIM(IF(N(E1805)&lt;=0,"택가보정 ","")&amp;IF(N(F1805)&lt;=0,"원가보정 ","")&amp;IF(AND(B1805&lt;&gt;"CN",N(H1805)&lt;=0),"공급가보정 ","")&amp;IF(AND(B1805="CN",N(I1805)&lt;=0),"중국공급가=원가+마진 ",""))</f>
        <v/>
      </c>
    </row>
    <row r="1806" customFormat="false" ht="15" hidden="false" customHeight="true" outlineLevel="0" collapsed="false">
      <c r="A1806" s="94" t="s">
        <v>1685</v>
      </c>
      <c r="B1806" s="34" t="str">
        <f aca="false">IF(A1806="100","HK",IF(A1806="200","CN",IF(A1806="300","TW","홀세일")))</f>
        <v>CN</v>
      </c>
      <c r="C1806" s="94" t="s">
        <v>767</v>
      </c>
      <c r="D1806" s="95" t="n">
        <v>577</v>
      </c>
      <c r="E1806" s="95" t="n">
        <v>489000</v>
      </c>
      <c r="F1806" s="95" t="n">
        <v>143252</v>
      </c>
      <c r="G1806" s="34" t="n">
        <v>3.09</v>
      </c>
      <c r="H1806" s="34" t="n">
        <v>122.4</v>
      </c>
      <c r="I1806" s="34" t="n">
        <v>111.4</v>
      </c>
      <c r="J1806" s="95" t="n">
        <f aca="false">IF(N(E1806)&gt;0,E1806,IF(N(F1806)&gt;0,F1806*가정!$B$5,0))</f>
        <v>489000</v>
      </c>
      <c r="K1806" s="95" t="n">
        <f aca="false">IF(N(F1806)&gt;0,F1806,IF(N(E1806)&gt;0,E1806/가정!$B$5,0))</f>
        <v>143252</v>
      </c>
      <c r="L1806" s="95" t="n">
        <f aca="false">IF(B1806="CN",IF(N(I1806)&gt;0,I1806*가정!$B$3,K1806*(1+가정!$B$6)),IF(N(H1806)&gt;0,H1806*가정!$B$3,J1806*가정!$B$4))</f>
        <v>151813.692</v>
      </c>
      <c r="M1806" s="95" t="n">
        <f aca="false">D1806*J1806</f>
        <v>282153000</v>
      </c>
      <c r="N1806" s="95" t="n">
        <f aca="false">D1806*K1806</f>
        <v>82656404</v>
      </c>
      <c r="O1806" s="95" t="n">
        <f aca="false">D1806*L1806</f>
        <v>87596500.284</v>
      </c>
      <c r="P1806" s="34" t="str">
        <f aca="false">TRIM(IF(N(E1806)&lt;=0,"택가보정 ","")&amp;IF(N(F1806)&lt;=0,"원가보정 ","")&amp;IF(AND(B1806&lt;&gt;"CN",N(H1806)&lt;=0),"공급가보정 ","")&amp;IF(AND(B1806="CN",N(I1806)&lt;=0),"중국공급가=원가+마진 ",""))</f>
        <v/>
      </c>
    </row>
    <row r="1807" customFormat="false" ht="15" hidden="false" customHeight="true" outlineLevel="0" collapsed="false">
      <c r="A1807" s="94" t="s">
        <v>1685</v>
      </c>
      <c r="B1807" s="34" t="str">
        <f aca="false">IF(A1807="100","HK",IF(A1807="200","CN",IF(A1807="300","TW","홀세일")))</f>
        <v>CN</v>
      </c>
      <c r="C1807" s="94" t="s">
        <v>767</v>
      </c>
      <c r="D1807" s="95" t="n">
        <v>577</v>
      </c>
      <c r="E1807" s="95" t="n">
        <v>489000</v>
      </c>
      <c r="F1807" s="95" t="n">
        <v>143252</v>
      </c>
      <c r="G1807" s="34" t="n">
        <v>3.09</v>
      </c>
      <c r="H1807" s="34" t="n">
        <v>122.4</v>
      </c>
      <c r="I1807" s="34" t="n">
        <v>111.4</v>
      </c>
      <c r="J1807" s="95" t="n">
        <f aca="false">IF(N(E1807)&gt;0,E1807,IF(N(F1807)&gt;0,F1807*가정!$B$5,0))</f>
        <v>489000</v>
      </c>
      <c r="K1807" s="95" t="n">
        <f aca="false">IF(N(F1807)&gt;0,F1807,IF(N(E1807)&gt;0,E1807/가정!$B$5,0))</f>
        <v>143252</v>
      </c>
      <c r="L1807" s="95" t="n">
        <f aca="false">IF(B1807="CN",IF(N(I1807)&gt;0,I1807*가정!$B$3,K1807*(1+가정!$B$6)),IF(N(H1807)&gt;0,H1807*가정!$B$3,J1807*가정!$B$4))</f>
        <v>151813.692</v>
      </c>
      <c r="M1807" s="95" t="n">
        <f aca="false">D1807*J1807</f>
        <v>282153000</v>
      </c>
      <c r="N1807" s="95" t="n">
        <f aca="false">D1807*K1807</f>
        <v>82656404</v>
      </c>
      <c r="O1807" s="95" t="n">
        <f aca="false">D1807*L1807</f>
        <v>87596500.284</v>
      </c>
      <c r="P1807" s="34" t="str">
        <f aca="false">TRIM(IF(N(E1807)&lt;=0,"택가보정 ","")&amp;IF(N(F1807)&lt;=0,"원가보정 ","")&amp;IF(AND(B1807&lt;&gt;"CN",N(H1807)&lt;=0),"공급가보정 ","")&amp;IF(AND(B1807="CN",N(I1807)&lt;=0),"중국공급가=원가+마진 ",""))</f>
        <v/>
      </c>
    </row>
    <row r="1808" customFormat="false" ht="15" hidden="false" customHeight="true" outlineLevel="0" collapsed="false">
      <c r="A1808" s="94" t="s">
        <v>1685</v>
      </c>
      <c r="B1808" s="34" t="str">
        <f aca="false">IF(A1808="100","HK",IF(A1808="200","CN",IF(A1808="300","TW","홀세일")))</f>
        <v>CN</v>
      </c>
      <c r="C1808" s="94" t="s">
        <v>767</v>
      </c>
      <c r="D1808" s="95" t="n">
        <v>577</v>
      </c>
      <c r="E1808" s="95" t="n">
        <v>489000</v>
      </c>
      <c r="F1808" s="95" t="n">
        <v>143252</v>
      </c>
      <c r="G1808" s="34" t="n">
        <v>3.09</v>
      </c>
      <c r="H1808" s="34" t="n">
        <v>122.4</v>
      </c>
      <c r="I1808" s="34" t="n">
        <v>111.4</v>
      </c>
      <c r="J1808" s="95" t="n">
        <f aca="false">IF(N(E1808)&gt;0,E1808,IF(N(F1808)&gt;0,F1808*가정!$B$5,0))</f>
        <v>489000</v>
      </c>
      <c r="K1808" s="95" t="n">
        <f aca="false">IF(N(F1808)&gt;0,F1808,IF(N(E1808)&gt;0,E1808/가정!$B$5,0))</f>
        <v>143252</v>
      </c>
      <c r="L1808" s="95" t="n">
        <f aca="false">IF(B1808="CN",IF(N(I1808)&gt;0,I1808*가정!$B$3,K1808*(1+가정!$B$6)),IF(N(H1808)&gt;0,H1808*가정!$B$3,J1808*가정!$B$4))</f>
        <v>151813.692</v>
      </c>
      <c r="M1808" s="95" t="n">
        <f aca="false">D1808*J1808</f>
        <v>282153000</v>
      </c>
      <c r="N1808" s="95" t="n">
        <f aca="false">D1808*K1808</f>
        <v>82656404</v>
      </c>
      <c r="O1808" s="95" t="n">
        <f aca="false">D1808*L1808</f>
        <v>87596500.284</v>
      </c>
      <c r="P1808" s="34" t="str">
        <f aca="false">TRIM(IF(N(E1808)&lt;=0,"택가보정 ","")&amp;IF(N(F1808)&lt;=0,"원가보정 ","")&amp;IF(AND(B1808&lt;&gt;"CN",N(H1808)&lt;=0),"공급가보정 ","")&amp;IF(AND(B1808="CN",N(I1808)&lt;=0),"중국공급가=원가+마진 ",""))</f>
        <v/>
      </c>
    </row>
    <row r="1809" customFormat="false" ht="15" hidden="false" customHeight="true" outlineLevel="0" collapsed="false">
      <c r="A1809" s="94" t="s">
        <v>1686</v>
      </c>
      <c r="B1809" s="34" t="str">
        <f aca="false">IF(A1809="100","HK",IF(A1809="200","CN",IF(A1809="300","TW","홀세일")))</f>
        <v>TW</v>
      </c>
      <c r="C1809" s="94" t="s">
        <v>767</v>
      </c>
      <c r="D1809" s="95" t="n">
        <v>270</v>
      </c>
      <c r="E1809" s="95" t="n">
        <v>489000</v>
      </c>
      <c r="F1809" s="95" t="n">
        <v>143252</v>
      </c>
      <c r="G1809" s="34" t="n">
        <v>3.09</v>
      </c>
      <c r="H1809" s="34" t="n">
        <v>122.4</v>
      </c>
      <c r="I1809" s="34" t="n">
        <v>111.4</v>
      </c>
      <c r="J1809" s="95" t="n">
        <f aca="false">IF(N(E1809)&gt;0,E1809,IF(N(F1809)&gt;0,F1809*가정!$B$5,0))</f>
        <v>489000</v>
      </c>
      <c r="K1809" s="95" t="n">
        <f aca="false">IF(N(F1809)&gt;0,F1809,IF(N(E1809)&gt;0,E1809/가정!$B$5,0))</f>
        <v>143252</v>
      </c>
      <c r="L1809" s="95" t="n">
        <f aca="false">IF(B1809="CN",IF(N(I1809)&gt;0,I1809*가정!$B$3,K1809*(1+가정!$B$6)),IF(N(H1809)&gt;0,H1809*가정!$B$3,J1809*가정!$B$4))</f>
        <v>166804.272</v>
      </c>
      <c r="M1809" s="95" t="n">
        <f aca="false">D1809*J1809</f>
        <v>132030000</v>
      </c>
      <c r="N1809" s="95" t="n">
        <f aca="false">D1809*K1809</f>
        <v>38678040</v>
      </c>
      <c r="O1809" s="95" t="n">
        <f aca="false">D1809*L1809</f>
        <v>45037153.44</v>
      </c>
      <c r="P1809" s="34" t="str">
        <f aca="false">TRIM(IF(N(E1809)&lt;=0,"택가보정 ","")&amp;IF(N(F1809)&lt;=0,"원가보정 ","")&amp;IF(AND(B1809&lt;&gt;"CN",N(H1809)&lt;=0),"공급가보정 ","")&amp;IF(AND(B1809="CN",N(I1809)&lt;=0),"중국공급가=원가+마진 ",""))</f>
        <v/>
      </c>
    </row>
    <row r="1810" customFormat="false" ht="15" hidden="false" customHeight="true" outlineLevel="0" collapsed="false">
      <c r="A1810" s="94" t="s">
        <v>1688</v>
      </c>
      <c r="B1810" s="34" t="str">
        <f aca="false">IF(A1810="100","HK",IF(A1810="200","CN",IF(A1810="300","TW","홀세일")))</f>
        <v>홀세일</v>
      </c>
      <c r="C1810" s="94" t="s">
        <v>767</v>
      </c>
      <c r="D1810" s="95" t="n">
        <v>20</v>
      </c>
      <c r="E1810" s="95" t="n">
        <v>489000</v>
      </c>
      <c r="F1810" s="95" t="n">
        <v>143252</v>
      </c>
      <c r="G1810" s="34" t="n">
        <v>3.09</v>
      </c>
      <c r="H1810" s="34" t="n">
        <v>122.4</v>
      </c>
      <c r="I1810" s="34" t="n">
        <v>111.4</v>
      </c>
      <c r="J1810" s="95" t="n">
        <f aca="false">IF(N(E1810)&gt;0,E1810,IF(N(F1810)&gt;0,F1810*가정!$B$5,0))</f>
        <v>489000</v>
      </c>
      <c r="K1810" s="95" t="n">
        <f aca="false">IF(N(F1810)&gt;0,F1810,IF(N(E1810)&gt;0,E1810/가정!$B$5,0))</f>
        <v>143252</v>
      </c>
      <c r="L1810" s="95" t="n">
        <f aca="false">IF(B1810="CN",IF(N(I1810)&gt;0,I1810*가정!$B$3,K1810*(1+가정!$B$6)),IF(N(H1810)&gt;0,H1810*가정!$B$3,J1810*가정!$B$4))</f>
        <v>166804.272</v>
      </c>
      <c r="M1810" s="95" t="n">
        <f aca="false">D1810*J1810</f>
        <v>9780000</v>
      </c>
      <c r="N1810" s="95" t="n">
        <f aca="false">D1810*K1810</f>
        <v>2865040</v>
      </c>
      <c r="O1810" s="95" t="n">
        <f aca="false">D1810*L1810</f>
        <v>3336085.44</v>
      </c>
      <c r="P1810" s="34" t="str">
        <f aca="false">TRIM(IF(N(E1810)&lt;=0,"택가보정 ","")&amp;IF(N(F1810)&lt;=0,"원가보정 ","")&amp;IF(AND(B1810&lt;&gt;"CN",N(H1810)&lt;=0),"공급가보정 ","")&amp;IF(AND(B1810="CN",N(I1810)&lt;=0),"중국공급가=원가+마진 ",""))</f>
        <v/>
      </c>
    </row>
    <row r="1811" customFormat="false" ht="15" hidden="false" customHeight="true" outlineLevel="0" collapsed="false">
      <c r="A1811" s="94" t="s">
        <v>1685</v>
      </c>
      <c r="B1811" s="34" t="str">
        <f aca="false">IF(A1811="100","HK",IF(A1811="200","CN",IF(A1811="300","TW","홀세일")))</f>
        <v>CN</v>
      </c>
      <c r="C1811" s="94" t="s">
        <v>1225</v>
      </c>
      <c r="D1811" s="95" t="n">
        <v>171</v>
      </c>
      <c r="E1811" s="95" t="n">
        <v>219000</v>
      </c>
      <c r="F1811" s="95" t="n">
        <v>63800</v>
      </c>
      <c r="G1811" s="34" t="n">
        <v>3.06</v>
      </c>
      <c r="H1811" s="34" t="n">
        <v>54.9</v>
      </c>
      <c r="I1811" s="34" t="n">
        <v>50.8</v>
      </c>
      <c r="J1811" s="95" t="n">
        <f aca="false">IF(N(E1811)&gt;0,E1811,IF(N(F1811)&gt;0,F1811*가정!$B$5,0))</f>
        <v>219000</v>
      </c>
      <c r="K1811" s="95" t="n">
        <f aca="false">IF(N(F1811)&gt;0,F1811,IF(N(E1811)&gt;0,E1811/가정!$B$5,0))</f>
        <v>63800</v>
      </c>
      <c r="L1811" s="95" t="n">
        <f aca="false">IF(B1811="CN",IF(N(I1811)&gt;0,I1811*가정!$B$3,K1811*(1+가정!$B$6)),IF(N(H1811)&gt;0,H1811*가정!$B$3,J1811*가정!$B$4))</f>
        <v>69229.224</v>
      </c>
      <c r="M1811" s="95" t="n">
        <f aca="false">D1811*J1811</f>
        <v>37449000</v>
      </c>
      <c r="N1811" s="95" t="n">
        <f aca="false">D1811*K1811</f>
        <v>10909800</v>
      </c>
      <c r="O1811" s="95" t="n">
        <f aca="false">D1811*L1811</f>
        <v>11838197.304</v>
      </c>
      <c r="P1811" s="34" t="str">
        <f aca="false">TRIM(IF(N(E1811)&lt;=0,"택가보정 ","")&amp;IF(N(F1811)&lt;=0,"원가보정 ","")&amp;IF(AND(B1811&lt;&gt;"CN",N(H1811)&lt;=0),"공급가보정 ","")&amp;IF(AND(B1811="CN",N(I1811)&lt;=0),"중국공급가=원가+마진 ",""))</f>
        <v/>
      </c>
    </row>
    <row r="1812" customFormat="false" ht="15" hidden="false" customHeight="true" outlineLevel="0" collapsed="false">
      <c r="A1812" s="94" t="s">
        <v>1688</v>
      </c>
      <c r="B1812" s="34" t="str">
        <f aca="false">IF(A1812="100","HK",IF(A1812="200","CN",IF(A1812="300","TW","홀세일")))</f>
        <v>홀세일</v>
      </c>
      <c r="C1812" s="94" t="s">
        <v>1225</v>
      </c>
      <c r="D1812" s="95" t="n">
        <v>20</v>
      </c>
      <c r="E1812" s="95" t="n">
        <v>219000</v>
      </c>
      <c r="F1812" s="95" t="n">
        <v>63800</v>
      </c>
      <c r="G1812" s="34" t="n">
        <v>3.06</v>
      </c>
      <c r="H1812" s="34" t="n">
        <v>54.9</v>
      </c>
      <c r="I1812" s="34" t="n">
        <v>50.8</v>
      </c>
      <c r="J1812" s="95" t="n">
        <f aca="false">IF(N(E1812)&gt;0,E1812,IF(N(F1812)&gt;0,F1812*가정!$B$5,0))</f>
        <v>219000</v>
      </c>
      <c r="K1812" s="95" t="n">
        <f aca="false">IF(N(F1812)&gt;0,F1812,IF(N(E1812)&gt;0,E1812/가정!$B$5,0))</f>
        <v>63800</v>
      </c>
      <c r="L1812" s="95" t="n">
        <f aca="false">IF(B1812="CN",IF(N(I1812)&gt;0,I1812*가정!$B$3,K1812*(1+가정!$B$6)),IF(N(H1812)&gt;0,H1812*가정!$B$3,J1812*가정!$B$4))</f>
        <v>74816.622</v>
      </c>
      <c r="M1812" s="95" t="n">
        <f aca="false">D1812*J1812</f>
        <v>4380000</v>
      </c>
      <c r="N1812" s="95" t="n">
        <f aca="false">D1812*K1812</f>
        <v>1276000</v>
      </c>
      <c r="O1812" s="95" t="n">
        <f aca="false">D1812*L1812</f>
        <v>1496332.44</v>
      </c>
      <c r="P1812" s="34" t="str">
        <f aca="false">TRIM(IF(N(E1812)&lt;=0,"택가보정 ","")&amp;IF(N(F1812)&lt;=0,"원가보정 ","")&amp;IF(AND(B1812&lt;&gt;"CN",N(H1812)&lt;=0),"공급가보정 ","")&amp;IF(AND(B1812="CN",N(I1812)&lt;=0),"중국공급가=원가+마진 ",""))</f>
        <v/>
      </c>
    </row>
    <row r="1813" customFormat="false" ht="15" hidden="false" customHeight="true" outlineLevel="0" collapsed="false">
      <c r="A1813" s="94" t="s">
        <v>1685</v>
      </c>
      <c r="B1813" s="34" t="str">
        <f aca="false">IF(A1813="100","HK",IF(A1813="200","CN",IF(A1813="300","TW","홀세일")))</f>
        <v>CN</v>
      </c>
      <c r="C1813" s="94" t="s">
        <v>1227</v>
      </c>
      <c r="D1813" s="95" t="n">
        <v>342</v>
      </c>
      <c r="E1813" s="95" t="n">
        <v>179000</v>
      </c>
      <c r="F1813" s="95" t="n">
        <v>50701</v>
      </c>
      <c r="G1813" s="34" t="n">
        <v>3.24</v>
      </c>
      <c r="H1813" s="34" t="n">
        <v>44.8</v>
      </c>
      <c r="I1813" s="34" t="n">
        <v>40.5</v>
      </c>
      <c r="J1813" s="95" t="n">
        <f aca="false">IF(N(E1813)&gt;0,E1813,IF(N(F1813)&gt;0,F1813*가정!$B$5,0))</f>
        <v>179000</v>
      </c>
      <c r="K1813" s="95" t="n">
        <f aca="false">IF(N(F1813)&gt;0,F1813,IF(N(E1813)&gt;0,E1813/가정!$B$5,0))</f>
        <v>50701</v>
      </c>
      <c r="L1813" s="95" t="n">
        <f aca="false">IF(B1813="CN",IF(N(I1813)&gt;0,I1813*가정!$B$3,K1813*(1+가정!$B$6)),IF(N(H1813)&gt;0,H1813*가정!$B$3,J1813*가정!$B$4))</f>
        <v>55192.59</v>
      </c>
      <c r="M1813" s="95" t="n">
        <f aca="false">D1813*J1813</f>
        <v>61218000</v>
      </c>
      <c r="N1813" s="95" t="n">
        <f aca="false">D1813*K1813</f>
        <v>17339742</v>
      </c>
      <c r="O1813" s="95" t="n">
        <f aca="false">D1813*L1813</f>
        <v>18875865.78</v>
      </c>
      <c r="P1813" s="34" t="str">
        <f aca="false">TRIM(IF(N(E1813)&lt;=0,"택가보정 ","")&amp;IF(N(F1813)&lt;=0,"원가보정 ","")&amp;IF(AND(B1813&lt;&gt;"CN",N(H1813)&lt;=0),"공급가보정 ","")&amp;IF(AND(B1813="CN",N(I1813)&lt;=0),"중국공급가=원가+마진 ",""))</f>
        <v/>
      </c>
    </row>
    <row r="1814" customFormat="false" ht="15" hidden="false" customHeight="true" outlineLevel="0" collapsed="false">
      <c r="A1814" s="94" t="s">
        <v>1685</v>
      </c>
      <c r="B1814" s="34" t="str">
        <f aca="false">IF(A1814="100","HK",IF(A1814="200","CN",IF(A1814="300","TW","홀세일")))</f>
        <v>CN</v>
      </c>
      <c r="C1814" s="94" t="s">
        <v>1227</v>
      </c>
      <c r="D1814" s="95" t="n">
        <v>342</v>
      </c>
      <c r="E1814" s="95" t="n">
        <v>179000</v>
      </c>
      <c r="F1814" s="95" t="n">
        <v>50701</v>
      </c>
      <c r="G1814" s="34" t="n">
        <v>3.24</v>
      </c>
      <c r="H1814" s="34" t="n">
        <v>44.8</v>
      </c>
      <c r="I1814" s="34" t="n">
        <v>40.5</v>
      </c>
      <c r="J1814" s="95" t="n">
        <f aca="false">IF(N(E1814)&gt;0,E1814,IF(N(F1814)&gt;0,F1814*가정!$B$5,0))</f>
        <v>179000</v>
      </c>
      <c r="K1814" s="95" t="n">
        <f aca="false">IF(N(F1814)&gt;0,F1814,IF(N(E1814)&gt;0,E1814/가정!$B$5,0))</f>
        <v>50701</v>
      </c>
      <c r="L1814" s="95" t="n">
        <f aca="false">IF(B1814="CN",IF(N(I1814)&gt;0,I1814*가정!$B$3,K1814*(1+가정!$B$6)),IF(N(H1814)&gt;0,H1814*가정!$B$3,J1814*가정!$B$4))</f>
        <v>55192.59</v>
      </c>
      <c r="M1814" s="95" t="n">
        <f aca="false">D1814*J1814</f>
        <v>61218000</v>
      </c>
      <c r="N1814" s="95" t="n">
        <f aca="false">D1814*K1814</f>
        <v>17339742</v>
      </c>
      <c r="O1814" s="95" t="n">
        <f aca="false">D1814*L1814</f>
        <v>18875865.78</v>
      </c>
      <c r="P1814" s="34" t="str">
        <f aca="false">TRIM(IF(N(E1814)&lt;=0,"택가보정 ","")&amp;IF(N(F1814)&lt;=0,"원가보정 ","")&amp;IF(AND(B1814&lt;&gt;"CN",N(H1814)&lt;=0),"공급가보정 ","")&amp;IF(AND(B1814="CN",N(I1814)&lt;=0),"중국공급가=원가+마진 ",""))</f>
        <v/>
      </c>
    </row>
    <row r="1815" customFormat="false" ht="15" hidden="false" customHeight="true" outlineLevel="0" collapsed="false">
      <c r="A1815" s="94" t="s">
        <v>1685</v>
      </c>
      <c r="B1815" s="34" t="str">
        <f aca="false">IF(A1815="100","HK",IF(A1815="200","CN",IF(A1815="300","TW","홀세일")))</f>
        <v>CN</v>
      </c>
      <c r="C1815" s="94" t="s">
        <v>1229</v>
      </c>
      <c r="D1815" s="95" t="n">
        <v>151</v>
      </c>
      <c r="E1815" s="95" t="n">
        <v>149000</v>
      </c>
      <c r="F1815" s="95" t="n">
        <v>44700</v>
      </c>
      <c r="G1815" s="34" t="n">
        <v>3.05</v>
      </c>
      <c r="H1815" s="34" t="n">
        <v>35.1</v>
      </c>
      <c r="I1815" s="34" t="n">
        <v>35.6</v>
      </c>
      <c r="J1815" s="95" t="n">
        <f aca="false">IF(N(E1815)&gt;0,E1815,IF(N(F1815)&gt;0,F1815*가정!$B$5,0))</f>
        <v>149000</v>
      </c>
      <c r="K1815" s="95" t="n">
        <f aca="false">IF(N(F1815)&gt;0,F1815,IF(N(E1815)&gt;0,E1815/가정!$B$5,0))</f>
        <v>44700</v>
      </c>
      <c r="L1815" s="95" t="n">
        <f aca="false">IF(B1815="CN",IF(N(I1815)&gt;0,I1815*가정!$B$3,K1815*(1+가정!$B$6)),IF(N(H1815)&gt;0,H1815*가정!$B$3,J1815*가정!$B$4))</f>
        <v>48514.968</v>
      </c>
      <c r="M1815" s="95" t="n">
        <f aca="false">D1815*J1815</f>
        <v>22499000</v>
      </c>
      <c r="N1815" s="95" t="n">
        <f aca="false">D1815*K1815</f>
        <v>6749700</v>
      </c>
      <c r="O1815" s="95" t="n">
        <f aca="false">D1815*L1815</f>
        <v>7325760.168</v>
      </c>
      <c r="P1815" s="34" t="str">
        <f aca="false">TRIM(IF(N(E1815)&lt;=0,"택가보정 ","")&amp;IF(N(F1815)&lt;=0,"원가보정 ","")&amp;IF(AND(B1815&lt;&gt;"CN",N(H1815)&lt;=0),"공급가보정 ","")&amp;IF(AND(B1815="CN",N(I1815)&lt;=0),"중국공급가=원가+마진 ",""))</f>
        <v/>
      </c>
    </row>
    <row r="1816" customFormat="false" ht="15" hidden="false" customHeight="true" outlineLevel="0" collapsed="false">
      <c r="A1816" s="94" t="s">
        <v>1688</v>
      </c>
      <c r="B1816" s="34" t="str">
        <f aca="false">IF(A1816="100","HK",IF(A1816="200","CN",IF(A1816="300","TW","홀세일")))</f>
        <v>홀세일</v>
      </c>
      <c r="C1816" s="94" t="s">
        <v>1229</v>
      </c>
      <c r="D1816" s="95" t="n">
        <v>35</v>
      </c>
      <c r="E1816" s="95" t="n">
        <v>149000</v>
      </c>
      <c r="F1816" s="95" t="n">
        <v>44700</v>
      </c>
      <c r="G1816" s="34" t="n">
        <v>3.05</v>
      </c>
      <c r="H1816" s="34" t="n">
        <v>35.1</v>
      </c>
      <c r="I1816" s="34" t="n">
        <v>35.6</v>
      </c>
      <c r="J1816" s="95" t="n">
        <f aca="false">IF(N(E1816)&gt;0,E1816,IF(N(F1816)&gt;0,F1816*가정!$B$5,0))</f>
        <v>149000</v>
      </c>
      <c r="K1816" s="95" t="n">
        <f aca="false">IF(N(F1816)&gt;0,F1816,IF(N(E1816)&gt;0,E1816/가정!$B$5,0))</f>
        <v>44700</v>
      </c>
      <c r="L1816" s="95" t="n">
        <f aca="false">IF(B1816="CN",IF(N(I1816)&gt;0,I1816*가정!$B$3,K1816*(1+가정!$B$6)),IF(N(H1816)&gt;0,H1816*가정!$B$3,J1816*가정!$B$4))</f>
        <v>47833.578</v>
      </c>
      <c r="M1816" s="95" t="n">
        <f aca="false">D1816*J1816</f>
        <v>5215000</v>
      </c>
      <c r="N1816" s="95" t="n">
        <f aca="false">D1816*K1816</f>
        <v>1564500</v>
      </c>
      <c r="O1816" s="95" t="n">
        <f aca="false">D1816*L1816</f>
        <v>1674175.23</v>
      </c>
      <c r="P1816" s="34" t="str">
        <f aca="false">TRIM(IF(N(E1816)&lt;=0,"택가보정 ","")&amp;IF(N(F1816)&lt;=0,"원가보정 ","")&amp;IF(AND(B1816&lt;&gt;"CN",N(H1816)&lt;=0),"공급가보정 ","")&amp;IF(AND(B1816="CN",N(I1816)&lt;=0),"중국공급가=원가+마진 ",""))</f>
        <v/>
      </c>
    </row>
    <row r="1817" customFormat="false" ht="15" hidden="false" customHeight="true" outlineLevel="0" collapsed="false">
      <c r="A1817" s="94" t="s">
        <v>1685</v>
      </c>
      <c r="B1817" s="34" t="str">
        <f aca="false">IF(A1817="100","HK",IF(A1817="200","CN",IF(A1817="300","TW","홀세일")))</f>
        <v>CN</v>
      </c>
      <c r="C1817" s="94" t="s">
        <v>1231</v>
      </c>
      <c r="D1817" s="95" t="n">
        <v>412</v>
      </c>
      <c r="E1817" s="95" t="n">
        <v>79000</v>
      </c>
      <c r="F1817" s="95" t="n">
        <v>21010</v>
      </c>
      <c r="G1817" s="34" t="n">
        <v>3.28</v>
      </c>
      <c r="H1817" s="34" t="n">
        <v>18.6</v>
      </c>
      <c r="I1817" s="34" t="n">
        <v>16.8</v>
      </c>
      <c r="J1817" s="95" t="n">
        <f aca="false">IF(N(E1817)&gt;0,E1817,IF(N(F1817)&gt;0,F1817*가정!$B$5,0))</f>
        <v>79000</v>
      </c>
      <c r="K1817" s="95" t="n">
        <f aca="false">IF(N(F1817)&gt;0,F1817,IF(N(E1817)&gt;0,E1817/가정!$B$5,0))</f>
        <v>21010</v>
      </c>
      <c r="L1817" s="95" t="n">
        <f aca="false">IF(B1817="CN",IF(N(I1817)&gt;0,I1817*가정!$B$3,K1817*(1+가정!$B$6)),IF(N(H1817)&gt;0,H1817*가정!$B$3,J1817*가정!$B$4))</f>
        <v>22894.704</v>
      </c>
      <c r="M1817" s="95" t="n">
        <f aca="false">D1817*J1817</f>
        <v>32548000</v>
      </c>
      <c r="N1817" s="95" t="n">
        <f aca="false">D1817*K1817</f>
        <v>8656120</v>
      </c>
      <c r="O1817" s="95" t="n">
        <f aca="false">D1817*L1817</f>
        <v>9432618.048</v>
      </c>
      <c r="P1817" s="34" t="str">
        <f aca="false">TRIM(IF(N(E1817)&lt;=0,"택가보정 ","")&amp;IF(N(F1817)&lt;=0,"원가보정 ","")&amp;IF(AND(B1817&lt;&gt;"CN",N(H1817)&lt;=0),"공급가보정 ","")&amp;IF(AND(B1817="CN",N(I1817)&lt;=0),"중국공급가=원가+마진 ",""))</f>
        <v/>
      </c>
    </row>
    <row r="1818" customFormat="false" ht="15" hidden="false" customHeight="true" outlineLevel="0" collapsed="false">
      <c r="A1818" s="94" t="s">
        <v>1685</v>
      </c>
      <c r="B1818" s="34" t="str">
        <f aca="false">IF(A1818="100","HK",IF(A1818="200","CN",IF(A1818="300","TW","홀세일")))</f>
        <v>CN</v>
      </c>
      <c r="C1818" s="94" t="s">
        <v>1231</v>
      </c>
      <c r="D1818" s="95" t="n">
        <v>412</v>
      </c>
      <c r="E1818" s="95" t="n">
        <v>79000</v>
      </c>
      <c r="F1818" s="95" t="n">
        <v>21010</v>
      </c>
      <c r="G1818" s="34" t="n">
        <v>3.28</v>
      </c>
      <c r="H1818" s="34" t="n">
        <v>18.6</v>
      </c>
      <c r="I1818" s="34" t="n">
        <v>16.8</v>
      </c>
      <c r="J1818" s="95" t="n">
        <f aca="false">IF(N(E1818)&gt;0,E1818,IF(N(F1818)&gt;0,F1818*가정!$B$5,0))</f>
        <v>79000</v>
      </c>
      <c r="K1818" s="95" t="n">
        <f aca="false">IF(N(F1818)&gt;0,F1818,IF(N(E1818)&gt;0,E1818/가정!$B$5,0))</f>
        <v>21010</v>
      </c>
      <c r="L1818" s="95" t="n">
        <f aca="false">IF(B1818="CN",IF(N(I1818)&gt;0,I1818*가정!$B$3,K1818*(1+가정!$B$6)),IF(N(H1818)&gt;0,H1818*가정!$B$3,J1818*가정!$B$4))</f>
        <v>22894.704</v>
      </c>
      <c r="M1818" s="95" t="n">
        <f aca="false">D1818*J1818</f>
        <v>32548000</v>
      </c>
      <c r="N1818" s="95" t="n">
        <f aca="false">D1818*K1818</f>
        <v>8656120</v>
      </c>
      <c r="O1818" s="95" t="n">
        <f aca="false">D1818*L1818</f>
        <v>9432618.048</v>
      </c>
      <c r="P1818" s="34" t="str">
        <f aca="false">TRIM(IF(N(E1818)&lt;=0,"택가보정 ","")&amp;IF(N(F1818)&lt;=0,"원가보정 ","")&amp;IF(AND(B1818&lt;&gt;"CN",N(H1818)&lt;=0),"공급가보정 ","")&amp;IF(AND(B1818="CN",N(I1818)&lt;=0),"중국공급가=원가+마진 ",""))</f>
        <v/>
      </c>
    </row>
    <row r="1819" customFormat="false" ht="15" hidden="false" customHeight="true" outlineLevel="0" collapsed="false">
      <c r="A1819" s="94" t="s">
        <v>1686</v>
      </c>
      <c r="B1819" s="34" t="str">
        <f aca="false">IF(A1819="100","HK",IF(A1819="200","CN",IF(A1819="300","TW","홀세일")))</f>
        <v>TW</v>
      </c>
      <c r="C1819" s="94" t="s">
        <v>769</v>
      </c>
      <c r="D1819" s="95" t="n">
        <v>400</v>
      </c>
      <c r="E1819" s="95" t="n">
        <v>119000</v>
      </c>
      <c r="F1819" s="95" t="n">
        <v>32100</v>
      </c>
      <c r="G1819" s="34" t="n">
        <v>3.08</v>
      </c>
      <c r="H1819" s="34" t="n">
        <v>29.8</v>
      </c>
      <c r="J1819" s="95" t="n">
        <f aca="false">IF(N(E1819)&gt;0,E1819,IF(N(F1819)&gt;0,F1819*가정!$B$5,0))</f>
        <v>119000</v>
      </c>
      <c r="K1819" s="95" t="n">
        <f aca="false">IF(N(F1819)&gt;0,F1819,IF(N(E1819)&gt;0,E1819/가정!$B$5,0))</f>
        <v>32100</v>
      </c>
      <c r="L1819" s="95" t="n">
        <f aca="false">IF(B1819="CN",IF(N(I1819)&gt;0,I1819*가정!$B$3,K1819*(1+가정!$B$6)),IF(N(H1819)&gt;0,H1819*가정!$B$3,J1819*가정!$B$4))</f>
        <v>40610.844</v>
      </c>
      <c r="M1819" s="95" t="n">
        <f aca="false">D1819*J1819</f>
        <v>47600000</v>
      </c>
      <c r="N1819" s="95" t="n">
        <f aca="false">D1819*K1819</f>
        <v>12840000</v>
      </c>
      <c r="O1819" s="95" t="n">
        <f aca="false">D1819*L1819</f>
        <v>16244337.6</v>
      </c>
      <c r="P1819" s="34" t="str">
        <f aca="false">TRIM(IF(N(E1819)&lt;=0,"택가보정 ","")&amp;IF(N(F1819)&lt;=0,"원가보정 ","")&amp;IF(AND(B1819&lt;&gt;"CN",N(H1819)&lt;=0),"공급가보정 ","")&amp;IF(AND(B1819="CN",N(I1819)&lt;=0),"중국공급가=원가+마진 ",""))</f>
        <v/>
      </c>
    </row>
    <row r="1820" customFormat="false" ht="15" hidden="false" customHeight="true" outlineLevel="0" collapsed="false">
      <c r="A1820" s="94" t="s">
        <v>1686</v>
      </c>
      <c r="B1820" s="34" t="str">
        <f aca="false">IF(A1820="100","HK",IF(A1820="200","CN",IF(A1820="300","TW","홀세일")))</f>
        <v>TW</v>
      </c>
      <c r="C1820" s="94" t="s">
        <v>771</v>
      </c>
      <c r="D1820" s="95" t="n">
        <v>400</v>
      </c>
      <c r="E1820" s="95" t="n">
        <v>119000</v>
      </c>
      <c r="F1820" s="95" t="n">
        <v>29100</v>
      </c>
      <c r="G1820" s="34" t="n">
        <v>3.51</v>
      </c>
      <c r="H1820" s="34" t="n">
        <v>29.8</v>
      </c>
      <c r="J1820" s="95" t="n">
        <f aca="false">IF(N(E1820)&gt;0,E1820,IF(N(F1820)&gt;0,F1820*가정!$B$5,0))</f>
        <v>119000</v>
      </c>
      <c r="K1820" s="95" t="n">
        <f aca="false">IF(N(F1820)&gt;0,F1820,IF(N(E1820)&gt;0,E1820/가정!$B$5,0))</f>
        <v>29100</v>
      </c>
      <c r="L1820" s="95" t="n">
        <f aca="false">IF(B1820="CN",IF(N(I1820)&gt;0,I1820*가정!$B$3,K1820*(1+가정!$B$6)),IF(N(H1820)&gt;0,H1820*가정!$B$3,J1820*가정!$B$4))</f>
        <v>40610.844</v>
      </c>
      <c r="M1820" s="95" t="n">
        <f aca="false">D1820*J1820</f>
        <v>47600000</v>
      </c>
      <c r="N1820" s="95" t="n">
        <f aca="false">D1820*K1820</f>
        <v>11640000</v>
      </c>
      <c r="O1820" s="95" t="n">
        <f aca="false">D1820*L1820</f>
        <v>16244337.6</v>
      </c>
      <c r="P1820" s="34" t="str">
        <f aca="false">TRIM(IF(N(E1820)&lt;=0,"택가보정 ","")&amp;IF(N(F1820)&lt;=0,"원가보정 ","")&amp;IF(AND(B1820&lt;&gt;"CN",N(H1820)&lt;=0),"공급가보정 ","")&amp;IF(AND(B1820="CN",N(I1820)&lt;=0),"중국공급가=원가+마진 ",""))</f>
        <v/>
      </c>
    </row>
    <row r="1821" customFormat="false" ht="15" hidden="false" customHeight="true" outlineLevel="0" collapsed="false">
      <c r="A1821" s="94" t="s">
        <v>1688</v>
      </c>
      <c r="B1821" s="34" t="str">
        <f aca="false">IF(A1821="100","HK",IF(A1821="200","CN",IF(A1821="300","TW","홀세일")))</f>
        <v>홀세일</v>
      </c>
      <c r="C1821" s="94" t="s">
        <v>1759</v>
      </c>
      <c r="D1821" s="95" t="n">
        <v>125</v>
      </c>
      <c r="E1821" s="95" t="n">
        <v>89000</v>
      </c>
      <c r="F1821" s="95" t="n">
        <v>25900</v>
      </c>
      <c r="G1821" s="34" t="n">
        <v>3.12</v>
      </c>
      <c r="H1821" s="34" t="n">
        <v>21.6</v>
      </c>
      <c r="J1821" s="95" t="n">
        <f aca="false">IF(N(E1821)&gt;0,E1821,IF(N(F1821)&gt;0,F1821*가정!$B$5,0))</f>
        <v>89000</v>
      </c>
      <c r="K1821" s="95" t="n">
        <f aca="false">IF(N(F1821)&gt;0,F1821,IF(N(E1821)&gt;0,E1821/가정!$B$5,0))</f>
        <v>25900</v>
      </c>
      <c r="L1821" s="95" t="n">
        <f aca="false">IF(B1821="CN",IF(N(I1821)&gt;0,I1821*가정!$B$3,K1821*(1+가정!$B$6)),IF(N(H1821)&gt;0,H1821*가정!$B$3,J1821*가정!$B$4))</f>
        <v>29436.048</v>
      </c>
      <c r="M1821" s="95" t="n">
        <f aca="false">D1821*J1821</f>
        <v>11125000</v>
      </c>
      <c r="N1821" s="95" t="n">
        <f aca="false">D1821*K1821</f>
        <v>3237500</v>
      </c>
      <c r="O1821" s="95" t="n">
        <f aca="false">D1821*L1821</f>
        <v>3679506</v>
      </c>
      <c r="P1821" s="34" t="str">
        <f aca="false">TRIM(IF(N(E1821)&lt;=0,"택가보정 ","")&amp;IF(N(F1821)&lt;=0,"원가보정 ","")&amp;IF(AND(B1821&lt;&gt;"CN",N(H1821)&lt;=0),"공급가보정 ","")&amp;IF(AND(B1821="CN",N(I1821)&lt;=0),"중국공급가=원가+마진 ",""))</f>
        <v/>
      </c>
    </row>
    <row r="1822" customFormat="false" ht="15" hidden="false" customHeight="true" outlineLevel="0" collapsed="false">
      <c r="A1822" s="94" t="s">
        <v>1692</v>
      </c>
      <c r="B1822" s="34" t="str">
        <f aca="false">IF(A1822="100","HK",IF(A1822="200","CN",IF(A1822="300","TW","홀세일")))</f>
        <v>홀세일</v>
      </c>
      <c r="C1822" s="94" t="s">
        <v>1759</v>
      </c>
      <c r="D1822" s="95" t="n">
        <v>1800</v>
      </c>
      <c r="E1822" s="95" t="n">
        <v>89000</v>
      </c>
      <c r="F1822" s="95" t="n">
        <v>25900</v>
      </c>
      <c r="G1822" s="34" t="n">
        <v>3.12</v>
      </c>
      <c r="H1822" s="34" t="n">
        <v>21.6</v>
      </c>
      <c r="J1822" s="95" t="n">
        <f aca="false">IF(N(E1822)&gt;0,E1822,IF(N(F1822)&gt;0,F1822*가정!$B$5,0))</f>
        <v>89000</v>
      </c>
      <c r="K1822" s="95" t="n">
        <f aca="false">IF(N(F1822)&gt;0,F1822,IF(N(E1822)&gt;0,E1822/가정!$B$5,0))</f>
        <v>25900</v>
      </c>
      <c r="L1822" s="95" t="n">
        <f aca="false">IF(B1822="CN",IF(N(I1822)&gt;0,I1822*가정!$B$3,K1822*(1+가정!$B$6)),IF(N(H1822)&gt;0,H1822*가정!$B$3,J1822*가정!$B$4))</f>
        <v>29436.048</v>
      </c>
      <c r="M1822" s="95" t="n">
        <f aca="false">D1822*J1822</f>
        <v>160200000</v>
      </c>
      <c r="N1822" s="95" t="n">
        <f aca="false">D1822*K1822</f>
        <v>46620000</v>
      </c>
      <c r="O1822" s="95" t="n">
        <f aca="false">D1822*L1822</f>
        <v>52984886.4</v>
      </c>
      <c r="P1822" s="34" t="str">
        <f aca="false">TRIM(IF(N(E1822)&lt;=0,"택가보정 ","")&amp;IF(N(F1822)&lt;=0,"원가보정 ","")&amp;IF(AND(B1822&lt;&gt;"CN",N(H1822)&lt;=0),"공급가보정 ","")&amp;IF(AND(B1822="CN",N(I1822)&lt;=0),"중국공급가=원가+마진 ",""))</f>
        <v/>
      </c>
    </row>
    <row r="1823" customFormat="false" ht="15" hidden="false" customHeight="true" outlineLevel="0" collapsed="false">
      <c r="A1823" s="94" t="s">
        <v>1686</v>
      </c>
      <c r="B1823" s="34" t="str">
        <f aca="false">IF(A1823="100","HK",IF(A1823="200","CN",IF(A1823="300","TW","홀세일")))</f>
        <v>TW</v>
      </c>
      <c r="C1823" s="94" t="s">
        <v>773</v>
      </c>
      <c r="D1823" s="95" t="n">
        <v>800</v>
      </c>
      <c r="E1823" s="95" t="n">
        <v>99000</v>
      </c>
      <c r="F1823" s="95" t="n">
        <v>23000</v>
      </c>
      <c r="G1823" s="34" t="n">
        <v>3.69</v>
      </c>
      <c r="H1823" s="34" t="n">
        <v>24.8</v>
      </c>
      <c r="J1823" s="95" t="n">
        <f aca="false">IF(N(E1823)&gt;0,E1823,IF(N(F1823)&gt;0,F1823*가정!$B$5,0))</f>
        <v>99000</v>
      </c>
      <c r="K1823" s="95" t="n">
        <f aca="false">IF(N(F1823)&gt;0,F1823,IF(N(E1823)&gt;0,E1823/가정!$B$5,0))</f>
        <v>23000</v>
      </c>
      <c r="L1823" s="95" t="n">
        <f aca="false">IF(B1823="CN",IF(N(I1823)&gt;0,I1823*가정!$B$3,K1823*(1+가정!$B$6)),IF(N(H1823)&gt;0,H1823*가정!$B$3,J1823*가정!$B$4))</f>
        <v>33796.944</v>
      </c>
      <c r="M1823" s="95" t="n">
        <f aca="false">D1823*J1823</f>
        <v>79200000</v>
      </c>
      <c r="N1823" s="95" t="n">
        <f aca="false">D1823*K1823</f>
        <v>18400000</v>
      </c>
      <c r="O1823" s="95" t="n">
        <f aca="false">D1823*L1823</f>
        <v>27037555.2</v>
      </c>
      <c r="P1823" s="34" t="str">
        <f aca="false">TRIM(IF(N(E1823)&lt;=0,"택가보정 ","")&amp;IF(N(F1823)&lt;=0,"원가보정 ","")&amp;IF(AND(B1823&lt;&gt;"CN",N(H1823)&lt;=0),"공급가보정 ","")&amp;IF(AND(B1823="CN",N(I1823)&lt;=0),"중국공급가=원가+마진 ",""))</f>
        <v/>
      </c>
    </row>
    <row r="1824" customFormat="false" ht="15" hidden="false" customHeight="true" outlineLevel="0" collapsed="false">
      <c r="A1824" s="94" t="s">
        <v>1686</v>
      </c>
      <c r="B1824" s="34" t="str">
        <f aca="false">IF(A1824="100","HK",IF(A1824="200","CN",IF(A1824="300","TW","홀세일")))</f>
        <v>TW</v>
      </c>
      <c r="C1824" s="94" t="s">
        <v>775</v>
      </c>
      <c r="D1824" s="95" t="n">
        <v>800</v>
      </c>
      <c r="E1824" s="95" t="n">
        <v>99000</v>
      </c>
      <c r="F1824" s="95" t="n">
        <v>24500</v>
      </c>
      <c r="G1824" s="34" t="n">
        <v>3.59</v>
      </c>
      <c r="H1824" s="34" t="n">
        <v>24.8</v>
      </c>
      <c r="J1824" s="95" t="n">
        <f aca="false">IF(N(E1824)&gt;0,E1824,IF(N(F1824)&gt;0,F1824*가정!$B$5,0))</f>
        <v>99000</v>
      </c>
      <c r="K1824" s="95" t="n">
        <f aca="false">IF(N(F1824)&gt;0,F1824,IF(N(E1824)&gt;0,E1824/가정!$B$5,0))</f>
        <v>24500</v>
      </c>
      <c r="L1824" s="95" t="n">
        <f aca="false">IF(B1824="CN",IF(N(I1824)&gt;0,I1824*가정!$B$3,K1824*(1+가정!$B$6)),IF(N(H1824)&gt;0,H1824*가정!$B$3,J1824*가정!$B$4))</f>
        <v>33796.944</v>
      </c>
      <c r="M1824" s="95" t="n">
        <f aca="false">D1824*J1824</f>
        <v>79200000</v>
      </c>
      <c r="N1824" s="95" t="n">
        <f aca="false">D1824*K1824</f>
        <v>19600000</v>
      </c>
      <c r="O1824" s="95" t="n">
        <f aca="false">D1824*L1824</f>
        <v>27037555.2</v>
      </c>
      <c r="P1824" s="34" t="str">
        <f aca="false">TRIM(IF(N(E1824)&lt;=0,"택가보정 ","")&amp;IF(N(F1824)&lt;=0,"원가보정 ","")&amp;IF(AND(B1824&lt;&gt;"CN",N(H1824)&lt;=0),"공급가보정 ","")&amp;IF(AND(B1824="CN",N(I1824)&lt;=0),"중국공급가=원가+마진 ",""))</f>
        <v/>
      </c>
    </row>
    <row r="1825" customFormat="false" ht="15" hidden="false" customHeight="true" outlineLevel="0" collapsed="false">
      <c r="A1825" s="94" t="s">
        <v>1686</v>
      </c>
      <c r="B1825" s="34" t="str">
        <f aca="false">IF(A1825="100","HK",IF(A1825="200","CN",IF(A1825="300","TW","홀세일")))</f>
        <v>TW</v>
      </c>
      <c r="C1825" s="94" t="s">
        <v>777</v>
      </c>
      <c r="D1825" s="95" t="n">
        <v>400</v>
      </c>
      <c r="E1825" s="95" t="n">
        <v>69000</v>
      </c>
      <c r="F1825" s="95" t="n">
        <v>15500</v>
      </c>
      <c r="G1825" s="34" t="n">
        <v>4.07</v>
      </c>
      <c r="H1825" s="34" t="n">
        <v>17.3</v>
      </c>
      <c r="J1825" s="95" t="n">
        <f aca="false">IF(N(E1825)&gt;0,E1825,IF(N(F1825)&gt;0,F1825*가정!$B$5,0))</f>
        <v>69000</v>
      </c>
      <c r="K1825" s="95" t="n">
        <f aca="false">IF(N(F1825)&gt;0,F1825,IF(N(E1825)&gt;0,E1825/가정!$B$5,0))</f>
        <v>15500</v>
      </c>
      <c r="L1825" s="95" t="n">
        <f aca="false">IF(B1825="CN",IF(N(I1825)&gt;0,I1825*가정!$B$3,K1825*(1+가정!$B$6)),IF(N(H1825)&gt;0,H1825*가정!$B$3,J1825*가정!$B$4))</f>
        <v>23576.094</v>
      </c>
      <c r="M1825" s="95" t="n">
        <f aca="false">D1825*J1825</f>
        <v>27600000</v>
      </c>
      <c r="N1825" s="95" t="n">
        <f aca="false">D1825*K1825</f>
        <v>6200000</v>
      </c>
      <c r="O1825" s="95" t="n">
        <f aca="false">D1825*L1825</f>
        <v>9430437.6</v>
      </c>
      <c r="P1825" s="34" t="str">
        <f aca="false">TRIM(IF(N(E1825)&lt;=0,"택가보정 ","")&amp;IF(N(F1825)&lt;=0,"원가보정 ","")&amp;IF(AND(B1825&lt;&gt;"CN",N(H1825)&lt;=0),"공급가보정 ","")&amp;IF(AND(B1825="CN",N(I1825)&lt;=0),"중국공급가=원가+마진 ",""))</f>
        <v/>
      </c>
    </row>
    <row r="1826" customFormat="false" ht="15" hidden="false" customHeight="true" outlineLevel="0" collapsed="false">
      <c r="A1826" s="94" t="s">
        <v>1686</v>
      </c>
      <c r="B1826" s="34" t="str">
        <f aca="false">IF(A1826="100","HK",IF(A1826="200","CN",IF(A1826="300","TW","홀세일")))</f>
        <v>TW</v>
      </c>
      <c r="C1826" s="94" t="s">
        <v>779</v>
      </c>
      <c r="D1826" s="95" t="n">
        <v>400</v>
      </c>
      <c r="E1826" s="95" t="n">
        <v>69000</v>
      </c>
      <c r="F1826" s="95" t="n">
        <v>17200</v>
      </c>
      <c r="G1826" s="34" t="n">
        <v>3.35</v>
      </c>
      <c r="H1826" s="34" t="n">
        <v>17.3</v>
      </c>
      <c r="J1826" s="95" t="n">
        <f aca="false">IF(N(E1826)&gt;0,E1826,IF(N(F1826)&gt;0,F1826*가정!$B$5,0))</f>
        <v>69000</v>
      </c>
      <c r="K1826" s="95" t="n">
        <f aca="false">IF(N(F1826)&gt;0,F1826,IF(N(E1826)&gt;0,E1826/가정!$B$5,0))</f>
        <v>17200</v>
      </c>
      <c r="L1826" s="95" t="n">
        <f aca="false">IF(B1826="CN",IF(N(I1826)&gt;0,I1826*가정!$B$3,K1826*(1+가정!$B$6)),IF(N(H1826)&gt;0,H1826*가정!$B$3,J1826*가정!$B$4))</f>
        <v>23576.094</v>
      </c>
      <c r="M1826" s="95" t="n">
        <f aca="false">D1826*J1826</f>
        <v>27600000</v>
      </c>
      <c r="N1826" s="95" t="n">
        <f aca="false">D1826*K1826</f>
        <v>6880000</v>
      </c>
      <c r="O1826" s="95" t="n">
        <f aca="false">D1826*L1826</f>
        <v>9430437.6</v>
      </c>
      <c r="P1826" s="34" t="str">
        <f aca="false">TRIM(IF(N(E1826)&lt;=0,"택가보정 ","")&amp;IF(N(F1826)&lt;=0,"원가보정 ","")&amp;IF(AND(B1826&lt;&gt;"CN",N(H1826)&lt;=0),"공급가보정 ","")&amp;IF(AND(B1826="CN",N(I1826)&lt;=0),"중국공급가=원가+마진 ",""))</f>
        <v/>
      </c>
    </row>
    <row r="1827" customFormat="false" ht="15" hidden="false" customHeight="true" outlineLevel="0" collapsed="false">
      <c r="A1827" s="94" t="s">
        <v>1686</v>
      </c>
      <c r="B1827" s="34" t="str">
        <f aca="false">IF(A1827="100","HK",IF(A1827="200","CN",IF(A1827="300","TW","홀세일")))</f>
        <v>TW</v>
      </c>
      <c r="C1827" s="94" t="s">
        <v>781</v>
      </c>
      <c r="D1827" s="95" t="n">
        <v>400</v>
      </c>
      <c r="E1827" s="95" t="n">
        <v>69000</v>
      </c>
      <c r="F1827" s="95" t="n">
        <v>15700</v>
      </c>
      <c r="G1827" s="34" t="n">
        <v>3.9</v>
      </c>
      <c r="H1827" s="34" t="n">
        <v>17.3</v>
      </c>
      <c r="J1827" s="95" t="n">
        <f aca="false">IF(N(E1827)&gt;0,E1827,IF(N(F1827)&gt;0,F1827*가정!$B$5,0))</f>
        <v>69000</v>
      </c>
      <c r="K1827" s="95" t="n">
        <f aca="false">IF(N(F1827)&gt;0,F1827,IF(N(E1827)&gt;0,E1827/가정!$B$5,0))</f>
        <v>15700</v>
      </c>
      <c r="L1827" s="95" t="n">
        <f aca="false">IF(B1827="CN",IF(N(I1827)&gt;0,I1827*가정!$B$3,K1827*(1+가정!$B$6)),IF(N(H1827)&gt;0,H1827*가정!$B$3,J1827*가정!$B$4))</f>
        <v>23576.094</v>
      </c>
      <c r="M1827" s="95" t="n">
        <f aca="false">D1827*J1827</f>
        <v>27600000</v>
      </c>
      <c r="N1827" s="95" t="n">
        <f aca="false">D1827*K1827</f>
        <v>6280000</v>
      </c>
      <c r="O1827" s="95" t="n">
        <f aca="false">D1827*L1827</f>
        <v>9430437.6</v>
      </c>
      <c r="P1827" s="34" t="str">
        <f aca="false">TRIM(IF(N(E1827)&lt;=0,"택가보정 ","")&amp;IF(N(F1827)&lt;=0,"원가보정 ","")&amp;IF(AND(B1827&lt;&gt;"CN",N(H1827)&lt;=0),"공급가보정 ","")&amp;IF(AND(B1827="CN",N(I1827)&lt;=0),"중국공급가=원가+마진 ",""))</f>
        <v/>
      </c>
    </row>
    <row r="1828" customFormat="false" ht="15" hidden="false" customHeight="true" outlineLevel="0" collapsed="false">
      <c r="A1828" s="94" t="s">
        <v>1686</v>
      </c>
      <c r="B1828" s="34" t="str">
        <f aca="false">IF(A1828="100","HK",IF(A1828="200","CN",IF(A1828="300","TW","홀세일")))</f>
        <v>TW</v>
      </c>
      <c r="C1828" s="94" t="s">
        <v>783</v>
      </c>
      <c r="D1828" s="95" t="n">
        <v>400</v>
      </c>
      <c r="E1828" s="95" t="n">
        <v>59000</v>
      </c>
      <c r="F1828" s="95" t="n">
        <v>12400</v>
      </c>
      <c r="G1828" s="34" t="n">
        <v>4.26</v>
      </c>
      <c r="H1828" s="34" t="n">
        <v>14.8</v>
      </c>
      <c r="J1828" s="95" t="n">
        <f aca="false">IF(N(E1828)&gt;0,E1828,IF(N(F1828)&gt;0,F1828*가정!$B$5,0))</f>
        <v>59000</v>
      </c>
      <c r="K1828" s="95" t="n">
        <f aca="false">IF(N(F1828)&gt;0,F1828,IF(N(E1828)&gt;0,E1828/가정!$B$5,0))</f>
        <v>12400</v>
      </c>
      <c r="L1828" s="95" t="n">
        <f aca="false">IF(B1828="CN",IF(N(I1828)&gt;0,I1828*가정!$B$3,K1828*(1+가정!$B$6)),IF(N(H1828)&gt;0,H1828*가정!$B$3,J1828*가정!$B$4))</f>
        <v>20169.144</v>
      </c>
      <c r="M1828" s="95" t="n">
        <f aca="false">D1828*J1828</f>
        <v>23600000</v>
      </c>
      <c r="N1828" s="95" t="n">
        <f aca="false">D1828*K1828</f>
        <v>4960000</v>
      </c>
      <c r="O1828" s="95" t="n">
        <f aca="false">D1828*L1828</f>
        <v>8067657.6</v>
      </c>
      <c r="P1828" s="34" t="str">
        <f aca="false">TRIM(IF(N(E1828)&lt;=0,"택가보정 ","")&amp;IF(N(F1828)&lt;=0,"원가보정 ","")&amp;IF(AND(B1828&lt;&gt;"CN",N(H1828)&lt;=0),"공급가보정 ","")&amp;IF(AND(B1828="CN",N(I1828)&lt;=0),"중국공급가=원가+마진 ",""))</f>
        <v/>
      </c>
    </row>
    <row r="1829" customFormat="false" ht="15" hidden="false" customHeight="true" outlineLevel="0" collapsed="false">
      <c r="A1829" s="94" t="s">
        <v>1686</v>
      </c>
      <c r="B1829" s="34" t="str">
        <f aca="false">IF(A1829="100","HK",IF(A1829="200","CN",IF(A1829="300","TW","홀세일")))</f>
        <v>TW</v>
      </c>
      <c r="C1829" s="94" t="s">
        <v>785</v>
      </c>
      <c r="D1829" s="95" t="n">
        <v>400</v>
      </c>
      <c r="E1829" s="95" t="n">
        <v>69000</v>
      </c>
      <c r="F1829" s="95" t="n">
        <v>16500</v>
      </c>
      <c r="G1829" s="34" t="n">
        <v>3.78</v>
      </c>
      <c r="H1829" s="34" t="n">
        <v>17.3</v>
      </c>
      <c r="J1829" s="95" t="n">
        <f aca="false">IF(N(E1829)&gt;0,E1829,IF(N(F1829)&gt;0,F1829*가정!$B$5,0))</f>
        <v>69000</v>
      </c>
      <c r="K1829" s="95" t="n">
        <f aca="false">IF(N(F1829)&gt;0,F1829,IF(N(E1829)&gt;0,E1829/가정!$B$5,0))</f>
        <v>16500</v>
      </c>
      <c r="L1829" s="95" t="n">
        <f aca="false">IF(B1829="CN",IF(N(I1829)&gt;0,I1829*가정!$B$3,K1829*(1+가정!$B$6)),IF(N(H1829)&gt;0,H1829*가정!$B$3,J1829*가정!$B$4))</f>
        <v>23576.094</v>
      </c>
      <c r="M1829" s="95" t="n">
        <f aca="false">D1829*J1829</f>
        <v>27600000</v>
      </c>
      <c r="N1829" s="95" t="n">
        <f aca="false">D1829*K1829</f>
        <v>6600000</v>
      </c>
      <c r="O1829" s="95" t="n">
        <f aca="false">D1829*L1829</f>
        <v>9430437.6</v>
      </c>
      <c r="P1829" s="34" t="str">
        <f aca="false">TRIM(IF(N(E1829)&lt;=0,"택가보정 ","")&amp;IF(N(F1829)&lt;=0,"원가보정 ","")&amp;IF(AND(B1829&lt;&gt;"CN",N(H1829)&lt;=0),"공급가보정 ","")&amp;IF(AND(B1829="CN",N(I1829)&lt;=0),"중국공급가=원가+마진 ",""))</f>
        <v/>
      </c>
    </row>
    <row r="1830" customFormat="false" ht="15" hidden="false" customHeight="true" outlineLevel="0" collapsed="false">
      <c r="A1830" s="94" t="s">
        <v>1686</v>
      </c>
      <c r="B1830" s="34" t="str">
        <f aca="false">IF(A1830="100","HK",IF(A1830="200","CN",IF(A1830="300","TW","홀세일")))</f>
        <v>TW</v>
      </c>
      <c r="C1830" s="94" t="s">
        <v>787</v>
      </c>
      <c r="D1830" s="95" t="n">
        <v>400</v>
      </c>
      <c r="E1830" s="95" t="n">
        <v>59000</v>
      </c>
      <c r="F1830" s="95" t="n">
        <v>12400</v>
      </c>
      <c r="G1830" s="34" t="n">
        <v>4.26</v>
      </c>
      <c r="H1830" s="34" t="n">
        <v>14.8</v>
      </c>
      <c r="J1830" s="95" t="n">
        <f aca="false">IF(N(E1830)&gt;0,E1830,IF(N(F1830)&gt;0,F1830*가정!$B$5,0))</f>
        <v>59000</v>
      </c>
      <c r="K1830" s="95" t="n">
        <f aca="false">IF(N(F1830)&gt;0,F1830,IF(N(E1830)&gt;0,E1830/가정!$B$5,0))</f>
        <v>12400</v>
      </c>
      <c r="L1830" s="95" t="n">
        <f aca="false">IF(B1830="CN",IF(N(I1830)&gt;0,I1830*가정!$B$3,K1830*(1+가정!$B$6)),IF(N(H1830)&gt;0,H1830*가정!$B$3,J1830*가정!$B$4))</f>
        <v>20169.144</v>
      </c>
      <c r="M1830" s="95" t="n">
        <f aca="false">D1830*J1830</f>
        <v>23600000</v>
      </c>
      <c r="N1830" s="95" t="n">
        <f aca="false">D1830*K1830</f>
        <v>4960000</v>
      </c>
      <c r="O1830" s="95" t="n">
        <f aca="false">D1830*L1830</f>
        <v>8067657.6</v>
      </c>
      <c r="P1830" s="34" t="str">
        <f aca="false">TRIM(IF(N(E1830)&lt;=0,"택가보정 ","")&amp;IF(N(F1830)&lt;=0,"원가보정 ","")&amp;IF(AND(B1830&lt;&gt;"CN",N(H1830)&lt;=0),"공급가보정 ","")&amp;IF(AND(B1830="CN",N(I1830)&lt;=0),"중국공급가=원가+마진 ",""))</f>
        <v/>
      </c>
    </row>
    <row r="1831" customFormat="false" ht="15" hidden="false" customHeight="true" outlineLevel="0" collapsed="false">
      <c r="A1831" s="94" t="s">
        <v>1688</v>
      </c>
      <c r="B1831" s="34" t="str">
        <f aca="false">IF(A1831="100","HK",IF(A1831="200","CN",IF(A1831="300","TW","홀세일")))</f>
        <v>홀세일</v>
      </c>
      <c r="C1831" s="94" t="s">
        <v>1431</v>
      </c>
      <c r="D1831" s="95" t="n">
        <v>401</v>
      </c>
      <c r="E1831" s="95" t="n">
        <v>69000</v>
      </c>
      <c r="F1831" s="95" t="n">
        <v>15700</v>
      </c>
      <c r="G1831" s="34" t="n">
        <v>3.95</v>
      </c>
      <c r="H1831" s="34" t="n">
        <v>17.3</v>
      </c>
      <c r="J1831" s="95" t="n">
        <f aca="false">IF(N(E1831)&gt;0,E1831,IF(N(F1831)&gt;0,F1831*가정!$B$5,0))</f>
        <v>69000</v>
      </c>
      <c r="K1831" s="95" t="n">
        <f aca="false">IF(N(F1831)&gt;0,F1831,IF(N(E1831)&gt;0,E1831/가정!$B$5,0))</f>
        <v>15700</v>
      </c>
      <c r="L1831" s="95" t="n">
        <f aca="false">IF(B1831="CN",IF(N(I1831)&gt;0,I1831*가정!$B$3,K1831*(1+가정!$B$6)),IF(N(H1831)&gt;0,H1831*가정!$B$3,J1831*가정!$B$4))</f>
        <v>23576.094</v>
      </c>
      <c r="M1831" s="95" t="n">
        <f aca="false">D1831*J1831</f>
        <v>27669000</v>
      </c>
      <c r="N1831" s="95" t="n">
        <f aca="false">D1831*K1831</f>
        <v>6295700</v>
      </c>
      <c r="O1831" s="95" t="n">
        <f aca="false">D1831*L1831</f>
        <v>9454013.694</v>
      </c>
      <c r="P1831" s="34" t="str">
        <f aca="false">TRIM(IF(N(E1831)&lt;=0,"택가보정 ","")&amp;IF(N(F1831)&lt;=0,"원가보정 ","")&amp;IF(AND(B1831&lt;&gt;"CN",N(H1831)&lt;=0),"공급가보정 ","")&amp;IF(AND(B1831="CN",N(I1831)&lt;=0),"중국공급가=원가+마진 ",""))</f>
        <v/>
      </c>
    </row>
    <row r="1832" customFormat="false" ht="15" hidden="false" customHeight="true" outlineLevel="0" collapsed="false">
      <c r="A1832" s="94" t="s">
        <v>1688</v>
      </c>
      <c r="B1832" s="34" t="str">
        <f aca="false">IF(A1832="100","HK",IF(A1832="200","CN",IF(A1832="300","TW","홀세일")))</f>
        <v>홀세일</v>
      </c>
      <c r="C1832" s="94" t="s">
        <v>1433</v>
      </c>
      <c r="D1832" s="95" t="n">
        <v>401</v>
      </c>
      <c r="E1832" s="95" t="n">
        <v>69000</v>
      </c>
      <c r="F1832" s="95" t="n">
        <v>16103</v>
      </c>
      <c r="G1832" s="34" t="n">
        <v>3.65</v>
      </c>
      <c r="H1832" s="34" t="n">
        <v>17.3</v>
      </c>
      <c r="J1832" s="95" t="n">
        <f aca="false">IF(N(E1832)&gt;0,E1832,IF(N(F1832)&gt;0,F1832*가정!$B$5,0))</f>
        <v>69000</v>
      </c>
      <c r="K1832" s="95" t="n">
        <f aca="false">IF(N(F1832)&gt;0,F1832,IF(N(E1832)&gt;0,E1832/가정!$B$5,0))</f>
        <v>16103</v>
      </c>
      <c r="L1832" s="95" t="n">
        <f aca="false">IF(B1832="CN",IF(N(I1832)&gt;0,I1832*가정!$B$3,K1832*(1+가정!$B$6)),IF(N(H1832)&gt;0,H1832*가정!$B$3,J1832*가정!$B$4))</f>
        <v>23576.094</v>
      </c>
      <c r="M1832" s="95" t="n">
        <f aca="false">D1832*J1832</f>
        <v>27669000</v>
      </c>
      <c r="N1832" s="95" t="n">
        <f aca="false">D1832*K1832</f>
        <v>6457303</v>
      </c>
      <c r="O1832" s="95" t="n">
        <f aca="false">D1832*L1832</f>
        <v>9454013.694</v>
      </c>
      <c r="P1832" s="34" t="str">
        <f aca="false">TRIM(IF(N(E1832)&lt;=0,"택가보정 ","")&amp;IF(N(F1832)&lt;=0,"원가보정 ","")&amp;IF(AND(B1832&lt;&gt;"CN",N(H1832)&lt;=0),"공급가보정 ","")&amp;IF(AND(B1832="CN",N(I1832)&lt;=0),"중국공급가=원가+마진 ",""))</f>
        <v/>
      </c>
    </row>
    <row r="1833" customFormat="false" ht="15" hidden="false" customHeight="true" outlineLevel="0" collapsed="false">
      <c r="A1833" s="94" t="s">
        <v>1688</v>
      </c>
      <c r="B1833" s="34" t="str">
        <f aca="false">IF(A1833="100","HK",IF(A1833="200","CN",IF(A1833="300","TW","홀세일")))</f>
        <v>홀세일</v>
      </c>
      <c r="C1833" s="94" t="s">
        <v>1435</v>
      </c>
      <c r="D1833" s="95" t="n">
        <v>401</v>
      </c>
      <c r="E1833" s="95" t="n">
        <v>69000</v>
      </c>
      <c r="F1833" s="95" t="n">
        <v>16001</v>
      </c>
      <c r="G1833" s="34" t="n">
        <v>3.78</v>
      </c>
      <c r="H1833" s="34" t="n">
        <v>17.3</v>
      </c>
      <c r="J1833" s="95" t="n">
        <f aca="false">IF(N(E1833)&gt;0,E1833,IF(N(F1833)&gt;0,F1833*가정!$B$5,0))</f>
        <v>69000</v>
      </c>
      <c r="K1833" s="95" t="n">
        <f aca="false">IF(N(F1833)&gt;0,F1833,IF(N(E1833)&gt;0,E1833/가정!$B$5,0))</f>
        <v>16001</v>
      </c>
      <c r="L1833" s="95" t="n">
        <f aca="false">IF(B1833="CN",IF(N(I1833)&gt;0,I1833*가정!$B$3,K1833*(1+가정!$B$6)),IF(N(H1833)&gt;0,H1833*가정!$B$3,J1833*가정!$B$4))</f>
        <v>23576.094</v>
      </c>
      <c r="M1833" s="95" t="n">
        <f aca="false">D1833*J1833</f>
        <v>27669000</v>
      </c>
      <c r="N1833" s="95" t="n">
        <f aca="false">D1833*K1833</f>
        <v>6416401</v>
      </c>
      <c r="O1833" s="95" t="n">
        <f aca="false">D1833*L1833</f>
        <v>9454013.694</v>
      </c>
      <c r="P1833" s="34" t="str">
        <f aca="false">TRIM(IF(N(E1833)&lt;=0,"택가보정 ","")&amp;IF(N(F1833)&lt;=0,"원가보정 ","")&amp;IF(AND(B1833&lt;&gt;"CN",N(H1833)&lt;=0),"공급가보정 ","")&amp;IF(AND(B1833="CN",N(I1833)&lt;=0),"중국공급가=원가+마진 ",""))</f>
        <v/>
      </c>
    </row>
    <row r="1834" customFormat="false" ht="15" hidden="false" customHeight="true" outlineLevel="0" collapsed="false">
      <c r="A1834" s="94" t="s">
        <v>1688</v>
      </c>
      <c r="B1834" s="34" t="str">
        <f aca="false">IF(A1834="100","HK",IF(A1834="200","CN",IF(A1834="300","TW","홀세일")))</f>
        <v>홀세일</v>
      </c>
      <c r="C1834" s="94" t="s">
        <v>1437</v>
      </c>
      <c r="D1834" s="95" t="n">
        <v>401</v>
      </c>
      <c r="E1834" s="95" t="n">
        <v>69000</v>
      </c>
      <c r="F1834" s="95" t="n">
        <v>13306</v>
      </c>
      <c r="G1834" s="34" t="n">
        <v>4</v>
      </c>
      <c r="H1834" s="34" t="n">
        <v>17.3</v>
      </c>
      <c r="J1834" s="95" t="n">
        <f aca="false">IF(N(E1834)&gt;0,E1834,IF(N(F1834)&gt;0,F1834*가정!$B$5,0))</f>
        <v>69000</v>
      </c>
      <c r="K1834" s="95" t="n">
        <f aca="false">IF(N(F1834)&gt;0,F1834,IF(N(E1834)&gt;0,E1834/가정!$B$5,0))</f>
        <v>13306</v>
      </c>
      <c r="L1834" s="95" t="n">
        <f aca="false">IF(B1834="CN",IF(N(I1834)&gt;0,I1834*가정!$B$3,K1834*(1+가정!$B$6)),IF(N(H1834)&gt;0,H1834*가정!$B$3,J1834*가정!$B$4))</f>
        <v>23576.094</v>
      </c>
      <c r="M1834" s="95" t="n">
        <f aca="false">D1834*J1834</f>
        <v>27669000</v>
      </c>
      <c r="N1834" s="95" t="n">
        <f aca="false">D1834*K1834</f>
        <v>5335706</v>
      </c>
      <c r="O1834" s="95" t="n">
        <f aca="false">D1834*L1834</f>
        <v>9454013.694</v>
      </c>
      <c r="P1834" s="34" t="str">
        <f aca="false">TRIM(IF(N(E1834)&lt;=0,"택가보정 ","")&amp;IF(N(F1834)&lt;=0,"원가보정 ","")&amp;IF(AND(B1834&lt;&gt;"CN",N(H1834)&lt;=0),"공급가보정 ","")&amp;IF(AND(B1834="CN",N(I1834)&lt;=0),"중국공급가=원가+마진 ",""))</f>
        <v/>
      </c>
    </row>
    <row r="1835" customFormat="false" ht="15" hidden="false" customHeight="true" outlineLevel="0" collapsed="false">
      <c r="A1835" s="94" t="s">
        <v>1692</v>
      </c>
      <c r="B1835" s="34" t="str">
        <f aca="false">IF(A1835="100","HK",IF(A1835="200","CN",IF(A1835="300","TW","홀세일")))</f>
        <v>홀세일</v>
      </c>
      <c r="C1835" s="94" t="s">
        <v>1760</v>
      </c>
      <c r="D1835" s="95" t="n">
        <v>1250</v>
      </c>
      <c r="E1835" s="95" t="n">
        <v>45000</v>
      </c>
      <c r="F1835" s="95" t="n">
        <v>13500</v>
      </c>
      <c r="G1835" s="34" t="n">
        <v>3.53</v>
      </c>
      <c r="H1835" s="34" t="n">
        <v>10.9</v>
      </c>
      <c r="J1835" s="95" t="n">
        <f aca="false">IF(N(E1835)&gt;0,E1835,IF(N(F1835)&gt;0,F1835*가정!$B$5,0))</f>
        <v>45000</v>
      </c>
      <c r="K1835" s="95" t="n">
        <f aca="false">IF(N(F1835)&gt;0,F1835,IF(N(E1835)&gt;0,E1835/가정!$B$5,0))</f>
        <v>13500</v>
      </c>
      <c r="L1835" s="95" t="n">
        <f aca="false">IF(B1835="CN",IF(N(I1835)&gt;0,I1835*가정!$B$3,K1835*(1+가정!$B$6)),IF(N(H1835)&gt;0,H1835*가정!$B$3,J1835*가정!$B$4))</f>
        <v>14854.302</v>
      </c>
      <c r="M1835" s="95" t="n">
        <f aca="false">D1835*J1835</f>
        <v>56250000</v>
      </c>
      <c r="N1835" s="95" t="n">
        <f aca="false">D1835*K1835</f>
        <v>16875000</v>
      </c>
      <c r="O1835" s="95" t="n">
        <f aca="false">D1835*L1835</f>
        <v>18567877.5</v>
      </c>
      <c r="P1835" s="34" t="str">
        <f aca="false">TRIM(IF(N(E1835)&lt;=0,"택가보정 ","")&amp;IF(N(F1835)&lt;=0,"원가보정 ","")&amp;IF(AND(B1835&lt;&gt;"CN",N(H1835)&lt;=0),"공급가보정 ","")&amp;IF(AND(B1835="CN",N(I1835)&lt;=0),"중국공급가=원가+마진 ",""))</f>
        <v/>
      </c>
    </row>
    <row r="1836" customFormat="false" ht="15" hidden="false" customHeight="true" outlineLevel="0" collapsed="false">
      <c r="A1836" s="94" t="s">
        <v>1688</v>
      </c>
      <c r="B1836" s="34" t="str">
        <f aca="false">IF(A1836="100","HK",IF(A1836="200","CN",IF(A1836="300","TW","홀세일")))</f>
        <v>홀세일</v>
      </c>
      <c r="C1836" s="94" t="s">
        <v>1761</v>
      </c>
      <c r="D1836" s="95" t="n">
        <v>290</v>
      </c>
      <c r="E1836" s="95" t="n">
        <v>45000</v>
      </c>
      <c r="F1836" s="95" t="n">
        <v>12400</v>
      </c>
      <c r="G1836" s="34" t="n">
        <v>3.3</v>
      </c>
      <c r="H1836" s="34" t="n">
        <v>10.9</v>
      </c>
      <c r="J1836" s="95" t="n">
        <f aca="false">IF(N(E1836)&gt;0,E1836,IF(N(F1836)&gt;0,F1836*가정!$B$5,0))</f>
        <v>45000</v>
      </c>
      <c r="K1836" s="95" t="n">
        <f aca="false">IF(N(F1836)&gt;0,F1836,IF(N(E1836)&gt;0,E1836/가정!$B$5,0))</f>
        <v>12400</v>
      </c>
      <c r="L1836" s="95" t="n">
        <f aca="false">IF(B1836="CN",IF(N(I1836)&gt;0,I1836*가정!$B$3,K1836*(1+가정!$B$6)),IF(N(H1836)&gt;0,H1836*가정!$B$3,J1836*가정!$B$4))</f>
        <v>14854.302</v>
      </c>
      <c r="M1836" s="95" t="n">
        <f aca="false">D1836*J1836</f>
        <v>13050000</v>
      </c>
      <c r="N1836" s="95" t="n">
        <f aca="false">D1836*K1836</f>
        <v>3596000</v>
      </c>
      <c r="O1836" s="95" t="n">
        <f aca="false">D1836*L1836</f>
        <v>4307747.58</v>
      </c>
      <c r="P1836" s="34" t="str">
        <f aca="false">TRIM(IF(N(E1836)&lt;=0,"택가보정 ","")&amp;IF(N(F1836)&lt;=0,"원가보정 ","")&amp;IF(AND(B1836&lt;&gt;"CN",N(H1836)&lt;=0),"공급가보정 ","")&amp;IF(AND(B1836="CN",N(I1836)&lt;=0),"중국공급가=원가+마진 ",""))</f>
        <v/>
      </c>
    </row>
    <row r="1837" customFormat="false" ht="15" hidden="false" customHeight="true" outlineLevel="0" collapsed="false">
      <c r="A1837" s="94" t="s">
        <v>1692</v>
      </c>
      <c r="B1837" s="34" t="str">
        <f aca="false">IF(A1837="100","HK",IF(A1837="200","CN",IF(A1837="300","TW","홀세일")))</f>
        <v>홀세일</v>
      </c>
      <c r="C1837" s="94" t="s">
        <v>1761</v>
      </c>
      <c r="D1837" s="95" t="n">
        <v>1250</v>
      </c>
      <c r="E1837" s="95" t="n">
        <v>45000</v>
      </c>
      <c r="F1837" s="95" t="n">
        <v>12400</v>
      </c>
      <c r="G1837" s="34" t="n">
        <v>3.3</v>
      </c>
      <c r="H1837" s="34" t="n">
        <v>10.9</v>
      </c>
      <c r="J1837" s="95" t="n">
        <f aca="false">IF(N(E1837)&gt;0,E1837,IF(N(F1837)&gt;0,F1837*가정!$B$5,0))</f>
        <v>45000</v>
      </c>
      <c r="K1837" s="95" t="n">
        <f aca="false">IF(N(F1837)&gt;0,F1837,IF(N(E1837)&gt;0,E1837/가정!$B$5,0))</f>
        <v>12400</v>
      </c>
      <c r="L1837" s="95" t="n">
        <f aca="false">IF(B1837="CN",IF(N(I1837)&gt;0,I1837*가정!$B$3,K1837*(1+가정!$B$6)),IF(N(H1837)&gt;0,H1837*가정!$B$3,J1837*가정!$B$4))</f>
        <v>14854.302</v>
      </c>
      <c r="M1837" s="95" t="n">
        <f aca="false">D1837*J1837</f>
        <v>56250000</v>
      </c>
      <c r="N1837" s="95" t="n">
        <f aca="false">D1837*K1837</f>
        <v>15500000</v>
      </c>
      <c r="O1837" s="95" t="n">
        <f aca="false">D1837*L1837</f>
        <v>18567877.5</v>
      </c>
      <c r="P1837" s="34" t="str">
        <f aca="false">TRIM(IF(N(E1837)&lt;=0,"택가보정 ","")&amp;IF(N(F1837)&lt;=0,"원가보정 ","")&amp;IF(AND(B1837&lt;&gt;"CN",N(H1837)&lt;=0),"공급가보정 ","")&amp;IF(AND(B1837="CN",N(I1837)&lt;=0),"중국공급가=원가+마진 ",""))</f>
        <v/>
      </c>
    </row>
    <row r="1838" customFormat="false" ht="15" hidden="false" customHeight="true" outlineLevel="0" collapsed="false">
      <c r="A1838" s="94" t="s">
        <v>1685</v>
      </c>
      <c r="B1838" s="34" t="str">
        <f aca="false">IF(A1838="100","HK",IF(A1838="200","CN",IF(A1838="300","TW","홀세일")))</f>
        <v>CN</v>
      </c>
      <c r="C1838" s="94" t="s">
        <v>789</v>
      </c>
      <c r="D1838" s="95" t="n">
        <v>305</v>
      </c>
      <c r="E1838" s="95" t="n">
        <v>109000</v>
      </c>
      <c r="F1838" s="95" t="n">
        <v>32396</v>
      </c>
      <c r="G1838" s="34" t="n">
        <v>3.24</v>
      </c>
      <c r="H1838" s="34" t="n">
        <v>25.7</v>
      </c>
      <c r="I1838" s="34" t="n">
        <v>25.5</v>
      </c>
      <c r="J1838" s="95" t="n">
        <f aca="false">IF(N(E1838)&gt;0,E1838,IF(N(F1838)&gt;0,F1838*가정!$B$5,0))</f>
        <v>109000</v>
      </c>
      <c r="K1838" s="95" t="n">
        <f aca="false">IF(N(F1838)&gt;0,F1838,IF(N(E1838)&gt;0,E1838/가정!$B$5,0))</f>
        <v>32396</v>
      </c>
      <c r="L1838" s="95" t="n">
        <f aca="false">IF(B1838="CN",IF(N(I1838)&gt;0,I1838*가정!$B$3,K1838*(1+가정!$B$6)),IF(N(H1838)&gt;0,H1838*가정!$B$3,J1838*가정!$B$4))</f>
        <v>34750.89</v>
      </c>
      <c r="M1838" s="95" t="n">
        <f aca="false">D1838*J1838</f>
        <v>33245000</v>
      </c>
      <c r="N1838" s="95" t="n">
        <f aca="false">D1838*K1838</f>
        <v>9880780</v>
      </c>
      <c r="O1838" s="95" t="n">
        <f aca="false">D1838*L1838</f>
        <v>10599021.45</v>
      </c>
      <c r="P1838" s="34" t="str">
        <f aca="false">TRIM(IF(N(E1838)&lt;=0,"택가보정 ","")&amp;IF(N(F1838)&lt;=0,"원가보정 ","")&amp;IF(AND(B1838&lt;&gt;"CN",N(H1838)&lt;=0),"공급가보정 ","")&amp;IF(AND(B1838="CN",N(I1838)&lt;=0),"중국공급가=원가+마진 ",""))</f>
        <v/>
      </c>
    </row>
    <row r="1839" customFormat="false" ht="15" hidden="false" customHeight="true" outlineLevel="0" collapsed="false">
      <c r="A1839" s="94" t="s">
        <v>1686</v>
      </c>
      <c r="B1839" s="34" t="str">
        <f aca="false">IF(A1839="100","HK",IF(A1839="200","CN",IF(A1839="300","TW","홀세일")))</f>
        <v>TW</v>
      </c>
      <c r="C1839" s="94" t="s">
        <v>789</v>
      </c>
      <c r="D1839" s="95" t="n">
        <v>200</v>
      </c>
      <c r="E1839" s="95" t="n">
        <v>109000</v>
      </c>
      <c r="F1839" s="95" t="n">
        <v>32396</v>
      </c>
      <c r="G1839" s="34" t="n">
        <v>3.24</v>
      </c>
      <c r="H1839" s="34" t="n">
        <v>25.7</v>
      </c>
      <c r="I1839" s="34" t="n">
        <v>25.5</v>
      </c>
      <c r="J1839" s="95" t="n">
        <f aca="false">IF(N(E1839)&gt;0,E1839,IF(N(F1839)&gt;0,F1839*가정!$B$5,0))</f>
        <v>109000</v>
      </c>
      <c r="K1839" s="95" t="n">
        <f aca="false">IF(N(F1839)&gt;0,F1839,IF(N(E1839)&gt;0,E1839/가정!$B$5,0))</f>
        <v>32396</v>
      </c>
      <c r="L1839" s="95" t="n">
        <f aca="false">IF(B1839="CN",IF(N(I1839)&gt;0,I1839*가정!$B$3,K1839*(1+가정!$B$6)),IF(N(H1839)&gt;0,H1839*가정!$B$3,J1839*가정!$B$4))</f>
        <v>35023.446</v>
      </c>
      <c r="M1839" s="95" t="n">
        <f aca="false">D1839*J1839</f>
        <v>21800000</v>
      </c>
      <c r="N1839" s="95" t="n">
        <f aca="false">D1839*K1839</f>
        <v>6479200</v>
      </c>
      <c r="O1839" s="95" t="n">
        <f aca="false">D1839*L1839</f>
        <v>7004689.2</v>
      </c>
      <c r="P1839" s="34" t="str">
        <f aca="false">TRIM(IF(N(E1839)&lt;=0,"택가보정 ","")&amp;IF(N(F1839)&lt;=0,"원가보정 ","")&amp;IF(AND(B1839&lt;&gt;"CN",N(H1839)&lt;=0),"공급가보정 ","")&amp;IF(AND(B1839="CN",N(I1839)&lt;=0),"중국공급가=원가+마진 ",""))</f>
        <v/>
      </c>
    </row>
    <row r="1840" customFormat="false" ht="15" hidden="false" customHeight="true" outlineLevel="0" collapsed="false">
      <c r="A1840" s="94" t="s">
        <v>1688</v>
      </c>
      <c r="B1840" s="34" t="str">
        <f aca="false">IF(A1840="100","HK",IF(A1840="200","CN",IF(A1840="300","TW","홀세일")))</f>
        <v>홀세일</v>
      </c>
      <c r="C1840" s="94" t="s">
        <v>789</v>
      </c>
      <c r="D1840" s="95" t="n">
        <v>20</v>
      </c>
      <c r="E1840" s="95" t="n">
        <v>109000</v>
      </c>
      <c r="F1840" s="95" t="n">
        <v>32396</v>
      </c>
      <c r="G1840" s="34" t="n">
        <v>3.24</v>
      </c>
      <c r="H1840" s="34" t="n">
        <v>25.7</v>
      </c>
      <c r="I1840" s="34" t="n">
        <v>25.5</v>
      </c>
      <c r="J1840" s="95" t="n">
        <f aca="false">IF(N(E1840)&gt;0,E1840,IF(N(F1840)&gt;0,F1840*가정!$B$5,0))</f>
        <v>109000</v>
      </c>
      <c r="K1840" s="95" t="n">
        <f aca="false">IF(N(F1840)&gt;0,F1840,IF(N(E1840)&gt;0,E1840/가정!$B$5,0))</f>
        <v>32396</v>
      </c>
      <c r="L1840" s="95" t="n">
        <f aca="false">IF(B1840="CN",IF(N(I1840)&gt;0,I1840*가정!$B$3,K1840*(1+가정!$B$6)),IF(N(H1840)&gt;0,H1840*가정!$B$3,J1840*가정!$B$4))</f>
        <v>35023.446</v>
      </c>
      <c r="M1840" s="95" t="n">
        <f aca="false">D1840*J1840</f>
        <v>2180000</v>
      </c>
      <c r="N1840" s="95" t="n">
        <f aca="false">D1840*K1840</f>
        <v>647920</v>
      </c>
      <c r="O1840" s="95" t="n">
        <f aca="false">D1840*L1840</f>
        <v>700468.92</v>
      </c>
      <c r="P1840" s="34" t="str">
        <f aca="false">TRIM(IF(N(E1840)&lt;=0,"택가보정 ","")&amp;IF(N(F1840)&lt;=0,"원가보정 ","")&amp;IF(AND(B1840&lt;&gt;"CN",N(H1840)&lt;=0),"공급가보정 ","")&amp;IF(AND(B1840="CN",N(I1840)&lt;=0),"중국공급가=원가+마진 ",""))</f>
        <v/>
      </c>
    </row>
    <row r="1841" customFormat="false" ht="15" hidden="false" customHeight="true" outlineLevel="0" collapsed="false">
      <c r="A1841" s="94" t="s">
        <v>1685</v>
      </c>
      <c r="B1841" s="34" t="str">
        <f aca="false">IF(A1841="100","HK",IF(A1841="200","CN",IF(A1841="300","TW","홀세일")))</f>
        <v>CN</v>
      </c>
      <c r="C1841" s="94" t="s">
        <v>791</v>
      </c>
      <c r="D1841" s="95" t="n">
        <v>341</v>
      </c>
      <c r="E1841" s="95" t="n">
        <v>469000</v>
      </c>
      <c r="F1841" s="95" t="n">
        <v>129343</v>
      </c>
      <c r="G1841" s="34" t="n">
        <v>3.23</v>
      </c>
      <c r="H1841" s="34" t="n">
        <v>117.4</v>
      </c>
      <c r="I1841" s="34" t="n">
        <v>97</v>
      </c>
      <c r="J1841" s="95" t="n">
        <f aca="false">IF(N(E1841)&gt;0,E1841,IF(N(F1841)&gt;0,F1841*가정!$B$5,0))</f>
        <v>469000</v>
      </c>
      <c r="K1841" s="95" t="n">
        <f aca="false">IF(N(F1841)&gt;0,F1841,IF(N(E1841)&gt;0,E1841/가정!$B$5,0))</f>
        <v>129343</v>
      </c>
      <c r="L1841" s="95" t="n">
        <f aca="false">IF(B1841="CN",IF(N(I1841)&gt;0,I1841*가정!$B$3,K1841*(1+가정!$B$6)),IF(N(H1841)&gt;0,H1841*가정!$B$3,J1841*가정!$B$4))</f>
        <v>132189.66</v>
      </c>
      <c r="M1841" s="95" t="n">
        <f aca="false">D1841*J1841</f>
        <v>159929000</v>
      </c>
      <c r="N1841" s="95" t="n">
        <f aca="false">D1841*K1841</f>
        <v>44105963</v>
      </c>
      <c r="O1841" s="95" t="n">
        <f aca="false">D1841*L1841</f>
        <v>45076674.06</v>
      </c>
      <c r="P1841" s="34" t="str">
        <f aca="false">TRIM(IF(N(E1841)&lt;=0,"택가보정 ","")&amp;IF(N(F1841)&lt;=0,"원가보정 ","")&amp;IF(AND(B1841&lt;&gt;"CN",N(H1841)&lt;=0),"공급가보정 ","")&amp;IF(AND(B1841="CN",N(I1841)&lt;=0),"중국공급가=원가+마진 ",""))</f>
        <v/>
      </c>
    </row>
    <row r="1842" customFormat="false" ht="15" hidden="false" customHeight="true" outlineLevel="0" collapsed="false">
      <c r="A1842" s="94" t="s">
        <v>1686</v>
      </c>
      <c r="B1842" s="34" t="str">
        <f aca="false">IF(A1842="100","HK",IF(A1842="200","CN",IF(A1842="300","TW","홀세일")))</f>
        <v>TW</v>
      </c>
      <c r="C1842" s="94" t="s">
        <v>791</v>
      </c>
      <c r="D1842" s="95" t="n">
        <v>200</v>
      </c>
      <c r="E1842" s="95" t="n">
        <v>469000</v>
      </c>
      <c r="F1842" s="95" t="n">
        <v>129343</v>
      </c>
      <c r="G1842" s="34" t="n">
        <v>3.23</v>
      </c>
      <c r="H1842" s="34" t="n">
        <v>117.4</v>
      </c>
      <c r="I1842" s="34" t="n">
        <v>97</v>
      </c>
      <c r="J1842" s="95" t="n">
        <f aca="false">IF(N(E1842)&gt;0,E1842,IF(N(F1842)&gt;0,F1842*가정!$B$5,0))</f>
        <v>469000</v>
      </c>
      <c r="K1842" s="95" t="n">
        <f aca="false">IF(N(F1842)&gt;0,F1842,IF(N(E1842)&gt;0,E1842/가정!$B$5,0))</f>
        <v>129343</v>
      </c>
      <c r="L1842" s="95" t="n">
        <f aca="false">IF(B1842="CN",IF(N(I1842)&gt;0,I1842*가정!$B$3,K1842*(1+가정!$B$6)),IF(N(H1842)&gt;0,H1842*가정!$B$3,J1842*가정!$B$4))</f>
        <v>159990.372</v>
      </c>
      <c r="M1842" s="95" t="n">
        <f aca="false">D1842*J1842</f>
        <v>93800000</v>
      </c>
      <c r="N1842" s="95" t="n">
        <f aca="false">D1842*K1842</f>
        <v>25868600</v>
      </c>
      <c r="O1842" s="95" t="n">
        <f aca="false">D1842*L1842</f>
        <v>31998074.4</v>
      </c>
      <c r="P1842" s="34" t="str">
        <f aca="false">TRIM(IF(N(E1842)&lt;=0,"택가보정 ","")&amp;IF(N(F1842)&lt;=0,"원가보정 ","")&amp;IF(AND(B1842&lt;&gt;"CN",N(H1842)&lt;=0),"공급가보정 ","")&amp;IF(AND(B1842="CN",N(I1842)&lt;=0),"중국공급가=원가+마진 ",""))</f>
        <v/>
      </c>
    </row>
    <row r="1843" customFormat="false" ht="15" hidden="false" customHeight="true" outlineLevel="0" collapsed="false">
      <c r="A1843" s="94" t="s">
        <v>1685</v>
      </c>
      <c r="B1843" s="34" t="str">
        <f aca="false">IF(A1843="100","HK",IF(A1843="200","CN",IF(A1843="300","TW","홀세일")))</f>
        <v>CN</v>
      </c>
      <c r="C1843" s="94" t="s">
        <v>1233</v>
      </c>
      <c r="D1843" s="95" t="n">
        <v>292</v>
      </c>
      <c r="E1843" s="95" t="n">
        <v>229000</v>
      </c>
      <c r="F1843" s="95" t="n">
        <v>70468</v>
      </c>
      <c r="G1843" s="34" t="n">
        <v>3.05</v>
      </c>
      <c r="H1843" s="34" t="n">
        <v>57.4</v>
      </c>
      <c r="I1843" s="34" t="n">
        <v>52.7</v>
      </c>
      <c r="J1843" s="95" t="n">
        <f aca="false">IF(N(E1843)&gt;0,E1843,IF(N(F1843)&gt;0,F1843*가정!$B$5,0))</f>
        <v>229000</v>
      </c>
      <c r="K1843" s="95" t="n">
        <f aca="false">IF(N(F1843)&gt;0,F1843,IF(N(E1843)&gt;0,E1843/가정!$B$5,0))</f>
        <v>70468</v>
      </c>
      <c r="L1843" s="95" t="n">
        <f aca="false">IF(B1843="CN",IF(N(I1843)&gt;0,I1843*가정!$B$3,K1843*(1+가정!$B$6)),IF(N(H1843)&gt;0,H1843*가정!$B$3,J1843*가정!$B$4))</f>
        <v>71818.506</v>
      </c>
      <c r="M1843" s="95" t="n">
        <f aca="false">D1843*J1843</f>
        <v>66868000</v>
      </c>
      <c r="N1843" s="95" t="n">
        <f aca="false">D1843*K1843</f>
        <v>20576656</v>
      </c>
      <c r="O1843" s="95" t="n">
        <f aca="false">D1843*L1843</f>
        <v>20971003.752</v>
      </c>
      <c r="P1843" s="34" t="str">
        <f aca="false">TRIM(IF(N(E1843)&lt;=0,"택가보정 ","")&amp;IF(N(F1843)&lt;=0,"원가보정 ","")&amp;IF(AND(B1843&lt;&gt;"CN",N(H1843)&lt;=0),"공급가보정 ","")&amp;IF(AND(B1843="CN",N(I1843)&lt;=0),"중국공급가=원가+마진 ",""))</f>
        <v/>
      </c>
    </row>
    <row r="1844" customFormat="false" ht="15" hidden="false" customHeight="true" outlineLevel="0" collapsed="false">
      <c r="A1844" s="94" t="s">
        <v>1686</v>
      </c>
      <c r="B1844" s="34" t="str">
        <f aca="false">IF(A1844="100","HK",IF(A1844="200","CN",IF(A1844="300","TW","홀세일")))</f>
        <v>TW</v>
      </c>
      <c r="C1844" s="94" t="s">
        <v>1762</v>
      </c>
      <c r="D1844" s="95" t="n">
        <v>280</v>
      </c>
      <c r="E1844" s="95"/>
      <c r="F1844" s="95"/>
      <c r="G1844" s="34" t="n">
        <v>0</v>
      </c>
      <c r="J1844" s="95" t="n">
        <f aca="false">IF(N(E1844)&gt;0,E1844,IF(N(F1844)&gt;0,F1844*가정!$B$5,0))</f>
        <v>0</v>
      </c>
      <c r="K1844" s="95" t="n">
        <f aca="false">IF(N(F1844)&gt;0,F1844,IF(N(E1844)&gt;0,E1844/가정!$B$5,0))</f>
        <v>0</v>
      </c>
      <c r="L1844" s="95" t="n">
        <f aca="false">IF(B1844="CN",IF(N(I1844)&gt;0,I1844*가정!$B$3,K1844*(1+가정!$B$6)),IF(N(H1844)&gt;0,H1844*가정!$B$3,J1844*가정!$B$4))</f>
        <v>0</v>
      </c>
      <c r="M1844" s="95" t="n">
        <f aca="false">D1844*J1844</f>
        <v>0</v>
      </c>
      <c r="N1844" s="95" t="n">
        <f aca="false">D1844*K1844</f>
        <v>0</v>
      </c>
      <c r="O1844" s="95" t="n">
        <f aca="false">D1844*L1844</f>
        <v>0</v>
      </c>
      <c r="P1844" s="34" t="str">
        <f aca="false">TRIM(IF(N(E1844)&lt;=0,"택가보정 ","")&amp;IF(N(F1844)&lt;=0,"원가보정 ","")&amp;IF(AND(B1844&lt;&gt;"CN",N(H1844)&lt;=0),"공급가보정 ","")&amp;IF(AND(B1844="CN",N(I1844)&lt;=0),"중국공급가=원가+마진 ",""))</f>
        <v>택가보정 원가보정 공급가보정</v>
      </c>
    </row>
    <row r="1845" customFormat="false" ht="15" hidden="false" customHeight="true" outlineLevel="0" collapsed="false">
      <c r="A1845" s="94" t="s">
        <v>1684</v>
      </c>
      <c r="B1845" s="34" t="str">
        <f aca="false">IF(A1845="100","HK",IF(A1845="200","CN",IF(A1845="300","TW","홀세일")))</f>
        <v>HK</v>
      </c>
      <c r="C1845" s="94" t="s">
        <v>1074</v>
      </c>
      <c r="D1845" s="95" t="n">
        <v>240</v>
      </c>
      <c r="E1845" s="95" t="n">
        <v>319000</v>
      </c>
      <c r="F1845" s="95" t="n">
        <v>71894</v>
      </c>
      <c r="G1845" s="34" t="n">
        <v>3.24</v>
      </c>
      <c r="H1845" s="34" t="n">
        <v>79.9</v>
      </c>
      <c r="I1845" s="34" t="n">
        <v>55.9</v>
      </c>
      <c r="J1845" s="95" t="n">
        <f aca="false">IF(N(E1845)&gt;0,E1845,IF(N(F1845)&gt;0,F1845*가정!$B$5,0))</f>
        <v>319000</v>
      </c>
      <c r="K1845" s="95" t="n">
        <f aca="false">IF(N(F1845)&gt;0,F1845,IF(N(E1845)&gt;0,E1845/가정!$B$5,0))</f>
        <v>71894</v>
      </c>
      <c r="L1845" s="95" t="n">
        <f aca="false">IF(B1845="CN",IF(N(I1845)&gt;0,I1845*가정!$B$3,K1845*(1+가정!$B$6)),IF(N(H1845)&gt;0,H1845*가정!$B$3,J1845*가정!$B$4))</f>
        <v>108886.122</v>
      </c>
      <c r="M1845" s="95" t="n">
        <f aca="false">D1845*J1845</f>
        <v>76560000</v>
      </c>
      <c r="N1845" s="95" t="n">
        <f aca="false">D1845*K1845</f>
        <v>17254560</v>
      </c>
      <c r="O1845" s="95" t="n">
        <f aca="false">D1845*L1845</f>
        <v>26132669.28</v>
      </c>
      <c r="P1845" s="34" t="str">
        <f aca="false">TRIM(IF(N(E1845)&lt;=0,"택가보정 ","")&amp;IF(N(F1845)&lt;=0,"원가보정 ","")&amp;IF(AND(B1845&lt;&gt;"CN",N(H1845)&lt;=0),"공급가보정 ","")&amp;IF(AND(B1845="CN",N(I1845)&lt;=0),"중국공급가=원가+마진 ",""))</f>
        <v/>
      </c>
    </row>
    <row r="1846" customFormat="false" ht="15" hidden="false" customHeight="true" outlineLevel="0" collapsed="false">
      <c r="A1846" s="94" t="s">
        <v>1685</v>
      </c>
      <c r="B1846" s="34" t="str">
        <f aca="false">IF(A1846="100","HK",IF(A1846="200","CN",IF(A1846="300","TW","홀세일")))</f>
        <v>CN</v>
      </c>
      <c r="C1846" s="94" t="s">
        <v>1074</v>
      </c>
      <c r="D1846" s="95" t="n">
        <v>91</v>
      </c>
      <c r="E1846" s="95" t="n">
        <v>319000</v>
      </c>
      <c r="F1846" s="95" t="n">
        <v>71894</v>
      </c>
      <c r="G1846" s="34" t="n">
        <v>3.24</v>
      </c>
      <c r="H1846" s="34" t="n">
        <v>79.9</v>
      </c>
      <c r="I1846" s="34" t="n">
        <v>55.9</v>
      </c>
      <c r="J1846" s="95" t="n">
        <f aca="false">IF(N(E1846)&gt;0,E1846,IF(N(F1846)&gt;0,F1846*가정!$B$5,0))</f>
        <v>319000</v>
      </c>
      <c r="K1846" s="95" t="n">
        <f aca="false">IF(N(F1846)&gt;0,F1846,IF(N(E1846)&gt;0,E1846/가정!$B$5,0))</f>
        <v>71894</v>
      </c>
      <c r="L1846" s="95" t="n">
        <f aca="false">IF(B1846="CN",IF(N(I1846)&gt;0,I1846*가정!$B$3,K1846*(1+가정!$B$6)),IF(N(H1846)&gt;0,H1846*가정!$B$3,J1846*가정!$B$4))</f>
        <v>76179.402</v>
      </c>
      <c r="M1846" s="95" t="n">
        <f aca="false">D1846*J1846</f>
        <v>29029000</v>
      </c>
      <c r="N1846" s="95" t="n">
        <f aca="false">D1846*K1846</f>
        <v>6542354</v>
      </c>
      <c r="O1846" s="95" t="n">
        <f aca="false">D1846*L1846</f>
        <v>6932325.582</v>
      </c>
      <c r="P1846" s="34" t="str">
        <f aca="false">TRIM(IF(N(E1846)&lt;=0,"택가보정 ","")&amp;IF(N(F1846)&lt;=0,"원가보정 ","")&amp;IF(AND(B1846&lt;&gt;"CN",N(H1846)&lt;=0),"공급가보정 ","")&amp;IF(AND(B1846="CN",N(I1846)&lt;=0),"중국공급가=원가+마진 ",""))</f>
        <v/>
      </c>
    </row>
    <row r="1847" customFormat="false" ht="15" hidden="false" customHeight="true" outlineLevel="0" collapsed="false">
      <c r="A1847" s="94" t="s">
        <v>1685</v>
      </c>
      <c r="B1847" s="34" t="str">
        <f aca="false">IF(A1847="100","HK",IF(A1847="200","CN",IF(A1847="300","TW","홀세일")))</f>
        <v>CN</v>
      </c>
      <c r="C1847" s="94" t="s">
        <v>1074</v>
      </c>
      <c r="D1847" s="95" t="n">
        <v>91</v>
      </c>
      <c r="E1847" s="95" t="n">
        <v>319000</v>
      </c>
      <c r="F1847" s="95" t="n">
        <v>71894</v>
      </c>
      <c r="G1847" s="34" t="n">
        <v>3.24</v>
      </c>
      <c r="H1847" s="34" t="n">
        <v>79.9</v>
      </c>
      <c r="I1847" s="34" t="n">
        <v>55.9</v>
      </c>
      <c r="J1847" s="95" t="n">
        <f aca="false">IF(N(E1847)&gt;0,E1847,IF(N(F1847)&gt;0,F1847*가정!$B$5,0))</f>
        <v>319000</v>
      </c>
      <c r="K1847" s="95" t="n">
        <f aca="false">IF(N(F1847)&gt;0,F1847,IF(N(E1847)&gt;0,E1847/가정!$B$5,0))</f>
        <v>71894</v>
      </c>
      <c r="L1847" s="95" t="n">
        <f aca="false">IF(B1847="CN",IF(N(I1847)&gt;0,I1847*가정!$B$3,K1847*(1+가정!$B$6)),IF(N(H1847)&gt;0,H1847*가정!$B$3,J1847*가정!$B$4))</f>
        <v>76179.402</v>
      </c>
      <c r="M1847" s="95" t="n">
        <f aca="false">D1847*J1847</f>
        <v>29029000</v>
      </c>
      <c r="N1847" s="95" t="n">
        <f aca="false">D1847*K1847</f>
        <v>6542354</v>
      </c>
      <c r="O1847" s="95" t="n">
        <f aca="false">D1847*L1847</f>
        <v>6932325.582</v>
      </c>
      <c r="P1847" s="34" t="str">
        <f aca="false">TRIM(IF(N(E1847)&lt;=0,"택가보정 ","")&amp;IF(N(F1847)&lt;=0,"원가보정 ","")&amp;IF(AND(B1847&lt;&gt;"CN",N(H1847)&lt;=0),"공급가보정 ","")&amp;IF(AND(B1847="CN",N(I1847)&lt;=0),"중국공급가=원가+마진 ",""))</f>
        <v/>
      </c>
    </row>
    <row r="1848" customFormat="false" ht="15" hidden="false" customHeight="true" outlineLevel="0" collapsed="false">
      <c r="A1848" s="94" t="s">
        <v>1684</v>
      </c>
      <c r="B1848" s="34" t="str">
        <f aca="false">IF(A1848="100","HK",IF(A1848="200","CN",IF(A1848="300","TW","홀세일")))</f>
        <v>HK</v>
      </c>
      <c r="C1848" s="94" t="s">
        <v>793</v>
      </c>
      <c r="D1848" s="95" t="n">
        <v>240</v>
      </c>
      <c r="E1848" s="95" t="n">
        <v>179000</v>
      </c>
      <c r="F1848" s="95" t="n">
        <v>51295</v>
      </c>
      <c r="G1848" s="34" t="n">
        <v>3.57</v>
      </c>
      <c r="H1848" s="34" t="n">
        <v>42.1</v>
      </c>
      <c r="I1848" s="34" t="n">
        <v>40.6</v>
      </c>
      <c r="J1848" s="95" t="n">
        <f aca="false">IF(N(E1848)&gt;0,E1848,IF(N(F1848)&gt;0,F1848*가정!$B$5,0))</f>
        <v>179000</v>
      </c>
      <c r="K1848" s="95" t="n">
        <f aca="false">IF(N(F1848)&gt;0,F1848,IF(N(E1848)&gt;0,E1848/가정!$B$5,0))</f>
        <v>51295</v>
      </c>
      <c r="L1848" s="95" t="n">
        <f aca="false">IF(B1848="CN",IF(N(I1848)&gt;0,I1848*가정!$B$3,K1848*(1+가정!$B$6)),IF(N(H1848)&gt;0,H1848*가정!$B$3,J1848*가정!$B$4))</f>
        <v>57373.038</v>
      </c>
      <c r="M1848" s="95" t="n">
        <f aca="false">D1848*J1848</f>
        <v>42960000</v>
      </c>
      <c r="N1848" s="95" t="n">
        <f aca="false">D1848*K1848</f>
        <v>12310800</v>
      </c>
      <c r="O1848" s="95" t="n">
        <f aca="false">D1848*L1848</f>
        <v>13769529.12</v>
      </c>
      <c r="P1848" s="34" t="str">
        <f aca="false">TRIM(IF(N(E1848)&lt;=0,"택가보정 ","")&amp;IF(N(F1848)&lt;=0,"원가보정 ","")&amp;IF(AND(B1848&lt;&gt;"CN",N(H1848)&lt;=0),"공급가보정 ","")&amp;IF(AND(B1848="CN",N(I1848)&lt;=0),"중국공급가=원가+마진 ",""))</f>
        <v/>
      </c>
    </row>
    <row r="1849" customFormat="false" ht="15" hidden="false" customHeight="true" outlineLevel="0" collapsed="false">
      <c r="A1849" s="94" t="s">
        <v>1685</v>
      </c>
      <c r="B1849" s="34" t="str">
        <f aca="false">IF(A1849="100","HK",IF(A1849="200","CN",IF(A1849="300","TW","홀세일")))</f>
        <v>CN</v>
      </c>
      <c r="C1849" s="94" t="s">
        <v>793</v>
      </c>
      <c r="D1849" s="95" t="n">
        <v>421</v>
      </c>
      <c r="E1849" s="95" t="n">
        <v>179000</v>
      </c>
      <c r="F1849" s="95" t="n">
        <v>51295</v>
      </c>
      <c r="G1849" s="34" t="n">
        <v>3.57</v>
      </c>
      <c r="H1849" s="34" t="n">
        <v>42.1</v>
      </c>
      <c r="I1849" s="34" t="n">
        <v>40.6</v>
      </c>
      <c r="J1849" s="95" t="n">
        <f aca="false">IF(N(E1849)&gt;0,E1849,IF(N(F1849)&gt;0,F1849*가정!$B$5,0))</f>
        <v>179000</v>
      </c>
      <c r="K1849" s="95" t="n">
        <f aca="false">IF(N(F1849)&gt;0,F1849,IF(N(E1849)&gt;0,E1849/가정!$B$5,0))</f>
        <v>51295</v>
      </c>
      <c r="L1849" s="95" t="n">
        <f aca="false">IF(B1849="CN",IF(N(I1849)&gt;0,I1849*가정!$B$3,K1849*(1+가정!$B$6)),IF(N(H1849)&gt;0,H1849*가정!$B$3,J1849*가정!$B$4))</f>
        <v>55328.868</v>
      </c>
      <c r="M1849" s="95" t="n">
        <f aca="false">D1849*J1849</f>
        <v>75359000</v>
      </c>
      <c r="N1849" s="95" t="n">
        <f aca="false">D1849*K1849</f>
        <v>21595195</v>
      </c>
      <c r="O1849" s="95" t="n">
        <f aca="false">D1849*L1849</f>
        <v>23293453.428</v>
      </c>
      <c r="P1849" s="34" t="str">
        <f aca="false">TRIM(IF(N(E1849)&lt;=0,"택가보정 ","")&amp;IF(N(F1849)&lt;=0,"원가보정 ","")&amp;IF(AND(B1849&lt;&gt;"CN",N(H1849)&lt;=0),"공급가보정 ","")&amp;IF(AND(B1849="CN",N(I1849)&lt;=0),"중국공급가=원가+마진 ",""))</f>
        <v/>
      </c>
    </row>
    <row r="1850" customFormat="false" ht="15" hidden="false" customHeight="true" outlineLevel="0" collapsed="false">
      <c r="A1850" s="94" t="s">
        <v>1685</v>
      </c>
      <c r="B1850" s="34" t="str">
        <f aca="false">IF(A1850="100","HK",IF(A1850="200","CN",IF(A1850="300","TW","홀세일")))</f>
        <v>CN</v>
      </c>
      <c r="C1850" s="94" t="s">
        <v>793</v>
      </c>
      <c r="D1850" s="95" t="n">
        <v>421</v>
      </c>
      <c r="E1850" s="95" t="n">
        <v>179000</v>
      </c>
      <c r="F1850" s="95" t="n">
        <v>51295</v>
      </c>
      <c r="G1850" s="34" t="n">
        <v>3.57</v>
      </c>
      <c r="H1850" s="34" t="n">
        <v>42.1</v>
      </c>
      <c r="I1850" s="34" t="n">
        <v>40.6</v>
      </c>
      <c r="J1850" s="95" t="n">
        <f aca="false">IF(N(E1850)&gt;0,E1850,IF(N(F1850)&gt;0,F1850*가정!$B$5,0))</f>
        <v>179000</v>
      </c>
      <c r="K1850" s="95" t="n">
        <f aca="false">IF(N(F1850)&gt;0,F1850,IF(N(E1850)&gt;0,E1850/가정!$B$5,0))</f>
        <v>51295</v>
      </c>
      <c r="L1850" s="95" t="n">
        <f aca="false">IF(B1850="CN",IF(N(I1850)&gt;0,I1850*가정!$B$3,K1850*(1+가정!$B$6)),IF(N(H1850)&gt;0,H1850*가정!$B$3,J1850*가정!$B$4))</f>
        <v>55328.868</v>
      </c>
      <c r="M1850" s="95" t="n">
        <f aca="false">D1850*J1850</f>
        <v>75359000</v>
      </c>
      <c r="N1850" s="95" t="n">
        <f aca="false">D1850*K1850</f>
        <v>21595195</v>
      </c>
      <c r="O1850" s="95" t="n">
        <f aca="false">D1850*L1850</f>
        <v>23293453.428</v>
      </c>
      <c r="P1850" s="34" t="str">
        <f aca="false">TRIM(IF(N(E1850)&lt;=0,"택가보정 ","")&amp;IF(N(F1850)&lt;=0,"원가보정 ","")&amp;IF(AND(B1850&lt;&gt;"CN",N(H1850)&lt;=0),"공급가보정 ","")&amp;IF(AND(B1850="CN",N(I1850)&lt;=0),"중국공급가=원가+마진 ",""))</f>
        <v/>
      </c>
    </row>
    <row r="1851" customFormat="false" ht="15" hidden="false" customHeight="true" outlineLevel="0" collapsed="false">
      <c r="A1851" s="94" t="s">
        <v>1686</v>
      </c>
      <c r="B1851" s="34" t="str">
        <f aca="false">IF(A1851="100","HK",IF(A1851="200","CN",IF(A1851="300","TW","홀세일")))</f>
        <v>TW</v>
      </c>
      <c r="C1851" s="94" t="s">
        <v>793</v>
      </c>
      <c r="D1851" s="95" t="n">
        <v>280</v>
      </c>
      <c r="E1851" s="95" t="n">
        <v>179000</v>
      </c>
      <c r="F1851" s="95" t="n">
        <v>51295</v>
      </c>
      <c r="G1851" s="34" t="n">
        <v>3.57</v>
      </c>
      <c r="H1851" s="34" t="n">
        <v>42.1</v>
      </c>
      <c r="I1851" s="34" t="n">
        <v>40.6</v>
      </c>
      <c r="J1851" s="95" t="n">
        <f aca="false">IF(N(E1851)&gt;0,E1851,IF(N(F1851)&gt;0,F1851*가정!$B$5,0))</f>
        <v>179000</v>
      </c>
      <c r="K1851" s="95" t="n">
        <f aca="false">IF(N(F1851)&gt;0,F1851,IF(N(E1851)&gt;0,E1851/가정!$B$5,0))</f>
        <v>51295</v>
      </c>
      <c r="L1851" s="95" t="n">
        <f aca="false">IF(B1851="CN",IF(N(I1851)&gt;0,I1851*가정!$B$3,K1851*(1+가정!$B$6)),IF(N(H1851)&gt;0,H1851*가정!$B$3,J1851*가정!$B$4))</f>
        <v>57373.038</v>
      </c>
      <c r="M1851" s="95" t="n">
        <f aca="false">D1851*J1851</f>
        <v>50120000</v>
      </c>
      <c r="N1851" s="95" t="n">
        <f aca="false">D1851*K1851</f>
        <v>14362600</v>
      </c>
      <c r="O1851" s="95" t="n">
        <f aca="false">D1851*L1851</f>
        <v>16064450.64</v>
      </c>
      <c r="P1851" s="34" t="str">
        <f aca="false">TRIM(IF(N(E1851)&lt;=0,"택가보정 ","")&amp;IF(N(F1851)&lt;=0,"원가보정 ","")&amp;IF(AND(B1851&lt;&gt;"CN",N(H1851)&lt;=0),"공급가보정 ","")&amp;IF(AND(B1851="CN",N(I1851)&lt;=0),"중국공급가=원가+마진 ",""))</f>
        <v/>
      </c>
    </row>
    <row r="1852" customFormat="false" ht="15" hidden="false" customHeight="true" outlineLevel="0" collapsed="false">
      <c r="A1852" s="94" t="s">
        <v>1688</v>
      </c>
      <c r="B1852" s="34" t="str">
        <f aca="false">IF(A1852="100","HK",IF(A1852="200","CN",IF(A1852="300","TW","홀세일")))</f>
        <v>홀세일</v>
      </c>
      <c r="C1852" s="94" t="s">
        <v>793</v>
      </c>
      <c r="D1852" s="95" t="n">
        <v>30</v>
      </c>
      <c r="E1852" s="95" t="n">
        <v>179000</v>
      </c>
      <c r="F1852" s="95" t="n">
        <v>51295</v>
      </c>
      <c r="G1852" s="34" t="n">
        <v>3.57</v>
      </c>
      <c r="H1852" s="34" t="n">
        <v>42.1</v>
      </c>
      <c r="I1852" s="34" t="n">
        <v>40.6</v>
      </c>
      <c r="J1852" s="95" t="n">
        <f aca="false">IF(N(E1852)&gt;0,E1852,IF(N(F1852)&gt;0,F1852*가정!$B$5,0))</f>
        <v>179000</v>
      </c>
      <c r="K1852" s="95" t="n">
        <f aca="false">IF(N(F1852)&gt;0,F1852,IF(N(E1852)&gt;0,E1852/가정!$B$5,0))</f>
        <v>51295</v>
      </c>
      <c r="L1852" s="95" t="n">
        <f aca="false">IF(B1852="CN",IF(N(I1852)&gt;0,I1852*가정!$B$3,K1852*(1+가정!$B$6)),IF(N(H1852)&gt;0,H1852*가정!$B$3,J1852*가정!$B$4))</f>
        <v>57373.038</v>
      </c>
      <c r="M1852" s="95" t="n">
        <f aca="false">D1852*J1852</f>
        <v>5370000</v>
      </c>
      <c r="N1852" s="95" t="n">
        <f aca="false">D1852*K1852</f>
        <v>1538850</v>
      </c>
      <c r="O1852" s="95" t="n">
        <f aca="false">D1852*L1852</f>
        <v>1721191.14</v>
      </c>
      <c r="P1852" s="34" t="str">
        <f aca="false">TRIM(IF(N(E1852)&lt;=0,"택가보정 ","")&amp;IF(N(F1852)&lt;=0,"원가보정 ","")&amp;IF(AND(B1852&lt;&gt;"CN",N(H1852)&lt;=0),"공급가보정 ","")&amp;IF(AND(B1852="CN",N(I1852)&lt;=0),"중국공급가=원가+마진 ",""))</f>
        <v/>
      </c>
    </row>
    <row r="1853" customFormat="false" ht="15" hidden="false" customHeight="true" outlineLevel="0" collapsed="false">
      <c r="A1853" s="94" t="s">
        <v>1685</v>
      </c>
      <c r="B1853" s="34" t="str">
        <f aca="false">IF(A1853="100","HK",IF(A1853="200","CN",IF(A1853="300","TW","홀세일")))</f>
        <v>CN</v>
      </c>
      <c r="C1853" s="94" t="s">
        <v>1235</v>
      </c>
      <c r="D1853" s="95" t="n">
        <v>304</v>
      </c>
      <c r="E1853" s="95" t="n">
        <v>189000</v>
      </c>
      <c r="F1853" s="95" t="n">
        <v>54191</v>
      </c>
      <c r="G1853" s="34" t="n">
        <v>3.38</v>
      </c>
      <c r="H1853" s="34" t="n">
        <v>44.5</v>
      </c>
      <c r="I1853" s="34" t="n">
        <v>42.6</v>
      </c>
      <c r="J1853" s="95" t="n">
        <f aca="false">IF(N(E1853)&gt;0,E1853,IF(N(F1853)&gt;0,F1853*가정!$B$5,0))</f>
        <v>189000</v>
      </c>
      <c r="K1853" s="95" t="n">
        <f aca="false">IF(N(F1853)&gt;0,F1853,IF(N(E1853)&gt;0,E1853/가정!$B$5,0))</f>
        <v>54191</v>
      </c>
      <c r="L1853" s="95" t="n">
        <f aca="false">IF(B1853="CN",IF(N(I1853)&gt;0,I1853*가정!$B$3,K1853*(1+가정!$B$6)),IF(N(H1853)&gt;0,H1853*가정!$B$3,J1853*가정!$B$4))</f>
        <v>58054.428</v>
      </c>
      <c r="M1853" s="95" t="n">
        <f aca="false">D1853*J1853</f>
        <v>57456000</v>
      </c>
      <c r="N1853" s="95" t="n">
        <f aca="false">D1853*K1853</f>
        <v>16474064</v>
      </c>
      <c r="O1853" s="95" t="n">
        <f aca="false">D1853*L1853</f>
        <v>17648546.112</v>
      </c>
      <c r="P1853" s="34" t="str">
        <f aca="false">TRIM(IF(N(E1853)&lt;=0,"택가보정 ","")&amp;IF(N(F1853)&lt;=0,"원가보정 ","")&amp;IF(AND(B1853&lt;&gt;"CN",N(H1853)&lt;=0),"공급가보정 ","")&amp;IF(AND(B1853="CN",N(I1853)&lt;=0),"중국공급가=원가+마진 ",""))</f>
        <v/>
      </c>
    </row>
    <row r="1854" customFormat="false" ht="15" hidden="false" customHeight="true" outlineLevel="0" collapsed="false">
      <c r="A1854" s="94" t="s">
        <v>1692</v>
      </c>
      <c r="B1854" s="34" t="str">
        <f aca="false">IF(A1854="100","HK",IF(A1854="200","CN",IF(A1854="300","TW","홀세일")))</f>
        <v>홀세일</v>
      </c>
      <c r="C1854" s="94" t="s">
        <v>1763</v>
      </c>
      <c r="D1854" s="95" t="n">
        <v>1200</v>
      </c>
      <c r="E1854" s="95" t="n">
        <v>89000</v>
      </c>
      <c r="F1854" s="95" t="n">
        <v>25000</v>
      </c>
      <c r="G1854" s="34" t="n">
        <v>3.24</v>
      </c>
      <c r="H1854" s="34" t="n">
        <v>21.6</v>
      </c>
      <c r="J1854" s="95" t="n">
        <f aca="false">IF(N(E1854)&gt;0,E1854,IF(N(F1854)&gt;0,F1854*가정!$B$5,0))</f>
        <v>89000</v>
      </c>
      <c r="K1854" s="95" t="n">
        <f aca="false">IF(N(F1854)&gt;0,F1854,IF(N(E1854)&gt;0,E1854/가정!$B$5,0))</f>
        <v>25000</v>
      </c>
      <c r="L1854" s="95" t="n">
        <f aca="false">IF(B1854="CN",IF(N(I1854)&gt;0,I1854*가정!$B$3,K1854*(1+가정!$B$6)),IF(N(H1854)&gt;0,H1854*가정!$B$3,J1854*가정!$B$4))</f>
        <v>29436.048</v>
      </c>
      <c r="M1854" s="95" t="n">
        <f aca="false">D1854*J1854</f>
        <v>106800000</v>
      </c>
      <c r="N1854" s="95" t="n">
        <f aca="false">D1854*K1854</f>
        <v>30000000</v>
      </c>
      <c r="O1854" s="95" t="n">
        <f aca="false">D1854*L1854</f>
        <v>35323257.6</v>
      </c>
      <c r="P1854" s="34" t="str">
        <f aca="false">TRIM(IF(N(E1854)&lt;=0,"택가보정 ","")&amp;IF(N(F1854)&lt;=0,"원가보정 ","")&amp;IF(AND(B1854&lt;&gt;"CN",N(H1854)&lt;=0),"공급가보정 ","")&amp;IF(AND(B1854="CN",N(I1854)&lt;=0),"중국공급가=원가+마진 ",""))</f>
        <v/>
      </c>
    </row>
    <row r="1855" customFormat="false" ht="15" hidden="false" customHeight="true" outlineLevel="0" collapsed="false">
      <c r="A1855" s="94" t="s">
        <v>1685</v>
      </c>
      <c r="B1855" s="34" t="str">
        <f aca="false">IF(A1855="100","HK",IF(A1855="200","CN",IF(A1855="300","TW","홀세일")))</f>
        <v>CN</v>
      </c>
      <c r="C1855" s="94" t="s">
        <v>1237</v>
      </c>
      <c r="D1855" s="95" t="n">
        <v>282</v>
      </c>
      <c r="E1855" s="95" t="n">
        <v>59000</v>
      </c>
      <c r="F1855" s="95" t="n">
        <v>17303</v>
      </c>
      <c r="G1855" s="34" t="n">
        <v>3.21</v>
      </c>
      <c r="H1855" s="34" t="n">
        <v>13.9</v>
      </c>
      <c r="I1855" s="34" t="n">
        <v>14.3</v>
      </c>
      <c r="J1855" s="95" t="n">
        <f aca="false">IF(N(E1855)&gt;0,E1855,IF(N(F1855)&gt;0,F1855*가정!$B$5,0))</f>
        <v>59000</v>
      </c>
      <c r="K1855" s="95" t="n">
        <f aca="false">IF(N(F1855)&gt;0,F1855,IF(N(E1855)&gt;0,E1855/가정!$B$5,0))</f>
        <v>17303</v>
      </c>
      <c r="L1855" s="95" t="n">
        <f aca="false">IF(B1855="CN",IF(N(I1855)&gt;0,I1855*가정!$B$3,K1855*(1+가정!$B$6)),IF(N(H1855)&gt;0,H1855*가정!$B$3,J1855*가정!$B$4))</f>
        <v>19487.754</v>
      </c>
      <c r="M1855" s="95" t="n">
        <f aca="false">D1855*J1855</f>
        <v>16638000</v>
      </c>
      <c r="N1855" s="95" t="n">
        <f aca="false">D1855*K1855</f>
        <v>4879446</v>
      </c>
      <c r="O1855" s="95" t="n">
        <f aca="false">D1855*L1855</f>
        <v>5495546.628</v>
      </c>
      <c r="P1855" s="34" t="str">
        <f aca="false">TRIM(IF(N(E1855)&lt;=0,"택가보정 ","")&amp;IF(N(F1855)&lt;=0,"원가보정 ","")&amp;IF(AND(B1855&lt;&gt;"CN",N(H1855)&lt;=0),"공급가보정 ","")&amp;IF(AND(B1855="CN",N(I1855)&lt;=0),"중국공급가=원가+마진 ",""))</f>
        <v/>
      </c>
    </row>
    <row r="1856" customFormat="false" ht="15" hidden="false" customHeight="true" outlineLevel="0" collapsed="false">
      <c r="A1856" s="94" t="s">
        <v>1688</v>
      </c>
      <c r="B1856" s="34" t="str">
        <f aca="false">IF(A1856="100","HK",IF(A1856="200","CN",IF(A1856="300","TW","홀세일")))</f>
        <v>홀세일</v>
      </c>
      <c r="C1856" s="94" t="s">
        <v>1237</v>
      </c>
      <c r="D1856" s="95" t="n">
        <v>65</v>
      </c>
      <c r="E1856" s="95" t="n">
        <v>59000</v>
      </c>
      <c r="F1856" s="95" t="n">
        <v>17303</v>
      </c>
      <c r="G1856" s="34" t="n">
        <v>3.21</v>
      </c>
      <c r="H1856" s="34" t="n">
        <v>13.9</v>
      </c>
      <c r="I1856" s="34" t="n">
        <v>14.3</v>
      </c>
      <c r="J1856" s="95" t="n">
        <f aca="false">IF(N(E1856)&gt;0,E1856,IF(N(F1856)&gt;0,F1856*가정!$B$5,0))</f>
        <v>59000</v>
      </c>
      <c r="K1856" s="95" t="n">
        <f aca="false">IF(N(F1856)&gt;0,F1856,IF(N(E1856)&gt;0,E1856/가정!$B$5,0))</f>
        <v>17303</v>
      </c>
      <c r="L1856" s="95" t="n">
        <f aca="false">IF(B1856="CN",IF(N(I1856)&gt;0,I1856*가정!$B$3,K1856*(1+가정!$B$6)),IF(N(H1856)&gt;0,H1856*가정!$B$3,J1856*가정!$B$4))</f>
        <v>18942.642</v>
      </c>
      <c r="M1856" s="95" t="n">
        <f aca="false">D1856*J1856</f>
        <v>3835000</v>
      </c>
      <c r="N1856" s="95" t="n">
        <f aca="false">D1856*K1856</f>
        <v>1124695</v>
      </c>
      <c r="O1856" s="95" t="n">
        <f aca="false">D1856*L1856</f>
        <v>1231271.73</v>
      </c>
      <c r="P1856" s="34" t="str">
        <f aca="false">TRIM(IF(N(E1856)&lt;=0,"택가보정 ","")&amp;IF(N(F1856)&lt;=0,"원가보정 ","")&amp;IF(AND(B1856&lt;&gt;"CN",N(H1856)&lt;=0),"공급가보정 ","")&amp;IF(AND(B1856="CN",N(I1856)&lt;=0),"중국공급가=원가+마진 ",""))</f>
        <v/>
      </c>
    </row>
    <row r="1857" customFormat="false" ht="15" hidden="false" customHeight="true" outlineLevel="0" collapsed="false">
      <c r="A1857" s="94" t="s">
        <v>1692</v>
      </c>
      <c r="B1857" s="34" t="str">
        <f aca="false">IF(A1857="100","HK",IF(A1857="200","CN",IF(A1857="300","TW","홀세일")))</f>
        <v>홀세일</v>
      </c>
      <c r="C1857" s="94" t="s">
        <v>1764</v>
      </c>
      <c r="D1857" s="95" t="n">
        <v>750</v>
      </c>
      <c r="E1857" s="95" t="n">
        <v>45000</v>
      </c>
      <c r="F1857" s="95" t="n">
        <v>13600</v>
      </c>
      <c r="G1857" s="34" t="n">
        <v>3.01</v>
      </c>
      <c r="H1857" s="34" t="n">
        <v>10.9</v>
      </c>
      <c r="J1857" s="95" t="n">
        <f aca="false">IF(N(E1857)&gt;0,E1857,IF(N(F1857)&gt;0,F1857*가정!$B$5,0))</f>
        <v>45000</v>
      </c>
      <c r="K1857" s="95" t="n">
        <f aca="false">IF(N(F1857)&gt;0,F1857,IF(N(E1857)&gt;0,E1857/가정!$B$5,0))</f>
        <v>13600</v>
      </c>
      <c r="L1857" s="95" t="n">
        <f aca="false">IF(B1857="CN",IF(N(I1857)&gt;0,I1857*가정!$B$3,K1857*(1+가정!$B$6)),IF(N(H1857)&gt;0,H1857*가정!$B$3,J1857*가정!$B$4))</f>
        <v>14854.302</v>
      </c>
      <c r="M1857" s="95" t="n">
        <f aca="false">D1857*J1857</f>
        <v>33750000</v>
      </c>
      <c r="N1857" s="95" t="n">
        <f aca="false">D1857*K1857</f>
        <v>10200000</v>
      </c>
      <c r="O1857" s="95" t="n">
        <f aca="false">D1857*L1857</f>
        <v>11140726.5</v>
      </c>
      <c r="P1857" s="34" t="str">
        <f aca="false">TRIM(IF(N(E1857)&lt;=0,"택가보정 ","")&amp;IF(N(F1857)&lt;=0,"원가보정 ","")&amp;IF(AND(B1857&lt;&gt;"CN",N(H1857)&lt;=0),"공급가보정 ","")&amp;IF(AND(B1857="CN",N(I1857)&lt;=0),"중국공급가=원가+마진 ",""))</f>
        <v/>
      </c>
    </row>
    <row r="1858" customFormat="false" ht="15" hidden="false" customHeight="true" outlineLevel="0" collapsed="false">
      <c r="A1858" s="94" t="s">
        <v>1684</v>
      </c>
      <c r="B1858" s="34" t="str">
        <f aca="false">IF(A1858="100","HK",IF(A1858="200","CN",IF(A1858="300","TW","홀세일")))</f>
        <v>HK</v>
      </c>
      <c r="C1858" s="94" t="s">
        <v>1765</v>
      </c>
      <c r="D1858" s="95" t="n">
        <v>50</v>
      </c>
      <c r="E1858" s="95"/>
      <c r="F1858" s="95"/>
      <c r="G1858" s="34" t="n">
        <v>0</v>
      </c>
      <c r="J1858" s="95" t="n">
        <f aca="false">IF(N(E1858)&gt;0,E1858,IF(N(F1858)&gt;0,F1858*가정!$B$5,0))</f>
        <v>0</v>
      </c>
      <c r="K1858" s="95" t="n">
        <f aca="false">IF(N(F1858)&gt;0,F1858,IF(N(E1858)&gt;0,E1858/가정!$B$5,0))</f>
        <v>0</v>
      </c>
      <c r="L1858" s="95" t="n">
        <f aca="false">IF(B1858="CN",IF(N(I1858)&gt;0,I1858*가정!$B$3,K1858*(1+가정!$B$6)),IF(N(H1858)&gt;0,H1858*가정!$B$3,J1858*가정!$B$4))</f>
        <v>0</v>
      </c>
      <c r="M1858" s="95" t="n">
        <f aca="false">D1858*J1858</f>
        <v>0</v>
      </c>
      <c r="N1858" s="95" t="n">
        <f aca="false">D1858*K1858</f>
        <v>0</v>
      </c>
      <c r="O1858" s="95" t="n">
        <f aca="false">D1858*L1858</f>
        <v>0</v>
      </c>
      <c r="P1858" s="34" t="str">
        <f aca="false">TRIM(IF(N(E1858)&lt;=0,"택가보정 ","")&amp;IF(N(F1858)&lt;=0,"원가보정 ","")&amp;IF(AND(B1858&lt;&gt;"CN",N(H1858)&lt;=0),"공급가보정 ","")&amp;IF(AND(B1858="CN",N(I1858)&lt;=0),"중국공급가=원가+마진 ",""))</f>
        <v>택가보정 원가보정 공급가보정</v>
      </c>
    </row>
    <row r="1859" customFormat="false" ht="15" hidden="false" customHeight="true" outlineLevel="0" collapsed="false">
      <c r="A1859" s="94" t="s">
        <v>1686</v>
      </c>
      <c r="B1859" s="34" t="str">
        <f aca="false">IF(A1859="100","HK",IF(A1859="200","CN",IF(A1859="300","TW","홀세일")))</f>
        <v>TW</v>
      </c>
      <c r="C1859" s="94" t="s">
        <v>1765</v>
      </c>
      <c r="D1859" s="95" t="n">
        <v>450</v>
      </c>
      <c r="E1859" s="95"/>
      <c r="F1859" s="95"/>
      <c r="G1859" s="34" t="n">
        <v>0</v>
      </c>
      <c r="J1859" s="95" t="n">
        <f aca="false">IF(N(E1859)&gt;0,E1859,IF(N(F1859)&gt;0,F1859*가정!$B$5,0))</f>
        <v>0</v>
      </c>
      <c r="K1859" s="95" t="n">
        <f aca="false">IF(N(F1859)&gt;0,F1859,IF(N(E1859)&gt;0,E1859/가정!$B$5,0))</f>
        <v>0</v>
      </c>
      <c r="L1859" s="95" t="n">
        <f aca="false">IF(B1859="CN",IF(N(I1859)&gt;0,I1859*가정!$B$3,K1859*(1+가정!$B$6)),IF(N(H1859)&gt;0,H1859*가정!$B$3,J1859*가정!$B$4))</f>
        <v>0</v>
      </c>
      <c r="M1859" s="95" t="n">
        <f aca="false">D1859*J1859</f>
        <v>0</v>
      </c>
      <c r="N1859" s="95" t="n">
        <f aca="false">D1859*K1859</f>
        <v>0</v>
      </c>
      <c r="O1859" s="95" t="n">
        <f aca="false">D1859*L1859</f>
        <v>0</v>
      </c>
      <c r="P1859" s="34" t="str">
        <f aca="false">TRIM(IF(N(E1859)&lt;=0,"택가보정 ","")&amp;IF(N(F1859)&lt;=0,"원가보정 ","")&amp;IF(AND(B1859&lt;&gt;"CN",N(H1859)&lt;=0),"공급가보정 ","")&amp;IF(AND(B1859="CN",N(I1859)&lt;=0),"중국공급가=원가+마진 ",""))</f>
        <v>택가보정 원가보정 공급가보정</v>
      </c>
    </row>
    <row r="1860" customFormat="false" ht="15" hidden="false" customHeight="true" outlineLevel="0" collapsed="false">
      <c r="A1860" s="94" t="s">
        <v>1685</v>
      </c>
      <c r="B1860" s="34" t="str">
        <f aca="false">IF(A1860="100","HK",IF(A1860="200","CN",IF(A1860="300","TW","홀세일")))</f>
        <v>CN</v>
      </c>
      <c r="C1860" s="94" t="s">
        <v>1239</v>
      </c>
      <c r="D1860" s="95" t="n">
        <v>853</v>
      </c>
      <c r="E1860" s="95" t="n">
        <v>179000</v>
      </c>
      <c r="F1860" s="95" t="n">
        <v>49706</v>
      </c>
      <c r="G1860" s="34" t="n">
        <v>3.66</v>
      </c>
      <c r="H1860" s="34" t="n">
        <v>42.1</v>
      </c>
      <c r="I1860" s="34" t="n">
        <v>41</v>
      </c>
      <c r="J1860" s="95" t="n">
        <f aca="false">IF(N(E1860)&gt;0,E1860,IF(N(F1860)&gt;0,F1860*가정!$B$5,0))</f>
        <v>179000</v>
      </c>
      <c r="K1860" s="95" t="n">
        <f aca="false">IF(N(F1860)&gt;0,F1860,IF(N(E1860)&gt;0,E1860/가정!$B$5,0))</f>
        <v>49706</v>
      </c>
      <c r="L1860" s="95" t="n">
        <f aca="false">IF(B1860="CN",IF(N(I1860)&gt;0,I1860*가정!$B$3,K1860*(1+가정!$B$6)),IF(N(H1860)&gt;0,H1860*가정!$B$3,J1860*가정!$B$4))</f>
        <v>55873.98</v>
      </c>
      <c r="M1860" s="95" t="n">
        <f aca="false">D1860*J1860</f>
        <v>152687000</v>
      </c>
      <c r="N1860" s="95" t="n">
        <f aca="false">D1860*K1860</f>
        <v>42399218</v>
      </c>
      <c r="O1860" s="95" t="n">
        <f aca="false">D1860*L1860</f>
        <v>47660504.94</v>
      </c>
      <c r="P1860" s="34" t="str">
        <f aca="false">TRIM(IF(N(E1860)&lt;=0,"택가보정 ","")&amp;IF(N(F1860)&lt;=0,"원가보정 ","")&amp;IF(AND(B1860&lt;&gt;"CN",N(H1860)&lt;=0),"공급가보정 ","")&amp;IF(AND(B1860="CN",N(I1860)&lt;=0),"중국공급가=원가+마진 ",""))</f>
        <v/>
      </c>
    </row>
    <row r="1861" customFormat="false" ht="15" hidden="false" customHeight="true" outlineLevel="0" collapsed="false">
      <c r="A1861" s="94" t="s">
        <v>1685</v>
      </c>
      <c r="B1861" s="34" t="str">
        <f aca="false">IF(A1861="100","HK",IF(A1861="200","CN",IF(A1861="300","TW","홀세일")))</f>
        <v>CN</v>
      </c>
      <c r="C1861" s="94" t="s">
        <v>1241</v>
      </c>
      <c r="D1861" s="95" t="n">
        <v>362</v>
      </c>
      <c r="E1861" s="95" t="n">
        <v>199000</v>
      </c>
      <c r="F1861" s="95" t="n">
        <v>56806</v>
      </c>
      <c r="G1861" s="34" t="n">
        <v>3.3</v>
      </c>
      <c r="H1861" s="34" t="n">
        <v>46.8</v>
      </c>
      <c r="I1861" s="34" t="n">
        <v>46.1</v>
      </c>
      <c r="J1861" s="95" t="n">
        <f aca="false">IF(N(E1861)&gt;0,E1861,IF(N(F1861)&gt;0,F1861*가정!$B$5,0))</f>
        <v>199000</v>
      </c>
      <c r="K1861" s="95" t="n">
        <f aca="false">IF(N(F1861)&gt;0,F1861,IF(N(E1861)&gt;0,E1861/가정!$B$5,0))</f>
        <v>56806</v>
      </c>
      <c r="L1861" s="95" t="n">
        <f aca="false">IF(B1861="CN",IF(N(I1861)&gt;0,I1861*가정!$B$3,K1861*(1+가정!$B$6)),IF(N(H1861)&gt;0,H1861*가정!$B$3,J1861*가정!$B$4))</f>
        <v>62824.158</v>
      </c>
      <c r="M1861" s="95" t="n">
        <f aca="false">D1861*J1861</f>
        <v>72038000</v>
      </c>
      <c r="N1861" s="95" t="n">
        <f aca="false">D1861*K1861</f>
        <v>20563772</v>
      </c>
      <c r="O1861" s="95" t="n">
        <f aca="false">D1861*L1861</f>
        <v>22742345.196</v>
      </c>
      <c r="P1861" s="34" t="str">
        <f aca="false">TRIM(IF(N(E1861)&lt;=0,"택가보정 ","")&amp;IF(N(F1861)&lt;=0,"원가보정 ","")&amp;IF(AND(B1861&lt;&gt;"CN",N(H1861)&lt;=0),"공급가보정 ","")&amp;IF(AND(B1861="CN",N(I1861)&lt;=0),"중국공급가=원가+마진 ",""))</f>
        <v/>
      </c>
    </row>
    <row r="1862" customFormat="false" ht="15" hidden="false" customHeight="true" outlineLevel="0" collapsed="false">
      <c r="A1862" s="94" t="s">
        <v>1685</v>
      </c>
      <c r="B1862" s="34" t="str">
        <f aca="false">IF(A1862="100","HK",IF(A1862="200","CN",IF(A1862="300","TW","홀세일")))</f>
        <v>CN</v>
      </c>
      <c r="C1862" s="94" t="s">
        <v>1243</v>
      </c>
      <c r="D1862" s="95" t="n">
        <v>221</v>
      </c>
      <c r="E1862" s="95" t="n">
        <v>219000</v>
      </c>
      <c r="F1862" s="95" t="n">
        <v>61800</v>
      </c>
      <c r="G1862" s="34" t="n">
        <v>2.64</v>
      </c>
      <c r="H1862" s="34" t="n">
        <v>51.5</v>
      </c>
      <c r="I1862" s="34" t="n">
        <v>49.2</v>
      </c>
      <c r="J1862" s="95" t="n">
        <f aca="false">IF(N(E1862)&gt;0,E1862,IF(N(F1862)&gt;0,F1862*가정!$B$5,0))</f>
        <v>219000</v>
      </c>
      <c r="K1862" s="95" t="n">
        <f aca="false">IF(N(F1862)&gt;0,F1862,IF(N(E1862)&gt;0,E1862/가정!$B$5,0))</f>
        <v>61800</v>
      </c>
      <c r="L1862" s="95" t="n">
        <f aca="false">IF(B1862="CN",IF(N(I1862)&gt;0,I1862*가정!$B$3,K1862*(1+가정!$B$6)),IF(N(H1862)&gt;0,H1862*가정!$B$3,J1862*가정!$B$4))</f>
        <v>67048.776</v>
      </c>
      <c r="M1862" s="95" t="n">
        <f aca="false">D1862*J1862</f>
        <v>48399000</v>
      </c>
      <c r="N1862" s="95" t="n">
        <f aca="false">D1862*K1862</f>
        <v>13657800</v>
      </c>
      <c r="O1862" s="95" t="n">
        <f aca="false">D1862*L1862</f>
        <v>14817779.496</v>
      </c>
      <c r="P1862" s="34" t="str">
        <f aca="false">TRIM(IF(N(E1862)&lt;=0,"택가보정 ","")&amp;IF(N(F1862)&lt;=0,"원가보정 ","")&amp;IF(AND(B1862&lt;&gt;"CN",N(H1862)&lt;=0),"공급가보정 ","")&amp;IF(AND(B1862="CN",N(I1862)&lt;=0),"중국공급가=원가+마진 ",""))</f>
        <v/>
      </c>
    </row>
    <row r="1863" customFormat="false" ht="15" hidden="false" customHeight="true" outlineLevel="0" collapsed="false">
      <c r="A1863" s="94" t="s">
        <v>1688</v>
      </c>
      <c r="B1863" s="34" t="str">
        <f aca="false">IF(A1863="100","HK",IF(A1863="200","CN",IF(A1863="300","TW","홀세일")))</f>
        <v>홀세일</v>
      </c>
      <c r="C1863" s="94" t="s">
        <v>1243</v>
      </c>
      <c r="D1863" s="95" t="n">
        <v>30</v>
      </c>
      <c r="E1863" s="95" t="n">
        <v>219000</v>
      </c>
      <c r="F1863" s="95" t="n">
        <v>61800</v>
      </c>
      <c r="G1863" s="34" t="n">
        <v>2.64</v>
      </c>
      <c r="H1863" s="34" t="n">
        <v>51.5</v>
      </c>
      <c r="I1863" s="34" t="n">
        <v>49.2</v>
      </c>
      <c r="J1863" s="95" t="n">
        <f aca="false">IF(N(E1863)&gt;0,E1863,IF(N(F1863)&gt;0,F1863*가정!$B$5,0))</f>
        <v>219000</v>
      </c>
      <c r="K1863" s="95" t="n">
        <f aca="false">IF(N(F1863)&gt;0,F1863,IF(N(E1863)&gt;0,E1863/가정!$B$5,0))</f>
        <v>61800</v>
      </c>
      <c r="L1863" s="95" t="n">
        <f aca="false">IF(B1863="CN",IF(N(I1863)&gt;0,I1863*가정!$B$3,K1863*(1+가정!$B$6)),IF(N(H1863)&gt;0,H1863*가정!$B$3,J1863*가정!$B$4))</f>
        <v>70183.17</v>
      </c>
      <c r="M1863" s="95" t="n">
        <f aca="false">D1863*J1863</f>
        <v>6570000</v>
      </c>
      <c r="N1863" s="95" t="n">
        <f aca="false">D1863*K1863</f>
        <v>1854000</v>
      </c>
      <c r="O1863" s="95" t="n">
        <f aca="false">D1863*L1863</f>
        <v>2105495.1</v>
      </c>
      <c r="P1863" s="34" t="str">
        <f aca="false">TRIM(IF(N(E1863)&lt;=0,"택가보정 ","")&amp;IF(N(F1863)&lt;=0,"원가보정 ","")&amp;IF(AND(B1863&lt;&gt;"CN",N(H1863)&lt;=0),"공급가보정 ","")&amp;IF(AND(B1863="CN",N(I1863)&lt;=0),"중국공급가=원가+마진 ",""))</f>
        <v/>
      </c>
    </row>
    <row r="1864" customFormat="false" ht="15" hidden="false" customHeight="true" outlineLevel="0" collapsed="false">
      <c r="A1864" s="94" t="s">
        <v>1684</v>
      </c>
      <c r="B1864" s="34" t="str">
        <f aca="false">IF(A1864="100","HK",IF(A1864="200","CN",IF(A1864="300","TW","홀세일")))</f>
        <v>HK</v>
      </c>
      <c r="C1864" s="94" t="s">
        <v>795</v>
      </c>
      <c r="D1864" s="95" t="n">
        <v>250</v>
      </c>
      <c r="E1864" s="95" t="n">
        <v>879000</v>
      </c>
      <c r="F1864" s="95" t="n">
        <v>204619</v>
      </c>
      <c r="G1864" s="34" t="n">
        <v>3.22</v>
      </c>
      <c r="H1864" s="34" t="n">
        <v>220</v>
      </c>
      <c r="I1864" s="34" t="n">
        <v>186.2</v>
      </c>
      <c r="J1864" s="95" t="n">
        <f aca="false">IF(N(E1864)&gt;0,E1864,IF(N(F1864)&gt;0,F1864*가정!$B$5,0))</f>
        <v>879000</v>
      </c>
      <c r="K1864" s="95" t="n">
        <f aca="false">IF(N(F1864)&gt;0,F1864,IF(N(E1864)&gt;0,E1864/가정!$B$5,0))</f>
        <v>204619</v>
      </c>
      <c r="L1864" s="95" t="n">
        <f aca="false">IF(B1864="CN",IF(N(I1864)&gt;0,I1864*가정!$B$3,K1864*(1+가정!$B$6)),IF(N(H1864)&gt;0,H1864*가정!$B$3,J1864*가정!$B$4))</f>
        <v>299811.6</v>
      </c>
      <c r="M1864" s="95" t="n">
        <f aca="false">D1864*J1864</f>
        <v>219750000</v>
      </c>
      <c r="N1864" s="95" t="n">
        <f aca="false">D1864*K1864</f>
        <v>51154750</v>
      </c>
      <c r="O1864" s="95" t="n">
        <f aca="false">D1864*L1864</f>
        <v>74952900</v>
      </c>
      <c r="P1864" s="34" t="str">
        <f aca="false">TRIM(IF(N(E1864)&lt;=0,"택가보정 ","")&amp;IF(N(F1864)&lt;=0,"원가보정 ","")&amp;IF(AND(B1864&lt;&gt;"CN",N(H1864)&lt;=0),"공급가보정 ","")&amp;IF(AND(B1864="CN",N(I1864)&lt;=0),"중국공급가=원가+마진 ",""))</f>
        <v/>
      </c>
    </row>
    <row r="1865" customFormat="false" ht="15" hidden="false" customHeight="true" outlineLevel="0" collapsed="false">
      <c r="A1865" s="94" t="s">
        <v>1685</v>
      </c>
      <c r="B1865" s="34" t="str">
        <f aca="false">IF(A1865="100","HK",IF(A1865="200","CN",IF(A1865="300","TW","홀세일")))</f>
        <v>CN</v>
      </c>
      <c r="C1865" s="94" t="s">
        <v>795</v>
      </c>
      <c r="D1865" s="95" t="n">
        <v>578</v>
      </c>
      <c r="E1865" s="95" t="n">
        <v>879000</v>
      </c>
      <c r="F1865" s="95" t="n">
        <v>204619</v>
      </c>
      <c r="G1865" s="34" t="n">
        <v>3.22</v>
      </c>
      <c r="H1865" s="34" t="n">
        <v>220</v>
      </c>
      <c r="I1865" s="34" t="n">
        <v>186.2</v>
      </c>
      <c r="J1865" s="95" t="n">
        <f aca="false">IF(N(E1865)&gt;0,E1865,IF(N(F1865)&gt;0,F1865*가정!$B$5,0))</f>
        <v>879000</v>
      </c>
      <c r="K1865" s="95" t="n">
        <f aca="false">IF(N(F1865)&gt;0,F1865,IF(N(E1865)&gt;0,E1865/가정!$B$5,0))</f>
        <v>204619</v>
      </c>
      <c r="L1865" s="95" t="n">
        <f aca="false">IF(B1865="CN",IF(N(I1865)&gt;0,I1865*가정!$B$3,K1865*(1+가정!$B$6)),IF(N(H1865)&gt;0,H1865*가정!$B$3,J1865*가정!$B$4))</f>
        <v>253749.636</v>
      </c>
      <c r="M1865" s="95" t="n">
        <f aca="false">D1865*J1865</f>
        <v>508062000</v>
      </c>
      <c r="N1865" s="95" t="n">
        <f aca="false">D1865*K1865</f>
        <v>118269782</v>
      </c>
      <c r="O1865" s="95" t="n">
        <f aca="false">D1865*L1865</f>
        <v>146667289.608</v>
      </c>
      <c r="P1865" s="34" t="str">
        <f aca="false">TRIM(IF(N(E1865)&lt;=0,"택가보정 ","")&amp;IF(N(F1865)&lt;=0,"원가보정 ","")&amp;IF(AND(B1865&lt;&gt;"CN",N(H1865)&lt;=0),"공급가보정 ","")&amp;IF(AND(B1865="CN",N(I1865)&lt;=0),"중국공급가=원가+마진 ",""))</f>
        <v/>
      </c>
    </row>
    <row r="1866" customFormat="false" ht="15" hidden="false" customHeight="true" outlineLevel="0" collapsed="false">
      <c r="A1866" s="94" t="s">
        <v>1685</v>
      </c>
      <c r="B1866" s="34" t="str">
        <f aca="false">IF(A1866="100","HK",IF(A1866="200","CN",IF(A1866="300","TW","홀세일")))</f>
        <v>CN</v>
      </c>
      <c r="C1866" s="94" t="s">
        <v>795</v>
      </c>
      <c r="D1866" s="95" t="n">
        <v>578</v>
      </c>
      <c r="E1866" s="95" t="n">
        <v>879000</v>
      </c>
      <c r="F1866" s="95" t="n">
        <v>204619</v>
      </c>
      <c r="G1866" s="34" t="n">
        <v>3.22</v>
      </c>
      <c r="H1866" s="34" t="n">
        <v>220</v>
      </c>
      <c r="I1866" s="34" t="n">
        <v>186.2</v>
      </c>
      <c r="J1866" s="95" t="n">
        <f aca="false">IF(N(E1866)&gt;0,E1866,IF(N(F1866)&gt;0,F1866*가정!$B$5,0))</f>
        <v>879000</v>
      </c>
      <c r="K1866" s="95" t="n">
        <f aca="false">IF(N(F1866)&gt;0,F1866,IF(N(E1866)&gt;0,E1866/가정!$B$5,0))</f>
        <v>204619</v>
      </c>
      <c r="L1866" s="95" t="n">
        <f aca="false">IF(B1866="CN",IF(N(I1866)&gt;0,I1866*가정!$B$3,K1866*(1+가정!$B$6)),IF(N(H1866)&gt;0,H1866*가정!$B$3,J1866*가정!$B$4))</f>
        <v>253749.636</v>
      </c>
      <c r="M1866" s="95" t="n">
        <f aca="false">D1866*J1866</f>
        <v>508062000</v>
      </c>
      <c r="N1866" s="95" t="n">
        <f aca="false">D1866*K1866</f>
        <v>118269782</v>
      </c>
      <c r="O1866" s="95" t="n">
        <f aca="false">D1866*L1866</f>
        <v>146667289.608</v>
      </c>
      <c r="P1866" s="34" t="str">
        <f aca="false">TRIM(IF(N(E1866)&lt;=0,"택가보정 ","")&amp;IF(N(F1866)&lt;=0,"원가보정 ","")&amp;IF(AND(B1866&lt;&gt;"CN",N(H1866)&lt;=0),"공급가보정 ","")&amp;IF(AND(B1866="CN",N(I1866)&lt;=0),"중국공급가=원가+마진 ",""))</f>
        <v/>
      </c>
    </row>
    <row r="1867" customFormat="false" ht="15" hidden="false" customHeight="true" outlineLevel="0" collapsed="false">
      <c r="A1867" s="94" t="s">
        <v>1685</v>
      </c>
      <c r="B1867" s="34" t="str">
        <f aca="false">IF(A1867="100","HK",IF(A1867="200","CN",IF(A1867="300","TW","홀세일")))</f>
        <v>CN</v>
      </c>
      <c r="C1867" s="94" t="s">
        <v>795</v>
      </c>
      <c r="D1867" s="95" t="n">
        <v>578</v>
      </c>
      <c r="E1867" s="95" t="n">
        <v>879000</v>
      </c>
      <c r="F1867" s="95" t="n">
        <v>204619</v>
      </c>
      <c r="G1867" s="34" t="n">
        <v>3.22</v>
      </c>
      <c r="H1867" s="34" t="n">
        <v>220</v>
      </c>
      <c r="I1867" s="34" t="n">
        <v>186.2</v>
      </c>
      <c r="J1867" s="95" t="n">
        <f aca="false">IF(N(E1867)&gt;0,E1867,IF(N(F1867)&gt;0,F1867*가정!$B$5,0))</f>
        <v>879000</v>
      </c>
      <c r="K1867" s="95" t="n">
        <f aca="false">IF(N(F1867)&gt;0,F1867,IF(N(E1867)&gt;0,E1867/가정!$B$5,0))</f>
        <v>204619</v>
      </c>
      <c r="L1867" s="95" t="n">
        <f aca="false">IF(B1867="CN",IF(N(I1867)&gt;0,I1867*가정!$B$3,K1867*(1+가정!$B$6)),IF(N(H1867)&gt;0,H1867*가정!$B$3,J1867*가정!$B$4))</f>
        <v>253749.636</v>
      </c>
      <c r="M1867" s="95" t="n">
        <f aca="false">D1867*J1867</f>
        <v>508062000</v>
      </c>
      <c r="N1867" s="95" t="n">
        <f aca="false">D1867*K1867</f>
        <v>118269782</v>
      </c>
      <c r="O1867" s="95" t="n">
        <f aca="false">D1867*L1867</f>
        <v>146667289.608</v>
      </c>
      <c r="P1867" s="34" t="str">
        <f aca="false">TRIM(IF(N(E1867)&lt;=0,"택가보정 ","")&amp;IF(N(F1867)&lt;=0,"원가보정 ","")&amp;IF(AND(B1867&lt;&gt;"CN",N(H1867)&lt;=0),"공급가보정 ","")&amp;IF(AND(B1867="CN",N(I1867)&lt;=0),"중국공급가=원가+마진 ",""))</f>
        <v/>
      </c>
    </row>
    <row r="1868" customFormat="false" ht="15" hidden="false" customHeight="true" outlineLevel="0" collapsed="false">
      <c r="A1868" s="94" t="s">
        <v>1686</v>
      </c>
      <c r="B1868" s="34" t="str">
        <f aca="false">IF(A1868="100","HK",IF(A1868="200","CN",IF(A1868="300","TW","홀세일")))</f>
        <v>TW</v>
      </c>
      <c r="C1868" s="94" t="s">
        <v>795</v>
      </c>
      <c r="D1868" s="95" t="n">
        <v>240</v>
      </c>
      <c r="E1868" s="95" t="n">
        <v>879000</v>
      </c>
      <c r="F1868" s="95" t="n">
        <v>204619</v>
      </c>
      <c r="G1868" s="34" t="n">
        <v>3.22</v>
      </c>
      <c r="H1868" s="34" t="n">
        <v>220</v>
      </c>
      <c r="I1868" s="34" t="n">
        <v>186.2</v>
      </c>
      <c r="J1868" s="95" t="n">
        <f aca="false">IF(N(E1868)&gt;0,E1868,IF(N(F1868)&gt;0,F1868*가정!$B$5,0))</f>
        <v>879000</v>
      </c>
      <c r="K1868" s="95" t="n">
        <f aca="false">IF(N(F1868)&gt;0,F1868,IF(N(E1868)&gt;0,E1868/가정!$B$5,0))</f>
        <v>204619</v>
      </c>
      <c r="L1868" s="95" t="n">
        <f aca="false">IF(B1868="CN",IF(N(I1868)&gt;0,I1868*가정!$B$3,K1868*(1+가정!$B$6)),IF(N(H1868)&gt;0,H1868*가정!$B$3,J1868*가정!$B$4))</f>
        <v>299811.6</v>
      </c>
      <c r="M1868" s="95" t="n">
        <f aca="false">D1868*J1868</f>
        <v>210960000</v>
      </c>
      <c r="N1868" s="95" t="n">
        <f aca="false">D1868*K1868</f>
        <v>49108560</v>
      </c>
      <c r="O1868" s="95" t="n">
        <f aca="false">D1868*L1868</f>
        <v>71954784</v>
      </c>
      <c r="P1868" s="34" t="str">
        <f aca="false">TRIM(IF(N(E1868)&lt;=0,"택가보정 ","")&amp;IF(N(F1868)&lt;=0,"원가보정 ","")&amp;IF(AND(B1868&lt;&gt;"CN",N(H1868)&lt;=0),"공급가보정 ","")&amp;IF(AND(B1868="CN",N(I1868)&lt;=0),"중국공급가=원가+마진 ",""))</f>
        <v/>
      </c>
    </row>
    <row r="1869" customFormat="false" ht="15" hidden="false" customHeight="true" outlineLevel="0" collapsed="false">
      <c r="A1869" s="94" t="s">
        <v>1686</v>
      </c>
      <c r="B1869" s="34" t="str">
        <f aca="false">IF(A1869="100","HK",IF(A1869="200","CN",IF(A1869="300","TW","홀세일")))</f>
        <v>TW</v>
      </c>
      <c r="C1869" s="94" t="s">
        <v>795</v>
      </c>
      <c r="D1869" s="95" t="n">
        <v>240</v>
      </c>
      <c r="E1869" s="95" t="n">
        <v>879000</v>
      </c>
      <c r="F1869" s="95" t="n">
        <v>204619</v>
      </c>
      <c r="G1869" s="34" t="n">
        <v>3.22</v>
      </c>
      <c r="H1869" s="34" t="n">
        <v>220</v>
      </c>
      <c r="I1869" s="34" t="n">
        <v>186.2</v>
      </c>
      <c r="J1869" s="95" t="n">
        <f aca="false">IF(N(E1869)&gt;0,E1869,IF(N(F1869)&gt;0,F1869*가정!$B$5,0))</f>
        <v>879000</v>
      </c>
      <c r="K1869" s="95" t="n">
        <f aca="false">IF(N(F1869)&gt;0,F1869,IF(N(E1869)&gt;0,E1869/가정!$B$5,0))</f>
        <v>204619</v>
      </c>
      <c r="L1869" s="95" t="n">
        <f aca="false">IF(B1869="CN",IF(N(I1869)&gt;0,I1869*가정!$B$3,K1869*(1+가정!$B$6)),IF(N(H1869)&gt;0,H1869*가정!$B$3,J1869*가정!$B$4))</f>
        <v>299811.6</v>
      </c>
      <c r="M1869" s="95" t="n">
        <f aca="false">D1869*J1869</f>
        <v>210960000</v>
      </c>
      <c r="N1869" s="95" t="n">
        <f aca="false">D1869*K1869</f>
        <v>49108560</v>
      </c>
      <c r="O1869" s="95" t="n">
        <f aca="false">D1869*L1869</f>
        <v>71954784</v>
      </c>
      <c r="P1869" s="34" t="str">
        <f aca="false">TRIM(IF(N(E1869)&lt;=0,"택가보정 ","")&amp;IF(N(F1869)&lt;=0,"원가보정 ","")&amp;IF(AND(B1869&lt;&gt;"CN",N(H1869)&lt;=0),"공급가보정 ","")&amp;IF(AND(B1869="CN",N(I1869)&lt;=0),"중국공급가=원가+마진 ",""))</f>
        <v/>
      </c>
    </row>
    <row r="1870" customFormat="false" ht="15" hidden="false" customHeight="true" outlineLevel="0" collapsed="false">
      <c r="A1870" s="94" t="s">
        <v>1688</v>
      </c>
      <c r="B1870" s="34" t="str">
        <f aca="false">IF(A1870="100","HK",IF(A1870="200","CN",IF(A1870="300","TW","홀세일")))</f>
        <v>홀세일</v>
      </c>
      <c r="C1870" s="94" t="s">
        <v>795</v>
      </c>
      <c r="D1870" s="95" t="n">
        <v>20</v>
      </c>
      <c r="E1870" s="95" t="n">
        <v>879000</v>
      </c>
      <c r="F1870" s="95" t="n">
        <v>204619</v>
      </c>
      <c r="G1870" s="34" t="n">
        <v>3.22</v>
      </c>
      <c r="H1870" s="34" t="n">
        <v>220</v>
      </c>
      <c r="I1870" s="34" t="n">
        <v>186.2</v>
      </c>
      <c r="J1870" s="95" t="n">
        <f aca="false">IF(N(E1870)&gt;0,E1870,IF(N(F1870)&gt;0,F1870*가정!$B$5,0))</f>
        <v>879000</v>
      </c>
      <c r="K1870" s="95" t="n">
        <f aca="false">IF(N(F1870)&gt;0,F1870,IF(N(E1870)&gt;0,E1870/가정!$B$5,0))</f>
        <v>204619</v>
      </c>
      <c r="L1870" s="95" t="n">
        <f aca="false">IF(B1870="CN",IF(N(I1870)&gt;0,I1870*가정!$B$3,K1870*(1+가정!$B$6)),IF(N(H1870)&gt;0,H1870*가정!$B$3,J1870*가정!$B$4))</f>
        <v>299811.6</v>
      </c>
      <c r="M1870" s="95" t="n">
        <f aca="false">D1870*J1870</f>
        <v>17580000</v>
      </c>
      <c r="N1870" s="95" t="n">
        <f aca="false">D1870*K1870</f>
        <v>4092380</v>
      </c>
      <c r="O1870" s="95" t="n">
        <f aca="false">D1870*L1870</f>
        <v>5996232</v>
      </c>
      <c r="P1870" s="34" t="str">
        <f aca="false">TRIM(IF(N(E1870)&lt;=0,"택가보정 ","")&amp;IF(N(F1870)&lt;=0,"원가보정 ","")&amp;IF(AND(B1870&lt;&gt;"CN",N(H1870)&lt;=0),"공급가보정 ","")&amp;IF(AND(B1870="CN",N(I1870)&lt;=0),"중국공급가=원가+마진 ",""))</f>
        <v/>
      </c>
    </row>
    <row r="1871" customFormat="false" ht="15" hidden="false" customHeight="true" outlineLevel="0" collapsed="false">
      <c r="A1871" s="94" t="s">
        <v>1685</v>
      </c>
      <c r="B1871" s="34" t="str">
        <f aca="false">IF(A1871="100","HK",IF(A1871="200","CN",IF(A1871="300","TW","홀세일")))</f>
        <v>CN</v>
      </c>
      <c r="C1871" s="94" t="s">
        <v>1245</v>
      </c>
      <c r="D1871" s="95" t="n">
        <v>382</v>
      </c>
      <c r="E1871" s="95" t="n">
        <v>549000</v>
      </c>
      <c r="F1871" s="95" t="n">
        <v>155502</v>
      </c>
      <c r="G1871" s="34" t="n">
        <v>3.21</v>
      </c>
      <c r="H1871" s="34" t="n">
        <v>137.4</v>
      </c>
      <c r="I1871" s="34" t="n">
        <v>123.9</v>
      </c>
      <c r="J1871" s="95" t="n">
        <f aca="false">IF(N(E1871)&gt;0,E1871,IF(N(F1871)&gt;0,F1871*가정!$B$5,0))</f>
        <v>549000</v>
      </c>
      <c r="K1871" s="95" t="n">
        <f aca="false">IF(N(F1871)&gt;0,F1871,IF(N(E1871)&gt;0,E1871/가정!$B$5,0))</f>
        <v>155502</v>
      </c>
      <c r="L1871" s="95" t="n">
        <f aca="false">IF(B1871="CN",IF(N(I1871)&gt;0,I1871*가정!$B$3,K1871*(1+가정!$B$6)),IF(N(H1871)&gt;0,H1871*가정!$B$3,J1871*가정!$B$4))</f>
        <v>168848.442</v>
      </c>
      <c r="M1871" s="95" t="n">
        <f aca="false">D1871*J1871</f>
        <v>209718000</v>
      </c>
      <c r="N1871" s="95" t="n">
        <f aca="false">D1871*K1871</f>
        <v>59401764</v>
      </c>
      <c r="O1871" s="95" t="n">
        <f aca="false">D1871*L1871</f>
        <v>64500104.844</v>
      </c>
      <c r="P1871" s="34" t="str">
        <f aca="false">TRIM(IF(N(E1871)&lt;=0,"택가보정 ","")&amp;IF(N(F1871)&lt;=0,"원가보정 ","")&amp;IF(AND(B1871&lt;&gt;"CN",N(H1871)&lt;=0),"공급가보정 ","")&amp;IF(AND(B1871="CN",N(I1871)&lt;=0),"중국공급가=원가+마진 ",""))</f>
        <v/>
      </c>
    </row>
    <row r="1872" customFormat="false" ht="15" hidden="false" customHeight="true" outlineLevel="0" collapsed="false">
      <c r="A1872" s="94" t="s">
        <v>1685</v>
      </c>
      <c r="B1872" s="34" t="str">
        <f aca="false">IF(A1872="100","HK",IF(A1872="200","CN",IF(A1872="300","TW","홀세일")))</f>
        <v>CN</v>
      </c>
      <c r="C1872" s="94" t="s">
        <v>1245</v>
      </c>
      <c r="D1872" s="95" t="n">
        <v>382</v>
      </c>
      <c r="E1872" s="95" t="n">
        <v>549000</v>
      </c>
      <c r="F1872" s="95" t="n">
        <v>155502</v>
      </c>
      <c r="G1872" s="34" t="n">
        <v>3.21</v>
      </c>
      <c r="H1872" s="34" t="n">
        <v>137.4</v>
      </c>
      <c r="I1872" s="34" t="n">
        <v>123.9</v>
      </c>
      <c r="J1872" s="95" t="n">
        <f aca="false">IF(N(E1872)&gt;0,E1872,IF(N(F1872)&gt;0,F1872*가정!$B$5,0))</f>
        <v>549000</v>
      </c>
      <c r="K1872" s="95" t="n">
        <f aca="false">IF(N(F1872)&gt;0,F1872,IF(N(E1872)&gt;0,E1872/가정!$B$5,0))</f>
        <v>155502</v>
      </c>
      <c r="L1872" s="95" t="n">
        <f aca="false">IF(B1872="CN",IF(N(I1872)&gt;0,I1872*가정!$B$3,K1872*(1+가정!$B$6)),IF(N(H1872)&gt;0,H1872*가정!$B$3,J1872*가정!$B$4))</f>
        <v>168848.442</v>
      </c>
      <c r="M1872" s="95" t="n">
        <f aca="false">D1872*J1872</f>
        <v>209718000</v>
      </c>
      <c r="N1872" s="95" t="n">
        <f aca="false">D1872*K1872</f>
        <v>59401764</v>
      </c>
      <c r="O1872" s="95" t="n">
        <f aca="false">D1872*L1872</f>
        <v>64500104.844</v>
      </c>
      <c r="P1872" s="34" t="str">
        <f aca="false">TRIM(IF(N(E1872)&lt;=0,"택가보정 ","")&amp;IF(N(F1872)&lt;=0,"원가보정 ","")&amp;IF(AND(B1872&lt;&gt;"CN",N(H1872)&lt;=0),"공급가보정 ","")&amp;IF(AND(B1872="CN",N(I1872)&lt;=0),"중국공급가=원가+마진 ",""))</f>
        <v/>
      </c>
    </row>
    <row r="1873" customFormat="false" ht="15" hidden="false" customHeight="true" outlineLevel="0" collapsed="false">
      <c r="A1873" s="94" t="s">
        <v>1685</v>
      </c>
      <c r="B1873" s="34" t="str">
        <f aca="false">IF(A1873="100","HK",IF(A1873="200","CN",IF(A1873="300","TW","홀세일")))</f>
        <v>CN</v>
      </c>
      <c r="C1873" s="94" t="s">
        <v>1245</v>
      </c>
      <c r="D1873" s="95" t="n">
        <v>382</v>
      </c>
      <c r="E1873" s="95" t="n">
        <v>549000</v>
      </c>
      <c r="F1873" s="95" t="n">
        <v>155502</v>
      </c>
      <c r="G1873" s="34" t="n">
        <v>3.21</v>
      </c>
      <c r="H1873" s="34" t="n">
        <v>137.4</v>
      </c>
      <c r="I1873" s="34" t="n">
        <v>123.9</v>
      </c>
      <c r="J1873" s="95" t="n">
        <f aca="false">IF(N(E1873)&gt;0,E1873,IF(N(F1873)&gt;0,F1873*가정!$B$5,0))</f>
        <v>549000</v>
      </c>
      <c r="K1873" s="95" t="n">
        <f aca="false">IF(N(F1873)&gt;0,F1873,IF(N(E1873)&gt;0,E1873/가정!$B$5,0))</f>
        <v>155502</v>
      </c>
      <c r="L1873" s="95" t="n">
        <f aca="false">IF(B1873="CN",IF(N(I1873)&gt;0,I1873*가정!$B$3,K1873*(1+가정!$B$6)),IF(N(H1873)&gt;0,H1873*가정!$B$3,J1873*가정!$B$4))</f>
        <v>168848.442</v>
      </c>
      <c r="M1873" s="95" t="n">
        <f aca="false">D1873*J1873</f>
        <v>209718000</v>
      </c>
      <c r="N1873" s="95" t="n">
        <f aca="false">D1873*K1873</f>
        <v>59401764</v>
      </c>
      <c r="O1873" s="95" t="n">
        <f aca="false">D1873*L1873</f>
        <v>64500104.844</v>
      </c>
      <c r="P1873" s="34" t="str">
        <f aca="false">TRIM(IF(N(E1873)&lt;=0,"택가보정 ","")&amp;IF(N(F1873)&lt;=0,"원가보정 ","")&amp;IF(AND(B1873&lt;&gt;"CN",N(H1873)&lt;=0),"공급가보정 ","")&amp;IF(AND(B1873="CN",N(I1873)&lt;=0),"중국공급가=원가+마진 ",""))</f>
        <v/>
      </c>
    </row>
    <row r="1874" customFormat="false" ht="15" hidden="false" customHeight="true" outlineLevel="0" collapsed="false">
      <c r="A1874" s="94" t="s">
        <v>1685</v>
      </c>
      <c r="B1874" s="34" t="str">
        <f aca="false">IF(A1874="100","HK",IF(A1874="200","CN",IF(A1874="300","TW","홀세일")))</f>
        <v>CN</v>
      </c>
      <c r="C1874" s="94" t="s">
        <v>1247</v>
      </c>
      <c r="D1874" s="95" t="n">
        <v>422</v>
      </c>
      <c r="E1874" s="95" t="n">
        <v>569000</v>
      </c>
      <c r="F1874" s="95" t="n">
        <v>144839</v>
      </c>
      <c r="G1874" s="34" t="n">
        <v>3.12</v>
      </c>
      <c r="H1874" s="34" t="n">
        <v>142.4</v>
      </c>
      <c r="I1874" s="34" t="n">
        <v>120.3</v>
      </c>
      <c r="J1874" s="95" t="n">
        <f aca="false">IF(N(E1874)&gt;0,E1874,IF(N(F1874)&gt;0,F1874*가정!$B$5,0))</f>
        <v>569000</v>
      </c>
      <c r="K1874" s="95" t="n">
        <f aca="false">IF(N(F1874)&gt;0,F1874,IF(N(E1874)&gt;0,E1874/가정!$B$5,0))</f>
        <v>144839</v>
      </c>
      <c r="L1874" s="95" t="n">
        <f aca="false">IF(B1874="CN",IF(N(I1874)&gt;0,I1874*가정!$B$3,K1874*(1+가정!$B$6)),IF(N(H1874)&gt;0,H1874*가정!$B$3,J1874*가정!$B$4))</f>
        <v>163942.434</v>
      </c>
      <c r="M1874" s="95" t="n">
        <f aca="false">D1874*J1874</f>
        <v>240118000</v>
      </c>
      <c r="N1874" s="95" t="n">
        <f aca="false">D1874*K1874</f>
        <v>61122058</v>
      </c>
      <c r="O1874" s="95" t="n">
        <f aca="false">D1874*L1874</f>
        <v>69183707.148</v>
      </c>
      <c r="P1874" s="34" t="str">
        <f aca="false">TRIM(IF(N(E1874)&lt;=0,"택가보정 ","")&amp;IF(N(F1874)&lt;=0,"원가보정 ","")&amp;IF(AND(B1874&lt;&gt;"CN",N(H1874)&lt;=0),"공급가보정 ","")&amp;IF(AND(B1874="CN",N(I1874)&lt;=0),"중국공급가=원가+마진 ",""))</f>
        <v/>
      </c>
    </row>
    <row r="1875" customFormat="false" ht="15" hidden="false" customHeight="true" outlineLevel="0" collapsed="false">
      <c r="A1875" s="94" t="s">
        <v>1685</v>
      </c>
      <c r="B1875" s="34" t="str">
        <f aca="false">IF(A1875="100","HK",IF(A1875="200","CN",IF(A1875="300","TW","홀세일")))</f>
        <v>CN</v>
      </c>
      <c r="C1875" s="94" t="s">
        <v>1247</v>
      </c>
      <c r="D1875" s="95" t="n">
        <v>422</v>
      </c>
      <c r="E1875" s="95" t="n">
        <v>569000</v>
      </c>
      <c r="F1875" s="95" t="n">
        <v>144839</v>
      </c>
      <c r="G1875" s="34" t="n">
        <v>3.12</v>
      </c>
      <c r="H1875" s="34" t="n">
        <v>142.4</v>
      </c>
      <c r="I1875" s="34" t="n">
        <v>120.3</v>
      </c>
      <c r="J1875" s="95" t="n">
        <f aca="false">IF(N(E1875)&gt;0,E1875,IF(N(F1875)&gt;0,F1875*가정!$B$5,0))</f>
        <v>569000</v>
      </c>
      <c r="K1875" s="95" t="n">
        <f aca="false">IF(N(F1875)&gt;0,F1875,IF(N(E1875)&gt;0,E1875/가정!$B$5,0))</f>
        <v>144839</v>
      </c>
      <c r="L1875" s="95" t="n">
        <f aca="false">IF(B1875="CN",IF(N(I1875)&gt;0,I1875*가정!$B$3,K1875*(1+가정!$B$6)),IF(N(H1875)&gt;0,H1875*가정!$B$3,J1875*가정!$B$4))</f>
        <v>163942.434</v>
      </c>
      <c r="M1875" s="95" t="n">
        <f aca="false">D1875*J1875</f>
        <v>240118000</v>
      </c>
      <c r="N1875" s="95" t="n">
        <f aca="false">D1875*K1875</f>
        <v>61122058</v>
      </c>
      <c r="O1875" s="95" t="n">
        <f aca="false">D1875*L1875</f>
        <v>69183707.148</v>
      </c>
      <c r="P1875" s="34" t="str">
        <f aca="false">TRIM(IF(N(E1875)&lt;=0,"택가보정 ","")&amp;IF(N(F1875)&lt;=0,"원가보정 ","")&amp;IF(AND(B1875&lt;&gt;"CN",N(H1875)&lt;=0),"공급가보정 ","")&amp;IF(AND(B1875="CN",N(I1875)&lt;=0),"중국공급가=원가+마진 ",""))</f>
        <v/>
      </c>
    </row>
    <row r="1876" customFormat="false" ht="15" hidden="false" customHeight="true" outlineLevel="0" collapsed="false">
      <c r="A1876" s="94" t="s">
        <v>1685</v>
      </c>
      <c r="B1876" s="34" t="str">
        <f aca="false">IF(A1876="100","HK",IF(A1876="200","CN",IF(A1876="300","TW","홀세일")))</f>
        <v>CN</v>
      </c>
      <c r="C1876" s="94" t="s">
        <v>1247</v>
      </c>
      <c r="D1876" s="95" t="n">
        <v>422</v>
      </c>
      <c r="E1876" s="95" t="n">
        <v>569000</v>
      </c>
      <c r="F1876" s="95" t="n">
        <v>144839</v>
      </c>
      <c r="G1876" s="34" t="n">
        <v>3.12</v>
      </c>
      <c r="H1876" s="34" t="n">
        <v>142.4</v>
      </c>
      <c r="I1876" s="34" t="n">
        <v>120.3</v>
      </c>
      <c r="J1876" s="95" t="n">
        <f aca="false">IF(N(E1876)&gt;0,E1876,IF(N(F1876)&gt;0,F1876*가정!$B$5,0))</f>
        <v>569000</v>
      </c>
      <c r="K1876" s="95" t="n">
        <f aca="false">IF(N(F1876)&gt;0,F1876,IF(N(E1876)&gt;0,E1876/가정!$B$5,0))</f>
        <v>144839</v>
      </c>
      <c r="L1876" s="95" t="n">
        <f aca="false">IF(B1876="CN",IF(N(I1876)&gt;0,I1876*가정!$B$3,K1876*(1+가정!$B$6)),IF(N(H1876)&gt;0,H1876*가정!$B$3,J1876*가정!$B$4))</f>
        <v>163942.434</v>
      </c>
      <c r="M1876" s="95" t="n">
        <f aca="false">D1876*J1876</f>
        <v>240118000</v>
      </c>
      <c r="N1876" s="95" t="n">
        <f aca="false">D1876*K1876</f>
        <v>61122058</v>
      </c>
      <c r="O1876" s="95" t="n">
        <f aca="false">D1876*L1876</f>
        <v>69183707.148</v>
      </c>
      <c r="P1876" s="34" t="str">
        <f aca="false">TRIM(IF(N(E1876)&lt;=0,"택가보정 ","")&amp;IF(N(F1876)&lt;=0,"원가보정 ","")&amp;IF(AND(B1876&lt;&gt;"CN",N(H1876)&lt;=0),"공급가보정 ","")&amp;IF(AND(B1876="CN",N(I1876)&lt;=0),"중국공급가=원가+마진 ",""))</f>
        <v/>
      </c>
    </row>
    <row r="1877" customFormat="false" ht="15" hidden="false" customHeight="true" outlineLevel="0" collapsed="false">
      <c r="A1877" s="94" t="s">
        <v>1685</v>
      </c>
      <c r="B1877" s="34" t="str">
        <f aca="false">IF(A1877="100","HK",IF(A1877="200","CN",IF(A1877="300","TW","홀세일")))</f>
        <v>CN</v>
      </c>
      <c r="C1877" s="94" t="s">
        <v>1249</v>
      </c>
      <c r="D1877" s="95" t="n">
        <v>422</v>
      </c>
      <c r="E1877" s="95" t="n">
        <v>329000</v>
      </c>
      <c r="F1877" s="95" t="n">
        <v>96974</v>
      </c>
      <c r="G1877" s="34" t="n">
        <v>3.57</v>
      </c>
      <c r="H1877" s="34" t="n">
        <v>82.4</v>
      </c>
      <c r="I1877" s="34" t="n">
        <v>72.9</v>
      </c>
      <c r="J1877" s="95" t="n">
        <f aca="false">IF(N(E1877)&gt;0,E1877,IF(N(F1877)&gt;0,F1877*가정!$B$5,0))</f>
        <v>329000</v>
      </c>
      <c r="K1877" s="95" t="n">
        <f aca="false">IF(N(F1877)&gt;0,F1877,IF(N(E1877)&gt;0,E1877/가정!$B$5,0))</f>
        <v>96974</v>
      </c>
      <c r="L1877" s="95" t="n">
        <f aca="false">IF(B1877="CN",IF(N(I1877)&gt;0,I1877*가정!$B$3,K1877*(1+가정!$B$6)),IF(N(H1877)&gt;0,H1877*가정!$B$3,J1877*가정!$B$4))</f>
        <v>99346.662</v>
      </c>
      <c r="M1877" s="95" t="n">
        <f aca="false">D1877*J1877</f>
        <v>138838000</v>
      </c>
      <c r="N1877" s="95" t="n">
        <f aca="false">D1877*K1877</f>
        <v>40923028</v>
      </c>
      <c r="O1877" s="95" t="n">
        <f aca="false">D1877*L1877</f>
        <v>41924291.364</v>
      </c>
      <c r="P1877" s="34" t="str">
        <f aca="false">TRIM(IF(N(E1877)&lt;=0,"택가보정 ","")&amp;IF(N(F1877)&lt;=0,"원가보정 ","")&amp;IF(AND(B1877&lt;&gt;"CN",N(H1877)&lt;=0),"공급가보정 ","")&amp;IF(AND(B1877="CN",N(I1877)&lt;=0),"중국공급가=원가+마진 ",""))</f>
        <v/>
      </c>
    </row>
    <row r="1878" customFormat="false" ht="15" hidden="false" customHeight="true" outlineLevel="0" collapsed="false">
      <c r="A1878" s="94" t="s">
        <v>1685</v>
      </c>
      <c r="B1878" s="34" t="str">
        <f aca="false">IF(A1878="100","HK",IF(A1878="200","CN",IF(A1878="300","TW","홀세일")))</f>
        <v>CN</v>
      </c>
      <c r="C1878" s="94" t="s">
        <v>1251</v>
      </c>
      <c r="D1878" s="95" t="n">
        <v>151</v>
      </c>
      <c r="E1878" s="95" t="n">
        <v>279000</v>
      </c>
      <c r="F1878" s="95" t="n">
        <v>73335</v>
      </c>
      <c r="G1878" s="34" t="n">
        <v>3.02</v>
      </c>
      <c r="H1878" s="34" t="n">
        <v>69.9</v>
      </c>
      <c r="I1878" s="34" t="n">
        <v>62.4</v>
      </c>
      <c r="J1878" s="95" t="n">
        <f aca="false">IF(N(E1878)&gt;0,E1878,IF(N(F1878)&gt;0,F1878*가정!$B$5,0))</f>
        <v>279000</v>
      </c>
      <c r="K1878" s="95" t="n">
        <f aca="false">IF(N(F1878)&gt;0,F1878,IF(N(E1878)&gt;0,E1878/가정!$B$5,0))</f>
        <v>73335</v>
      </c>
      <c r="L1878" s="95" t="n">
        <f aca="false">IF(B1878="CN",IF(N(I1878)&gt;0,I1878*가정!$B$3,K1878*(1+가정!$B$6)),IF(N(H1878)&gt;0,H1878*가정!$B$3,J1878*가정!$B$4))</f>
        <v>85037.472</v>
      </c>
      <c r="M1878" s="95" t="n">
        <f aca="false">D1878*J1878</f>
        <v>42129000</v>
      </c>
      <c r="N1878" s="95" t="n">
        <f aca="false">D1878*K1878</f>
        <v>11073585</v>
      </c>
      <c r="O1878" s="95" t="n">
        <f aca="false">D1878*L1878</f>
        <v>12840658.272</v>
      </c>
      <c r="P1878" s="34" t="str">
        <f aca="false">TRIM(IF(N(E1878)&lt;=0,"택가보정 ","")&amp;IF(N(F1878)&lt;=0,"원가보정 ","")&amp;IF(AND(B1878&lt;&gt;"CN",N(H1878)&lt;=0),"공급가보정 ","")&amp;IF(AND(B1878="CN",N(I1878)&lt;=0),"중국공급가=원가+마진 ",""))</f>
        <v/>
      </c>
    </row>
    <row r="1879" customFormat="false" ht="15" hidden="false" customHeight="true" outlineLevel="0" collapsed="false">
      <c r="A1879" s="94" t="s">
        <v>1685</v>
      </c>
      <c r="B1879" s="34" t="str">
        <f aca="false">IF(A1879="100","HK",IF(A1879="200","CN",IF(A1879="300","TW","홀세일")))</f>
        <v>CN</v>
      </c>
      <c r="C1879" s="94" t="s">
        <v>1253</v>
      </c>
      <c r="D1879" s="95" t="n">
        <v>472</v>
      </c>
      <c r="E1879" s="95" t="n">
        <v>249000</v>
      </c>
      <c r="F1879" s="95" t="n">
        <v>81692</v>
      </c>
      <c r="G1879" s="34" t="n">
        <v>2.94</v>
      </c>
      <c r="H1879" s="34" t="n">
        <v>62.4</v>
      </c>
      <c r="I1879" s="34" t="n">
        <v>63.7</v>
      </c>
      <c r="J1879" s="95" t="n">
        <f aca="false">IF(N(E1879)&gt;0,E1879,IF(N(F1879)&gt;0,F1879*가정!$B$5,0))</f>
        <v>249000</v>
      </c>
      <c r="K1879" s="95" t="n">
        <f aca="false">IF(N(F1879)&gt;0,F1879,IF(N(E1879)&gt;0,E1879/가정!$B$5,0))</f>
        <v>81692</v>
      </c>
      <c r="L1879" s="95" t="n">
        <f aca="false">IF(B1879="CN",IF(N(I1879)&gt;0,I1879*가정!$B$3,K1879*(1+가정!$B$6)),IF(N(H1879)&gt;0,H1879*가정!$B$3,J1879*가정!$B$4))</f>
        <v>86809.086</v>
      </c>
      <c r="M1879" s="95" t="n">
        <f aca="false">D1879*J1879</f>
        <v>117528000</v>
      </c>
      <c r="N1879" s="95" t="n">
        <f aca="false">D1879*K1879</f>
        <v>38558624</v>
      </c>
      <c r="O1879" s="95" t="n">
        <f aca="false">D1879*L1879</f>
        <v>40973888.592</v>
      </c>
      <c r="P1879" s="34" t="str">
        <f aca="false">TRIM(IF(N(E1879)&lt;=0,"택가보정 ","")&amp;IF(N(F1879)&lt;=0,"원가보정 ","")&amp;IF(AND(B1879&lt;&gt;"CN",N(H1879)&lt;=0),"공급가보정 ","")&amp;IF(AND(B1879="CN",N(I1879)&lt;=0),"중국공급가=원가+마진 ",""))</f>
        <v/>
      </c>
    </row>
    <row r="1880" customFormat="false" ht="15" hidden="false" customHeight="true" outlineLevel="0" collapsed="false">
      <c r="A1880" s="94" t="s">
        <v>1685</v>
      </c>
      <c r="B1880" s="34" t="str">
        <f aca="false">IF(A1880="100","HK",IF(A1880="200","CN",IF(A1880="300","TW","홀세일")))</f>
        <v>CN</v>
      </c>
      <c r="C1880" s="94" t="s">
        <v>1255</v>
      </c>
      <c r="D1880" s="95" t="n">
        <v>352</v>
      </c>
      <c r="E1880" s="95" t="n">
        <v>160000</v>
      </c>
      <c r="F1880" s="95" t="n">
        <v>47529</v>
      </c>
      <c r="G1880" s="34" t="n">
        <v>2.98</v>
      </c>
      <c r="H1880" s="34" t="n">
        <v>37.7</v>
      </c>
      <c r="I1880" s="34" t="n">
        <v>41.8</v>
      </c>
      <c r="J1880" s="95" t="n">
        <f aca="false">IF(N(E1880)&gt;0,E1880,IF(N(F1880)&gt;0,F1880*가정!$B$5,0))</f>
        <v>160000</v>
      </c>
      <c r="K1880" s="95" t="n">
        <f aca="false">IF(N(F1880)&gt;0,F1880,IF(N(E1880)&gt;0,E1880/가정!$B$5,0))</f>
        <v>47529</v>
      </c>
      <c r="L1880" s="95" t="n">
        <f aca="false">IF(B1880="CN",IF(N(I1880)&gt;0,I1880*가정!$B$3,K1880*(1+가정!$B$6)),IF(N(H1880)&gt;0,H1880*가정!$B$3,J1880*가정!$B$4))</f>
        <v>56964.204</v>
      </c>
      <c r="M1880" s="95" t="n">
        <f aca="false">D1880*J1880</f>
        <v>56320000</v>
      </c>
      <c r="N1880" s="95" t="n">
        <f aca="false">D1880*K1880</f>
        <v>16730208</v>
      </c>
      <c r="O1880" s="95" t="n">
        <f aca="false">D1880*L1880</f>
        <v>20051399.808</v>
      </c>
      <c r="P1880" s="34" t="str">
        <f aca="false">TRIM(IF(N(E1880)&lt;=0,"택가보정 ","")&amp;IF(N(F1880)&lt;=0,"원가보정 ","")&amp;IF(AND(B1880&lt;&gt;"CN",N(H1880)&lt;=0),"공급가보정 ","")&amp;IF(AND(B1880="CN",N(I1880)&lt;=0),"중국공급가=원가+마진 ",""))</f>
        <v/>
      </c>
    </row>
    <row r="1881" customFormat="false" ht="15" hidden="false" customHeight="true" outlineLevel="0" collapsed="false">
      <c r="A1881" s="94" t="s">
        <v>1685</v>
      </c>
      <c r="B1881" s="34" t="str">
        <f aca="false">IF(A1881="100","HK",IF(A1881="200","CN",IF(A1881="300","TW","홀세일")))</f>
        <v>CN</v>
      </c>
      <c r="C1881" s="94" t="s">
        <v>1257</v>
      </c>
      <c r="D1881" s="95" t="n">
        <v>322</v>
      </c>
      <c r="E1881" s="95" t="n">
        <v>139000</v>
      </c>
      <c r="F1881" s="95" t="n">
        <v>38900</v>
      </c>
      <c r="G1881" s="34" t="n">
        <v>3.22</v>
      </c>
      <c r="H1881" s="34" t="n">
        <v>32.7</v>
      </c>
      <c r="I1881" s="34" t="n">
        <v>31</v>
      </c>
      <c r="J1881" s="95" t="n">
        <f aca="false">IF(N(E1881)&gt;0,E1881,IF(N(F1881)&gt;0,F1881*가정!$B$5,0))</f>
        <v>139000</v>
      </c>
      <c r="K1881" s="95" t="n">
        <f aca="false">IF(N(F1881)&gt;0,F1881,IF(N(E1881)&gt;0,E1881/가정!$B$5,0))</f>
        <v>38900</v>
      </c>
      <c r="L1881" s="95" t="n">
        <f aca="false">IF(B1881="CN",IF(N(I1881)&gt;0,I1881*가정!$B$3,K1881*(1+가정!$B$6)),IF(N(H1881)&gt;0,H1881*가정!$B$3,J1881*가정!$B$4))</f>
        <v>42246.18</v>
      </c>
      <c r="M1881" s="95" t="n">
        <f aca="false">D1881*J1881</f>
        <v>44758000</v>
      </c>
      <c r="N1881" s="95" t="n">
        <f aca="false">D1881*K1881</f>
        <v>12525800</v>
      </c>
      <c r="O1881" s="95" t="n">
        <f aca="false">D1881*L1881</f>
        <v>13603269.96</v>
      </c>
      <c r="P1881" s="34" t="str">
        <f aca="false">TRIM(IF(N(E1881)&lt;=0,"택가보정 ","")&amp;IF(N(F1881)&lt;=0,"원가보정 ","")&amp;IF(AND(B1881&lt;&gt;"CN",N(H1881)&lt;=0),"공급가보정 ","")&amp;IF(AND(B1881="CN",N(I1881)&lt;=0),"중국공급가=원가+마진 ",""))</f>
        <v/>
      </c>
    </row>
    <row r="1882" customFormat="false" ht="15" hidden="false" customHeight="true" outlineLevel="0" collapsed="false">
      <c r="A1882" s="94" t="s">
        <v>1685</v>
      </c>
      <c r="B1882" s="34" t="str">
        <f aca="false">IF(A1882="100","HK",IF(A1882="200","CN",IF(A1882="300","TW","홀세일")))</f>
        <v>CN</v>
      </c>
      <c r="C1882" s="94" t="s">
        <v>1259</v>
      </c>
      <c r="D1882" s="95" t="n">
        <v>422</v>
      </c>
      <c r="E1882" s="95" t="n">
        <v>129000</v>
      </c>
      <c r="F1882" s="95" t="n">
        <v>31522</v>
      </c>
      <c r="G1882" s="34" t="n">
        <v>3.14</v>
      </c>
      <c r="H1882" s="34" t="n">
        <v>30.4</v>
      </c>
      <c r="I1882" s="34" t="n">
        <v>28.8</v>
      </c>
      <c r="J1882" s="95" t="n">
        <f aca="false">IF(N(E1882)&gt;0,E1882,IF(N(F1882)&gt;0,F1882*가정!$B$5,0))</f>
        <v>129000</v>
      </c>
      <c r="K1882" s="95" t="n">
        <f aca="false">IF(N(F1882)&gt;0,F1882,IF(N(E1882)&gt;0,E1882/가정!$B$5,0))</f>
        <v>31522</v>
      </c>
      <c r="L1882" s="95" t="n">
        <f aca="false">IF(B1882="CN",IF(N(I1882)&gt;0,I1882*가정!$B$3,K1882*(1+가정!$B$6)),IF(N(H1882)&gt;0,H1882*가정!$B$3,J1882*가정!$B$4))</f>
        <v>39248.064</v>
      </c>
      <c r="M1882" s="95" t="n">
        <f aca="false">D1882*J1882</f>
        <v>54438000</v>
      </c>
      <c r="N1882" s="95" t="n">
        <f aca="false">D1882*K1882</f>
        <v>13302284</v>
      </c>
      <c r="O1882" s="95" t="n">
        <f aca="false">D1882*L1882</f>
        <v>16562683.008</v>
      </c>
      <c r="P1882" s="34" t="str">
        <f aca="false">TRIM(IF(N(E1882)&lt;=0,"택가보정 ","")&amp;IF(N(F1882)&lt;=0,"원가보정 ","")&amp;IF(AND(B1882&lt;&gt;"CN",N(H1882)&lt;=0),"공급가보정 ","")&amp;IF(AND(B1882="CN",N(I1882)&lt;=0),"중국공급가=원가+마진 ",""))</f>
        <v/>
      </c>
    </row>
    <row r="1883" customFormat="false" ht="15" hidden="false" customHeight="true" outlineLevel="0" collapsed="false">
      <c r="A1883" s="94" t="s">
        <v>1685</v>
      </c>
      <c r="B1883" s="34" t="str">
        <f aca="false">IF(A1883="100","HK",IF(A1883="200","CN",IF(A1883="300","TW","홀세일")))</f>
        <v>CN</v>
      </c>
      <c r="C1883" s="94" t="s">
        <v>1261</v>
      </c>
      <c r="D1883" s="95" t="n">
        <v>646</v>
      </c>
      <c r="E1883" s="95"/>
      <c r="F1883" s="95" t="n">
        <v>158427</v>
      </c>
      <c r="G1883" s="34" t="n">
        <v>0</v>
      </c>
      <c r="I1883" s="34" t="n">
        <v>105.6</v>
      </c>
      <c r="J1883" s="95" t="n">
        <f aca="false">IF(N(E1883)&gt;0,E1883,IF(N(F1883)&gt;0,F1883*가정!$B$5,0))</f>
        <v>633708</v>
      </c>
      <c r="K1883" s="95" t="n">
        <f aca="false">IF(N(F1883)&gt;0,F1883,IF(N(E1883)&gt;0,E1883/가정!$B$5,0))</f>
        <v>158427</v>
      </c>
      <c r="L1883" s="95" t="n">
        <f aca="false">IF(B1883="CN",IF(N(I1883)&gt;0,I1883*가정!$B$3,K1883*(1+가정!$B$6)),IF(N(H1883)&gt;0,H1883*가정!$B$3,J1883*가정!$B$4))</f>
        <v>143909.568</v>
      </c>
      <c r="M1883" s="95" t="n">
        <f aca="false">D1883*J1883</f>
        <v>409375368</v>
      </c>
      <c r="N1883" s="95" t="n">
        <f aca="false">D1883*K1883</f>
        <v>102343842</v>
      </c>
      <c r="O1883" s="95" t="n">
        <f aca="false">D1883*L1883</f>
        <v>92965580.928</v>
      </c>
      <c r="P1883" s="34" t="str">
        <f aca="false">TRIM(IF(N(E1883)&lt;=0,"택가보정 ","")&amp;IF(N(F1883)&lt;=0,"원가보정 ","")&amp;IF(AND(B1883&lt;&gt;"CN",N(H1883)&lt;=0),"공급가보정 ","")&amp;IF(AND(B1883="CN",N(I1883)&lt;=0),"중국공급가=원가+마진 ",""))</f>
        <v>택가보정</v>
      </c>
    </row>
    <row r="1884" customFormat="false" ht="15" hidden="false" customHeight="true" outlineLevel="0" collapsed="false">
      <c r="A1884" s="94" t="s">
        <v>1685</v>
      </c>
      <c r="B1884" s="34" t="str">
        <f aca="false">IF(A1884="100","HK",IF(A1884="200","CN",IF(A1884="300","TW","홀세일")))</f>
        <v>CN</v>
      </c>
      <c r="C1884" s="94" t="s">
        <v>1261</v>
      </c>
      <c r="D1884" s="95" t="n">
        <v>646</v>
      </c>
      <c r="E1884" s="95"/>
      <c r="F1884" s="95" t="n">
        <v>158427</v>
      </c>
      <c r="G1884" s="34" t="n">
        <v>0</v>
      </c>
      <c r="I1884" s="34" t="n">
        <v>105.6</v>
      </c>
      <c r="J1884" s="95" t="n">
        <f aca="false">IF(N(E1884)&gt;0,E1884,IF(N(F1884)&gt;0,F1884*가정!$B$5,0))</f>
        <v>633708</v>
      </c>
      <c r="K1884" s="95" t="n">
        <f aca="false">IF(N(F1884)&gt;0,F1884,IF(N(E1884)&gt;0,E1884/가정!$B$5,0))</f>
        <v>158427</v>
      </c>
      <c r="L1884" s="95" t="n">
        <f aca="false">IF(B1884="CN",IF(N(I1884)&gt;0,I1884*가정!$B$3,K1884*(1+가정!$B$6)),IF(N(H1884)&gt;0,H1884*가정!$B$3,J1884*가정!$B$4))</f>
        <v>143909.568</v>
      </c>
      <c r="M1884" s="95" t="n">
        <f aca="false">D1884*J1884</f>
        <v>409375368</v>
      </c>
      <c r="N1884" s="95" t="n">
        <f aca="false">D1884*K1884</f>
        <v>102343842</v>
      </c>
      <c r="O1884" s="95" t="n">
        <f aca="false">D1884*L1884</f>
        <v>92965580.928</v>
      </c>
      <c r="P1884" s="34" t="str">
        <f aca="false">TRIM(IF(N(E1884)&lt;=0,"택가보정 ","")&amp;IF(N(F1884)&lt;=0,"원가보정 ","")&amp;IF(AND(B1884&lt;&gt;"CN",N(H1884)&lt;=0),"공급가보정 ","")&amp;IF(AND(B1884="CN",N(I1884)&lt;=0),"중국공급가=원가+마진 ",""))</f>
        <v>택가보정</v>
      </c>
    </row>
    <row r="1885" customFormat="false" ht="15" hidden="false" customHeight="true" outlineLevel="0" collapsed="false">
      <c r="A1885" s="94" t="s">
        <v>1684</v>
      </c>
      <c r="B1885" s="34" t="str">
        <f aca="false">IF(A1885="100","HK",IF(A1885="200","CN",IF(A1885="300","TW","홀세일")))</f>
        <v>HK</v>
      </c>
      <c r="C1885" s="94" t="s">
        <v>1766</v>
      </c>
      <c r="D1885" s="95" t="n">
        <v>80</v>
      </c>
      <c r="E1885" s="95"/>
      <c r="F1885" s="95" t="n">
        <v>188000</v>
      </c>
      <c r="G1885" s="34" t="n">
        <v>2.85</v>
      </c>
      <c r="H1885" s="34" t="n">
        <v>147.7</v>
      </c>
      <c r="I1885" s="34" t="n">
        <v>149.7</v>
      </c>
      <c r="J1885" s="95" t="n">
        <f aca="false">IF(N(E1885)&gt;0,E1885,IF(N(F1885)&gt;0,F1885*가정!$B$5,0))</f>
        <v>752000</v>
      </c>
      <c r="K1885" s="95" t="n">
        <f aca="false">IF(N(F1885)&gt;0,F1885,IF(N(E1885)&gt;0,E1885/가정!$B$5,0))</f>
        <v>188000</v>
      </c>
      <c r="L1885" s="95" t="n">
        <f aca="false">IF(B1885="CN",IF(N(I1885)&gt;0,I1885*가정!$B$3,K1885*(1+가정!$B$6)),IF(N(H1885)&gt;0,H1885*가정!$B$3,J1885*가정!$B$4))</f>
        <v>201282.606</v>
      </c>
      <c r="M1885" s="95" t="n">
        <f aca="false">D1885*J1885</f>
        <v>60160000</v>
      </c>
      <c r="N1885" s="95" t="n">
        <f aca="false">D1885*K1885</f>
        <v>15040000</v>
      </c>
      <c r="O1885" s="95" t="n">
        <f aca="false">D1885*L1885</f>
        <v>16102608.48</v>
      </c>
      <c r="P1885" s="34" t="str">
        <f aca="false">TRIM(IF(N(E1885)&lt;=0,"택가보정 ","")&amp;IF(N(F1885)&lt;=0,"원가보정 ","")&amp;IF(AND(B1885&lt;&gt;"CN",N(H1885)&lt;=0),"공급가보정 ","")&amp;IF(AND(B1885="CN",N(I1885)&lt;=0),"중국공급가=원가+마진 ",""))</f>
        <v>택가보정</v>
      </c>
    </row>
    <row r="1886" customFormat="false" ht="15" hidden="false" customHeight="true" outlineLevel="0" collapsed="false">
      <c r="A1886" s="94" t="s">
        <v>1685</v>
      </c>
      <c r="B1886" s="34" t="str">
        <f aca="false">IF(A1886="100","HK",IF(A1886="200","CN",IF(A1886="300","TW","홀세일")))</f>
        <v>CN</v>
      </c>
      <c r="C1886" s="94" t="s">
        <v>1766</v>
      </c>
      <c r="D1886" s="95" t="n">
        <v>346</v>
      </c>
      <c r="E1886" s="95"/>
      <c r="F1886" s="95" t="n">
        <v>188000</v>
      </c>
      <c r="G1886" s="34" t="n">
        <v>2.85</v>
      </c>
      <c r="H1886" s="34" t="n">
        <v>147.7</v>
      </c>
      <c r="I1886" s="34" t="n">
        <v>149.7</v>
      </c>
      <c r="J1886" s="95" t="n">
        <f aca="false">IF(N(E1886)&gt;0,E1886,IF(N(F1886)&gt;0,F1886*가정!$B$5,0))</f>
        <v>752000</v>
      </c>
      <c r="K1886" s="95" t="n">
        <f aca="false">IF(N(F1886)&gt;0,F1886,IF(N(E1886)&gt;0,E1886/가정!$B$5,0))</f>
        <v>188000</v>
      </c>
      <c r="L1886" s="95" t="n">
        <f aca="false">IF(B1886="CN",IF(N(I1886)&gt;0,I1886*가정!$B$3,K1886*(1+가정!$B$6)),IF(N(H1886)&gt;0,H1886*가정!$B$3,J1886*가정!$B$4))</f>
        <v>204008.166</v>
      </c>
      <c r="M1886" s="95" t="n">
        <f aca="false">D1886*J1886</f>
        <v>260192000</v>
      </c>
      <c r="N1886" s="95" t="n">
        <f aca="false">D1886*K1886</f>
        <v>65048000</v>
      </c>
      <c r="O1886" s="95" t="n">
        <f aca="false">D1886*L1886</f>
        <v>70586825.436</v>
      </c>
      <c r="P1886" s="34" t="str">
        <f aca="false">TRIM(IF(N(E1886)&lt;=0,"택가보정 ","")&amp;IF(N(F1886)&lt;=0,"원가보정 ","")&amp;IF(AND(B1886&lt;&gt;"CN",N(H1886)&lt;=0),"공급가보정 ","")&amp;IF(AND(B1886="CN",N(I1886)&lt;=0),"중국공급가=원가+마진 ",""))</f>
        <v>택가보정</v>
      </c>
    </row>
    <row r="1887" customFormat="false" ht="15" hidden="false" customHeight="true" outlineLevel="0" collapsed="false">
      <c r="A1887" s="94" t="s">
        <v>1685</v>
      </c>
      <c r="B1887" s="34" t="str">
        <f aca="false">IF(A1887="100","HK",IF(A1887="200","CN",IF(A1887="300","TW","홀세일")))</f>
        <v>CN</v>
      </c>
      <c r="C1887" s="94" t="s">
        <v>1766</v>
      </c>
      <c r="D1887" s="95" t="n">
        <v>346</v>
      </c>
      <c r="E1887" s="95"/>
      <c r="F1887" s="95" t="n">
        <v>188000</v>
      </c>
      <c r="G1887" s="34" t="n">
        <v>2.85</v>
      </c>
      <c r="H1887" s="34" t="n">
        <v>147.7</v>
      </c>
      <c r="I1887" s="34" t="n">
        <v>149.7</v>
      </c>
      <c r="J1887" s="95" t="n">
        <f aca="false">IF(N(E1887)&gt;0,E1887,IF(N(F1887)&gt;0,F1887*가정!$B$5,0))</f>
        <v>752000</v>
      </c>
      <c r="K1887" s="95" t="n">
        <f aca="false">IF(N(F1887)&gt;0,F1887,IF(N(E1887)&gt;0,E1887/가정!$B$5,0))</f>
        <v>188000</v>
      </c>
      <c r="L1887" s="95" t="n">
        <f aca="false">IF(B1887="CN",IF(N(I1887)&gt;0,I1887*가정!$B$3,K1887*(1+가정!$B$6)),IF(N(H1887)&gt;0,H1887*가정!$B$3,J1887*가정!$B$4))</f>
        <v>204008.166</v>
      </c>
      <c r="M1887" s="95" t="n">
        <f aca="false">D1887*J1887</f>
        <v>260192000</v>
      </c>
      <c r="N1887" s="95" t="n">
        <f aca="false">D1887*K1887</f>
        <v>65048000</v>
      </c>
      <c r="O1887" s="95" t="n">
        <f aca="false">D1887*L1887</f>
        <v>70586825.436</v>
      </c>
      <c r="P1887" s="34" t="str">
        <f aca="false">TRIM(IF(N(E1887)&lt;=0,"택가보정 ","")&amp;IF(N(F1887)&lt;=0,"원가보정 ","")&amp;IF(AND(B1887&lt;&gt;"CN",N(H1887)&lt;=0),"공급가보정 ","")&amp;IF(AND(B1887="CN",N(I1887)&lt;=0),"중국공급가=원가+마진 ",""))</f>
        <v>택가보정</v>
      </c>
    </row>
    <row r="1888" customFormat="false" ht="15" hidden="false" customHeight="true" outlineLevel="0" collapsed="false">
      <c r="A1888" s="94" t="s">
        <v>1686</v>
      </c>
      <c r="B1888" s="34" t="str">
        <f aca="false">IF(A1888="100","HK",IF(A1888="200","CN",IF(A1888="300","TW","홀세일")))</f>
        <v>TW</v>
      </c>
      <c r="C1888" s="94" t="s">
        <v>1766</v>
      </c>
      <c r="D1888" s="95" t="n">
        <v>600</v>
      </c>
      <c r="E1888" s="95"/>
      <c r="F1888" s="95" t="n">
        <v>188000</v>
      </c>
      <c r="G1888" s="34" t="n">
        <v>2.85</v>
      </c>
      <c r="H1888" s="34" t="n">
        <v>147.7</v>
      </c>
      <c r="I1888" s="34" t="n">
        <v>149.7</v>
      </c>
      <c r="J1888" s="95" t="n">
        <f aca="false">IF(N(E1888)&gt;0,E1888,IF(N(F1888)&gt;0,F1888*가정!$B$5,0))</f>
        <v>752000</v>
      </c>
      <c r="K1888" s="95" t="n">
        <f aca="false">IF(N(F1888)&gt;0,F1888,IF(N(E1888)&gt;0,E1888/가정!$B$5,0))</f>
        <v>188000</v>
      </c>
      <c r="L1888" s="95" t="n">
        <f aca="false">IF(B1888="CN",IF(N(I1888)&gt;0,I1888*가정!$B$3,K1888*(1+가정!$B$6)),IF(N(H1888)&gt;0,H1888*가정!$B$3,J1888*가정!$B$4))</f>
        <v>201282.606</v>
      </c>
      <c r="M1888" s="95" t="n">
        <f aca="false">D1888*J1888</f>
        <v>451200000</v>
      </c>
      <c r="N1888" s="95" t="n">
        <f aca="false">D1888*K1888</f>
        <v>112800000</v>
      </c>
      <c r="O1888" s="95" t="n">
        <f aca="false">D1888*L1888</f>
        <v>120769563.6</v>
      </c>
      <c r="P1888" s="34" t="str">
        <f aca="false">TRIM(IF(N(E1888)&lt;=0,"택가보정 ","")&amp;IF(N(F1888)&lt;=0,"원가보정 ","")&amp;IF(AND(B1888&lt;&gt;"CN",N(H1888)&lt;=0),"공급가보정 ","")&amp;IF(AND(B1888="CN",N(I1888)&lt;=0),"중국공급가=원가+마진 ",""))</f>
        <v>택가보정</v>
      </c>
    </row>
    <row r="1889" customFormat="false" ht="15" hidden="false" customHeight="true" outlineLevel="0" collapsed="false">
      <c r="A1889" s="94" t="s">
        <v>1686</v>
      </c>
      <c r="B1889" s="34" t="str">
        <f aca="false">IF(A1889="100","HK",IF(A1889="200","CN",IF(A1889="300","TW","홀세일")))</f>
        <v>TW</v>
      </c>
      <c r="C1889" s="94" t="s">
        <v>1766</v>
      </c>
      <c r="D1889" s="95" t="n">
        <v>600</v>
      </c>
      <c r="E1889" s="95"/>
      <c r="F1889" s="95" t="n">
        <v>188000</v>
      </c>
      <c r="G1889" s="34" t="n">
        <v>2.85</v>
      </c>
      <c r="H1889" s="34" t="n">
        <v>147.7</v>
      </c>
      <c r="I1889" s="34" t="n">
        <v>149.7</v>
      </c>
      <c r="J1889" s="95" t="n">
        <f aca="false">IF(N(E1889)&gt;0,E1889,IF(N(F1889)&gt;0,F1889*가정!$B$5,0))</f>
        <v>752000</v>
      </c>
      <c r="K1889" s="95" t="n">
        <f aca="false">IF(N(F1889)&gt;0,F1889,IF(N(E1889)&gt;0,E1889/가정!$B$5,0))</f>
        <v>188000</v>
      </c>
      <c r="L1889" s="95" t="n">
        <f aca="false">IF(B1889="CN",IF(N(I1889)&gt;0,I1889*가정!$B$3,K1889*(1+가정!$B$6)),IF(N(H1889)&gt;0,H1889*가정!$B$3,J1889*가정!$B$4))</f>
        <v>201282.606</v>
      </c>
      <c r="M1889" s="95" t="n">
        <f aca="false">D1889*J1889</f>
        <v>451200000</v>
      </c>
      <c r="N1889" s="95" t="n">
        <f aca="false">D1889*K1889</f>
        <v>112800000</v>
      </c>
      <c r="O1889" s="95" t="n">
        <f aca="false">D1889*L1889</f>
        <v>120769563.6</v>
      </c>
      <c r="P1889" s="34" t="str">
        <f aca="false">TRIM(IF(N(E1889)&lt;=0,"택가보정 ","")&amp;IF(N(F1889)&lt;=0,"원가보정 ","")&amp;IF(AND(B1889&lt;&gt;"CN",N(H1889)&lt;=0),"공급가보정 ","")&amp;IF(AND(B1889="CN",N(I1889)&lt;=0),"중국공급가=원가+마진 ",""))</f>
        <v>택가보정</v>
      </c>
    </row>
    <row r="1890" customFormat="false" ht="15" hidden="false" customHeight="true" outlineLevel="0" collapsed="false">
      <c r="A1890" s="94" t="s">
        <v>1685</v>
      </c>
      <c r="B1890" s="34" t="str">
        <f aca="false">IF(A1890="100","HK",IF(A1890="200","CN",IF(A1890="300","TW","홀세일")))</f>
        <v>CN</v>
      </c>
      <c r="C1890" s="94" t="s">
        <v>1263</v>
      </c>
      <c r="D1890" s="95" t="n">
        <v>82</v>
      </c>
      <c r="E1890" s="95"/>
      <c r="F1890" s="95" t="n">
        <v>290154</v>
      </c>
      <c r="G1890" s="34" t="n">
        <v>2.89</v>
      </c>
      <c r="I1890" s="34" t="n">
        <v>222.6</v>
      </c>
      <c r="J1890" s="95" t="n">
        <f aca="false">IF(N(E1890)&gt;0,E1890,IF(N(F1890)&gt;0,F1890*가정!$B$5,0))</f>
        <v>1160616</v>
      </c>
      <c r="K1890" s="95" t="n">
        <f aca="false">IF(N(F1890)&gt;0,F1890,IF(N(E1890)&gt;0,E1890/가정!$B$5,0))</f>
        <v>290154</v>
      </c>
      <c r="L1890" s="95" t="n">
        <f aca="false">IF(B1890="CN",IF(N(I1890)&gt;0,I1890*가정!$B$3,K1890*(1+가정!$B$6)),IF(N(H1890)&gt;0,H1890*가정!$B$3,J1890*가정!$B$4))</f>
        <v>303354.828</v>
      </c>
      <c r="M1890" s="95" t="n">
        <f aca="false">D1890*J1890</f>
        <v>95170512</v>
      </c>
      <c r="N1890" s="95" t="n">
        <f aca="false">D1890*K1890</f>
        <v>23792628</v>
      </c>
      <c r="O1890" s="95" t="n">
        <f aca="false">D1890*L1890</f>
        <v>24875095.896</v>
      </c>
      <c r="P1890" s="34" t="str">
        <f aca="false">TRIM(IF(N(E1890)&lt;=0,"택가보정 ","")&amp;IF(N(F1890)&lt;=0,"원가보정 ","")&amp;IF(AND(B1890&lt;&gt;"CN",N(H1890)&lt;=0),"공급가보정 ","")&amp;IF(AND(B1890="CN",N(I1890)&lt;=0),"중국공급가=원가+마진 ",""))</f>
        <v>택가보정</v>
      </c>
    </row>
    <row r="1891" customFormat="false" ht="15" hidden="false" customHeight="true" outlineLevel="0" collapsed="false">
      <c r="A1891" s="94" t="s">
        <v>1685</v>
      </c>
      <c r="B1891" s="34" t="str">
        <f aca="false">IF(A1891="100","HK",IF(A1891="200","CN",IF(A1891="300","TW","홀세일")))</f>
        <v>CN</v>
      </c>
      <c r="C1891" s="94" t="s">
        <v>1265</v>
      </c>
      <c r="D1891" s="95" t="n">
        <v>202</v>
      </c>
      <c r="E1891" s="95" t="n">
        <v>109000</v>
      </c>
      <c r="F1891" s="95" t="n">
        <v>31900</v>
      </c>
      <c r="G1891" s="34" t="n">
        <v>3.25</v>
      </c>
      <c r="H1891" s="34" t="n">
        <v>27.3</v>
      </c>
      <c r="I1891" s="34" t="n">
        <v>25.4</v>
      </c>
      <c r="J1891" s="95" t="n">
        <f aca="false">IF(N(E1891)&gt;0,E1891,IF(N(F1891)&gt;0,F1891*가정!$B$5,0))</f>
        <v>109000</v>
      </c>
      <c r="K1891" s="95" t="n">
        <f aca="false">IF(N(F1891)&gt;0,F1891,IF(N(E1891)&gt;0,E1891/가정!$B$5,0))</f>
        <v>31900</v>
      </c>
      <c r="L1891" s="95" t="n">
        <f aca="false">IF(B1891="CN",IF(N(I1891)&gt;0,I1891*가정!$B$3,K1891*(1+가정!$B$6)),IF(N(H1891)&gt;0,H1891*가정!$B$3,J1891*가정!$B$4))</f>
        <v>34614.612</v>
      </c>
      <c r="M1891" s="95" t="n">
        <f aca="false">D1891*J1891</f>
        <v>22018000</v>
      </c>
      <c r="N1891" s="95" t="n">
        <f aca="false">D1891*K1891</f>
        <v>6443800</v>
      </c>
      <c r="O1891" s="95" t="n">
        <f aca="false">D1891*L1891</f>
        <v>6992151.624</v>
      </c>
      <c r="P1891" s="34" t="str">
        <f aca="false">TRIM(IF(N(E1891)&lt;=0,"택가보정 ","")&amp;IF(N(F1891)&lt;=0,"원가보정 ","")&amp;IF(AND(B1891&lt;&gt;"CN",N(H1891)&lt;=0),"공급가보정 ","")&amp;IF(AND(B1891="CN",N(I1891)&lt;=0),"중국공급가=원가+마진 ",""))</f>
        <v/>
      </c>
    </row>
    <row r="1892" customFormat="false" ht="15" hidden="false" customHeight="true" outlineLevel="0" collapsed="false">
      <c r="A1892" s="94" t="s">
        <v>1688</v>
      </c>
      <c r="B1892" s="34" t="str">
        <f aca="false">IF(A1892="100","HK",IF(A1892="200","CN",IF(A1892="300","TW","홀세일")))</f>
        <v>홀세일</v>
      </c>
      <c r="C1892" s="94" t="s">
        <v>1265</v>
      </c>
      <c r="D1892" s="95" t="n">
        <v>20</v>
      </c>
      <c r="E1892" s="95" t="n">
        <v>109000</v>
      </c>
      <c r="F1892" s="95" t="n">
        <v>31900</v>
      </c>
      <c r="G1892" s="34" t="n">
        <v>3.25</v>
      </c>
      <c r="H1892" s="34" t="n">
        <v>27.3</v>
      </c>
      <c r="I1892" s="34" t="n">
        <v>25.4</v>
      </c>
      <c r="J1892" s="95" t="n">
        <f aca="false">IF(N(E1892)&gt;0,E1892,IF(N(F1892)&gt;0,F1892*가정!$B$5,0))</f>
        <v>109000</v>
      </c>
      <c r="K1892" s="95" t="n">
        <f aca="false">IF(N(F1892)&gt;0,F1892,IF(N(E1892)&gt;0,E1892/가정!$B$5,0))</f>
        <v>31900</v>
      </c>
      <c r="L1892" s="95" t="n">
        <f aca="false">IF(B1892="CN",IF(N(I1892)&gt;0,I1892*가정!$B$3,K1892*(1+가정!$B$6)),IF(N(H1892)&gt;0,H1892*가정!$B$3,J1892*가정!$B$4))</f>
        <v>37203.894</v>
      </c>
      <c r="M1892" s="95" t="n">
        <f aca="false">D1892*J1892</f>
        <v>2180000</v>
      </c>
      <c r="N1892" s="95" t="n">
        <f aca="false">D1892*K1892</f>
        <v>638000</v>
      </c>
      <c r="O1892" s="95" t="n">
        <f aca="false">D1892*L1892</f>
        <v>744077.88</v>
      </c>
      <c r="P1892" s="34" t="str">
        <f aca="false">TRIM(IF(N(E1892)&lt;=0,"택가보정 ","")&amp;IF(N(F1892)&lt;=0,"원가보정 ","")&amp;IF(AND(B1892&lt;&gt;"CN",N(H1892)&lt;=0),"공급가보정 ","")&amp;IF(AND(B1892="CN",N(I1892)&lt;=0),"중국공급가=원가+마진 ",""))</f>
        <v/>
      </c>
    </row>
    <row r="1893" customFormat="false" ht="15" hidden="false" customHeight="true" outlineLevel="0" collapsed="false">
      <c r="A1893" s="94" t="s">
        <v>1685</v>
      </c>
      <c r="B1893" s="34" t="str">
        <f aca="false">IF(A1893="100","HK",IF(A1893="200","CN",IF(A1893="300","TW","홀세일")))</f>
        <v>CN</v>
      </c>
      <c r="C1893" s="94" t="s">
        <v>1267</v>
      </c>
      <c r="D1893" s="95" t="n">
        <v>201</v>
      </c>
      <c r="E1893" s="95" t="n">
        <v>179000</v>
      </c>
      <c r="F1893" s="95" t="n">
        <v>61298</v>
      </c>
      <c r="G1893" s="34" t="n">
        <v>3.25</v>
      </c>
      <c r="H1893" s="34" t="n">
        <v>42.1</v>
      </c>
      <c r="I1893" s="34" t="n">
        <v>48.6</v>
      </c>
      <c r="J1893" s="95" t="n">
        <f aca="false">IF(N(E1893)&gt;0,E1893,IF(N(F1893)&gt;0,F1893*가정!$B$5,0))</f>
        <v>179000</v>
      </c>
      <c r="K1893" s="95" t="n">
        <f aca="false">IF(N(F1893)&gt;0,F1893,IF(N(E1893)&gt;0,E1893/가정!$B$5,0))</f>
        <v>61298</v>
      </c>
      <c r="L1893" s="95" t="n">
        <f aca="false">IF(B1893="CN",IF(N(I1893)&gt;0,I1893*가정!$B$3,K1893*(1+가정!$B$6)),IF(N(H1893)&gt;0,H1893*가정!$B$3,J1893*가정!$B$4))</f>
        <v>66231.108</v>
      </c>
      <c r="M1893" s="95" t="n">
        <f aca="false">D1893*J1893</f>
        <v>35979000</v>
      </c>
      <c r="N1893" s="95" t="n">
        <f aca="false">D1893*K1893</f>
        <v>12320898</v>
      </c>
      <c r="O1893" s="95" t="n">
        <f aca="false">D1893*L1893</f>
        <v>13312452.708</v>
      </c>
      <c r="P1893" s="34" t="str">
        <f aca="false">TRIM(IF(N(E1893)&lt;=0,"택가보정 ","")&amp;IF(N(F1893)&lt;=0,"원가보정 ","")&amp;IF(AND(B1893&lt;&gt;"CN",N(H1893)&lt;=0),"공급가보정 ","")&amp;IF(AND(B1893="CN",N(I1893)&lt;=0),"중국공급가=원가+마진 ",""))</f>
        <v/>
      </c>
    </row>
    <row r="1894" customFormat="false" ht="15" hidden="false" customHeight="true" outlineLevel="0" collapsed="false">
      <c r="A1894" s="94" t="s">
        <v>1685</v>
      </c>
      <c r="B1894" s="34" t="str">
        <f aca="false">IF(A1894="100","HK",IF(A1894="200","CN",IF(A1894="300","TW","홀세일")))</f>
        <v>CN</v>
      </c>
      <c r="C1894" s="94" t="s">
        <v>1269</v>
      </c>
      <c r="D1894" s="95" t="n">
        <v>242</v>
      </c>
      <c r="E1894" s="95" t="n">
        <v>219000</v>
      </c>
      <c r="F1894" s="95" t="n">
        <v>76801</v>
      </c>
      <c r="G1894" s="34" t="n">
        <v>3.16</v>
      </c>
      <c r="H1894" s="34" t="n">
        <v>51.5</v>
      </c>
      <c r="I1894" s="34" t="n">
        <v>61.3</v>
      </c>
      <c r="J1894" s="95" t="n">
        <f aca="false">IF(N(E1894)&gt;0,E1894,IF(N(F1894)&gt;0,F1894*가정!$B$5,0))</f>
        <v>219000</v>
      </c>
      <c r="K1894" s="95" t="n">
        <f aca="false">IF(N(F1894)&gt;0,F1894,IF(N(E1894)&gt;0,E1894/가정!$B$5,0))</f>
        <v>76801</v>
      </c>
      <c r="L1894" s="95" t="n">
        <f aca="false">IF(B1894="CN",IF(N(I1894)&gt;0,I1894*가정!$B$3,K1894*(1+가정!$B$6)),IF(N(H1894)&gt;0,H1894*가정!$B$3,J1894*가정!$B$4))</f>
        <v>83538.414</v>
      </c>
      <c r="M1894" s="95" t="n">
        <f aca="false">D1894*J1894</f>
        <v>52998000</v>
      </c>
      <c r="N1894" s="95" t="n">
        <f aca="false">D1894*K1894</f>
        <v>18585842</v>
      </c>
      <c r="O1894" s="95" t="n">
        <f aca="false">D1894*L1894</f>
        <v>20216296.188</v>
      </c>
      <c r="P1894" s="34" t="str">
        <f aca="false">TRIM(IF(N(E1894)&lt;=0,"택가보정 ","")&amp;IF(N(F1894)&lt;=0,"원가보정 ","")&amp;IF(AND(B1894&lt;&gt;"CN",N(H1894)&lt;=0),"공급가보정 ","")&amp;IF(AND(B1894="CN",N(I1894)&lt;=0),"중국공급가=원가+마진 ",""))</f>
        <v/>
      </c>
    </row>
    <row r="1895" customFormat="false" ht="15" hidden="false" customHeight="true" outlineLevel="0" collapsed="false">
      <c r="A1895" s="94" t="s">
        <v>1685</v>
      </c>
      <c r="B1895" s="34" t="str">
        <f aca="false">IF(A1895="100","HK",IF(A1895="200","CN",IF(A1895="300","TW","홀세일")))</f>
        <v>CN</v>
      </c>
      <c r="C1895" s="94" t="s">
        <v>1269</v>
      </c>
      <c r="D1895" s="95" t="n">
        <v>242</v>
      </c>
      <c r="E1895" s="95" t="n">
        <v>219000</v>
      </c>
      <c r="F1895" s="95" t="n">
        <v>76801</v>
      </c>
      <c r="G1895" s="34" t="n">
        <v>3.16</v>
      </c>
      <c r="H1895" s="34" t="n">
        <v>51.5</v>
      </c>
      <c r="I1895" s="34" t="n">
        <v>61.3</v>
      </c>
      <c r="J1895" s="95" t="n">
        <f aca="false">IF(N(E1895)&gt;0,E1895,IF(N(F1895)&gt;0,F1895*가정!$B$5,0))</f>
        <v>219000</v>
      </c>
      <c r="K1895" s="95" t="n">
        <f aca="false">IF(N(F1895)&gt;0,F1895,IF(N(E1895)&gt;0,E1895/가정!$B$5,0))</f>
        <v>76801</v>
      </c>
      <c r="L1895" s="95" t="n">
        <f aca="false">IF(B1895="CN",IF(N(I1895)&gt;0,I1895*가정!$B$3,K1895*(1+가정!$B$6)),IF(N(H1895)&gt;0,H1895*가정!$B$3,J1895*가정!$B$4))</f>
        <v>83538.414</v>
      </c>
      <c r="M1895" s="95" t="n">
        <f aca="false">D1895*J1895</f>
        <v>52998000</v>
      </c>
      <c r="N1895" s="95" t="n">
        <f aca="false">D1895*K1895</f>
        <v>18585842</v>
      </c>
      <c r="O1895" s="95" t="n">
        <f aca="false">D1895*L1895</f>
        <v>20216296.188</v>
      </c>
      <c r="P1895" s="34" t="str">
        <f aca="false">TRIM(IF(N(E1895)&lt;=0,"택가보정 ","")&amp;IF(N(F1895)&lt;=0,"원가보정 ","")&amp;IF(AND(B1895&lt;&gt;"CN",N(H1895)&lt;=0),"공급가보정 ","")&amp;IF(AND(B1895="CN",N(I1895)&lt;=0),"중국공급가=원가+마진 ",""))</f>
        <v/>
      </c>
    </row>
    <row r="1896" customFormat="false" ht="15" hidden="false" customHeight="true" outlineLevel="0" collapsed="false">
      <c r="A1896" s="94" t="s">
        <v>1689</v>
      </c>
      <c r="B1896" s="34" t="str">
        <f aca="false">IF(A1896="100","HK",IF(A1896="200","CN",IF(A1896="300","TW","홀세일")))</f>
        <v>홀세일</v>
      </c>
      <c r="C1896" s="94" t="s">
        <v>1269</v>
      </c>
      <c r="D1896" s="95" t="n">
        <v>55</v>
      </c>
      <c r="E1896" s="95" t="n">
        <v>219000</v>
      </c>
      <c r="F1896" s="95" t="n">
        <v>76801</v>
      </c>
      <c r="G1896" s="34" t="n">
        <v>3.16</v>
      </c>
      <c r="H1896" s="34" t="n">
        <v>51.5</v>
      </c>
      <c r="I1896" s="34" t="n">
        <v>61.3</v>
      </c>
      <c r="J1896" s="95" t="n">
        <f aca="false">IF(N(E1896)&gt;0,E1896,IF(N(F1896)&gt;0,F1896*가정!$B$5,0))</f>
        <v>219000</v>
      </c>
      <c r="K1896" s="95" t="n">
        <f aca="false">IF(N(F1896)&gt;0,F1896,IF(N(E1896)&gt;0,E1896/가정!$B$5,0))</f>
        <v>76801</v>
      </c>
      <c r="L1896" s="95" t="n">
        <f aca="false">IF(B1896="CN",IF(N(I1896)&gt;0,I1896*가정!$B$3,K1896*(1+가정!$B$6)),IF(N(H1896)&gt;0,H1896*가정!$B$3,J1896*가정!$B$4))</f>
        <v>70183.17</v>
      </c>
      <c r="M1896" s="95" t="n">
        <f aca="false">D1896*J1896</f>
        <v>12045000</v>
      </c>
      <c r="N1896" s="95" t="n">
        <f aca="false">D1896*K1896</f>
        <v>4224055</v>
      </c>
      <c r="O1896" s="95" t="n">
        <f aca="false">D1896*L1896</f>
        <v>3860074.35</v>
      </c>
      <c r="P1896" s="34" t="str">
        <f aca="false">TRIM(IF(N(E1896)&lt;=0,"택가보정 ","")&amp;IF(N(F1896)&lt;=0,"원가보정 ","")&amp;IF(AND(B1896&lt;&gt;"CN",N(H1896)&lt;=0),"공급가보정 ","")&amp;IF(AND(B1896="CN",N(I1896)&lt;=0),"중국공급가=원가+마진 ",""))</f>
        <v/>
      </c>
    </row>
    <row r="1897" customFormat="false" ht="15" hidden="false" customHeight="true" outlineLevel="0" collapsed="false">
      <c r="A1897" s="94" t="s">
        <v>1685</v>
      </c>
      <c r="B1897" s="34" t="str">
        <f aca="false">IF(A1897="100","HK",IF(A1897="200","CN",IF(A1897="300","TW","홀세일")))</f>
        <v>CN</v>
      </c>
      <c r="C1897" s="94" t="s">
        <v>1271</v>
      </c>
      <c r="D1897" s="95" t="n">
        <v>172</v>
      </c>
      <c r="E1897" s="95"/>
      <c r="F1897" s="95" t="n">
        <v>123800</v>
      </c>
      <c r="G1897" s="34" t="n">
        <v>0</v>
      </c>
      <c r="I1897" s="34" t="n">
        <v>98.6</v>
      </c>
      <c r="J1897" s="95" t="n">
        <f aca="false">IF(N(E1897)&gt;0,E1897,IF(N(F1897)&gt;0,F1897*가정!$B$5,0))</f>
        <v>495200</v>
      </c>
      <c r="K1897" s="95" t="n">
        <f aca="false">IF(N(F1897)&gt;0,F1897,IF(N(E1897)&gt;0,E1897/가정!$B$5,0))</f>
        <v>123800</v>
      </c>
      <c r="L1897" s="95" t="n">
        <f aca="false">IF(B1897="CN",IF(N(I1897)&gt;0,I1897*가정!$B$3,K1897*(1+가정!$B$6)),IF(N(H1897)&gt;0,H1897*가정!$B$3,J1897*가정!$B$4))</f>
        <v>134370.108</v>
      </c>
      <c r="M1897" s="95" t="n">
        <f aca="false">D1897*J1897</f>
        <v>85174400</v>
      </c>
      <c r="N1897" s="95" t="n">
        <f aca="false">D1897*K1897</f>
        <v>21293600</v>
      </c>
      <c r="O1897" s="95" t="n">
        <f aca="false">D1897*L1897</f>
        <v>23111658.576</v>
      </c>
      <c r="P1897" s="34" t="str">
        <f aca="false">TRIM(IF(N(E1897)&lt;=0,"택가보정 ","")&amp;IF(N(F1897)&lt;=0,"원가보정 ","")&amp;IF(AND(B1897&lt;&gt;"CN",N(H1897)&lt;=0),"공급가보정 ","")&amp;IF(AND(B1897="CN",N(I1897)&lt;=0),"중국공급가=원가+마진 ",""))</f>
        <v>택가보정</v>
      </c>
    </row>
    <row r="1898" customFormat="false" ht="15" hidden="false" customHeight="true" outlineLevel="0" collapsed="false">
      <c r="A1898" s="94" t="s">
        <v>1684</v>
      </c>
      <c r="B1898" s="34" t="str">
        <f aca="false">IF(A1898="100","HK",IF(A1898="200","CN",IF(A1898="300","TW","홀세일")))</f>
        <v>HK</v>
      </c>
      <c r="C1898" s="94" t="s">
        <v>797</v>
      </c>
      <c r="D1898" s="95" t="n">
        <v>250</v>
      </c>
      <c r="E1898" s="95" t="n">
        <v>799000</v>
      </c>
      <c r="F1898" s="95" t="n">
        <v>198615</v>
      </c>
      <c r="G1898" s="34" t="n">
        <v>3.26</v>
      </c>
      <c r="H1898" s="34" t="n">
        <v>200</v>
      </c>
      <c r="I1898" s="34" t="n">
        <v>167.8</v>
      </c>
      <c r="J1898" s="95" t="n">
        <f aca="false">IF(N(E1898)&gt;0,E1898,IF(N(F1898)&gt;0,F1898*가정!$B$5,0))</f>
        <v>799000</v>
      </c>
      <c r="K1898" s="95" t="n">
        <f aca="false">IF(N(F1898)&gt;0,F1898,IF(N(E1898)&gt;0,E1898/가정!$B$5,0))</f>
        <v>198615</v>
      </c>
      <c r="L1898" s="95" t="n">
        <f aca="false">IF(B1898="CN",IF(N(I1898)&gt;0,I1898*가정!$B$3,K1898*(1+가정!$B$6)),IF(N(H1898)&gt;0,H1898*가정!$B$3,J1898*가정!$B$4))</f>
        <v>272556</v>
      </c>
      <c r="M1898" s="95" t="n">
        <f aca="false">D1898*J1898</f>
        <v>199750000</v>
      </c>
      <c r="N1898" s="95" t="n">
        <f aca="false">D1898*K1898</f>
        <v>49653750</v>
      </c>
      <c r="O1898" s="95" t="n">
        <f aca="false">D1898*L1898</f>
        <v>68139000</v>
      </c>
      <c r="P1898" s="34" t="str">
        <f aca="false">TRIM(IF(N(E1898)&lt;=0,"택가보정 ","")&amp;IF(N(F1898)&lt;=0,"원가보정 ","")&amp;IF(AND(B1898&lt;&gt;"CN",N(H1898)&lt;=0),"공급가보정 ","")&amp;IF(AND(B1898="CN",N(I1898)&lt;=0),"중국공급가=원가+마진 ",""))</f>
        <v/>
      </c>
    </row>
    <row r="1899" customFormat="false" ht="15" hidden="false" customHeight="true" outlineLevel="0" collapsed="false">
      <c r="A1899" s="94" t="s">
        <v>1685</v>
      </c>
      <c r="B1899" s="34" t="str">
        <f aca="false">IF(A1899="100","HK",IF(A1899="200","CN",IF(A1899="300","TW","홀세일")))</f>
        <v>CN</v>
      </c>
      <c r="C1899" s="94" t="s">
        <v>797</v>
      </c>
      <c r="D1899" s="95" t="n">
        <v>601</v>
      </c>
      <c r="E1899" s="95" t="n">
        <v>799000</v>
      </c>
      <c r="F1899" s="95" t="n">
        <v>198615</v>
      </c>
      <c r="G1899" s="34" t="n">
        <v>3.26</v>
      </c>
      <c r="H1899" s="34" t="n">
        <v>200</v>
      </c>
      <c r="I1899" s="34" t="n">
        <v>167.8</v>
      </c>
      <c r="J1899" s="95" t="n">
        <f aca="false">IF(N(E1899)&gt;0,E1899,IF(N(F1899)&gt;0,F1899*가정!$B$5,0))</f>
        <v>799000</v>
      </c>
      <c r="K1899" s="95" t="n">
        <f aca="false">IF(N(F1899)&gt;0,F1899,IF(N(E1899)&gt;0,E1899/가정!$B$5,0))</f>
        <v>198615</v>
      </c>
      <c r="L1899" s="95" t="n">
        <f aca="false">IF(B1899="CN",IF(N(I1899)&gt;0,I1899*가정!$B$3,K1899*(1+가정!$B$6)),IF(N(H1899)&gt;0,H1899*가정!$B$3,J1899*가정!$B$4))</f>
        <v>228674.484</v>
      </c>
      <c r="M1899" s="95" t="n">
        <f aca="false">D1899*J1899</f>
        <v>480199000</v>
      </c>
      <c r="N1899" s="95" t="n">
        <f aca="false">D1899*K1899</f>
        <v>119367615</v>
      </c>
      <c r="O1899" s="95" t="n">
        <f aca="false">D1899*L1899</f>
        <v>137433364.884</v>
      </c>
      <c r="P1899" s="34" t="str">
        <f aca="false">TRIM(IF(N(E1899)&lt;=0,"택가보정 ","")&amp;IF(N(F1899)&lt;=0,"원가보정 ","")&amp;IF(AND(B1899&lt;&gt;"CN",N(H1899)&lt;=0),"공급가보정 ","")&amp;IF(AND(B1899="CN",N(I1899)&lt;=0),"중국공급가=원가+마진 ",""))</f>
        <v/>
      </c>
    </row>
    <row r="1900" customFormat="false" ht="15" hidden="false" customHeight="true" outlineLevel="0" collapsed="false">
      <c r="A1900" s="94" t="s">
        <v>1685</v>
      </c>
      <c r="B1900" s="34" t="str">
        <f aca="false">IF(A1900="100","HK",IF(A1900="200","CN",IF(A1900="300","TW","홀세일")))</f>
        <v>CN</v>
      </c>
      <c r="C1900" s="94" t="s">
        <v>797</v>
      </c>
      <c r="D1900" s="95" t="n">
        <v>601</v>
      </c>
      <c r="E1900" s="95" t="n">
        <v>799000</v>
      </c>
      <c r="F1900" s="95" t="n">
        <v>198615</v>
      </c>
      <c r="G1900" s="34" t="n">
        <v>3.26</v>
      </c>
      <c r="H1900" s="34" t="n">
        <v>200</v>
      </c>
      <c r="I1900" s="34" t="n">
        <v>167.8</v>
      </c>
      <c r="J1900" s="95" t="n">
        <f aca="false">IF(N(E1900)&gt;0,E1900,IF(N(F1900)&gt;0,F1900*가정!$B$5,0))</f>
        <v>799000</v>
      </c>
      <c r="K1900" s="95" t="n">
        <f aca="false">IF(N(F1900)&gt;0,F1900,IF(N(E1900)&gt;0,E1900/가정!$B$5,0))</f>
        <v>198615</v>
      </c>
      <c r="L1900" s="95" t="n">
        <f aca="false">IF(B1900="CN",IF(N(I1900)&gt;0,I1900*가정!$B$3,K1900*(1+가정!$B$6)),IF(N(H1900)&gt;0,H1900*가정!$B$3,J1900*가정!$B$4))</f>
        <v>228674.484</v>
      </c>
      <c r="M1900" s="95" t="n">
        <f aca="false">D1900*J1900</f>
        <v>480199000</v>
      </c>
      <c r="N1900" s="95" t="n">
        <f aca="false">D1900*K1900</f>
        <v>119367615</v>
      </c>
      <c r="O1900" s="95" t="n">
        <f aca="false">D1900*L1900</f>
        <v>137433364.884</v>
      </c>
      <c r="P1900" s="34" t="str">
        <f aca="false">TRIM(IF(N(E1900)&lt;=0,"택가보정 ","")&amp;IF(N(F1900)&lt;=0,"원가보정 ","")&amp;IF(AND(B1900&lt;&gt;"CN",N(H1900)&lt;=0),"공급가보정 ","")&amp;IF(AND(B1900="CN",N(I1900)&lt;=0),"중국공급가=원가+마진 ",""))</f>
        <v/>
      </c>
    </row>
    <row r="1901" customFormat="false" ht="15" hidden="false" customHeight="true" outlineLevel="0" collapsed="false">
      <c r="A1901" s="94" t="s">
        <v>1686</v>
      </c>
      <c r="B1901" s="34" t="str">
        <f aca="false">IF(A1901="100","HK",IF(A1901="200","CN",IF(A1901="300","TW","홀세일")))</f>
        <v>TW</v>
      </c>
      <c r="C1901" s="94" t="s">
        <v>797</v>
      </c>
      <c r="D1901" s="95" t="n">
        <v>355</v>
      </c>
      <c r="E1901" s="95" t="n">
        <v>799000</v>
      </c>
      <c r="F1901" s="95" t="n">
        <v>198615</v>
      </c>
      <c r="G1901" s="34" t="n">
        <v>3.26</v>
      </c>
      <c r="H1901" s="34" t="n">
        <v>200</v>
      </c>
      <c r="I1901" s="34" t="n">
        <v>167.8</v>
      </c>
      <c r="J1901" s="95" t="n">
        <f aca="false">IF(N(E1901)&gt;0,E1901,IF(N(F1901)&gt;0,F1901*가정!$B$5,0))</f>
        <v>799000</v>
      </c>
      <c r="K1901" s="95" t="n">
        <f aca="false">IF(N(F1901)&gt;0,F1901,IF(N(E1901)&gt;0,E1901/가정!$B$5,0))</f>
        <v>198615</v>
      </c>
      <c r="L1901" s="95" t="n">
        <f aca="false">IF(B1901="CN",IF(N(I1901)&gt;0,I1901*가정!$B$3,K1901*(1+가정!$B$6)),IF(N(H1901)&gt;0,H1901*가정!$B$3,J1901*가정!$B$4))</f>
        <v>272556</v>
      </c>
      <c r="M1901" s="95" t="n">
        <f aca="false">D1901*J1901</f>
        <v>283645000</v>
      </c>
      <c r="N1901" s="95" t="n">
        <f aca="false">D1901*K1901</f>
        <v>70508325</v>
      </c>
      <c r="O1901" s="95" t="n">
        <f aca="false">D1901*L1901</f>
        <v>96757380</v>
      </c>
      <c r="P1901" s="34" t="str">
        <f aca="false">TRIM(IF(N(E1901)&lt;=0,"택가보정 ","")&amp;IF(N(F1901)&lt;=0,"원가보정 ","")&amp;IF(AND(B1901&lt;&gt;"CN",N(H1901)&lt;=0),"공급가보정 ","")&amp;IF(AND(B1901="CN",N(I1901)&lt;=0),"중국공급가=원가+마진 ",""))</f>
        <v/>
      </c>
    </row>
    <row r="1902" customFormat="false" ht="15" hidden="false" customHeight="true" outlineLevel="0" collapsed="false">
      <c r="A1902" s="94" t="s">
        <v>1686</v>
      </c>
      <c r="B1902" s="34" t="str">
        <f aca="false">IF(A1902="100","HK",IF(A1902="200","CN",IF(A1902="300","TW","홀세일")))</f>
        <v>TW</v>
      </c>
      <c r="C1902" s="94" t="s">
        <v>797</v>
      </c>
      <c r="D1902" s="95" t="n">
        <v>355</v>
      </c>
      <c r="E1902" s="95" t="n">
        <v>799000</v>
      </c>
      <c r="F1902" s="95" t="n">
        <v>198615</v>
      </c>
      <c r="G1902" s="34" t="n">
        <v>3.26</v>
      </c>
      <c r="H1902" s="34" t="n">
        <v>200</v>
      </c>
      <c r="I1902" s="34" t="n">
        <v>167.8</v>
      </c>
      <c r="J1902" s="95" t="n">
        <f aca="false">IF(N(E1902)&gt;0,E1902,IF(N(F1902)&gt;0,F1902*가정!$B$5,0))</f>
        <v>799000</v>
      </c>
      <c r="K1902" s="95" t="n">
        <f aca="false">IF(N(F1902)&gt;0,F1902,IF(N(E1902)&gt;0,E1902/가정!$B$5,0))</f>
        <v>198615</v>
      </c>
      <c r="L1902" s="95" t="n">
        <f aca="false">IF(B1902="CN",IF(N(I1902)&gt;0,I1902*가정!$B$3,K1902*(1+가정!$B$6)),IF(N(H1902)&gt;0,H1902*가정!$B$3,J1902*가정!$B$4))</f>
        <v>272556</v>
      </c>
      <c r="M1902" s="95" t="n">
        <f aca="false">D1902*J1902</f>
        <v>283645000</v>
      </c>
      <c r="N1902" s="95" t="n">
        <f aca="false">D1902*K1902</f>
        <v>70508325</v>
      </c>
      <c r="O1902" s="95" t="n">
        <f aca="false">D1902*L1902</f>
        <v>96757380</v>
      </c>
      <c r="P1902" s="34" t="str">
        <f aca="false">TRIM(IF(N(E1902)&lt;=0,"택가보정 ","")&amp;IF(N(F1902)&lt;=0,"원가보정 ","")&amp;IF(AND(B1902&lt;&gt;"CN",N(H1902)&lt;=0),"공급가보정 ","")&amp;IF(AND(B1902="CN",N(I1902)&lt;=0),"중국공급가=원가+마진 ",""))</f>
        <v/>
      </c>
    </row>
    <row r="1903" customFormat="false" ht="15" hidden="false" customHeight="true" outlineLevel="0" collapsed="false">
      <c r="A1903" s="94" t="s">
        <v>1688</v>
      </c>
      <c r="B1903" s="34" t="str">
        <f aca="false">IF(A1903="100","HK",IF(A1903="200","CN",IF(A1903="300","TW","홀세일")))</f>
        <v>홀세일</v>
      </c>
      <c r="C1903" s="94" t="s">
        <v>797</v>
      </c>
      <c r="D1903" s="95" t="n">
        <v>20</v>
      </c>
      <c r="E1903" s="95" t="n">
        <v>799000</v>
      </c>
      <c r="F1903" s="95" t="n">
        <v>198615</v>
      </c>
      <c r="G1903" s="34" t="n">
        <v>3.26</v>
      </c>
      <c r="H1903" s="34" t="n">
        <v>200</v>
      </c>
      <c r="I1903" s="34" t="n">
        <v>167.8</v>
      </c>
      <c r="J1903" s="95" t="n">
        <f aca="false">IF(N(E1903)&gt;0,E1903,IF(N(F1903)&gt;0,F1903*가정!$B$5,0))</f>
        <v>799000</v>
      </c>
      <c r="K1903" s="95" t="n">
        <f aca="false">IF(N(F1903)&gt;0,F1903,IF(N(E1903)&gt;0,E1903/가정!$B$5,0))</f>
        <v>198615</v>
      </c>
      <c r="L1903" s="95" t="n">
        <f aca="false">IF(B1903="CN",IF(N(I1903)&gt;0,I1903*가정!$B$3,K1903*(1+가정!$B$6)),IF(N(H1903)&gt;0,H1903*가정!$B$3,J1903*가정!$B$4))</f>
        <v>272556</v>
      </c>
      <c r="M1903" s="95" t="n">
        <f aca="false">D1903*J1903</f>
        <v>15980000</v>
      </c>
      <c r="N1903" s="95" t="n">
        <f aca="false">D1903*K1903</f>
        <v>3972300</v>
      </c>
      <c r="O1903" s="95" t="n">
        <f aca="false">D1903*L1903</f>
        <v>5451120</v>
      </c>
      <c r="P1903" s="34" t="str">
        <f aca="false">TRIM(IF(N(E1903)&lt;=0,"택가보정 ","")&amp;IF(N(F1903)&lt;=0,"원가보정 ","")&amp;IF(AND(B1903&lt;&gt;"CN",N(H1903)&lt;=0),"공급가보정 ","")&amp;IF(AND(B1903="CN",N(I1903)&lt;=0),"중국공급가=원가+마진 ",""))</f>
        <v/>
      </c>
    </row>
    <row r="1904" customFormat="false" ht="15" hidden="false" customHeight="true" outlineLevel="0" collapsed="false">
      <c r="A1904" s="94" t="s">
        <v>1689</v>
      </c>
      <c r="B1904" s="34" t="str">
        <f aca="false">IF(A1904="100","HK",IF(A1904="200","CN",IF(A1904="300","TW","홀세일")))</f>
        <v>홀세일</v>
      </c>
      <c r="C1904" s="94" t="s">
        <v>797</v>
      </c>
      <c r="D1904" s="95" t="n">
        <v>55</v>
      </c>
      <c r="E1904" s="95" t="n">
        <v>799000</v>
      </c>
      <c r="F1904" s="95" t="n">
        <v>198615</v>
      </c>
      <c r="G1904" s="34" t="n">
        <v>3.26</v>
      </c>
      <c r="H1904" s="34" t="n">
        <v>200</v>
      </c>
      <c r="I1904" s="34" t="n">
        <v>167.8</v>
      </c>
      <c r="J1904" s="95" t="n">
        <f aca="false">IF(N(E1904)&gt;0,E1904,IF(N(F1904)&gt;0,F1904*가정!$B$5,0))</f>
        <v>799000</v>
      </c>
      <c r="K1904" s="95" t="n">
        <f aca="false">IF(N(F1904)&gt;0,F1904,IF(N(E1904)&gt;0,E1904/가정!$B$5,0))</f>
        <v>198615</v>
      </c>
      <c r="L1904" s="95" t="n">
        <f aca="false">IF(B1904="CN",IF(N(I1904)&gt;0,I1904*가정!$B$3,K1904*(1+가정!$B$6)),IF(N(H1904)&gt;0,H1904*가정!$B$3,J1904*가정!$B$4))</f>
        <v>272556</v>
      </c>
      <c r="M1904" s="95" t="n">
        <f aca="false">D1904*J1904</f>
        <v>43945000</v>
      </c>
      <c r="N1904" s="95" t="n">
        <f aca="false">D1904*K1904</f>
        <v>10923825</v>
      </c>
      <c r="O1904" s="95" t="n">
        <f aca="false">D1904*L1904</f>
        <v>14990580</v>
      </c>
      <c r="P1904" s="34" t="str">
        <f aca="false">TRIM(IF(N(E1904)&lt;=0,"택가보정 ","")&amp;IF(N(F1904)&lt;=0,"원가보정 ","")&amp;IF(AND(B1904&lt;&gt;"CN",N(H1904)&lt;=0),"공급가보정 ","")&amp;IF(AND(B1904="CN",N(I1904)&lt;=0),"중국공급가=원가+마진 ",""))</f>
        <v/>
      </c>
    </row>
    <row r="1905" customFormat="false" ht="15" hidden="false" customHeight="true" outlineLevel="0" collapsed="false">
      <c r="A1905" s="94" t="s">
        <v>1684</v>
      </c>
      <c r="B1905" s="34" t="str">
        <f aca="false">IF(A1905="100","HK",IF(A1905="200","CN",IF(A1905="300","TW","홀세일")))</f>
        <v>HK</v>
      </c>
      <c r="C1905" s="94" t="s">
        <v>799</v>
      </c>
      <c r="D1905" s="95" t="n">
        <v>400</v>
      </c>
      <c r="E1905" s="95" t="n">
        <v>299000</v>
      </c>
      <c r="F1905" s="95" t="n">
        <v>94700</v>
      </c>
      <c r="G1905" s="34" t="n">
        <v>3.21</v>
      </c>
      <c r="H1905" s="34" t="n">
        <v>74.9</v>
      </c>
      <c r="I1905" s="34" t="n">
        <v>0</v>
      </c>
      <c r="J1905" s="95" t="n">
        <f aca="false">IF(N(E1905)&gt;0,E1905,IF(N(F1905)&gt;0,F1905*가정!$B$5,0))</f>
        <v>299000</v>
      </c>
      <c r="K1905" s="95" t="n">
        <f aca="false">IF(N(F1905)&gt;0,F1905,IF(N(E1905)&gt;0,E1905/가정!$B$5,0))</f>
        <v>94700</v>
      </c>
      <c r="L1905" s="95" t="n">
        <f aca="false">IF(B1905="CN",IF(N(I1905)&gt;0,I1905*가정!$B$3,K1905*(1+가정!$B$6)),IF(N(H1905)&gt;0,H1905*가정!$B$3,J1905*가정!$B$4))</f>
        <v>102072.222</v>
      </c>
      <c r="M1905" s="95" t="n">
        <f aca="false">D1905*J1905</f>
        <v>119600000</v>
      </c>
      <c r="N1905" s="95" t="n">
        <f aca="false">D1905*K1905</f>
        <v>37880000</v>
      </c>
      <c r="O1905" s="95" t="n">
        <f aca="false">D1905*L1905</f>
        <v>40828888.8</v>
      </c>
      <c r="P1905" s="34" t="str">
        <f aca="false">TRIM(IF(N(E1905)&lt;=0,"택가보정 ","")&amp;IF(N(F1905)&lt;=0,"원가보정 ","")&amp;IF(AND(B1905&lt;&gt;"CN",N(H1905)&lt;=0),"공급가보정 ","")&amp;IF(AND(B1905="CN",N(I1905)&lt;=0),"중국공급가=원가+마진 ",""))</f>
        <v/>
      </c>
    </row>
    <row r="1906" customFormat="false" ht="15" hidden="false" customHeight="true" outlineLevel="0" collapsed="false">
      <c r="A1906" s="94" t="s">
        <v>1686</v>
      </c>
      <c r="B1906" s="34" t="str">
        <f aca="false">IF(A1906="100","HK",IF(A1906="200","CN",IF(A1906="300","TW","홀세일")))</f>
        <v>TW</v>
      </c>
      <c r="C1906" s="94" t="s">
        <v>799</v>
      </c>
      <c r="D1906" s="95" t="n">
        <v>250</v>
      </c>
      <c r="E1906" s="95" t="n">
        <v>299000</v>
      </c>
      <c r="F1906" s="95" t="n">
        <v>94700</v>
      </c>
      <c r="G1906" s="34" t="n">
        <v>3.21</v>
      </c>
      <c r="H1906" s="34" t="n">
        <v>74.9</v>
      </c>
      <c r="I1906" s="34" t="n">
        <v>0</v>
      </c>
      <c r="J1906" s="95" t="n">
        <f aca="false">IF(N(E1906)&gt;0,E1906,IF(N(F1906)&gt;0,F1906*가정!$B$5,0))</f>
        <v>299000</v>
      </c>
      <c r="K1906" s="95" t="n">
        <f aca="false">IF(N(F1906)&gt;0,F1906,IF(N(E1906)&gt;0,E1906/가정!$B$5,0))</f>
        <v>94700</v>
      </c>
      <c r="L1906" s="95" t="n">
        <f aca="false">IF(B1906="CN",IF(N(I1906)&gt;0,I1906*가정!$B$3,K1906*(1+가정!$B$6)),IF(N(H1906)&gt;0,H1906*가정!$B$3,J1906*가정!$B$4))</f>
        <v>102072.222</v>
      </c>
      <c r="M1906" s="95" t="n">
        <f aca="false">D1906*J1906</f>
        <v>74750000</v>
      </c>
      <c r="N1906" s="95" t="n">
        <f aca="false">D1906*K1906</f>
        <v>23675000</v>
      </c>
      <c r="O1906" s="95" t="n">
        <f aca="false">D1906*L1906</f>
        <v>25518055.5</v>
      </c>
      <c r="P1906" s="34" t="str">
        <f aca="false">TRIM(IF(N(E1906)&lt;=0,"택가보정 ","")&amp;IF(N(F1906)&lt;=0,"원가보정 ","")&amp;IF(AND(B1906&lt;&gt;"CN",N(H1906)&lt;=0),"공급가보정 ","")&amp;IF(AND(B1906="CN",N(I1906)&lt;=0),"중국공급가=원가+마진 ",""))</f>
        <v/>
      </c>
    </row>
    <row r="1907" customFormat="false" ht="15" hidden="false" customHeight="true" outlineLevel="0" collapsed="false">
      <c r="A1907" s="94" t="s">
        <v>1688</v>
      </c>
      <c r="B1907" s="34" t="str">
        <f aca="false">IF(A1907="100","HK",IF(A1907="200","CN",IF(A1907="300","TW","홀세일")))</f>
        <v>홀세일</v>
      </c>
      <c r="C1907" s="94" t="s">
        <v>799</v>
      </c>
      <c r="D1907" s="95" t="n">
        <v>15</v>
      </c>
      <c r="E1907" s="95" t="n">
        <v>299000</v>
      </c>
      <c r="F1907" s="95" t="n">
        <v>94700</v>
      </c>
      <c r="G1907" s="34" t="n">
        <v>3.21</v>
      </c>
      <c r="H1907" s="34" t="n">
        <v>74.9</v>
      </c>
      <c r="I1907" s="34" t="n">
        <v>0</v>
      </c>
      <c r="J1907" s="95" t="n">
        <f aca="false">IF(N(E1907)&gt;0,E1907,IF(N(F1907)&gt;0,F1907*가정!$B$5,0))</f>
        <v>299000</v>
      </c>
      <c r="K1907" s="95" t="n">
        <f aca="false">IF(N(F1907)&gt;0,F1907,IF(N(E1907)&gt;0,E1907/가정!$B$5,0))</f>
        <v>94700</v>
      </c>
      <c r="L1907" s="95" t="n">
        <f aca="false">IF(B1907="CN",IF(N(I1907)&gt;0,I1907*가정!$B$3,K1907*(1+가정!$B$6)),IF(N(H1907)&gt;0,H1907*가정!$B$3,J1907*가정!$B$4))</f>
        <v>102072.222</v>
      </c>
      <c r="M1907" s="95" t="n">
        <f aca="false">D1907*J1907</f>
        <v>4485000</v>
      </c>
      <c r="N1907" s="95" t="n">
        <f aca="false">D1907*K1907</f>
        <v>1420500</v>
      </c>
      <c r="O1907" s="95" t="n">
        <f aca="false">D1907*L1907</f>
        <v>1531083.33</v>
      </c>
      <c r="P1907" s="34" t="str">
        <f aca="false">TRIM(IF(N(E1907)&lt;=0,"택가보정 ","")&amp;IF(N(F1907)&lt;=0,"원가보정 ","")&amp;IF(AND(B1907&lt;&gt;"CN",N(H1907)&lt;=0),"공급가보정 ","")&amp;IF(AND(B1907="CN",N(I1907)&lt;=0),"중국공급가=원가+마진 ",""))</f>
        <v/>
      </c>
    </row>
    <row r="1908" customFormat="false" ht="15" hidden="false" customHeight="true" outlineLevel="0" collapsed="false">
      <c r="A1908" s="94" t="s">
        <v>1685</v>
      </c>
      <c r="B1908" s="34" t="str">
        <f aca="false">IF(A1908="100","HK",IF(A1908="200","CN",IF(A1908="300","TW","홀세일")))</f>
        <v>CN</v>
      </c>
      <c r="C1908" s="94" t="s">
        <v>801</v>
      </c>
      <c r="D1908" s="95" t="n">
        <v>133</v>
      </c>
      <c r="E1908" s="95" t="n">
        <v>429000</v>
      </c>
      <c r="F1908" s="95" t="n">
        <v>121487</v>
      </c>
      <c r="G1908" s="34" t="n">
        <v>3.24</v>
      </c>
      <c r="H1908" s="34" t="n">
        <v>107.4</v>
      </c>
      <c r="I1908" s="34" t="n">
        <v>96</v>
      </c>
      <c r="J1908" s="95" t="n">
        <f aca="false">IF(N(E1908)&gt;0,E1908,IF(N(F1908)&gt;0,F1908*가정!$B$5,0))</f>
        <v>429000</v>
      </c>
      <c r="K1908" s="95" t="n">
        <f aca="false">IF(N(F1908)&gt;0,F1908,IF(N(E1908)&gt;0,E1908/가정!$B$5,0))</f>
        <v>121487</v>
      </c>
      <c r="L1908" s="95" t="n">
        <f aca="false">IF(B1908="CN",IF(N(I1908)&gt;0,I1908*가정!$B$3,K1908*(1+가정!$B$6)),IF(N(H1908)&gt;0,H1908*가정!$B$3,J1908*가정!$B$4))</f>
        <v>130826.88</v>
      </c>
      <c r="M1908" s="95" t="n">
        <f aca="false">D1908*J1908</f>
        <v>57057000</v>
      </c>
      <c r="N1908" s="95" t="n">
        <f aca="false">D1908*K1908</f>
        <v>16157771</v>
      </c>
      <c r="O1908" s="95" t="n">
        <f aca="false">D1908*L1908</f>
        <v>17399975.04</v>
      </c>
      <c r="P1908" s="34" t="str">
        <f aca="false">TRIM(IF(N(E1908)&lt;=0,"택가보정 ","")&amp;IF(N(F1908)&lt;=0,"원가보정 ","")&amp;IF(AND(B1908&lt;&gt;"CN",N(H1908)&lt;=0),"공급가보정 ","")&amp;IF(AND(B1908="CN",N(I1908)&lt;=0),"중국공급가=원가+마진 ",""))</f>
        <v/>
      </c>
    </row>
    <row r="1909" customFormat="false" ht="15" hidden="false" customHeight="true" outlineLevel="0" collapsed="false">
      <c r="A1909" s="94" t="s">
        <v>1686</v>
      </c>
      <c r="B1909" s="34" t="str">
        <f aca="false">IF(A1909="100","HK",IF(A1909="200","CN",IF(A1909="300","TW","홀세일")))</f>
        <v>TW</v>
      </c>
      <c r="C1909" s="94" t="s">
        <v>801</v>
      </c>
      <c r="D1909" s="95" t="n">
        <v>100</v>
      </c>
      <c r="E1909" s="95" t="n">
        <v>429000</v>
      </c>
      <c r="F1909" s="95" t="n">
        <v>121487</v>
      </c>
      <c r="G1909" s="34" t="n">
        <v>3.24</v>
      </c>
      <c r="H1909" s="34" t="n">
        <v>107.4</v>
      </c>
      <c r="I1909" s="34" t="n">
        <v>96</v>
      </c>
      <c r="J1909" s="95" t="n">
        <f aca="false">IF(N(E1909)&gt;0,E1909,IF(N(F1909)&gt;0,F1909*가정!$B$5,0))</f>
        <v>429000</v>
      </c>
      <c r="K1909" s="95" t="n">
        <f aca="false">IF(N(F1909)&gt;0,F1909,IF(N(E1909)&gt;0,E1909/가정!$B$5,0))</f>
        <v>121487</v>
      </c>
      <c r="L1909" s="95" t="n">
        <f aca="false">IF(B1909="CN",IF(N(I1909)&gt;0,I1909*가정!$B$3,K1909*(1+가정!$B$6)),IF(N(H1909)&gt;0,H1909*가정!$B$3,J1909*가정!$B$4))</f>
        <v>146362.572</v>
      </c>
      <c r="M1909" s="95" t="n">
        <f aca="false">D1909*J1909</f>
        <v>42900000</v>
      </c>
      <c r="N1909" s="95" t="n">
        <f aca="false">D1909*K1909</f>
        <v>12148700</v>
      </c>
      <c r="O1909" s="95" t="n">
        <f aca="false">D1909*L1909</f>
        <v>14636257.2</v>
      </c>
      <c r="P1909" s="34" t="str">
        <f aca="false">TRIM(IF(N(E1909)&lt;=0,"택가보정 ","")&amp;IF(N(F1909)&lt;=0,"원가보정 ","")&amp;IF(AND(B1909&lt;&gt;"CN",N(H1909)&lt;=0),"공급가보정 ","")&amp;IF(AND(B1909="CN",N(I1909)&lt;=0),"중국공급가=원가+마진 ",""))</f>
        <v/>
      </c>
    </row>
    <row r="1910" customFormat="false" ht="15" hidden="false" customHeight="true" outlineLevel="0" collapsed="false">
      <c r="A1910" s="94" t="s">
        <v>1685</v>
      </c>
      <c r="B1910" s="34" t="str">
        <f aca="false">IF(A1910="100","HK",IF(A1910="200","CN",IF(A1910="300","TW","홀세일")))</f>
        <v>CN</v>
      </c>
      <c r="C1910" s="94" t="s">
        <v>803</v>
      </c>
      <c r="D1910" s="95" t="n">
        <v>519</v>
      </c>
      <c r="E1910" s="95" t="n">
        <v>399000</v>
      </c>
      <c r="F1910" s="95" t="n">
        <v>118189</v>
      </c>
      <c r="G1910" s="34" t="n">
        <v>3.3</v>
      </c>
      <c r="H1910" s="34" t="n">
        <v>99.9</v>
      </c>
      <c r="I1910" s="34" t="n">
        <v>93.3</v>
      </c>
      <c r="J1910" s="95" t="n">
        <f aca="false">IF(N(E1910)&gt;0,E1910,IF(N(F1910)&gt;0,F1910*가정!$B$5,0))</f>
        <v>399000</v>
      </c>
      <c r="K1910" s="95" t="n">
        <f aca="false">IF(N(F1910)&gt;0,F1910,IF(N(E1910)&gt;0,E1910/가정!$B$5,0))</f>
        <v>118189</v>
      </c>
      <c r="L1910" s="95" t="n">
        <f aca="false">IF(B1910="CN",IF(N(I1910)&gt;0,I1910*가정!$B$3,K1910*(1+가정!$B$6)),IF(N(H1910)&gt;0,H1910*가정!$B$3,J1910*가정!$B$4))</f>
        <v>127147.374</v>
      </c>
      <c r="M1910" s="95" t="n">
        <f aca="false">D1910*J1910</f>
        <v>207081000</v>
      </c>
      <c r="N1910" s="95" t="n">
        <f aca="false">D1910*K1910</f>
        <v>61340091</v>
      </c>
      <c r="O1910" s="95" t="n">
        <f aca="false">D1910*L1910</f>
        <v>65989487.106</v>
      </c>
      <c r="P1910" s="34" t="str">
        <f aca="false">TRIM(IF(N(E1910)&lt;=0,"택가보정 ","")&amp;IF(N(F1910)&lt;=0,"원가보정 ","")&amp;IF(AND(B1910&lt;&gt;"CN",N(H1910)&lt;=0),"공급가보정 ","")&amp;IF(AND(B1910="CN",N(I1910)&lt;=0),"중국공급가=원가+마진 ",""))</f>
        <v/>
      </c>
    </row>
    <row r="1911" customFormat="false" ht="15" hidden="false" customHeight="true" outlineLevel="0" collapsed="false">
      <c r="A1911" s="94" t="s">
        <v>1686</v>
      </c>
      <c r="B1911" s="34" t="str">
        <f aca="false">IF(A1911="100","HK",IF(A1911="200","CN",IF(A1911="300","TW","홀세일")))</f>
        <v>TW</v>
      </c>
      <c r="C1911" s="94" t="s">
        <v>803</v>
      </c>
      <c r="D1911" s="95" t="n">
        <v>360</v>
      </c>
      <c r="E1911" s="95" t="n">
        <v>399000</v>
      </c>
      <c r="F1911" s="95" t="n">
        <v>118189</v>
      </c>
      <c r="G1911" s="34" t="n">
        <v>3.3</v>
      </c>
      <c r="H1911" s="34" t="n">
        <v>99.9</v>
      </c>
      <c r="I1911" s="34" t="n">
        <v>93.3</v>
      </c>
      <c r="J1911" s="95" t="n">
        <f aca="false">IF(N(E1911)&gt;0,E1911,IF(N(F1911)&gt;0,F1911*가정!$B$5,0))</f>
        <v>399000</v>
      </c>
      <c r="K1911" s="95" t="n">
        <f aca="false">IF(N(F1911)&gt;0,F1911,IF(N(E1911)&gt;0,E1911/가정!$B$5,0))</f>
        <v>118189</v>
      </c>
      <c r="L1911" s="95" t="n">
        <f aca="false">IF(B1911="CN",IF(N(I1911)&gt;0,I1911*가정!$B$3,K1911*(1+가정!$B$6)),IF(N(H1911)&gt;0,H1911*가정!$B$3,J1911*가정!$B$4))</f>
        <v>136141.722</v>
      </c>
      <c r="M1911" s="95" t="n">
        <f aca="false">D1911*J1911</f>
        <v>143640000</v>
      </c>
      <c r="N1911" s="95" t="n">
        <f aca="false">D1911*K1911</f>
        <v>42548040</v>
      </c>
      <c r="O1911" s="95" t="n">
        <f aca="false">D1911*L1911</f>
        <v>49011019.92</v>
      </c>
      <c r="P1911" s="34" t="str">
        <f aca="false">TRIM(IF(N(E1911)&lt;=0,"택가보정 ","")&amp;IF(N(F1911)&lt;=0,"원가보정 ","")&amp;IF(AND(B1911&lt;&gt;"CN",N(H1911)&lt;=0),"공급가보정 ","")&amp;IF(AND(B1911="CN",N(I1911)&lt;=0),"중국공급가=원가+마진 ",""))</f>
        <v/>
      </c>
    </row>
    <row r="1912" customFormat="false" ht="15" hidden="false" customHeight="true" outlineLevel="0" collapsed="false">
      <c r="A1912" s="94" t="s">
        <v>1685</v>
      </c>
      <c r="B1912" s="34" t="str">
        <f aca="false">IF(A1912="100","HK",IF(A1912="200","CN",IF(A1912="300","TW","홀세일")))</f>
        <v>CN</v>
      </c>
      <c r="C1912" s="94" t="s">
        <v>1273</v>
      </c>
      <c r="D1912" s="95" t="n">
        <v>286</v>
      </c>
      <c r="E1912" s="95"/>
      <c r="F1912" s="95" t="n">
        <v>192700</v>
      </c>
      <c r="G1912" s="34" t="n">
        <v>3.26</v>
      </c>
      <c r="I1912" s="34" t="n">
        <v>153.5</v>
      </c>
      <c r="J1912" s="95" t="n">
        <f aca="false">IF(N(E1912)&gt;0,E1912,IF(N(F1912)&gt;0,F1912*가정!$B$5,0))</f>
        <v>770800</v>
      </c>
      <c r="K1912" s="95" t="n">
        <f aca="false">IF(N(F1912)&gt;0,F1912,IF(N(E1912)&gt;0,E1912/가정!$B$5,0))</f>
        <v>192700</v>
      </c>
      <c r="L1912" s="95" t="n">
        <f aca="false">IF(B1912="CN",IF(N(I1912)&gt;0,I1912*가정!$B$3,K1912*(1+가정!$B$6)),IF(N(H1912)&gt;0,H1912*가정!$B$3,J1912*가정!$B$4))</f>
        <v>209186.73</v>
      </c>
      <c r="M1912" s="95" t="n">
        <f aca="false">D1912*J1912</f>
        <v>220448800</v>
      </c>
      <c r="N1912" s="95" t="n">
        <f aca="false">D1912*K1912</f>
        <v>55112200</v>
      </c>
      <c r="O1912" s="95" t="n">
        <f aca="false">D1912*L1912</f>
        <v>59827404.78</v>
      </c>
      <c r="P1912" s="34" t="str">
        <f aca="false">TRIM(IF(N(E1912)&lt;=0,"택가보정 ","")&amp;IF(N(F1912)&lt;=0,"원가보정 ","")&amp;IF(AND(B1912&lt;&gt;"CN",N(H1912)&lt;=0),"공급가보정 ","")&amp;IF(AND(B1912="CN",N(I1912)&lt;=0),"중국공급가=원가+마진 ",""))</f>
        <v>택가보정</v>
      </c>
    </row>
    <row r="1913" customFormat="false" ht="15" hidden="false" customHeight="true" outlineLevel="0" collapsed="false">
      <c r="A1913" s="94" t="s">
        <v>1685</v>
      </c>
      <c r="B1913" s="34" t="str">
        <f aca="false">IF(A1913="100","HK",IF(A1913="200","CN",IF(A1913="300","TW","홀세일")))</f>
        <v>CN</v>
      </c>
      <c r="C1913" s="94" t="s">
        <v>1273</v>
      </c>
      <c r="D1913" s="95" t="n">
        <v>286</v>
      </c>
      <c r="E1913" s="95"/>
      <c r="F1913" s="95" t="n">
        <v>192700</v>
      </c>
      <c r="G1913" s="34" t="n">
        <v>3.26</v>
      </c>
      <c r="I1913" s="34" t="n">
        <v>153.5</v>
      </c>
      <c r="J1913" s="95" t="n">
        <f aca="false">IF(N(E1913)&gt;0,E1913,IF(N(F1913)&gt;0,F1913*가정!$B$5,0))</f>
        <v>770800</v>
      </c>
      <c r="K1913" s="95" t="n">
        <f aca="false">IF(N(F1913)&gt;0,F1913,IF(N(E1913)&gt;0,E1913/가정!$B$5,0))</f>
        <v>192700</v>
      </c>
      <c r="L1913" s="95" t="n">
        <f aca="false">IF(B1913="CN",IF(N(I1913)&gt;0,I1913*가정!$B$3,K1913*(1+가정!$B$6)),IF(N(H1913)&gt;0,H1913*가정!$B$3,J1913*가정!$B$4))</f>
        <v>209186.73</v>
      </c>
      <c r="M1913" s="95" t="n">
        <f aca="false">D1913*J1913</f>
        <v>220448800</v>
      </c>
      <c r="N1913" s="95" t="n">
        <f aca="false">D1913*K1913</f>
        <v>55112200</v>
      </c>
      <c r="O1913" s="95" t="n">
        <f aca="false">D1913*L1913</f>
        <v>59827404.78</v>
      </c>
      <c r="P1913" s="34" t="str">
        <f aca="false">TRIM(IF(N(E1913)&lt;=0,"택가보정 ","")&amp;IF(N(F1913)&lt;=0,"원가보정 ","")&amp;IF(AND(B1913&lt;&gt;"CN",N(H1913)&lt;=0),"공급가보정 ","")&amp;IF(AND(B1913="CN",N(I1913)&lt;=0),"중국공급가=원가+마진 ",""))</f>
        <v>택가보정</v>
      </c>
    </row>
    <row r="1914" customFormat="false" ht="15" hidden="false" customHeight="true" outlineLevel="0" collapsed="false">
      <c r="A1914" s="94" t="s">
        <v>1685</v>
      </c>
      <c r="B1914" s="34" t="str">
        <f aca="false">IF(A1914="100","HK",IF(A1914="200","CN",IF(A1914="300","TW","홀세일")))</f>
        <v>CN</v>
      </c>
      <c r="C1914" s="94" t="s">
        <v>1275</v>
      </c>
      <c r="D1914" s="95" t="n">
        <v>122</v>
      </c>
      <c r="E1914" s="95"/>
      <c r="F1914" s="95" t="n">
        <v>226400</v>
      </c>
      <c r="G1914" s="34" t="n">
        <v>3.17</v>
      </c>
      <c r="H1914" s="34" t="n">
        <v>197.7</v>
      </c>
      <c r="I1914" s="34" t="n">
        <v>180.3</v>
      </c>
      <c r="J1914" s="95" t="n">
        <f aca="false">IF(N(E1914)&gt;0,E1914,IF(N(F1914)&gt;0,F1914*가정!$B$5,0))</f>
        <v>905600</v>
      </c>
      <c r="K1914" s="95" t="n">
        <f aca="false">IF(N(F1914)&gt;0,F1914,IF(N(E1914)&gt;0,E1914/가정!$B$5,0))</f>
        <v>226400</v>
      </c>
      <c r="L1914" s="95" t="n">
        <f aca="false">IF(B1914="CN",IF(N(I1914)&gt;0,I1914*가정!$B$3,K1914*(1+가정!$B$6)),IF(N(H1914)&gt;0,H1914*가정!$B$3,J1914*가정!$B$4))</f>
        <v>245709.234</v>
      </c>
      <c r="M1914" s="95" t="n">
        <f aca="false">D1914*J1914</f>
        <v>110483200</v>
      </c>
      <c r="N1914" s="95" t="n">
        <f aca="false">D1914*K1914</f>
        <v>27620800</v>
      </c>
      <c r="O1914" s="95" t="n">
        <f aca="false">D1914*L1914</f>
        <v>29976526.548</v>
      </c>
      <c r="P1914" s="34" t="str">
        <f aca="false">TRIM(IF(N(E1914)&lt;=0,"택가보정 ","")&amp;IF(N(F1914)&lt;=0,"원가보정 ","")&amp;IF(AND(B1914&lt;&gt;"CN",N(H1914)&lt;=0),"공급가보정 ","")&amp;IF(AND(B1914="CN",N(I1914)&lt;=0),"중국공급가=원가+마진 ",""))</f>
        <v>택가보정</v>
      </c>
    </row>
    <row r="1915" customFormat="false" ht="15" hidden="false" customHeight="true" outlineLevel="0" collapsed="false">
      <c r="A1915" s="94" t="s">
        <v>1686</v>
      </c>
      <c r="B1915" s="34" t="str">
        <f aca="false">IF(A1915="100","HK",IF(A1915="200","CN",IF(A1915="300","TW","홀세일")))</f>
        <v>TW</v>
      </c>
      <c r="C1915" s="94" t="s">
        <v>1275</v>
      </c>
      <c r="D1915" s="95" t="n">
        <v>290</v>
      </c>
      <c r="E1915" s="95"/>
      <c r="F1915" s="95" t="n">
        <v>226400</v>
      </c>
      <c r="G1915" s="34" t="n">
        <v>3.17</v>
      </c>
      <c r="H1915" s="34" t="n">
        <v>197.7</v>
      </c>
      <c r="I1915" s="34" t="n">
        <v>180.3</v>
      </c>
      <c r="J1915" s="95" t="n">
        <f aca="false">IF(N(E1915)&gt;0,E1915,IF(N(F1915)&gt;0,F1915*가정!$B$5,0))</f>
        <v>905600</v>
      </c>
      <c r="K1915" s="95" t="n">
        <f aca="false">IF(N(F1915)&gt;0,F1915,IF(N(E1915)&gt;0,E1915/가정!$B$5,0))</f>
        <v>226400</v>
      </c>
      <c r="L1915" s="95" t="n">
        <f aca="false">IF(B1915="CN",IF(N(I1915)&gt;0,I1915*가정!$B$3,K1915*(1+가정!$B$6)),IF(N(H1915)&gt;0,H1915*가정!$B$3,J1915*가정!$B$4))</f>
        <v>269421.606</v>
      </c>
      <c r="M1915" s="95" t="n">
        <f aca="false">D1915*J1915</f>
        <v>262624000</v>
      </c>
      <c r="N1915" s="95" t="n">
        <f aca="false">D1915*K1915</f>
        <v>65656000</v>
      </c>
      <c r="O1915" s="95" t="n">
        <f aca="false">D1915*L1915</f>
        <v>78132265.74</v>
      </c>
      <c r="P1915" s="34" t="str">
        <f aca="false">TRIM(IF(N(E1915)&lt;=0,"택가보정 ","")&amp;IF(N(F1915)&lt;=0,"원가보정 ","")&amp;IF(AND(B1915&lt;&gt;"CN",N(H1915)&lt;=0),"공급가보정 ","")&amp;IF(AND(B1915="CN",N(I1915)&lt;=0),"중국공급가=원가+마진 ",""))</f>
        <v>택가보정</v>
      </c>
    </row>
    <row r="1916" customFormat="false" ht="15" hidden="false" customHeight="true" outlineLevel="0" collapsed="false">
      <c r="A1916" s="94" t="s">
        <v>1686</v>
      </c>
      <c r="B1916" s="34" t="str">
        <f aca="false">IF(A1916="100","HK",IF(A1916="200","CN",IF(A1916="300","TW","홀세일")))</f>
        <v>TW</v>
      </c>
      <c r="C1916" s="94" t="s">
        <v>1275</v>
      </c>
      <c r="D1916" s="95" t="n">
        <v>290</v>
      </c>
      <c r="E1916" s="95"/>
      <c r="F1916" s="95" t="n">
        <v>226400</v>
      </c>
      <c r="G1916" s="34" t="n">
        <v>3.17</v>
      </c>
      <c r="H1916" s="34" t="n">
        <v>197.7</v>
      </c>
      <c r="I1916" s="34" t="n">
        <v>180.3</v>
      </c>
      <c r="J1916" s="95" t="n">
        <f aca="false">IF(N(E1916)&gt;0,E1916,IF(N(F1916)&gt;0,F1916*가정!$B$5,0))</f>
        <v>905600</v>
      </c>
      <c r="K1916" s="95" t="n">
        <f aca="false">IF(N(F1916)&gt;0,F1916,IF(N(E1916)&gt;0,E1916/가정!$B$5,0))</f>
        <v>226400</v>
      </c>
      <c r="L1916" s="95" t="n">
        <f aca="false">IF(B1916="CN",IF(N(I1916)&gt;0,I1916*가정!$B$3,K1916*(1+가정!$B$6)),IF(N(H1916)&gt;0,H1916*가정!$B$3,J1916*가정!$B$4))</f>
        <v>269421.606</v>
      </c>
      <c r="M1916" s="95" t="n">
        <f aca="false">D1916*J1916</f>
        <v>262624000</v>
      </c>
      <c r="N1916" s="95" t="n">
        <f aca="false">D1916*K1916</f>
        <v>65656000</v>
      </c>
      <c r="O1916" s="95" t="n">
        <f aca="false">D1916*L1916</f>
        <v>78132265.74</v>
      </c>
      <c r="P1916" s="34" t="str">
        <f aca="false">TRIM(IF(N(E1916)&lt;=0,"택가보정 ","")&amp;IF(N(F1916)&lt;=0,"원가보정 ","")&amp;IF(AND(B1916&lt;&gt;"CN",N(H1916)&lt;=0),"공급가보정 ","")&amp;IF(AND(B1916="CN",N(I1916)&lt;=0),"중국공급가=원가+마진 ",""))</f>
        <v>택가보정</v>
      </c>
    </row>
    <row r="1917" customFormat="false" ht="15" hidden="false" customHeight="true" outlineLevel="0" collapsed="false">
      <c r="A1917" s="94" t="s">
        <v>1685</v>
      </c>
      <c r="B1917" s="34" t="str">
        <f aca="false">IF(A1917="100","HK",IF(A1917="200","CN",IF(A1917="300","TW","홀세일")))</f>
        <v>CN</v>
      </c>
      <c r="C1917" s="94" t="s">
        <v>1277</v>
      </c>
      <c r="D1917" s="95" t="n">
        <v>382</v>
      </c>
      <c r="E1917" s="95" t="n">
        <v>299000</v>
      </c>
      <c r="F1917" s="95" t="n">
        <v>91666</v>
      </c>
      <c r="G1917" s="34" t="n">
        <v>3.84</v>
      </c>
      <c r="H1917" s="34" t="n">
        <v>74.9</v>
      </c>
      <c r="I1917" s="34" t="n">
        <v>68</v>
      </c>
      <c r="J1917" s="95" t="n">
        <f aca="false">IF(N(E1917)&gt;0,E1917,IF(N(F1917)&gt;0,F1917*가정!$B$5,0))</f>
        <v>299000</v>
      </c>
      <c r="K1917" s="95" t="n">
        <f aca="false">IF(N(F1917)&gt;0,F1917,IF(N(E1917)&gt;0,E1917/가정!$B$5,0))</f>
        <v>91666</v>
      </c>
      <c r="L1917" s="95" t="n">
        <f aca="false">IF(B1917="CN",IF(N(I1917)&gt;0,I1917*가정!$B$3,K1917*(1+가정!$B$6)),IF(N(H1917)&gt;0,H1917*가정!$B$3,J1917*가정!$B$4))</f>
        <v>92669.04</v>
      </c>
      <c r="M1917" s="95" t="n">
        <f aca="false">D1917*J1917</f>
        <v>114218000</v>
      </c>
      <c r="N1917" s="95" t="n">
        <f aca="false">D1917*K1917</f>
        <v>35016412</v>
      </c>
      <c r="O1917" s="95" t="n">
        <f aca="false">D1917*L1917</f>
        <v>35399573.28</v>
      </c>
      <c r="P1917" s="34" t="str">
        <f aca="false">TRIM(IF(N(E1917)&lt;=0,"택가보정 ","")&amp;IF(N(F1917)&lt;=0,"원가보정 ","")&amp;IF(AND(B1917&lt;&gt;"CN",N(H1917)&lt;=0),"공급가보정 ","")&amp;IF(AND(B1917="CN",N(I1917)&lt;=0),"중국공급가=원가+마진 ",""))</f>
        <v/>
      </c>
    </row>
    <row r="1918" customFormat="false" ht="15" hidden="false" customHeight="true" outlineLevel="0" collapsed="false">
      <c r="A1918" s="94" t="s">
        <v>1685</v>
      </c>
      <c r="B1918" s="34" t="str">
        <f aca="false">IF(A1918="100","HK",IF(A1918="200","CN",IF(A1918="300","TW","홀세일")))</f>
        <v>CN</v>
      </c>
      <c r="C1918" s="94" t="s">
        <v>1279</v>
      </c>
      <c r="D1918" s="95" t="n">
        <v>292</v>
      </c>
      <c r="E1918" s="95" t="n">
        <v>239000</v>
      </c>
      <c r="F1918" s="95" t="n">
        <v>81412</v>
      </c>
      <c r="G1918" s="34" t="n">
        <v>4.1</v>
      </c>
      <c r="H1918" s="34" t="n">
        <v>59.9</v>
      </c>
      <c r="I1918" s="34" t="n">
        <v>66.1</v>
      </c>
      <c r="J1918" s="95" t="n">
        <f aca="false">IF(N(E1918)&gt;0,E1918,IF(N(F1918)&gt;0,F1918*가정!$B$5,0))</f>
        <v>239000</v>
      </c>
      <c r="K1918" s="95" t="n">
        <f aca="false">IF(N(F1918)&gt;0,F1918,IF(N(E1918)&gt;0,E1918/가정!$B$5,0))</f>
        <v>81412</v>
      </c>
      <c r="L1918" s="95" t="n">
        <f aca="false">IF(B1918="CN",IF(N(I1918)&gt;0,I1918*가정!$B$3,K1918*(1+가정!$B$6)),IF(N(H1918)&gt;0,H1918*가정!$B$3,J1918*가정!$B$4))</f>
        <v>90079.758</v>
      </c>
      <c r="M1918" s="95" t="n">
        <f aca="false">D1918*J1918</f>
        <v>69788000</v>
      </c>
      <c r="N1918" s="95" t="n">
        <f aca="false">D1918*K1918</f>
        <v>23772304</v>
      </c>
      <c r="O1918" s="95" t="n">
        <f aca="false">D1918*L1918</f>
        <v>26303289.336</v>
      </c>
      <c r="P1918" s="34" t="str">
        <f aca="false">TRIM(IF(N(E1918)&lt;=0,"택가보정 ","")&amp;IF(N(F1918)&lt;=0,"원가보정 ","")&amp;IF(AND(B1918&lt;&gt;"CN",N(H1918)&lt;=0),"공급가보정 ","")&amp;IF(AND(B1918="CN",N(I1918)&lt;=0),"중국공급가=원가+마진 ",""))</f>
        <v/>
      </c>
    </row>
    <row r="1919" customFormat="false" ht="15" hidden="false" customHeight="true" outlineLevel="0" collapsed="false">
      <c r="A1919" s="94" t="s">
        <v>1685</v>
      </c>
      <c r="B1919" s="34" t="str">
        <f aca="false">IF(A1919="100","HK",IF(A1919="200","CN",IF(A1919="300","TW","홀세일")))</f>
        <v>CN</v>
      </c>
      <c r="C1919" s="94" t="s">
        <v>1279</v>
      </c>
      <c r="D1919" s="95" t="n">
        <v>292</v>
      </c>
      <c r="E1919" s="95" t="n">
        <v>239000</v>
      </c>
      <c r="F1919" s="95" t="n">
        <v>81412</v>
      </c>
      <c r="G1919" s="34" t="n">
        <v>4.1</v>
      </c>
      <c r="H1919" s="34" t="n">
        <v>59.9</v>
      </c>
      <c r="I1919" s="34" t="n">
        <v>66.1</v>
      </c>
      <c r="J1919" s="95" t="n">
        <f aca="false">IF(N(E1919)&gt;0,E1919,IF(N(F1919)&gt;0,F1919*가정!$B$5,0))</f>
        <v>239000</v>
      </c>
      <c r="K1919" s="95" t="n">
        <f aca="false">IF(N(F1919)&gt;0,F1919,IF(N(E1919)&gt;0,E1919/가정!$B$5,0))</f>
        <v>81412</v>
      </c>
      <c r="L1919" s="95" t="n">
        <f aca="false">IF(B1919="CN",IF(N(I1919)&gt;0,I1919*가정!$B$3,K1919*(1+가정!$B$6)),IF(N(H1919)&gt;0,H1919*가정!$B$3,J1919*가정!$B$4))</f>
        <v>90079.758</v>
      </c>
      <c r="M1919" s="95" t="n">
        <f aca="false">D1919*J1919</f>
        <v>69788000</v>
      </c>
      <c r="N1919" s="95" t="n">
        <f aca="false">D1919*K1919</f>
        <v>23772304</v>
      </c>
      <c r="O1919" s="95" t="n">
        <f aca="false">D1919*L1919</f>
        <v>26303289.336</v>
      </c>
      <c r="P1919" s="34" t="str">
        <f aca="false">TRIM(IF(N(E1919)&lt;=0,"택가보정 ","")&amp;IF(N(F1919)&lt;=0,"원가보정 ","")&amp;IF(AND(B1919&lt;&gt;"CN",N(H1919)&lt;=0),"공급가보정 ","")&amp;IF(AND(B1919="CN",N(I1919)&lt;=0),"중국공급가=원가+마진 ",""))</f>
        <v/>
      </c>
    </row>
    <row r="1920" customFormat="false" ht="15" hidden="false" customHeight="true" outlineLevel="0" collapsed="false">
      <c r="A1920" s="94" t="s">
        <v>1689</v>
      </c>
      <c r="B1920" s="34" t="str">
        <f aca="false">IF(A1920="100","HK",IF(A1920="200","CN",IF(A1920="300","TW","홀세일")))</f>
        <v>홀세일</v>
      </c>
      <c r="C1920" s="94" t="s">
        <v>1279</v>
      </c>
      <c r="D1920" s="95" t="n">
        <v>55</v>
      </c>
      <c r="E1920" s="95" t="n">
        <v>239000</v>
      </c>
      <c r="F1920" s="95" t="n">
        <v>81412</v>
      </c>
      <c r="G1920" s="34" t="n">
        <v>4.1</v>
      </c>
      <c r="H1920" s="34" t="n">
        <v>59.9</v>
      </c>
      <c r="I1920" s="34" t="n">
        <v>66.1</v>
      </c>
      <c r="J1920" s="95" t="n">
        <f aca="false">IF(N(E1920)&gt;0,E1920,IF(N(F1920)&gt;0,F1920*가정!$B$5,0))</f>
        <v>239000</v>
      </c>
      <c r="K1920" s="95" t="n">
        <f aca="false">IF(N(F1920)&gt;0,F1920,IF(N(E1920)&gt;0,E1920/가정!$B$5,0))</f>
        <v>81412</v>
      </c>
      <c r="L1920" s="95" t="n">
        <f aca="false">IF(B1920="CN",IF(N(I1920)&gt;0,I1920*가정!$B$3,K1920*(1+가정!$B$6)),IF(N(H1920)&gt;0,H1920*가정!$B$3,J1920*가정!$B$4))</f>
        <v>81630.522</v>
      </c>
      <c r="M1920" s="95" t="n">
        <f aca="false">D1920*J1920</f>
        <v>13145000</v>
      </c>
      <c r="N1920" s="95" t="n">
        <f aca="false">D1920*K1920</f>
        <v>4477660</v>
      </c>
      <c r="O1920" s="95" t="n">
        <f aca="false">D1920*L1920</f>
        <v>4489678.71</v>
      </c>
      <c r="P1920" s="34" t="str">
        <f aca="false">TRIM(IF(N(E1920)&lt;=0,"택가보정 ","")&amp;IF(N(F1920)&lt;=0,"원가보정 ","")&amp;IF(AND(B1920&lt;&gt;"CN",N(H1920)&lt;=0),"공급가보정 ","")&amp;IF(AND(B1920="CN",N(I1920)&lt;=0),"중국공급가=원가+마진 ",""))</f>
        <v/>
      </c>
    </row>
    <row r="1921" customFormat="false" ht="15" hidden="false" customHeight="true" outlineLevel="0" collapsed="false">
      <c r="A1921" s="94" t="s">
        <v>1685</v>
      </c>
      <c r="B1921" s="34" t="str">
        <f aca="false">IF(A1921="100","HK",IF(A1921="200","CN",IF(A1921="300","TW","홀세일")))</f>
        <v>CN</v>
      </c>
      <c r="C1921" s="94" t="s">
        <v>1281</v>
      </c>
      <c r="D1921" s="95" t="n">
        <v>322</v>
      </c>
      <c r="E1921" s="95" t="n">
        <v>119000</v>
      </c>
      <c r="F1921" s="95" t="n">
        <v>29711</v>
      </c>
      <c r="G1921" s="34" t="n">
        <v>4.45</v>
      </c>
      <c r="H1921" s="34" t="n">
        <v>28</v>
      </c>
      <c r="I1921" s="34" t="n">
        <v>25</v>
      </c>
      <c r="J1921" s="95" t="n">
        <f aca="false">IF(N(E1921)&gt;0,E1921,IF(N(F1921)&gt;0,F1921*가정!$B$5,0))</f>
        <v>119000</v>
      </c>
      <c r="K1921" s="95" t="n">
        <f aca="false">IF(N(F1921)&gt;0,F1921,IF(N(E1921)&gt;0,E1921/가정!$B$5,0))</f>
        <v>29711</v>
      </c>
      <c r="L1921" s="95" t="n">
        <f aca="false">IF(B1921="CN",IF(N(I1921)&gt;0,I1921*가정!$B$3,K1921*(1+가정!$B$6)),IF(N(H1921)&gt;0,H1921*가정!$B$3,J1921*가정!$B$4))</f>
        <v>34069.5</v>
      </c>
      <c r="M1921" s="95" t="n">
        <f aca="false">D1921*J1921</f>
        <v>38318000</v>
      </c>
      <c r="N1921" s="95" t="n">
        <f aca="false">D1921*K1921</f>
        <v>9566942</v>
      </c>
      <c r="O1921" s="95" t="n">
        <f aca="false">D1921*L1921</f>
        <v>10970379</v>
      </c>
      <c r="P1921" s="34" t="str">
        <f aca="false">TRIM(IF(N(E1921)&lt;=0,"택가보정 ","")&amp;IF(N(F1921)&lt;=0,"원가보정 ","")&amp;IF(AND(B1921&lt;&gt;"CN",N(H1921)&lt;=0),"공급가보정 ","")&amp;IF(AND(B1921="CN",N(I1921)&lt;=0),"중국공급가=원가+마진 ",""))</f>
        <v/>
      </c>
    </row>
    <row r="1922" customFormat="false" ht="15" hidden="false" customHeight="true" outlineLevel="0" collapsed="false">
      <c r="A1922" s="94" t="s">
        <v>1684</v>
      </c>
      <c r="B1922" s="34" t="str">
        <f aca="false">IF(A1922="100","HK",IF(A1922="200","CN",IF(A1922="300","TW","홀세일")))</f>
        <v>HK</v>
      </c>
      <c r="C1922" s="94" t="s">
        <v>805</v>
      </c>
      <c r="D1922" s="95" t="n">
        <v>200</v>
      </c>
      <c r="E1922" s="95" t="n">
        <v>159000</v>
      </c>
      <c r="F1922" s="95" t="n">
        <v>27600</v>
      </c>
      <c r="G1922" s="34" t="n">
        <v>5.05</v>
      </c>
      <c r="H1922" s="34" t="n">
        <v>37.4</v>
      </c>
      <c r="J1922" s="95" t="n">
        <f aca="false">IF(N(E1922)&gt;0,E1922,IF(N(F1922)&gt;0,F1922*가정!$B$5,0))</f>
        <v>159000</v>
      </c>
      <c r="K1922" s="95" t="n">
        <f aca="false">IF(N(F1922)&gt;0,F1922,IF(N(E1922)&gt;0,E1922/가정!$B$5,0))</f>
        <v>27600</v>
      </c>
      <c r="L1922" s="95" t="n">
        <f aca="false">IF(B1922="CN",IF(N(I1922)&gt;0,I1922*가정!$B$3,K1922*(1+가정!$B$6)),IF(N(H1922)&gt;0,H1922*가정!$B$3,J1922*가정!$B$4))</f>
        <v>50967.972</v>
      </c>
      <c r="M1922" s="95" t="n">
        <f aca="false">D1922*J1922</f>
        <v>31800000</v>
      </c>
      <c r="N1922" s="95" t="n">
        <f aca="false">D1922*K1922</f>
        <v>5520000</v>
      </c>
      <c r="O1922" s="95" t="n">
        <f aca="false">D1922*L1922</f>
        <v>10193594.4</v>
      </c>
      <c r="P1922" s="34" t="str">
        <f aca="false">TRIM(IF(N(E1922)&lt;=0,"택가보정 ","")&amp;IF(N(F1922)&lt;=0,"원가보정 ","")&amp;IF(AND(B1922&lt;&gt;"CN",N(H1922)&lt;=0),"공급가보정 ","")&amp;IF(AND(B1922="CN",N(I1922)&lt;=0),"중국공급가=원가+마진 ",""))</f>
        <v/>
      </c>
    </row>
    <row r="1923" customFormat="false" ht="15" hidden="false" customHeight="true" outlineLevel="0" collapsed="false">
      <c r="A1923" s="94" t="s">
        <v>1686</v>
      </c>
      <c r="B1923" s="34" t="str">
        <f aca="false">IF(A1923="100","HK",IF(A1923="200","CN",IF(A1923="300","TW","홀세일")))</f>
        <v>TW</v>
      </c>
      <c r="C1923" s="94" t="s">
        <v>805</v>
      </c>
      <c r="D1923" s="95" t="n">
        <v>340</v>
      </c>
      <c r="E1923" s="95" t="n">
        <v>159000</v>
      </c>
      <c r="F1923" s="95" t="n">
        <v>27600</v>
      </c>
      <c r="G1923" s="34" t="n">
        <v>5.05</v>
      </c>
      <c r="H1923" s="34" t="n">
        <v>37.4</v>
      </c>
      <c r="J1923" s="95" t="n">
        <f aca="false">IF(N(E1923)&gt;0,E1923,IF(N(F1923)&gt;0,F1923*가정!$B$5,0))</f>
        <v>159000</v>
      </c>
      <c r="K1923" s="95" t="n">
        <f aca="false">IF(N(F1923)&gt;0,F1923,IF(N(E1923)&gt;0,E1923/가정!$B$5,0))</f>
        <v>27600</v>
      </c>
      <c r="L1923" s="95" t="n">
        <f aca="false">IF(B1923="CN",IF(N(I1923)&gt;0,I1923*가정!$B$3,K1923*(1+가정!$B$6)),IF(N(H1923)&gt;0,H1923*가정!$B$3,J1923*가정!$B$4))</f>
        <v>50967.972</v>
      </c>
      <c r="M1923" s="95" t="n">
        <f aca="false">D1923*J1923</f>
        <v>54060000</v>
      </c>
      <c r="N1923" s="95" t="n">
        <f aca="false">D1923*K1923</f>
        <v>9384000</v>
      </c>
      <c r="O1923" s="95" t="n">
        <f aca="false">D1923*L1923</f>
        <v>17329110.48</v>
      </c>
      <c r="P1923" s="34" t="str">
        <f aca="false">TRIM(IF(N(E1923)&lt;=0,"택가보정 ","")&amp;IF(N(F1923)&lt;=0,"원가보정 ","")&amp;IF(AND(B1923&lt;&gt;"CN",N(H1923)&lt;=0),"공급가보정 ","")&amp;IF(AND(B1923="CN",N(I1923)&lt;=0),"중국공급가=원가+마진 ",""))</f>
        <v/>
      </c>
    </row>
    <row r="1924" customFormat="false" ht="15" hidden="false" customHeight="true" outlineLevel="0" collapsed="false">
      <c r="A1924" s="94" t="s">
        <v>1686</v>
      </c>
      <c r="B1924" s="34" t="str">
        <f aca="false">IF(A1924="100","HK",IF(A1924="200","CN",IF(A1924="300","TW","홀세일")))</f>
        <v>TW</v>
      </c>
      <c r="C1924" s="94" t="s">
        <v>805</v>
      </c>
      <c r="D1924" s="95" t="n">
        <v>340</v>
      </c>
      <c r="E1924" s="95" t="n">
        <v>159000</v>
      </c>
      <c r="F1924" s="95" t="n">
        <v>27600</v>
      </c>
      <c r="G1924" s="34" t="n">
        <v>5.05</v>
      </c>
      <c r="H1924" s="34" t="n">
        <v>37.4</v>
      </c>
      <c r="J1924" s="95" t="n">
        <f aca="false">IF(N(E1924)&gt;0,E1924,IF(N(F1924)&gt;0,F1924*가정!$B$5,0))</f>
        <v>159000</v>
      </c>
      <c r="K1924" s="95" t="n">
        <f aca="false">IF(N(F1924)&gt;0,F1924,IF(N(E1924)&gt;0,E1924/가정!$B$5,0))</f>
        <v>27600</v>
      </c>
      <c r="L1924" s="95" t="n">
        <f aca="false">IF(B1924="CN",IF(N(I1924)&gt;0,I1924*가정!$B$3,K1924*(1+가정!$B$6)),IF(N(H1924)&gt;0,H1924*가정!$B$3,J1924*가정!$B$4))</f>
        <v>50967.972</v>
      </c>
      <c r="M1924" s="95" t="n">
        <f aca="false">D1924*J1924</f>
        <v>54060000</v>
      </c>
      <c r="N1924" s="95" t="n">
        <f aca="false">D1924*K1924</f>
        <v>9384000</v>
      </c>
      <c r="O1924" s="95" t="n">
        <f aca="false">D1924*L1924</f>
        <v>17329110.48</v>
      </c>
      <c r="P1924" s="34" t="str">
        <f aca="false">TRIM(IF(N(E1924)&lt;=0,"택가보정 ","")&amp;IF(N(F1924)&lt;=0,"원가보정 ","")&amp;IF(AND(B1924&lt;&gt;"CN",N(H1924)&lt;=0),"공급가보정 ","")&amp;IF(AND(B1924="CN",N(I1924)&lt;=0),"중국공급가=원가+마진 ",""))</f>
        <v/>
      </c>
    </row>
    <row r="1925" customFormat="false" ht="15" hidden="false" customHeight="true" outlineLevel="0" collapsed="false">
      <c r="A1925" s="94" t="s">
        <v>1688</v>
      </c>
      <c r="B1925" s="34" t="str">
        <f aca="false">IF(A1925="100","HK",IF(A1925="200","CN",IF(A1925="300","TW","홀세일")))</f>
        <v>홀세일</v>
      </c>
      <c r="C1925" s="94" t="s">
        <v>805</v>
      </c>
      <c r="D1925" s="95" t="n">
        <v>95</v>
      </c>
      <c r="E1925" s="95" t="n">
        <v>159000</v>
      </c>
      <c r="F1925" s="95" t="n">
        <v>27600</v>
      </c>
      <c r="G1925" s="34" t="n">
        <v>5.05</v>
      </c>
      <c r="H1925" s="34" t="n">
        <v>37.4</v>
      </c>
      <c r="J1925" s="95" t="n">
        <f aca="false">IF(N(E1925)&gt;0,E1925,IF(N(F1925)&gt;0,F1925*가정!$B$5,0))</f>
        <v>159000</v>
      </c>
      <c r="K1925" s="95" t="n">
        <f aca="false">IF(N(F1925)&gt;0,F1925,IF(N(E1925)&gt;0,E1925/가정!$B$5,0))</f>
        <v>27600</v>
      </c>
      <c r="L1925" s="95" t="n">
        <f aca="false">IF(B1925="CN",IF(N(I1925)&gt;0,I1925*가정!$B$3,K1925*(1+가정!$B$6)),IF(N(H1925)&gt;0,H1925*가정!$B$3,J1925*가정!$B$4))</f>
        <v>50967.972</v>
      </c>
      <c r="M1925" s="95" t="n">
        <f aca="false">D1925*J1925</f>
        <v>15105000</v>
      </c>
      <c r="N1925" s="95" t="n">
        <f aca="false">D1925*K1925</f>
        <v>2622000</v>
      </c>
      <c r="O1925" s="95" t="n">
        <f aca="false">D1925*L1925</f>
        <v>4841957.34</v>
      </c>
      <c r="P1925" s="34" t="str">
        <f aca="false">TRIM(IF(N(E1925)&lt;=0,"택가보정 ","")&amp;IF(N(F1925)&lt;=0,"원가보정 ","")&amp;IF(AND(B1925&lt;&gt;"CN",N(H1925)&lt;=0),"공급가보정 ","")&amp;IF(AND(B1925="CN",N(I1925)&lt;=0),"중국공급가=원가+마진 ",""))</f>
        <v/>
      </c>
    </row>
    <row r="1926" customFormat="false" ht="15" hidden="false" customHeight="true" outlineLevel="0" collapsed="false">
      <c r="A1926" s="94" t="s">
        <v>1689</v>
      </c>
      <c r="B1926" s="34" t="str">
        <f aca="false">IF(A1926="100","HK",IF(A1926="200","CN",IF(A1926="300","TW","홀세일")))</f>
        <v>홀세일</v>
      </c>
      <c r="C1926" s="94" t="s">
        <v>805</v>
      </c>
      <c r="D1926" s="95" t="n">
        <v>60</v>
      </c>
      <c r="E1926" s="95" t="n">
        <v>159000</v>
      </c>
      <c r="F1926" s="95" t="n">
        <v>27600</v>
      </c>
      <c r="G1926" s="34" t="n">
        <v>5.05</v>
      </c>
      <c r="H1926" s="34" t="n">
        <v>37.4</v>
      </c>
      <c r="J1926" s="95" t="n">
        <f aca="false">IF(N(E1926)&gt;0,E1926,IF(N(F1926)&gt;0,F1926*가정!$B$5,0))</f>
        <v>159000</v>
      </c>
      <c r="K1926" s="95" t="n">
        <f aca="false">IF(N(F1926)&gt;0,F1926,IF(N(E1926)&gt;0,E1926/가정!$B$5,0))</f>
        <v>27600</v>
      </c>
      <c r="L1926" s="95" t="n">
        <f aca="false">IF(B1926="CN",IF(N(I1926)&gt;0,I1926*가정!$B$3,K1926*(1+가정!$B$6)),IF(N(H1926)&gt;0,H1926*가정!$B$3,J1926*가정!$B$4))</f>
        <v>50967.972</v>
      </c>
      <c r="M1926" s="95" t="n">
        <f aca="false">D1926*J1926</f>
        <v>9540000</v>
      </c>
      <c r="N1926" s="95" t="n">
        <f aca="false">D1926*K1926</f>
        <v>1656000</v>
      </c>
      <c r="O1926" s="95" t="n">
        <f aca="false">D1926*L1926</f>
        <v>3058078.32</v>
      </c>
      <c r="P1926" s="34" t="str">
        <f aca="false">TRIM(IF(N(E1926)&lt;=0,"택가보정 ","")&amp;IF(N(F1926)&lt;=0,"원가보정 ","")&amp;IF(AND(B1926&lt;&gt;"CN",N(H1926)&lt;=0),"공급가보정 ","")&amp;IF(AND(B1926="CN",N(I1926)&lt;=0),"중국공급가=원가+마진 ",""))</f>
        <v/>
      </c>
    </row>
    <row r="1927" customFormat="false" ht="15" hidden="false" customHeight="true" outlineLevel="0" collapsed="false">
      <c r="A1927" s="94" t="s">
        <v>1685</v>
      </c>
      <c r="B1927" s="34" t="str">
        <f aca="false">IF(A1927="100","HK",IF(A1927="200","CN",IF(A1927="300","TW","홀세일")))</f>
        <v>CN</v>
      </c>
      <c r="C1927" s="94" t="s">
        <v>807</v>
      </c>
      <c r="D1927" s="95" t="n">
        <v>302</v>
      </c>
      <c r="E1927" s="95" t="n">
        <v>139000</v>
      </c>
      <c r="F1927" s="95" t="n">
        <v>37316</v>
      </c>
      <c r="G1927" s="34" t="n">
        <v>3.84</v>
      </c>
      <c r="H1927" s="34" t="n">
        <v>32.7</v>
      </c>
      <c r="I1927" s="34" t="n">
        <v>32.7</v>
      </c>
      <c r="J1927" s="95" t="n">
        <f aca="false">IF(N(E1927)&gt;0,E1927,IF(N(F1927)&gt;0,F1927*가정!$B$5,0))</f>
        <v>139000</v>
      </c>
      <c r="K1927" s="95" t="n">
        <f aca="false">IF(N(F1927)&gt;0,F1927,IF(N(E1927)&gt;0,E1927/가정!$B$5,0))</f>
        <v>37316</v>
      </c>
      <c r="L1927" s="95" t="n">
        <f aca="false">IF(B1927="CN",IF(N(I1927)&gt;0,I1927*가정!$B$3,K1927*(1+가정!$B$6)),IF(N(H1927)&gt;0,H1927*가정!$B$3,J1927*가정!$B$4))</f>
        <v>44562.906</v>
      </c>
      <c r="M1927" s="95" t="n">
        <f aca="false">D1927*J1927</f>
        <v>41978000</v>
      </c>
      <c r="N1927" s="95" t="n">
        <f aca="false">D1927*K1927</f>
        <v>11269432</v>
      </c>
      <c r="O1927" s="95" t="n">
        <f aca="false">D1927*L1927</f>
        <v>13457997.612</v>
      </c>
      <c r="P1927" s="34" t="str">
        <f aca="false">TRIM(IF(N(E1927)&lt;=0,"택가보정 ","")&amp;IF(N(F1927)&lt;=0,"원가보정 ","")&amp;IF(AND(B1927&lt;&gt;"CN",N(H1927)&lt;=0),"공급가보정 ","")&amp;IF(AND(B1927="CN",N(I1927)&lt;=0),"중국공급가=원가+마진 ",""))</f>
        <v/>
      </c>
    </row>
    <row r="1928" customFormat="false" ht="15" hidden="false" customHeight="true" outlineLevel="0" collapsed="false">
      <c r="A1928" s="94" t="s">
        <v>1686</v>
      </c>
      <c r="B1928" s="34" t="str">
        <f aca="false">IF(A1928="100","HK",IF(A1928="200","CN",IF(A1928="300","TW","홀세일")))</f>
        <v>TW</v>
      </c>
      <c r="C1928" s="94" t="s">
        <v>807</v>
      </c>
      <c r="D1928" s="95" t="n">
        <v>180</v>
      </c>
      <c r="E1928" s="95" t="n">
        <v>139000</v>
      </c>
      <c r="F1928" s="95" t="n">
        <v>37316</v>
      </c>
      <c r="G1928" s="34" t="n">
        <v>3.84</v>
      </c>
      <c r="H1928" s="34" t="n">
        <v>32.7</v>
      </c>
      <c r="I1928" s="34" t="n">
        <v>32.7</v>
      </c>
      <c r="J1928" s="95" t="n">
        <f aca="false">IF(N(E1928)&gt;0,E1928,IF(N(F1928)&gt;0,F1928*가정!$B$5,0))</f>
        <v>139000</v>
      </c>
      <c r="K1928" s="95" t="n">
        <f aca="false">IF(N(F1928)&gt;0,F1928,IF(N(E1928)&gt;0,E1928/가정!$B$5,0))</f>
        <v>37316</v>
      </c>
      <c r="L1928" s="95" t="n">
        <f aca="false">IF(B1928="CN",IF(N(I1928)&gt;0,I1928*가정!$B$3,K1928*(1+가정!$B$6)),IF(N(H1928)&gt;0,H1928*가정!$B$3,J1928*가정!$B$4))</f>
        <v>44562.906</v>
      </c>
      <c r="M1928" s="95" t="n">
        <f aca="false">D1928*J1928</f>
        <v>25020000</v>
      </c>
      <c r="N1928" s="95" t="n">
        <f aca="false">D1928*K1928</f>
        <v>6716880</v>
      </c>
      <c r="O1928" s="95" t="n">
        <f aca="false">D1928*L1928</f>
        <v>8021323.08</v>
      </c>
      <c r="P1928" s="34" t="str">
        <f aca="false">TRIM(IF(N(E1928)&lt;=0,"택가보정 ","")&amp;IF(N(F1928)&lt;=0,"원가보정 ","")&amp;IF(AND(B1928&lt;&gt;"CN",N(H1928)&lt;=0),"공급가보정 ","")&amp;IF(AND(B1928="CN",N(I1928)&lt;=0),"중국공급가=원가+마진 ",""))</f>
        <v/>
      </c>
    </row>
    <row r="1929" customFormat="false" ht="15" hidden="false" customHeight="true" outlineLevel="0" collapsed="false">
      <c r="A1929" s="94" t="s">
        <v>1685</v>
      </c>
      <c r="B1929" s="34" t="str">
        <f aca="false">IF(A1929="100","HK",IF(A1929="200","CN",IF(A1929="300","TW","홀세일")))</f>
        <v>CN</v>
      </c>
      <c r="C1929" s="94" t="s">
        <v>1283</v>
      </c>
      <c r="D1929" s="95" t="n">
        <v>387</v>
      </c>
      <c r="E1929" s="95" t="n">
        <v>89000</v>
      </c>
      <c r="F1929" s="95" t="n">
        <v>27003</v>
      </c>
      <c r="G1929" s="34" t="n">
        <v>3.6</v>
      </c>
      <c r="H1929" s="34" t="n">
        <v>21</v>
      </c>
      <c r="I1929" s="34" t="n">
        <v>21.9</v>
      </c>
      <c r="J1929" s="95" t="n">
        <f aca="false">IF(N(E1929)&gt;0,E1929,IF(N(F1929)&gt;0,F1929*가정!$B$5,0))</f>
        <v>89000</v>
      </c>
      <c r="K1929" s="95" t="n">
        <f aca="false">IF(N(F1929)&gt;0,F1929,IF(N(E1929)&gt;0,E1929/가정!$B$5,0))</f>
        <v>27003</v>
      </c>
      <c r="L1929" s="95" t="n">
        <f aca="false">IF(B1929="CN",IF(N(I1929)&gt;0,I1929*가정!$B$3,K1929*(1+가정!$B$6)),IF(N(H1929)&gt;0,H1929*가정!$B$3,J1929*가정!$B$4))</f>
        <v>29844.882</v>
      </c>
      <c r="M1929" s="95" t="n">
        <f aca="false">D1929*J1929</f>
        <v>34443000</v>
      </c>
      <c r="N1929" s="95" t="n">
        <f aca="false">D1929*K1929</f>
        <v>10450161</v>
      </c>
      <c r="O1929" s="95" t="n">
        <f aca="false">D1929*L1929</f>
        <v>11549969.334</v>
      </c>
      <c r="P1929" s="34" t="str">
        <f aca="false">TRIM(IF(N(E1929)&lt;=0,"택가보정 ","")&amp;IF(N(F1929)&lt;=0,"원가보정 ","")&amp;IF(AND(B1929&lt;&gt;"CN",N(H1929)&lt;=0),"공급가보정 ","")&amp;IF(AND(B1929="CN",N(I1929)&lt;=0),"중국공급가=원가+마진 ",""))</f>
        <v/>
      </c>
    </row>
    <row r="1930" customFormat="false" ht="15" hidden="false" customHeight="true" outlineLevel="0" collapsed="false">
      <c r="A1930" s="94" t="s">
        <v>1685</v>
      </c>
      <c r="B1930" s="34" t="str">
        <f aca="false">IF(A1930="100","HK",IF(A1930="200","CN",IF(A1930="300","TW","홀세일")))</f>
        <v>CN</v>
      </c>
      <c r="C1930" s="94" t="s">
        <v>1285</v>
      </c>
      <c r="D1930" s="95" t="n">
        <v>332</v>
      </c>
      <c r="E1930" s="95" t="n">
        <v>119000</v>
      </c>
      <c r="F1930" s="95" t="n">
        <v>34195</v>
      </c>
      <c r="G1930" s="34" t="n">
        <v>3.55</v>
      </c>
      <c r="H1930" s="34" t="n">
        <v>28</v>
      </c>
      <c r="I1930" s="34" t="n">
        <v>26.6</v>
      </c>
      <c r="J1930" s="95" t="n">
        <f aca="false">IF(N(E1930)&gt;0,E1930,IF(N(F1930)&gt;0,F1930*가정!$B$5,0))</f>
        <v>119000</v>
      </c>
      <c r="K1930" s="95" t="n">
        <f aca="false">IF(N(F1930)&gt;0,F1930,IF(N(E1930)&gt;0,E1930/가정!$B$5,0))</f>
        <v>34195</v>
      </c>
      <c r="L1930" s="95" t="n">
        <f aca="false">IF(B1930="CN",IF(N(I1930)&gt;0,I1930*가정!$B$3,K1930*(1+가정!$B$6)),IF(N(H1930)&gt;0,H1930*가정!$B$3,J1930*가정!$B$4))</f>
        <v>36249.948</v>
      </c>
      <c r="M1930" s="95" t="n">
        <f aca="false">D1930*J1930</f>
        <v>39508000</v>
      </c>
      <c r="N1930" s="95" t="n">
        <f aca="false">D1930*K1930</f>
        <v>11352740</v>
      </c>
      <c r="O1930" s="95" t="n">
        <f aca="false">D1930*L1930</f>
        <v>12034982.736</v>
      </c>
      <c r="P1930" s="34" t="str">
        <f aca="false">TRIM(IF(N(E1930)&lt;=0,"택가보정 ","")&amp;IF(N(F1930)&lt;=0,"원가보정 ","")&amp;IF(AND(B1930&lt;&gt;"CN",N(H1930)&lt;=0),"공급가보정 ","")&amp;IF(AND(B1930="CN",N(I1930)&lt;=0),"중국공급가=원가+마진 ",""))</f>
        <v/>
      </c>
    </row>
    <row r="1931" customFormat="false" ht="15" hidden="false" customHeight="true" outlineLevel="0" collapsed="false">
      <c r="A1931" s="94" t="s">
        <v>1690</v>
      </c>
      <c r="B1931" s="34" t="str">
        <f aca="false">IF(A1931="100","HK",IF(A1931="200","CN",IF(A1931="300","TW","홀세일")))</f>
        <v>홀세일</v>
      </c>
      <c r="C1931" s="94" t="s">
        <v>1767</v>
      </c>
      <c r="D1931" s="95" t="n">
        <v>216</v>
      </c>
      <c r="E1931" s="95" t="n">
        <v>19000</v>
      </c>
      <c r="F1931" s="95" t="n">
        <v>4600</v>
      </c>
      <c r="G1931" s="34" t="n">
        <v>0</v>
      </c>
      <c r="H1931" s="34" t="n">
        <v>5.1</v>
      </c>
      <c r="J1931" s="95" t="n">
        <f aca="false">IF(N(E1931)&gt;0,E1931,IF(N(F1931)&gt;0,F1931*가정!$B$5,0))</f>
        <v>19000</v>
      </c>
      <c r="K1931" s="95" t="n">
        <f aca="false">IF(N(F1931)&gt;0,F1931,IF(N(E1931)&gt;0,E1931/가정!$B$5,0))</f>
        <v>4600</v>
      </c>
      <c r="L1931" s="95" t="n">
        <f aca="false">IF(B1931="CN",IF(N(I1931)&gt;0,I1931*가정!$B$3,K1931*(1+가정!$B$6)),IF(N(H1931)&gt;0,H1931*가정!$B$3,J1931*가정!$B$4))</f>
        <v>6950.178</v>
      </c>
      <c r="M1931" s="95" t="n">
        <f aca="false">D1931*J1931</f>
        <v>4104000</v>
      </c>
      <c r="N1931" s="95" t="n">
        <f aca="false">D1931*K1931</f>
        <v>993600</v>
      </c>
      <c r="O1931" s="95" t="n">
        <f aca="false">D1931*L1931</f>
        <v>1501238.448</v>
      </c>
      <c r="P1931" s="34" t="str">
        <f aca="false">TRIM(IF(N(E1931)&lt;=0,"택가보정 ","")&amp;IF(N(F1931)&lt;=0,"원가보정 ","")&amp;IF(AND(B1931&lt;&gt;"CN",N(H1931)&lt;=0),"공급가보정 ","")&amp;IF(AND(B1931="CN",N(I1931)&lt;=0),"중국공급가=원가+마진 ",""))</f>
        <v/>
      </c>
    </row>
    <row r="1932" customFormat="false" ht="15" hidden="false" customHeight="true" outlineLevel="0" collapsed="false">
      <c r="A1932" s="94" t="s">
        <v>1689</v>
      </c>
      <c r="B1932" s="34" t="str">
        <f aca="false">IF(A1932="100","HK",IF(A1932="200","CN",IF(A1932="300","TW","홀세일")))</f>
        <v>홀세일</v>
      </c>
      <c r="C1932" s="94" t="s">
        <v>1500</v>
      </c>
      <c r="D1932" s="95" t="n">
        <v>30</v>
      </c>
      <c r="E1932" s="95" t="n">
        <v>89000</v>
      </c>
      <c r="F1932" s="95" t="n">
        <v>22000</v>
      </c>
      <c r="G1932" s="34" t="n">
        <v>3.44</v>
      </c>
      <c r="H1932" s="34" t="n">
        <v>23.7</v>
      </c>
      <c r="J1932" s="95" t="n">
        <f aca="false">IF(N(E1932)&gt;0,E1932,IF(N(F1932)&gt;0,F1932*가정!$B$5,0))</f>
        <v>89000</v>
      </c>
      <c r="K1932" s="95" t="n">
        <f aca="false">IF(N(F1932)&gt;0,F1932,IF(N(E1932)&gt;0,E1932/가정!$B$5,0))</f>
        <v>22000</v>
      </c>
      <c r="L1932" s="95" t="n">
        <f aca="false">IF(B1932="CN",IF(N(I1932)&gt;0,I1932*가정!$B$3,K1932*(1+가정!$B$6)),IF(N(H1932)&gt;0,H1932*가정!$B$3,J1932*가정!$B$4))</f>
        <v>32297.886</v>
      </c>
      <c r="M1932" s="95" t="n">
        <f aca="false">D1932*J1932</f>
        <v>2670000</v>
      </c>
      <c r="N1932" s="95" t="n">
        <f aca="false">D1932*K1932</f>
        <v>660000</v>
      </c>
      <c r="O1932" s="95" t="n">
        <f aca="false">D1932*L1932</f>
        <v>968936.58</v>
      </c>
      <c r="P1932" s="34" t="str">
        <f aca="false">TRIM(IF(N(E1932)&lt;=0,"택가보정 ","")&amp;IF(N(F1932)&lt;=0,"원가보정 ","")&amp;IF(AND(B1932&lt;&gt;"CN",N(H1932)&lt;=0),"공급가보정 ","")&amp;IF(AND(B1932="CN",N(I1932)&lt;=0),"중국공급가=원가+마진 ",""))</f>
        <v/>
      </c>
    </row>
    <row r="1933" customFormat="false" ht="15" hidden="false" customHeight="true" outlineLevel="0" collapsed="false">
      <c r="A1933" s="94" t="s">
        <v>1686</v>
      </c>
      <c r="B1933" s="34" t="str">
        <f aca="false">IF(A1933="100","HK",IF(A1933="200","CN",IF(A1933="300","TW","홀세일")))</f>
        <v>TW</v>
      </c>
      <c r="C1933" s="94" t="s">
        <v>809</v>
      </c>
      <c r="D1933" s="95" t="n">
        <v>300</v>
      </c>
      <c r="E1933" s="95"/>
      <c r="F1933" s="95" t="n">
        <v>32000</v>
      </c>
      <c r="G1933" s="34" t="n">
        <v>0</v>
      </c>
      <c r="H1933" s="34" t="n">
        <v>39.6</v>
      </c>
      <c r="J1933" s="95" t="n">
        <f aca="false">IF(N(E1933)&gt;0,E1933,IF(N(F1933)&gt;0,F1933*가정!$B$5,0))</f>
        <v>128000</v>
      </c>
      <c r="K1933" s="95" t="n">
        <f aca="false">IF(N(F1933)&gt;0,F1933,IF(N(E1933)&gt;0,E1933/가정!$B$5,0))</f>
        <v>32000</v>
      </c>
      <c r="L1933" s="95" t="n">
        <f aca="false">IF(B1933="CN",IF(N(I1933)&gt;0,I1933*가정!$B$3,K1933*(1+가정!$B$6)),IF(N(H1933)&gt;0,H1933*가정!$B$3,J1933*가정!$B$4))</f>
        <v>53966.088</v>
      </c>
      <c r="M1933" s="95" t="n">
        <f aca="false">D1933*J1933</f>
        <v>38400000</v>
      </c>
      <c r="N1933" s="95" t="n">
        <f aca="false">D1933*K1933</f>
        <v>9600000</v>
      </c>
      <c r="O1933" s="95" t="n">
        <f aca="false">D1933*L1933</f>
        <v>16189826.4</v>
      </c>
      <c r="P1933" s="34" t="str">
        <f aca="false">TRIM(IF(N(E1933)&lt;=0,"택가보정 ","")&amp;IF(N(F1933)&lt;=0,"원가보정 ","")&amp;IF(AND(B1933&lt;&gt;"CN",N(H1933)&lt;=0),"공급가보정 ","")&amp;IF(AND(B1933="CN",N(I1933)&lt;=0),"중국공급가=원가+마진 ",""))</f>
        <v>택가보정</v>
      </c>
    </row>
    <row r="1934" customFormat="false" ht="15" hidden="false" customHeight="true" outlineLevel="0" collapsed="false">
      <c r="A1934" s="94" t="s">
        <v>1686</v>
      </c>
      <c r="B1934" s="34" t="str">
        <f aca="false">IF(A1934="100","HK",IF(A1934="200","CN",IF(A1934="300","TW","홀세일")))</f>
        <v>TW</v>
      </c>
      <c r="C1934" s="94" t="s">
        <v>809</v>
      </c>
      <c r="D1934" s="95" t="n">
        <v>300</v>
      </c>
      <c r="E1934" s="95"/>
      <c r="F1934" s="95" t="n">
        <v>32000</v>
      </c>
      <c r="G1934" s="34" t="n">
        <v>0</v>
      </c>
      <c r="H1934" s="34" t="n">
        <v>39.6</v>
      </c>
      <c r="J1934" s="95" t="n">
        <f aca="false">IF(N(E1934)&gt;0,E1934,IF(N(F1934)&gt;0,F1934*가정!$B$5,0))</f>
        <v>128000</v>
      </c>
      <c r="K1934" s="95" t="n">
        <f aca="false">IF(N(F1934)&gt;0,F1934,IF(N(E1934)&gt;0,E1934/가정!$B$5,0))</f>
        <v>32000</v>
      </c>
      <c r="L1934" s="95" t="n">
        <f aca="false">IF(B1934="CN",IF(N(I1934)&gt;0,I1934*가정!$B$3,K1934*(1+가정!$B$6)),IF(N(H1934)&gt;0,H1934*가정!$B$3,J1934*가정!$B$4))</f>
        <v>53966.088</v>
      </c>
      <c r="M1934" s="95" t="n">
        <f aca="false">D1934*J1934</f>
        <v>38400000</v>
      </c>
      <c r="N1934" s="95" t="n">
        <f aca="false">D1934*K1934</f>
        <v>9600000</v>
      </c>
      <c r="O1934" s="95" t="n">
        <f aca="false">D1934*L1934</f>
        <v>16189826.4</v>
      </c>
      <c r="P1934" s="34" t="str">
        <f aca="false">TRIM(IF(N(E1934)&lt;=0,"택가보정 ","")&amp;IF(N(F1934)&lt;=0,"원가보정 ","")&amp;IF(AND(B1934&lt;&gt;"CN",N(H1934)&lt;=0),"공급가보정 ","")&amp;IF(AND(B1934="CN",N(I1934)&lt;=0),"중국공급가=원가+마진 ",""))</f>
        <v>택가보정</v>
      </c>
    </row>
    <row r="1935" customFormat="false" ht="15" hidden="false" customHeight="true" outlineLevel="0" collapsed="false">
      <c r="A1935" s="94" t="s">
        <v>1686</v>
      </c>
      <c r="B1935" s="34" t="str">
        <f aca="false">IF(A1935="100","HK",IF(A1935="200","CN",IF(A1935="300","TW","홀세일")))</f>
        <v>TW</v>
      </c>
      <c r="C1935" s="94" t="s">
        <v>811</v>
      </c>
      <c r="D1935" s="95" t="n">
        <v>4280</v>
      </c>
      <c r="E1935" s="95"/>
      <c r="F1935" s="95" t="n">
        <v>32000</v>
      </c>
      <c r="G1935" s="34" t="n">
        <v>0</v>
      </c>
      <c r="H1935" s="34" t="n">
        <v>42.2</v>
      </c>
      <c r="J1935" s="95" t="n">
        <f aca="false">IF(N(E1935)&gt;0,E1935,IF(N(F1935)&gt;0,F1935*가정!$B$5,0))</f>
        <v>128000</v>
      </c>
      <c r="K1935" s="95" t="n">
        <f aca="false">IF(N(F1935)&gt;0,F1935,IF(N(E1935)&gt;0,E1935/가정!$B$5,0))</f>
        <v>32000</v>
      </c>
      <c r="L1935" s="95" t="n">
        <f aca="false">IF(B1935="CN",IF(N(I1935)&gt;0,I1935*가정!$B$3,K1935*(1+가정!$B$6)),IF(N(H1935)&gt;0,H1935*가정!$B$3,J1935*가정!$B$4))</f>
        <v>57509.316</v>
      </c>
      <c r="M1935" s="95" t="n">
        <f aca="false">D1935*J1935</f>
        <v>547840000</v>
      </c>
      <c r="N1935" s="95" t="n">
        <f aca="false">D1935*K1935</f>
        <v>136960000</v>
      </c>
      <c r="O1935" s="95" t="n">
        <f aca="false">D1935*L1935</f>
        <v>246139872.48</v>
      </c>
      <c r="P1935" s="34" t="str">
        <f aca="false">TRIM(IF(N(E1935)&lt;=0,"택가보정 ","")&amp;IF(N(F1935)&lt;=0,"원가보정 ","")&amp;IF(AND(B1935&lt;&gt;"CN",N(H1935)&lt;=0),"공급가보정 ","")&amp;IF(AND(B1935="CN",N(I1935)&lt;=0),"중국공급가=원가+마진 ",""))</f>
        <v>택가보정</v>
      </c>
    </row>
    <row r="1936" customFormat="false" ht="15" hidden="false" customHeight="true" outlineLevel="0" collapsed="false">
      <c r="A1936" s="94" t="s">
        <v>1686</v>
      </c>
      <c r="B1936" s="34" t="str">
        <f aca="false">IF(A1936="100","HK",IF(A1936="200","CN",IF(A1936="300","TW","홀세일")))</f>
        <v>TW</v>
      </c>
      <c r="C1936" s="94" t="s">
        <v>813</v>
      </c>
      <c r="D1936" s="95" t="n">
        <v>200</v>
      </c>
      <c r="E1936" s="95"/>
      <c r="F1936" s="95" t="n">
        <v>32000</v>
      </c>
      <c r="G1936" s="34" t="n">
        <v>0</v>
      </c>
      <c r="H1936" s="34" t="n">
        <v>39.6</v>
      </c>
      <c r="J1936" s="95" t="n">
        <f aca="false">IF(N(E1936)&gt;0,E1936,IF(N(F1936)&gt;0,F1936*가정!$B$5,0))</f>
        <v>128000</v>
      </c>
      <c r="K1936" s="95" t="n">
        <f aca="false">IF(N(F1936)&gt;0,F1936,IF(N(E1936)&gt;0,E1936/가정!$B$5,0))</f>
        <v>32000</v>
      </c>
      <c r="L1936" s="95" t="n">
        <f aca="false">IF(B1936="CN",IF(N(I1936)&gt;0,I1936*가정!$B$3,K1936*(1+가정!$B$6)),IF(N(H1936)&gt;0,H1936*가정!$B$3,J1936*가정!$B$4))</f>
        <v>53966.088</v>
      </c>
      <c r="M1936" s="95" t="n">
        <f aca="false">D1936*J1936</f>
        <v>25600000</v>
      </c>
      <c r="N1936" s="95" t="n">
        <f aca="false">D1936*K1936</f>
        <v>6400000</v>
      </c>
      <c r="O1936" s="95" t="n">
        <f aca="false">D1936*L1936</f>
        <v>10793217.6</v>
      </c>
      <c r="P1936" s="34" t="str">
        <f aca="false">TRIM(IF(N(E1936)&lt;=0,"택가보정 ","")&amp;IF(N(F1936)&lt;=0,"원가보정 ","")&amp;IF(AND(B1936&lt;&gt;"CN",N(H1936)&lt;=0),"공급가보정 ","")&amp;IF(AND(B1936="CN",N(I1936)&lt;=0),"중국공급가=원가+마진 ",""))</f>
        <v>택가보정</v>
      </c>
    </row>
    <row r="1937" customFormat="false" ht="15" hidden="false" customHeight="true" outlineLevel="0" collapsed="false">
      <c r="A1937" s="94" t="s">
        <v>1686</v>
      </c>
      <c r="B1937" s="34" t="str">
        <f aca="false">IF(A1937="100","HK",IF(A1937="200","CN",IF(A1937="300","TW","홀세일")))</f>
        <v>TW</v>
      </c>
      <c r="C1937" s="94" t="s">
        <v>815</v>
      </c>
      <c r="D1937" s="95" t="n">
        <v>200</v>
      </c>
      <c r="E1937" s="95"/>
      <c r="F1937" s="95" t="n">
        <v>32000</v>
      </c>
      <c r="G1937" s="34" t="n">
        <v>0</v>
      </c>
      <c r="H1937" s="34" t="n">
        <v>39.6</v>
      </c>
      <c r="J1937" s="95" t="n">
        <f aca="false">IF(N(E1937)&gt;0,E1937,IF(N(F1937)&gt;0,F1937*가정!$B$5,0))</f>
        <v>128000</v>
      </c>
      <c r="K1937" s="95" t="n">
        <f aca="false">IF(N(F1937)&gt;0,F1937,IF(N(E1937)&gt;0,E1937/가정!$B$5,0))</f>
        <v>32000</v>
      </c>
      <c r="L1937" s="95" t="n">
        <f aca="false">IF(B1937="CN",IF(N(I1937)&gt;0,I1937*가정!$B$3,K1937*(1+가정!$B$6)),IF(N(H1937)&gt;0,H1937*가정!$B$3,J1937*가정!$B$4))</f>
        <v>53966.088</v>
      </c>
      <c r="M1937" s="95" t="n">
        <f aca="false">D1937*J1937</f>
        <v>25600000</v>
      </c>
      <c r="N1937" s="95" t="n">
        <f aca="false">D1937*K1937</f>
        <v>6400000</v>
      </c>
      <c r="O1937" s="95" t="n">
        <f aca="false">D1937*L1937</f>
        <v>10793217.6</v>
      </c>
      <c r="P1937" s="34" t="str">
        <f aca="false">TRIM(IF(N(E1937)&lt;=0,"택가보정 ","")&amp;IF(N(F1937)&lt;=0,"원가보정 ","")&amp;IF(AND(B1937&lt;&gt;"CN",N(H1937)&lt;=0),"공급가보정 ","")&amp;IF(AND(B1937="CN",N(I1937)&lt;=0),"중국공급가=원가+마진 ",""))</f>
        <v>택가보정</v>
      </c>
    </row>
    <row r="1938" customFormat="false" ht="15" hidden="false" customHeight="true" outlineLevel="0" collapsed="false">
      <c r="A1938" s="94" t="s">
        <v>1686</v>
      </c>
      <c r="B1938" s="34" t="str">
        <f aca="false">IF(A1938="100","HK",IF(A1938="200","CN",IF(A1938="300","TW","홀세일")))</f>
        <v>TW</v>
      </c>
      <c r="C1938" s="94" t="s">
        <v>817</v>
      </c>
      <c r="D1938" s="95" t="n">
        <v>200</v>
      </c>
      <c r="E1938" s="95"/>
      <c r="F1938" s="95" t="n">
        <v>32000</v>
      </c>
      <c r="G1938" s="34" t="n">
        <v>0</v>
      </c>
      <c r="H1938" s="34" t="n">
        <v>42.2</v>
      </c>
      <c r="J1938" s="95" t="n">
        <f aca="false">IF(N(E1938)&gt;0,E1938,IF(N(F1938)&gt;0,F1938*가정!$B$5,0))</f>
        <v>128000</v>
      </c>
      <c r="K1938" s="95" t="n">
        <f aca="false">IF(N(F1938)&gt;0,F1938,IF(N(E1938)&gt;0,E1938/가정!$B$5,0))</f>
        <v>32000</v>
      </c>
      <c r="L1938" s="95" t="n">
        <f aca="false">IF(B1938="CN",IF(N(I1938)&gt;0,I1938*가정!$B$3,K1938*(1+가정!$B$6)),IF(N(H1938)&gt;0,H1938*가정!$B$3,J1938*가정!$B$4))</f>
        <v>57509.316</v>
      </c>
      <c r="M1938" s="95" t="n">
        <f aca="false">D1938*J1938</f>
        <v>25600000</v>
      </c>
      <c r="N1938" s="95" t="n">
        <f aca="false">D1938*K1938</f>
        <v>6400000</v>
      </c>
      <c r="O1938" s="95" t="n">
        <f aca="false">D1938*L1938</f>
        <v>11501863.2</v>
      </c>
      <c r="P1938" s="34" t="str">
        <f aca="false">TRIM(IF(N(E1938)&lt;=0,"택가보정 ","")&amp;IF(N(F1938)&lt;=0,"원가보정 ","")&amp;IF(AND(B1938&lt;&gt;"CN",N(H1938)&lt;=0),"공급가보정 ","")&amp;IF(AND(B1938="CN",N(I1938)&lt;=0),"중국공급가=원가+마진 ",""))</f>
        <v>택가보정</v>
      </c>
    </row>
    <row r="1939" customFormat="false" ht="15" hidden="false" customHeight="true" outlineLevel="0" collapsed="false">
      <c r="A1939" s="94" t="s">
        <v>1686</v>
      </c>
      <c r="B1939" s="34" t="str">
        <f aca="false">IF(A1939="100","HK",IF(A1939="200","CN",IF(A1939="300","TW","홀세일")))</f>
        <v>TW</v>
      </c>
      <c r="C1939" s="94" t="s">
        <v>819</v>
      </c>
      <c r="D1939" s="95" t="n">
        <v>200</v>
      </c>
      <c r="E1939" s="95"/>
      <c r="F1939" s="95" t="n">
        <v>35000</v>
      </c>
      <c r="G1939" s="34" t="n">
        <v>0</v>
      </c>
      <c r="H1939" s="34" t="n">
        <v>44.9</v>
      </c>
      <c r="J1939" s="95" t="n">
        <f aca="false">IF(N(E1939)&gt;0,E1939,IF(N(F1939)&gt;0,F1939*가정!$B$5,0))</f>
        <v>140000</v>
      </c>
      <c r="K1939" s="95" t="n">
        <f aca="false">IF(N(F1939)&gt;0,F1939,IF(N(E1939)&gt;0,E1939/가정!$B$5,0))</f>
        <v>35000</v>
      </c>
      <c r="L1939" s="95" t="n">
        <f aca="false">IF(B1939="CN",IF(N(I1939)&gt;0,I1939*가정!$B$3,K1939*(1+가정!$B$6)),IF(N(H1939)&gt;0,H1939*가정!$B$3,J1939*가정!$B$4))</f>
        <v>61188.822</v>
      </c>
      <c r="M1939" s="95" t="n">
        <f aca="false">D1939*J1939</f>
        <v>28000000</v>
      </c>
      <c r="N1939" s="95" t="n">
        <f aca="false">D1939*K1939</f>
        <v>7000000</v>
      </c>
      <c r="O1939" s="95" t="n">
        <f aca="false">D1939*L1939</f>
        <v>12237764.4</v>
      </c>
      <c r="P1939" s="34" t="str">
        <f aca="false">TRIM(IF(N(E1939)&lt;=0,"택가보정 ","")&amp;IF(N(F1939)&lt;=0,"원가보정 ","")&amp;IF(AND(B1939&lt;&gt;"CN",N(H1939)&lt;=0),"공급가보정 ","")&amp;IF(AND(B1939="CN",N(I1939)&lt;=0),"중국공급가=원가+마진 ",""))</f>
        <v>택가보정</v>
      </c>
    </row>
    <row r="1940" customFormat="false" ht="15" hidden="false" customHeight="true" outlineLevel="0" collapsed="false">
      <c r="A1940" s="94" t="s">
        <v>1690</v>
      </c>
      <c r="B1940" s="34" t="str">
        <f aca="false">IF(A1940="100","HK",IF(A1940="200","CN",IF(A1940="300","TW","홀세일")))</f>
        <v>홀세일</v>
      </c>
      <c r="C1940" s="94" t="s">
        <v>1768</v>
      </c>
      <c r="D1940" s="95" t="n">
        <v>402</v>
      </c>
      <c r="E1940" s="95" t="n">
        <v>89000</v>
      </c>
      <c r="F1940" s="95" t="n">
        <v>22000</v>
      </c>
      <c r="G1940" s="34" t="n">
        <v>0</v>
      </c>
      <c r="H1940" s="34" t="n">
        <v>23.7</v>
      </c>
      <c r="J1940" s="95" t="n">
        <f aca="false">IF(N(E1940)&gt;0,E1940,IF(N(F1940)&gt;0,F1940*가정!$B$5,0))</f>
        <v>89000</v>
      </c>
      <c r="K1940" s="95" t="n">
        <f aca="false">IF(N(F1940)&gt;0,F1940,IF(N(E1940)&gt;0,E1940/가정!$B$5,0))</f>
        <v>22000</v>
      </c>
      <c r="L1940" s="95" t="n">
        <f aca="false">IF(B1940="CN",IF(N(I1940)&gt;0,I1940*가정!$B$3,K1940*(1+가정!$B$6)),IF(N(H1940)&gt;0,H1940*가정!$B$3,J1940*가정!$B$4))</f>
        <v>32297.886</v>
      </c>
      <c r="M1940" s="95" t="n">
        <f aca="false">D1940*J1940</f>
        <v>35778000</v>
      </c>
      <c r="N1940" s="95" t="n">
        <f aca="false">D1940*K1940</f>
        <v>8844000</v>
      </c>
      <c r="O1940" s="95" t="n">
        <f aca="false">D1940*L1940</f>
        <v>12983750.172</v>
      </c>
      <c r="P1940" s="34" t="str">
        <f aca="false">TRIM(IF(N(E1940)&lt;=0,"택가보정 ","")&amp;IF(N(F1940)&lt;=0,"원가보정 ","")&amp;IF(AND(B1940&lt;&gt;"CN",N(H1940)&lt;=0),"공급가보정 ","")&amp;IF(AND(B1940="CN",N(I1940)&lt;=0),"중국공급가=원가+마진 ",""))</f>
        <v/>
      </c>
    </row>
    <row r="1941" customFormat="false" ht="15" hidden="false" customHeight="true" outlineLevel="0" collapsed="false">
      <c r="A1941" s="94" t="s">
        <v>1690</v>
      </c>
      <c r="B1941" s="34" t="str">
        <f aca="false">IF(A1941="100","HK",IF(A1941="200","CN",IF(A1941="300","TW","홀세일")))</f>
        <v>홀세일</v>
      </c>
      <c r="C1941" s="94" t="s">
        <v>1769</v>
      </c>
      <c r="D1941" s="95" t="n">
        <v>408</v>
      </c>
      <c r="E1941" s="95" t="n">
        <v>69000</v>
      </c>
      <c r="F1941" s="95" t="n">
        <v>13100</v>
      </c>
      <c r="G1941" s="34" t="n">
        <v>0</v>
      </c>
      <c r="H1941" s="34" t="n">
        <v>18.4</v>
      </c>
      <c r="J1941" s="95" t="n">
        <f aca="false">IF(N(E1941)&gt;0,E1941,IF(N(F1941)&gt;0,F1941*가정!$B$5,0))</f>
        <v>69000</v>
      </c>
      <c r="K1941" s="95" t="n">
        <f aca="false">IF(N(F1941)&gt;0,F1941,IF(N(E1941)&gt;0,E1941/가정!$B$5,0))</f>
        <v>13100</v>
      </c>
      <c r="L1941" s="95" t="n">
        <f aca="false">IF(B1941="CN",IF(N(I1941)&gt;0,I1941*가정!$B$3,K1941*(1+가정!$B$6)),IF(N(H1941)&gt;0,H1941*가정!$B$3,J1941*가정!$B$4))</f>
        <v>25075.152</v>
      </c>
      <c r="M1941" s="95" t="n">
        <f aca="false">D1941*J1941</f>
        <v>28152000</v>
      </c>
      <c r="N1941" s="95" t="n">
        <f aca="false">D1941*K1941</f>
        <v>5344800</v>
      </c>
      <c r="O1941" s="95" t="n">
        <f aca="false">D1941*L1941</f>
        <v>10230662.016</v>
      </c>
      <c r="P1941" s="34" t="str">
        <f aca="false">TRIM(IF(N(E1941)&lt;=0,"택가보정 ","")&amp;IF(N(F1941)&lt;=0,"원가보정 ","")&amp;IF(AND(B1941&lt;&gt;"CN",N(H1941)&lt;=0),"공급가보정 ","")&amp;IF(AND(B1941="CN",N(I1941)&lt;=0),"중국공급가=원가+마진 ",""))</f>
        <v/>
      </c>
    </row>
    <row r="1942" customFormat="false" ht="15" hidden="false" customHeight="true" outlineLevel="0" collapsed="false">
      <c r="A1942" s="94" t="s">
        <v>1690</v>
      </c>
      <c r="B1942" s="34" t="str">
        <f aca="false">IF(A1942="100","HK",IF(A1942="200","CN",IF(A1942="300","TW","홀세일")))</f>
        <v>홀세일</v>
      </c>
      <c r="C1942" s="94" t="s">
        <v>1770</v>
      </c>
      <c r="D1942" s="95" t="n">
        <v>312</v>
      </c>
      <c r="E1942" s="95" t="n">
        <v>59000</v>
      </c>
      <c r="F1942" s="95" t="n">
        <v>15300</v>
      </c>
      <c r="G1942" s="34" t="n">
        <v>0</v>
      </c>
      <c r="H1942" s="34" t="n">
        <v>15.7</v>
      </c>
      <c r="J1942" s="95" t="n">
        <f aca="false">IF(N(E1942)&gt;0,E1942,IF(N(F1942)&gt;0,F1942*가정!$B$5,0))</f>
        <v>59000</v>
      </c>
      <c r="K1942" s="95" t="n">
        <f aca="false">IF(N(F1942)&gt;0,F1942,IF(N(E1942)&gt;0,E1942/가정!$B$5,0))</f>
        <v>15300</v>
      </c>
      <c r="L1942" s="95" t="n">
        <f aca="false">IF(B1942="CN",IF(N(I1942)&gt;0,I1942*가정!$B$3,K1942*(1+가정!$B$6)),IF(N(H1942)&gt;0,H1942*가정!$B$3,J1942*가정!$B$4))</f>
        <v>21395.646</v>
      </c>
      <c r="M1942" s="95" t="n">
        <f aca="false">D1942*J1942</f>
        <v>18408000</v>
      </c>
      <c r="N1942" s="95" t="n">
        <f aca="false">D1942*K1942</f>
        <v>4773600</v>
      </c>
      <c r="O1942" s="95" t="n">
        <f aca="false">D1942*L1942</f>
        <v>6675441.552</v>
      </c>
      <c r="P1942" s="34" t="str">
        <f aca="false">TRIM(IF(N(E1942)&lt;=0,"택가보정 ","")&amp;IF(N(F1942)&lt;=0,"원가보정 ","")&amp;IF(AND(B1942&lt;&gt;"CN",N(H1942)&lt;=0),"공급가보정 ","")&amp;IF(AND(B1942="CN",N(I1942)&lt;=0),"중국공급가=원가+마진 ",""))</f>
        <v/>
      </c>
    </row>
    <row r="1943" customFormat="false" ht="15" hidden="false" customHeight="true" outlineLevel="0" collapsed="false">
      <c r="A1943" s="94" t="s">
        <v>1690</v>
      </c>
      <c r="B1943" s="34" t="str">
        <f aca="false">IF(A1943="100","HK",IF(A1943="200","CN",IF(A1943="300","TW","홀세일")))</f>
        <v>홀세일</v>
      </c>
      <c r="C1943" s="94" t="s">
        <v>1771</v>
      </c>
      <c r="D1943" s="95" t="n">
        <v>504</v>
      </c>
      <c r="E1943" s="95" t="n">
        <v>49000</v>
      </c>
      <c r="F1943" s="95" t="n">
        <v>11900</v>
      </c>
      <c r="G1943" s="34" t="n">
        <v>0</v>
      </c>
      <c r="H1943" s="34" t="n">
        <v>13.1</v>
      </c>
      <c r="J1943" s="95" t="n">
        <f aca="false">IF(N(E1943)&gt;0,E1943,IF(N(F1943)&gt;0,F1943*가정!$B$5,0))</f>
        <v>49000</v>
      </c>
      <c r="K1943" s="95" t="n">
        <f aca="false">IF(N(F1943)&gt;0,F1943,IF(N(E1943)&gt;0,E1943/가정!$B$5,0))</f>
        <v>11900</v>
      </c>
      <c r="L1943" s="95" t="n">
        <f aca="false">IF(B1943="CN",IF(N(I1943)&gt;0,I1943*가정!$B$3,K1943*(1+가정!$B$6)),IF(N(H1943)&gt;0,H1943*가정!$B$3,J1943*가정!$B$4))</f>
        <v>17852.418</v>
      </c>
      <c r="M1943" s="95" t="n">
        <f aca="false">D1943*J1943</f>
        <v>24696000</v>
      </c>
      <c r="N1943" s="95" t="n">
        <f aca="false">D1943*K1943</f>
        <v>5997600</v>
      </c>
      <c r="O1943" s="95" t="n">
        <f aca="false">D1943*L1943</f>
        <v>8997618.672</v>
      </c>
      <c r="P1943" s="34" t="str">
        <f aca="false">TRIM(IF(N(E1943)&lt;=0,"택가보정 ","")&amp;IF(N(F1943)&lt;=0,"원가보정 ","")&amp;IF(AND(B1943&lt;&gt;"CN",N(H1943)&lt;=0),"공급가보정 ","")&amp;IF(AND(B1943="CN",N(I1943)&lt;=0),"중국공급가=원가+마진 ",""))</f>
        <v/>
      </c>
    </row>
    <row r="1944" customFormat="false" ht="15" hidden="false" customHeight="true" outlineLevel="0" collapsed="false">
      <c r="A1944" s="94" t="s">
        <v>1688</v>
      </c>
      <c r="B1944" s="34" t="str">
        <f aca="false">IF(A1944="100","HK",IF(A1944="200","CN",IF(A1944="300","TW","홀세일")))</f>
        <v>홀세일</v>
      </c>
      <c r="C1944" s="94" t="s">
        <v>1772</v>
      </c>
      <c r="D1944" s="95" t="n">
        <v>1000</v>
      </c>
      <c r="E1944" s="95"/>
      <c r="F1944" s="95" t="n">
        <v>21400</v>
      </c>
      <c r="G1944" s="34" t="n">
        <v>0</v>
      </c>
      <c r="J1944" s="95" t="n">
        <f aca="false">IF(N(E1944)&gt;0,E1944,IF(N(F1944)&gt;0,F1944*가정!$B$5,0))</f>
        <v>85600</v>
      </c>
      <c r="K1944" s="95" t="n">
        <f aca="false">IF(N(F1944)&gt;0,F1944,IF(N(E1944)&gt;0,E1944/가정!$B$5,0))</f>
        <v>21400</v>
      </c>
      <c r="L1944" s="95" t="n">
        <f aca="false">IF(B1944="CN",IF(N(I1944)&gt;0,I1944*가정!$B$3,K1944*(1+가정!$B$6)),IF(N(H1944)&gt;0,H1944*가정!$B$3,J1944*가정!$B$4))</f>
        <v>28248</v>
      </c>
      <c r="M1944" s="95" t="n">
        <f aca="false">D1944*J1944</f>
        <v>85600000</v>
      </c>
      <c r="N1944" s="95" t="n">
        <f aca="false">D1944*K1944</f>
        <v>21400000</v>
      </c>
      <c r="O1944" s="95" t="n">
        <f aca="false">D1944*L1944</f>
        <v>28248000</v>
      </c>
      <c r="P1944" s="34" t="str">
        <f aca="false">TRIM(IF(N(E1944)&lt;=0,"택가보정 ","")&amp;IF(N(F1944)&lt;=0,"원가보정 ","")&amp;IF(AND(B1944&lt;&gt;"CN",N(H1944)&lt;=0),"공급가보정 ","")&amp;IF(AND(B1944="CN",N(I1944)&lt;=0),"중국공급가=원가+마진 ",""))</f>
        <v>택가보정 공급가보정</v>
      </c>
    </row>
    <row r="1945" customFormat="false" ht="15" hidden="false" customHeight="true" outlineLevel="0" collapsed="false">
      <c r="A1945" s="94" t="s">
        <v>1690</v>
      </c>
      <c r="B1945" s="34" t="str">
        <f aca="false">IF(A1945="100","HK",IF(A1945="200","CN",IF(A1945="300","TW","홀세일")))</f>
        <v>홀세일</v>
      </c>
      <c r="C1945" s="94" t="s">
        <v>1773</v>
      </c>
      <c r="D1945" s="95" t="n">
        <v>1005</v>
      </c>
      <c r="E1945" s="95"/>
      <c r="F1945" s="95" t="n">
        <v>12554</v>
      </c>
      <c r="G1945" s="34" t="n">
        <v>0</v>
      </c>
      <c r="J1945" s="95" t="n">
        <f aca="false">IF(N(E1945)&gt;0,E1945,IF(N(F1945)&gt;0,F1945*가정!$B$5,0))</f>
        <v>50216</v>
      </c>
      <c r="K1945" s="95" t="n">
        <f aca="false">IF(N(F1945)&gt;0,F1945,IF(N(E1945)&gt;0,E1945/가정!$B$5,0))</f>
        <v>12554</v>
      </c>
      <c r="L1945" s="95" t="n">
        <f aca="false">IF(B1945="CN",IF(N(I1945)&gt;0,I1945*가정!$B$3,K1945*(1+가정!$B$6)),IF(N(H1945)&gt;0,H1945*가정!$B$3,J1945*가정!$B$4))</f>
        <v>16571.28</v>
      </c>
      <c r="M1945" s="95" t="n">
        <f aca="false">D1945*J1945</f>
        <v>50467080</v>
      </c>
      <c r="N1945" s="95" t="n">
        <f aca="false">D1945*K1945</f>
        <v>12616770</v>
      </c>
      <c r="O1945" s="95" t="n">
        <f aca="false">D1945*L1945</f>
        <v>16654136.4</v>
      </c>
      <c r="P1945" s="34" t="str">
        <f aca="false">TRIM(IF(N(E1945)&lt;=0,"택가보정 ","")&amp;IF(N(F1945)&lt;=0,"원가보정 ","")&amp;IF(AND(B1945&lt;&gt;"CN",N(H1945)&lt;=0),"공급가보정 ","")&amp;IF(AND(B1945="CN",N(I1945)&lt;=0),"중국공급가=원가+마진 ",""))</f>
        <v>택가보정 공급가보정</v>
      </c>
    </row>
    <row r="1946" customFormat="false" ht="15" hidden="false" customHeight="true" outlineLevel="0" collapsed="false">
      <c r="A1946" s="94" t="s">
        <v>1690</v>
      </c>
      <c r="B1946" s="34" t="str">
        <f aca="false">IF(A1946="100","HK",IF(A1946="200","CN",IF(A1946="300","TW","홀세일")))</f>
        <v>홀세일</v>
      </c>
      <c r="C1946" s="94" t="s">
        <v>1528</v>
      </c>
      <c r="D1946" s="95" t="n">
        <v>1000</v>
      </c>
      <c r="E1946" s="95" t="n">
        <v>29000</v>
      </c>
      <c r="F1946" s="95" t="n">
        <v>8488</v>
      </c>
      <c r="G1946" s="34" t="n">
        <v>0</v>
      </c>
      <c r="H1946" s="34" t="n">
        <v>13.2</v>
      </c>
      <c r="J1946" s="95" t="n">
        <f aca="false">IF(N(E1946)&gt;0,E1946,IF(N(F1946)&gt;0,F1946*가정!$B$5,0))</f>
        <v>29000</v>
      </c>
      <c r="K1946" s="95" t="n">
        <f aca="false">IF(N(F1946)&gt;0,F1946,IF(N(E1946)&gt;0,E1946/가정!$B$5,0))</f>
        <v>8488</v>
      </c>
      <c r="L1946" s="95" t="n">
        <f aca="false">IF(B1946="CN",IF(N(I1946)&gt;0,I1946*가정!$B$3,K1946*(1+가정!$B$6)),IF(N(H1946)&gt;0,H1946*가정!$B$3,J1946*가정!$B$4))</f>
        <v>17988.696</v>
      </c>
      <c r="M1946" s="95" t="n">
        <f aca="false">D1946*J1946</f>
        <v>29000000</v>
      </c>
      <c r="N1946" s="95" t="n">
        <f aca="false">D1946*K1946</f>
        <v>8488000</v>
      </c>
      <c r="O1946" s="95" t="n">
        <f aca="false">D1946*L1946</f>
        <v>17988696</v>
      </c>
      <c r="P1946" s="34" t="str">
        <f aca="false">TRIM(IF(N(E1946)&lt;=0,"택가보정 ","")&amp;IF(N(F1946)&lt;=0,"원가보정 ","")&amp;IF(AND(B1946&lt;&gt;"CN",N(H1946)&lt;=0),"공급가보정 ","")&amp;IF(AND(B1946="CN",N(I1946)&lt;=0),"중국공급가=원가+마진 ",""))</f>
        <v/>
      </c>
    </row>
    <row r="1947" customFormat="false" ht="15" hidden="false" customHeight="true" outlineLevel="0" collapsed="false">
      <c r="A1947" s="94" t="s">
        <v>1684</v>
      </c>
      <c r="B1947" s="34" t="str">
        <f aca="false">IF(A1947="100","HK",IF(A1947="200","CN",IF(A1947="300","TW","홀세일")))</f>
        <v>HK</v>
      </c>
      <c r="C1947" s="94" t="s">
        <v>1774</v>
      </c>
      <c r="D1947" s="95" t="n">
        <v>1000</v>
      </c>
      <c r="E1947" s="95"/>
      <c r="F1947" s="95" t="n">
        <v>9000</v>
      </c>
      <c r="G1947" s="34" t="n">
        <v>0</v>
      </c>
      <c r="J1947" s="95" t="n">
        <f aca="false">IF(N(E1947)&gt;0,E1947,IF(N(F1947)&gt;0,F1947*가정!$B$5,0))</f>
        <v>36000</v>
      </c>
      <c r="K1947" s="95" t="n">
        <f aca="false">IF(N(F1947)&gt;0,F1947,IF(N(E1947)&gt;0,E1947/가정!$B$5,0))</f>
        <v>9000</v>
      </c>
      <c r="L1947" s="95" t="n">
        <f aca="false">IF(B1947="CN",IF(N(I1947)&gt;0,I1947*가정!$B$3,K1947*(1+가정!$B$6)),IF(N(H1947)&gt;0,H1947*가정!$B$3,J1947*가정!$B$4))</f>
        <v>11880</v>
      </c>
      <c r="M1947" s="95" t="n">
        <f aca="false">D1947*J1947</f>
        <v>36000000</v>
      </c>
      <c r="N1947" s="95" t="n">
        <f aca="false">D1947*K1947</f>
        <v>9000000</v>
      </c>
      <c r="O1947" s="95" t="n">
        <f aca="false">D1947*L1947</f>
        <v>11880000</v>
      </c>
      <c r="P1947" s="34" t="str">
        <f aca="false">TRIM(IF(N(E1947)&lt;=0,"택가보정 ","")&amp;IF(N(F1947)&lt;=0,"원가보정 ","")&amp;IF(AND(B1947&lt;&gt;"CN",N(H1947)&lt;=0),"공급가보정 ","")&amp;IF(AND(B1947="CN",N(I1947)&lt;=0),"중국공급가=원가+마진 ",""))</f>
        <v>택가보정 공급가보정</v>
      </c>
    </row>
    <row r="1948" customFormat="false" ht="15" hidden="false" customHeight="true" outlineLevel="0" collapsed="false">
      <c r="A1948" s="94" t="s">
        <v>1685</v>
      </c>
      <c r="B1948" s="34" t="str">
        <f aca="false">IF(A1948="100","HK",IF(A1948="200","CN",IF(A1948="300","TW","홀세일")))</f>
        <v>CN</v>
      </c>
      <c r="C1948" s="94" t="s">
        <v>1287</v>
      </c>
      <c r="D1948" s="95" t="n">
        <v>1379</v>
      </c>
      <c r="E1948" s="95"/>
      <c r="F1948" s="95" t="n">
        <v>14800</v>
      </c>
      <c r="G1948" s="34" t="n">
        <v>0</v>
      </c>
      <c r="I1948" s="34" t="n">
        <v>11.4</v>
      </c>
      <c r="J1948" s="95" t="n">
        <f aca="false">IF(N(E1948)&gt;0,E1948,IF(N(F1948)&gt;0,F1948*가정!$B$5,0))</f>
        <v>59200</v>
      </c>
      <c r="K1948" s="95" t="n">
        <f aca="false">IF(N(F1948)&gt;0,F1948,IF(N(E1948)&gt;0,E1948/가정!$B$5,0))</f>
        <v>14800</v>
      </c>
      <c r="L1948" s="95" t="n">
        <f aca="false">IF(B1948="CN",IF(N(I1948)&gt;0,I1948*가정!$B$3,K1948*(1+가정!$B$6)),IF(N(H1948)&gt;0,H1948*가정!$B$3,J1948*가정!$B$4))</f>
        <v>15535.692</v>
      </c>
      <c r="M1948" s="95" t="n">
        <f aca="false">D1948*J1948</f>
        <v>81636800</v>
      </c>
      <c r="N1948" s="95" t="n">
        <f aca="false">D1948*K1948</f>
        <v>20409200</v>
      </c>
      <c r="O1948" s="95" t="n">
        <f aca="false">D1948*L1948</f>
        <v>21423719.268</v>
      </c>
      <c r="P1948" s="34" t="str">
        <f aca="false">TRIM(IF(N(E1948)&lt;=0,"택가보정 ","")&amp;IF(N(F1948)&lt;=0,"원가보정 ","")&amp;IF(AND(B1948&lt;&gt;"CN",N(H1948)&lt;=0),"공급가보정 ","")&amp;IF(AND(B1948="CN",N(I1948)&lt;=0),"중국공급가=원가+마진 ",""))</f>
        <v>택가보정</v>
      </c>
    </row>
    <row r="1949" customFormat="false" ht="15" hidden="false" customHeight="true" outlineLevel="0" collapsed="false">
      <c r="A1949" s="94" t="s">
        <v>1685</v>
      </c>
      <c r="B1949" s="34" t="str">
        <f aca="false">IF(A1949="100","HK",IF(A1949="200","CN",IF(A1949="300","TW","홀세일")))</f>
        <v>CN</v>
      </c>
      <c r="C1949" s="94" t="s">
        <v>1288</v>
      </c>
      <c r="D1949" s="95" t="n">
        <v>703</v>
      </c>
      <c r="E1949" s="95"/>
      <c r="F1949" s="95" t="n">
        <v>12475</v>
      </c>
      <c r="G1949" s="34" t="n">
        <v>0</v>
      </c>
      <c r="I1949" s="34" t="n">
        <v>10</v>
      </c>
      <c r="J1949" s="95" t="n">
        <f aca="false">IF(N(E1949)&gt;0,E1949,IF(N(F1949)&gt;0,F1949*가정!$B$5,0))</f>
        <v>49900</v>
      </c>
      <c r="K1949" s="95" t="n">
        <f aca="false">IF(N(F1949)&gt;0,F1949,IF(N(E1949)&gt;0,E1949/가정!$B$5,0))</f>
        <v>12475</v>
      </c>
      <c r="L1949" s="95" t="n">
        <f aca="false">IF(B1949="CN",IF(N(I1949)&gt;0,I1949*가정!$B$3,K1949*(1+가정!$B$6)),IF(N(H1949)&gt;0,H1949*가정!$B$3,J1949*가정!$B$4))</f>
        <v>13627.8</v>
      </c>
      <c r="M1949" s="95" t="n">
        <f aca="false">D1949*J1949</f>
        <v>35079700</v>
      </c>
      <c r="N1949" s="95" t="n">
        <f aca="false">D1949*K1949</f>
        <v>8769925</v>
      </c>
      <c r="O1949" s="95" t="n">
        <f aca="false">D1949*L1949</f>
        <v>9580343.4</v>
      </c>
      <c r="P1949" s="34" t="str">
        <f aca="false">TRIM(IF(N(E1949)&lt;=0,"택가보정 ","")&amp;IF(N(F1949)&lt;=0,"원가보정 ","")&amp;IF(AND(B1949&lt;&gt;"CN",N(H1949)&lt;=0),"공급가보정 ","")&amp;IF(AND(B1949="CN",N(I1949)&lt;=0),"중국공급가=원가+마진 ",""))</f>
        <v>택가보정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9609375" defaultRowHeight="15" zeroHeight="false" outlineLevelRow="0" outlineLevelCol="0"/>
  <cols>
    <col collapsed="false" customWidth="true" hidden="false" outlineLevel="0" max="1" min="1" style="34" width="128.43"/>
  </cols>
  <sheetData>
    <row r="1" customFormat="false" ht="20.25" hidden="false" customHeight="true" outlineLevel="0" collapsed="false">
      <c r="A1" s="96" t="s">
        <v>1775</v>
      </c>
    </row>
    <row r="2" customFormat="false" ht="15" hidden="false" customHeight="true" outlineLevel="0" collapsed="false">
      <c r="A2" s="97"/>
    </row>
    <row r="3" customFormat="false" ht="16.5" hidden="false" customHeight="true" outlineLevel="0" collapsed="false">
      <c r="A3" s="98" t="s">
        <v>1776</v>
      </c>
    </row>
    <row r="4" customFormat="false" ht="30.75" hidden="false" customHeight="true" outlineLevel="0" collapsed="false">
      <c r="A4" s="99" t="s">
        <v>1777</v>
      </c>
    </row>
    <row r="5" customFormat="false" ht="15" hidden="false" customHeight="true" outlineLevel="0" collapsed="false">
      <c r="A5" s="97"/>
    </row>
    <row r="6" customFormat="false" ht="16.5" hidden="false" customHeight="true" outlineLevel="0" collapsed="false">
      <c r="A6" s="98" t="s">
        <v>1778</v>
      </c>
    </row>
    <row r="7" customFormat="false" ht="15.75" hidden="false" customHeight="true" outlineLevel="0" collapsed="false">
      <c r="A7" s="100" t="s">
        <v>1779</v>
      </c>
    </row>
    <row r="8" customFormat="false" ht="15.75" hidden="false" customHeight="true" outlineLevel="0" collapsed="false">
      <c r="A8" s="100" t="s">
        <v>1780</v>
      </c>
    </row>
    <row r="9" customFormat="false" ht="15.75" hidden="false" customHeight="true" outlineLevel="0" collapsed="false">
      <c r="A9" s="99" t="s">
        <v>1781</v>
      </c>
    </row>
    <row r="10" customFormat="false" ht="15.75" hidden="false" customHeight="true" outlineLevel="0" collapsed="false">
      <c r="A10" s="99" t="s">
        <v>1782</v>
      </c>
    </row>
    <row r="11" customFormat="false" ht="15.75" hidden="false" customHeight="true" outlineLevel="0" collapsed="false">
      <c r="A11" s="99" t="s">
        <v>1783</v>
      </c>
    </row>
    <row r="12" customFormat="false" ht="15.75" hidden="false" customHeight="true" outlineLevel="0" collapsed="false">
      <c r="A12" s="99" t="s">
        <v>1784</v>
      </c>
    </row>
    <row r="13" customFormat="false" ht="15.75" hidden="false" customHeight="true" outlineLevel="0" collapsed="false">
      <c r="A13" s="100" t="s">
        <v>1785</v>
      </c>
    </row>
    <row r="14" customFormat="false" ht="15" hidden="false" customHeight="true" outlineLevel="0" collapsed="false">
      <c r="A14" s="97"/>
    </row>
    <row r="15" customFormat="false" ht="16.5" hidden="false" customHeight="true" outlineLevel="0" collapsed="false">
      <c r="A15" s="98" t="s">
        <v>1786</v>
      </c>
    </row>
    <row r="16" customFormat="false" ht="15.75" hidden="false" customHeight="true" outlineLevel="0" collapsed="false">
      <c r="A16" s="99" t="s">
        <v>1787</v>
      </c>
    </row>
    <row r="17" customFormat="false" ht="15.75" hidden="false" customHeight="true" outlineLevel="0" collapsed="false">
      <c r="A17" s="100" t="s">
        <v>1788</v>
      </c>
    </row>
    <row r="18" customFormat="false" ht="15.75" hidden="false" customHeight="true" outlineLevel="0" collapsed="false">
      <c r="A18" s="100" t="s">
        <v>1789</v>
      </c>
    </row>
    <row r="19" customFormat="false" ht="15.75" hidden="false" customHeight="true" outlineLevel="0" collapsed="false">
      <c r="A19" s="100" t="s">
        <v>1790</v>
      </c>
    </row>
    <row r="20" customFormat="false" ht="15.75" hidden="false" customHeight="true" outlineLevel="0" collapsed="false">
      <c r="A20" s="100" t="s">
        <v>1791</v>
      </c>
    </row>
    <row r="21" customFormat="false" ht="15" hidden="false" customHeight="true" outlineLevel="0" collapsed="false">
      <c r="A21" s="97"/>
    </row>
    <row r="22" customFormat="false" ht="16.5" hidden="false" customHeight="true" outlineLevel="0" collapsed="false">
      <c r="A22" s="98" t="s">
        <v>1792</v>
      </c>
    </row>
    <row r="23" customFormat="false" ht="30.75" hidden="false" customHeight="true" outlineLevel="0" collapsed="false">
      <c r="A23" s="99" t="s">
        <v>1793</v>
      </c>
    </row>
    <row r="24" customFormat="false" ht="15" hidden="false" customHeight="true" outlineLevel="0" collapsed="false">
      <c r="A24" s="97"/>
    </row>
    <row r="25" customFormat="false" ht="16.5" hidden="false" customHeight="true" outlineLevel="0" collapsed="false">
      <c r="A25" s="98" t="s">
        <v>1794</v>
      </c>
    </row>
    <row r="26" customFormat="false" ht="15.75" hidden="false" customHeight="true" outlineLevel="0" collapsed="false">
      <c r="A26" s="99" t="s">
        <v>1795</v>
      </c>
    </row>
    <row r="27" customFormat="false" ht="15.75" hidden="false" customHeight="true" outlineLevel="0" collapsed="false">
      <c r="A27" s="99" t="s">
        <v>1796</v>
      </c>
    </row>
    <row r="28" customFormat="false" ht="15.75" hidden="false" customHeight="true" outlineLevel="0" collapsed="false">
      <c r="A28" s="99" t="s">
        <v>1797</v>
      </c>
    </row>
    <row r="29" customFormat="false" ht="15.75" hidden="false" customHeight="true" outlineLevel="0" collapsed="false">
      <c r="A29" s="99" t="s">
        <v>1798</v>
      </c>
    </row>
    <row r="32" customFormat="false" ht="15" hidden="false" customHeight="true" outlineLevel="0" collapsed="false">
      <c r="A32" s="79" t="s">
        <v>1799</v>
      </c>
    </row>
    <row r="33" customFormat="false" ht="15.75" hidden="false" customHeight="true" outlineLevel="0" collapsed="false">
      <c r="A33" s="34" t="str">
        <f aca="false">COUNTIF(RAW_2026!P:P,"*택가보정*")&amp;"행 택가 보정 / "&amp;COUNTIF(RAW_2026!P:P,"*원가보정*")&amp;"행 원가 보정 / "&amp;COUNTIF(RAW_2026!P:P,"*공급가보정*")&amp;"행 해외공급가 보정 / "&amp;COUNTIF(RAW_2026!P:P,"*중국공급가*")&amp;"행 중국공급가=원가+마진 (전체 1948행)"</f>
        <v>88행 택가 보정 / 6행 원가 보정 / 16행 해외공급가 보정 / 170행 중국공급가=원가+마진 (전체 1948행)</v>
      </c>
    </row>
    <row r="35" customFormat="false" ht="15.75" hidden="false" customHeight="true" outlineLevel="0" collapsed="false">
      <c r="A35" s="38" t="s">
        <v>1800</v>
      </c>
    </row>
    <row r="36" customFormat="false" ht="14.25" hidden="false" customHeight="true" outlineLevel="0" collapsed="false">
      <c r="A36" s="36" t="s">
        <v>1801</v>
      </c>
    </row>
    <row r="37" customFormat="false" ht="14.25" hidden="false" customHeight="true" outlineLevel="0" collapsed="false">
      <c r="A37" s="36" t="s">
        <v>1802</v>
      </c>
    </row>
    <row r="38" customFormat="false" ht="14.25" hidden="false" customHeight="true" outlineLevel="0" collapsed="false">
      <c r="A38" s="36" t="s">
        <v>1803</v>
      </c>
    </row>
    <row r="39" customFormat="false" ht="14.25" hidden="false" customHeight="true" outlineLevel="0" collapsed="false">
      <c r="A39" s="36" t="s">
        <v>1804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2026-10-22T04:24:42Z</dcterms:created>
  <dc:creator>openpyxl</dc:creator>
  <dc:description/>
  <dc:language>ko-KR</dc:language>
  <cp:lastModifiedBy/>
  <dcterms:modified xsi:type="dcterms:W3CDTF">2026-10-22T05:13:43Z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